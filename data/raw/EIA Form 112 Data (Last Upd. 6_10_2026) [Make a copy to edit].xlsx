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056617a8a5f99ff/Documents/CMU Course Material/5 Fall-26/19876 - Zhang/Project/Background/Energy ^0 Policy Institute Report/"/>
    </mc:Choice>
  </mc:AlternateContent>
  <xr:revisionPtr revIDLastSave="1" documentId="11_023F6E15FD87A99F4712ED3E3F17B2922155EA1E" xr6:coauthVersionLast="47" xr6:coauthVersionMax="47" xr10:uidLastSave="{A2409821-5EEE-4696-B832-4654C43F2B7B}"/>
  <bookViews>
    <workbookView xWindow="-110" yWindow="-110" windowWidth="22780" windowHeight="14660" activeTab="2" xr2:uid="{00000000-000D-0000-FFFF-FFFF00000000}"/>
  </bookViews>
  <sheets>
    <sheet name="Statistics" sheetId="1" r:id="rId1"/>
    <sheet name="Rankings" sheetId="2" r:id="rId2"/>
    <sheet name="2024-IOUs" sheetId="3" r:id="rId3"/>
    <sheet name="2024-PP" sheetId="4" r:id="rId4"/>
    <sheet name="2024-MUNIS" sheetId="5" r:id="rId5"/>
    <sheet name="2024-COOPS" sheetId="6" r:id="rId6"/>
    <sheet name="2024-SMALL-PP" sheetId="7" r:id="rId7"/>
    <sheet name="2024-LARGE-PP" sheetId="8" r:id="rId8"/>
  </sheets>
  <definedNames>
    <definedName name="_xlnm._FilterDatabase" localSheetId="5" hidden="1">'2024-COOPS'!$A$1:$AA$510</definedName>
    <definedName name="_xlnm._FilterDatabase" localSheetId="2" hidden="1">'2024-IOUs'!$A$1:$H$170</definedName>
    <definedName name="_xlnm._FilterDatabase" localSheetId="7" hidden="1">'2024-LARGE-PP'!$A$1:$T$58</definedName>
    <definedName name="_xlnm._FilterDatabase" localSheetId="4" hidden="1">'2024-MUNIS'!$A$1:$T$445</definedName>
    <definedName name="_xlnm._FilterDatabase" localSheetId="3" hidden="1">'2024-PP'!$A$1:$AA$1572</definedName>
    <definedName name="_xlnm._FilterDatabase" localSheetId="6" hidden="1">'2024-SMALL-PP'!$A$1:$T$948</definedName>
    <definedName name="_xlnm._FilterDatabase" localSheetId="1" hidden="1">Rankings!$A$1:$D$51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8" i="8" l="1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3" i="8"/>
  <c r="M2" i="8"/>
  <c r="M948" i="7"/>
  <c r="M947" i="7"/>
  <c r="M946" i="7"/>
  <c r="M945" i="7"/>
  <c r="M944" i="7"/>
  <c r="M943" i="7"/>
  <c r="M942" i="7"/>
  <c r="M941" i="7"/>
  <c r="M940" i="7"/>
  <c r="M939" i="7"/>
  <c r="M938" i="7"/>
  <c r="M937" i="7"/>
  <c r="M936" i="7"/>
  <c r="M935" i="7"/>
  <c r="M934" i="7"/>
  <c r="M933" i="7"/>
  <c r="M932" i="7"/>
  <c r="M931" i="7"/>
  <c r="M930" i="7"/>
  <c r="M929" i="7"/>
  <c r="M928" i="7"/>
  <c r="M927" i="7"/>
  <c r="M926" i="7"/>
  <c r="M925" i="7"/>
  <c r="M924" i="7"/>
  <c r="M923" i="7"/>
  <c r="M922" i="7"/>
  <c r="M921" i="7"/>
  <c r="M920" i="7"/>
  <c r="M919" i="7"/>
  <c r="M918" i="7"/>
  <c r="M917" i="7"/>
  <c r="M916" i="7"/>
  <c r="M915" i="7"/>
  <c r="M914" i="7"/>
  <c r="M913" i="7"/>
  <c r="M912" i="7"/>
  <c r="M911" i="7"/>
  <c r="M910" i="7"/>
  <c r="M909" i="7"/>
  <c r="M908" i="7"/>
  <c r="M907" i="7"/>
  <c r="M906" i="7"/>
  <c r="M905" i="7"/>
  <c r="M904" i="7"/>
  <c r="M903" i="7"/>
  <c r="M902" i="7"/>
  <c r="M901" i="7"/>
  <c r="M900" i="7"/>
  <c r="M899" i="7"/>
  <c r="M898" i="7"/>
  <c r="M897" i="7"/>
  <c r="M896" i="7"/>
  <c r="M895" i="7"/>
  <c r="M894" i="7"/>
  <c r="M893" i="7"/>
  <c r="M892" i="7"/>
  <c r="M891" i="7"/>
  <c r="M890" i="7"/>
  <c r="M889" i="7"/>
  <c r="M888" i="7"/>
  <c r="M887" i="7"/>
  <c r="M886" i="7"/>
  <c r="M885" i="7"/>
  <c r="M884" i="7"/>
  <c r="M883" i="7"/>
  <c r="M882" i="7"/>
  <c r="M881" i="7"/>
  <c r="M880" i="7"/>
  <c r="M879" i="7"/>
  <c r="M878" i="7"/>
  <c r="M877" i="7"/>
  <c r="M876" i="7"/>
  <c r="M875" i="7"/>
  <c r="M874" i="7"/>
  <c r="M873" i="7"/>
  <c r="M872" i="7"/>
  <c r="M871" i="7"/>
  <c r="M870" i="7"/>
  <c r="M869" i="7"/>
  <c r="M868" i="7"/>
  <c r="M867" i="7"/>
  <c r="M866" i="7"/>
  <c r="M865" i="7"/>
  <c r="M864" i="7"/>
  <c r="M863" i="7"/>
  <c r="M862" i="7"/>
  <c r="M861" i="7"/>
  <c r="M860" i="7"/>
  <c r="M859" i="7"/>
  <c r="M858" i="7"/>
  <c r="M857" i="7"/>
  <c r="M856" i="7"/>
  <c r="M855" i="7"/>
  <c r="M854" i="7"/>
  <c r="M853" i="7"/>
  <c r="M852" i="7"/>
  <c r="M851" i="7"/>
  <c r="M850" i="7"/>
  <c r="M849" i="7"/>
  <c r="M848" i="7"/>
  <c r="M847" i="7"/>
  <c r="M846" i="7"/>
  <c r="M845" i="7"/>
  <c r="M844" i="7"/>
  <c r="M843" i="7"/>
  <c r="M842" i="7"/>
  <c r="M841" i="7"/>
  <c r="M840" i="7"/>
  <c r="M839" i="7"/>
  <c r="M838" i="7"/>
  <c r="M837" i="7"/>
  <c r="M836" i="7"/>
  <c r="M835" i="7"/>
  <c r="M834" i="7"/>
  <c r="M833" i="7"/>
  <c r="M832" i="7"/>
  <c r="M831" i="7"/>
  <c r="M830" i="7"/>
  <c r="M829" i="7"/>
  <c r="M828" i="7"/>
  <c r="M827" i="7"/>
  <c r="M826" i="7"/>
  <c r="M825" i="7"/>
  <c r="M824" i="7"/>
  <c r="M823" i="7"/>
  <c r="M822" i="7"/>
  <c r="M821" i="7"/>
  <c r="M820" i="7"/>
  <c r="M819" i="7"/>
  <c r="M818" i="7"/>
  <c r="M817" i="7"/>
  <c r="M816" i="7"/>
  <c r="M815" i="7"/>
  <c r="M814" i="7"/>
  <c r="M813" i="7"/>
  <c r="M812" i="7"/>
  <c r="M811" i="7"/>
  <c r="M810" i="7"/>
  <c r="M809" i="7"/>
  <c r="M808" i="7"/>
  <c r="M807" i="7"/>
  <c r="M806" i="7"/>
  <c r="M805" i="7"/>
  <c r="M804" i="7"/>
  <c r="M803" i="7"/>
  <c r="M802" i="7"/>
  <c r="M801" i="7"/>
  <c r="M800" i="7"/>
  <c r="M799" i="7"/>
  <c r="M798" i="7"/>
  <c r="M797" i="7"/>
  <c r="M796" i="7"/>
  <c r="M795" i="7"/>
  <c r="M794" i="7"/>
  <c r="M793" i="7"/>
  <c r="M792" i="7"/>
  <c r="M791" i="7"/>
  <c r="M790" i="7"/>
  <c r="M789" i="7"/>
  <c r="M788" i="7"/>
  <c r="M787" i="7"/>
  <c r="M786" i="7"/>
  <c r="M785" i="7"/>
  <c r="M784" i="7"/>
  <c r="M783" i="7"/>
  <c r="M782" i="7"/>
  <c r="M781" i="7"/>
  <c r="M780" i="7"/>
  <c r="M779" i="7"/>
  <c r="M778" i="7"/>
  <c r="M777" i="7"/>
  <c r="M776" i="7"/>
  <c r="M775" i="7"/>
  <c r="M774" i="7"/>
  <c r="M773" i="7"/>
  <c r="M772" i="7"/>
  <c r="M771" i="7"/>
  <c r="M770" i="7"/>
  <c r="M769" i="7"/>
  <c r="M768" i="7"/>
  <c r="M767" i="7"/>
  <c r="M766" i="7"/>
  <c r="M765" i="7"/>
  <c r="M764" i="7"/>
  <c r="M763" i="7"/>
  <c r="M762" i="7"/>
  <c r="M761" i="7"/>
  <c r="M760" i="7"/>
  <c r="M759" i="7"/>
  <c r="M758" i="7"/>
  <c r="M757" i="7"/>
  <c r="M756" i="7"/>
  <c r="M755" i="7"/>
  <c r="M754" i="7"/>
  <c r="M753" i="7"/>
  <c r="M752" i="7"/>
  <c r="M751" i="7"/>
  <c r="M750" i="7"/>
  <c r="M749" i="7"/>
  <c r="M748" i="7"/>
  <c r="M747" i="7"/>
  <c r="M746" i="7"/>
  <c r="M745" i="7"/>
  <c r="M744" i="7"/>
  <c r="M743" i="7"/>
  <c r="M742" i="7"/>
  <c r="M741" i="7"/>
  <c r="M740" i="7"/>
  <c r="M739" i="7"/>
  <c r="M738" i="7"/>
  <c r="M737" i="7"/>
  <c r="M736" i="7"/>
  <c r="M735" i="7"/>
  <c r="M734" i="7"/>
  <c r="M733" i="7"/>
  <c r="M732" i="7"/>
  <c r="M731" i="7"/>
  <c r="M730" i="7"/>
  <c r="M729" i="7"/>
  <c r="M728" i="7"/>
  <c r="M727" i="7"/>
  <c r="M726" i="7"/>
  <c r="M725" i="7"/>
  <c r="M724" i="7"/>
  <c r="M723" i="7"/>
  <c r="M722" i="7"/>
  <c r="M721" i="7"/>
  <c r="M720" i="7"/>
  <c r="M719" i="7"/>
  <c r="M718" i="7"/>
  <c r="M717" i="7"/>
  <c r="M716" i="7"/>
  <c r="M715" i="7"/>
  <c r="M714" i="7"/>
  <c r="M713" i="7"/>
  <c r="M712" i="7"/>
  <c r="M711" i="7"/>
  <c r="M710" i="7"/>
  <c r="M709" i="7"/>
  <c r="M708" i="7"/>
  <c r="M707" i="7"/>
  <c r="M706" i="7"/>
  <c r="M705" i="7"/>
  <c r="M704" i="7"/>
  <c r="M703" i="7"/>
  <c r="M702" i="7"/>
  <c r="M701" i="7"/>
  <c r="M700" i="7"/>
  <c r="M699" i="7"/>
  <c r="M698" i="7"/>
  <c r="M697" i="7"/>
  <c r="M696" i="7"/>
  <c r="M695" i="7"/>
  <c r="M694" i="7"/>
  <c r="M693" i="7"/>
  <c r="M692" i="7"/>
  <c r="M691" i="7"/>
  <c r="M690" i="7"/>
  <c r="M689" i="7"/>
  <c r="M688" i="7"/>
  <c r="M687" i="7"/>
  <c r="M686" i="7"/>
  <c r="M685" i="7"/>
  <c r="M684" i="7"/>
  <c r="M683" i="7"/>
  <c r="M682" i="7"/>
  <c r="M681" i="7"/>
  <c r="M680" i="7"/>
  <c r="M679" i="7"/>
  <c r="M678" i="7"/>
  <c r="M677" i="7"/>
  <c r="M676" i="7"/>
  <c r="M675" i="7"/>
  <c r="M674" i="7"/>
  <c r="M673" i="7"/>
  <c r="M672" i="7"/>
  <c r="M671" i="7"/>
  <c r="M670" i="7"/>
  <c r="M669" i="7"/>
  <c r="M668" i="7"/>
  <c r="M667" i="7"/>
  <c r="M666" i="7"/>
  <c r="M665" i="7"/>
  <c r="M664" i="7"/>
  <c r="M663" i="7"/>
  <c r="M662" i="7"/>
  <c r="M661" i="7"/>
  <c r="M660" i="7"/>
  <c r="M659" i="7"/>
  <c r="M658" i="7"/>
  <c r="M657" i="7"/>
  <c r="M656" i="7"/>
  <c r="M655" i="7"/>
  <c r="M654" i="7"/>
  <c r="M653" i="7"/>
  <c r="M652" i="7"/>
  <c r="M651" i="7"/>
  <c r="M650" i="7"/>
  <c r="M649" i="7"/>
  <c r="M648" i="7"/>
  <c r="M647" i="7"/>
  <c r="M646" i="7"/>
  <c r="M645" i="7"/>
  <c r="M644" i="7"/>
  <c r="M643" i="7"/>
  <c r="M642" i="7"/>
  <c r="M641" i="7"/>
  <c r="M640" i="7"/>
  <c r="M639" i="7"/>
  <c r="M638" i="7"/>
  <c r="M637" i="7"/>
  <c r="M636" i="7"/>
  <c r="M635" i="7"/>
  <c r="M634" i="7"/>
  <c r="M633" i="7"/>
  <c r="M632" i="7"/>
  <c r="M631" i="7"/>
  <c r="M630" i="7"/>
  <c r="M629" i="7"/>
  <c r="M628" i="7"/>
  <c r="M627" i="7"/>
  <c r="M626" i="7"/>
  <c r="M625" i="7"/>
  <c r="M624" i="7"/>
  <c r="M623" i="7"/>
  <c r="M622" i="7"/>
  <c r="M621" i="7"/>
  <c r="M620" i="7"/>
  <c r="M619" i="7"/>
  <c r="M618" i="7"/>
  <c r="M617" i="7"/>
  <c r="M616" i="7"/>
  <c r="M615" i="7"/>
  <c r="M614" i="7"/>
  <c r="M613" i="7"/>
  <c r="M612" i="7"/>
  <c r="M611" i="7"/>
  <c r="M610" i="7"/>
  <c r="M609" i="7"/>
  <c r="M608" i="7"/>
  <c r="M607" i="7"/>
  <c r="M606" i="7"/>
  <c r="M605" i="7"/>
  <c r="M604" i="7"/>
  <c r="M603" i="7"/>
  <c r="M602" i="7"/>
  <c r="M601" i="7"/>
  <c r="M600" i="7"/>
  <c r="M599" i="7"/>
  <c r="M598" i="7"/>
  <c r="M597" i="7"/>
  <c r="M596" i="7"/>
  <c r="M595" i="7"/>
  <c r="M594" i="7"/>
  <c r="M593" i="7"/>
  <c r="M592" i="7"/>
  <c r="M591" i="7"/>
  <c r="M590" i="7"/>
  <c r="M589" i="7"/>
  <c r="M588" i="7"/>
  <c r="M587" i="7"/>
  <c r="M586" i="7"/>
  <c r="M585" i="7"/>
  <c r="M584" i="7"/>
  <c r="M583" i="7"/>
  <c r="M582" i="7"/>
  <c r="M581" i="7"/>
  <c r="M580" i="7"/>
  <c r="M579" i="7"/>
  <c r="M578" i="7"/>
  <c r="M577" i="7"/>
  <c r="M576" i="7"/>
  <c r="M575" i="7"/>
  <c r="M574" i="7"/>
  <c r="M573" i="7"/>
  <c r="M572" i="7"/>
  <c r="M571" i="7"/>
  <c r="M570" i="7"/>
  <c r="M569" i="7"/>
  <c r="M568" i="7"/>
  <c r="M567" i="7"/>
  <c r="M566" i="7"/>
  <c r="M565" i="7"/>
  <c r="M564" i="7"/>
  <c r="M563" i="7"/>
  <c r="M562" i="7"/>
  <c r="M561" i="7"/>
  <c r="M560" i="7"/>
  <c r="M559" i="7"/>
  <c r="M558" i="7"/>
  <c r="M557" i="7"/>
  <c r="M556" i="7"/>
  <c r="M555" i="7"/>
  <c r="M554" i="7"/>
  <c r="M553" i="7"/>
  <c r="M552" i="7"/>
  <c r="M551" i="7"/>
  <c r="M550" i="7"/>
  <c r="M549" i="7"/>
  <c r="M548" i="7"/>
  <c r="M547" i="7"/>
  <c r="M546" i="7"/>
  <c r="M545" i="7"/>
  <c r="M544" i="7"/>
  <c r="M543" i="7"/>
  <c r="M542" i="7"/>
  <c r="M541" i="7"/>
  <c r="M540" i="7"/>
  <c r="M539" i="7"/>
  <c r="M538" i="7"/>
  <c r="M537" i="7"/>
  <c r="M536" i="7"/>
  <c r="M535" i="7"/>
  <c r="M534" i="7"/>
  <c r="M533" i="7"/>
  <c r="M532" i="7"/>
  <c r="M531" i="7"/>
  <c r="M530" i="7"/>
  <c r="M529" i="7"/>
  <c r="M528" i="7"/>
  <c r="M527" i="7"/>
  <c r="M526" i="7"/>
  <c r="M525" i="7"/>
  <c r="M524" i="7"/>
  <c r="M523" i="7"/>
  <c r="M522" i="7"/>
  <c r="M521" i="7"/>
  <c r="M520" i="7"/>
  <c r="M519" i="7"/>
  <c r="M518" i="7"/>
  <c r="M517" i="7"/>
  <c r="M516" i="7"/>
  <c r="M515" i="7"/>
  <c r="M514" i="7"/>
  <c r="M513" i="7"/>
  <c r="M512" i="7"/>
  <c r="M511" i="7"/>
  <c r="M510" i="7"/>
  <c r="M509" i="7"/>
  <c r="M508" i="7"/>
  <c r="M507" i="7"/>
  <c r="M506" i="7"/>
  <c r="M505" i="7"/>
  <c r="M504" i="7"/>
  <c r="M503" i="7"/>
  <c r="M502" i="7"/>
  <c r="M501" i="7"/>
  <c r="M500" i="7"/>
  <c r="M499" i="7"/>
  <c r="M498" i="7"/>
  <c r="M497" i="7"/>
  <c r="M496" i="7"/>
  <c r="M495" i="7"/>
  <c r="M494" i="7"/>
  <c r="M493" i="7"/>
  <c r="M492" i="7"/>
  <c r="M491" i="7"/>
  <c r="M490" i="7"/>
  <c r="M489" i="7"/>
  <c r="M488" i="7"/>
  <c r="M487" i="7"/>
  <c r="M486" i="7"/>
  <c r="M485" i="7"/>
  <c r="M484" i="7"/>
  <c r="M483" i="7"/>
  <c r="M482" i="7"/>
  <c r="M481" i="7"/>
  <c r="M480" i="7"/>
  <c r="M479" i="7"/>
  <c r="M478" i="7"/>
  <c r="M477" i="7"/>
  <c r="M476" i="7"/>
  <c r="M475" i="7"/>
  <c r="M474" i="7"/>
  <c r="M473" i="7"/>
  <c r="M472" i="7"/>
  <c r="M471" i="7"/>
  <c r="M470" i="7"/>
  <c r="M469" i="7"/>
  <c r="M468" i="7"/>
  <c r="M467" i="7"/>
  <c r="M466" i="7"/>
  <c r="M465" i="7"/>
  <c r="M464" i="7"/>
  <c r="M463" i="7"/>
  <c r="M462" i="7"/>
  <c r="M461" i="7"/>
  <c r="M460" i="7"/>
  <c r="M459" i="7"/>
  <c r="M458" i="7"/>
  <c r="M457" i="7"/>
  <c r="M456" i="7"/>
  <c r="M455" i="7"/>
  <c r="M454" i="7"/>
  <c r="M453" i="7"/>
  <c r="M452" i="7"/>
  <c r="M451" i="7"/>
  <c r="M450" i="7"/>
  <c r="M449" i="7"/>
  <c r="M448" i="7"/>
  <c r="M447" i="7"/>
  <c r="M446" i="7"/>
  <c r="M445" i="7"/>
  <c r="M444" i="7"/>
  <c r="M443" i="7"/>
  <c r="M442" i="7"/>
  <c r="M441" i="7"/>
  <c r="M440" i="7"/>
  <c r="M439" i="7"/>
  <c r="M438" i="7"/>
  <c r="M437" i="7"/>
  <c r="M436" i="7"/>
  <c r="M435" i="7"/>
  <c r="M434" i="7"/>
  <c r="M433" i="7"/>
  <c r="M432" i="7"/>
  <c r="M431" i="7"/>
  <c r="M430" i="7"/>
  <c r="M429" i="7"/>
  <c r="M428" i="7"/>
  <c r="M427" i="7"/>
  <c r="M426" i="7"/>
  <c r="M425" i="7"/>
  <c r="M424" i="7"/>
  <c r="M423" i="7"/>
  <c r="M422" i="7"/>
  <c r="M421" i="7"/>
  <c r="M420" i="7"/>
  <c r="M419" i="7"/>
  <c r="M418" i="7"/>
  <c r="M417" i="7"/>
  <c r="M416" i="7"/>
  <c r="M415" i="7"/>
  <c r="M414" i="7"/>
  <c r="M413" i="7"/>
  <c r="M412" i="7"/>
  <c r="M411" i="7"/>
  <c r="M410" i="7"/>
  <c r="M409" i="7"/>
  <c r="M408" i="7"/>
  <c r="M407" i="7"/>
  <c r="M406" i="7"/>
  <c r="M405" i="7"/>
  <c r="M404" i="7"/>
  <c r="M403" i="7"/>
  <c r="M402" i="7"/>
  <c r="M401" i="7"/>
  <c r="M400" i="7"/>
  <c r="M399" i="7"/>
  <c r="M398" i="7"/>
  <c r="M397" i="7"/>
  <c r="M396" i="7"/>
  <c r="M395" i="7"/>
  <c r="M394" i="7"/>
  <c r="M393" i="7"/>
  <c r="M392" i="7"/>
  <c r="M391" i="7"/>
  <c r="M390" i="7"/>
  <c r="M389" i="7"/>
  <c r="M388" i="7"/>
  <c r="M387" i="7"/>
  <c r="M386" i="7"/>
  <c r="M385" i="7"/>
  <c r="M384" i="7"/>
  <c r="M383" i="7"/>
  <c r="M382" i="7"/>
  <c r="M381" i="7"/>
  <c r="M380" i="7"/>
  <c r="M379" i="7"/>
  <c r="M378" i="7"/>
  <c r="M377" i="7"/>
  <c r="M376" i="7"/>
  <c r="M375" i="7"/>
  <c r="M374" i="7"/>
  <c r="M373" i="7"/>
  <c r="M372" i="7"/>
  <c r="M371" i="7"/>
  <c r="M370" i="7"/>
  <c r="M369" i="7"/>
  <c r="M368" i="7"/>
  <c r="M367" i="7"/>
  <c r="M366" i="7"/>
  <c r="M365" i="7"/>
  <c r="M364" i="7"/>
  <c r="M363" i="7"/>
  <c r="M362" i="7"/>
  <c r="M361" i="7"/>
  <c r="M360" i="7"/>
  <c r="M359" i="7"/>
  <c r="M358" i="7"/>
  <c r="M357" i="7"/>
  <c r="M356" i="7"/>
  <c r="M355" i="7"/>
  <c r="M354" i="7"/>
  <c r="M353" i="7"/>
  <c r="M352" i="7"/>
  <c r="M351" i="7"/>
  <c r="M350" i="7"/>
  <c r="M349" i="7"/>
  <c r="M348" i="7"/>
  <c r="M347" i="7"/>
  <c r="M346" i="7"/>
  <c r="M345" i="7"/>
  <c r="M344" i="7"/>
  <c r="M343" i="7"/>
  <c r="M342" i="7"/>
  <c r="M341" i="7"/>
  <c r="M340" i="7"/>
  <c r="M339" i="7"/>
  <c r="M338" i="7"/>
  <c r="M337" i="7"/>
  <c r="M336" i="7"/>
  <c r="M335" i="7"/>
  <c r="M334" i="7"/>
  <c r="M333" i="7"/>
  <c r="M332" i="7"/>
  <c r="M331" i="7"/>
  <c r="M330" i="7"/>
  <c r="M329" i="7"/>
  <c r="M328" i="7"/>
  <c r="M327" i="7"/>
  <c r="M326" i="7"/>
  <c r="M325" i="7"/>
  <c r="M324" i="7"/>
  <c r="M323" i="7"/>
  <c r="M322" i="7"/>
  <c r="M321" i="7"/>
  <c r="M320" i="7"/>
  <c r="M319" i="7"/>
  <c r="M318" i="7"/>
  <c r="M317" i="7"/>
  <c r="M316" i="7"/>
  <c r="M315" i="7"/>
  <c r="M314" i="7"/>
  <c r="M313" i="7"/>
  <c r="M312" i="7"/>
  <c r="M311" i="7"/>
  <c r="M310" i="7"/>
  <c r="M309" i="7"/>
  <c r="M308" i="7"/>
  <c r="M307" i="7"/>
  <c r="M306" i="7"/>
  <c r="M305" i="7"/>
  <c r="M304" i="7"/>
  <c r="M303" i="7"/>
  <c r="M302" i="7"/>
  <c r="M301" i="7"/>
  <c r="M300" i="7"/>
  <c r="M299" i="7"/>
  <c r="M298" i="7"/>
  <c r="M297" i="7"/>
  <c r="M296" i="7"/>
  <c r="M295" i="7"/>
  <c r="M294" i="7"/>
  <c r="M293" i="7"/>
  <c r="M292" i="7"/>
  <c r="M291" i="7"/>
  <c r="M290" i="7"/>
  <c r="M289" i="7"/>
  <c r="M288" i="7"/>
  <c r="M287" i="7"/>
  <c r="M286" i="7"/>
  <c r="M285" i="7"/>
  <c r="M284" i="7"/>
  <c r="M283" i="7"/>
  <c r="M282" i="7"/>
  <c r="M281" i="7"/>
  <c r="M280" i="7"/>
  <c r="M279" i="7"/>
  <c r="M278" i="7"/>
  <c r="M277" i="7"/>
  <c r="M276" i="7"/>
  <c r="M275" i="7"/>
  <c r="M274" i="7"/>
  <c r="M273" i="7"/>
  <c r="M272" i="7"/>
  <c r="M271" i="7"/>
  <c r="M270" i="7"/>
  <c r="M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M246" i="7"/>
  <c r="M245" i="7"/>
  <c r="M244" i="7"/>
  <c r="M243" i="7"/>
  <c r="M242" i="7"/>
  <c r="M241" i="7"/>
  <c r="M240" i="7"/>
  <c r="M239" i="7"/>
  <c r="M238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3" i="7"/>
  <c r="M212" i="7"/>
  <c r="M211" i="7"/>
  <c r="M210" i="7"/>
  <c r="M209" i="7"/>
  <c r="M208" i="7"/>
  <c r="M207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M2" i="7"/>
  <c r="M1572" i="4"/>
  <c r="M1571" i="4"/>
  <c r="M1570" i="4"/>
  <c r="M1569" i="4"/>
  <c r="M1568" i="4"/>
  <c r="M1567" i="4"/>
  <c r="M1566" i="4"/>
  <c r="M1565" i="4"/>
  <c r="M1564" i="4"/>
  <c r="M1563" i="4"/>
  <c r="M1562" i="4"/>
  <c r="M1561" i="4"/>
  <c r="M1560" i="4"/>
  <c r="M1559" i="4"/>
  <c r="M1558" i="4"/>
  <c r="M1557" i="4"/>
  <c r="M1556" i="4"/>
  <c r="M1555" i="4"/>
  <c r="M1554" i="4"/>
  <c r="M1553" i="4"/>
  <c r="M1552" i="4"/>
  <c r="M1551" i="4"/>
  <c r="M1550" i="4"/>
  <c r="M1549" i="4"/>
  <c r="M1548" i="4"/>
  <c r="M1547" i="4"/>
  <c r="M1546" i="4"/>
  <c r="M1545" i="4"/>
  <c r="M1544" i="4"/>
  <c r="M1543" i="4"/>
  <c r="M1542" i="4"/>
  <c r="M1541" i="4"/>
  <c r="M1540" i="4"/>
  <c r="M1539" i="4"/>
  <c r="M1538" i="4"/>
  <c r="M1537" i="4"/>
  <c r="M1536" i="4"/>
  <c r="M1535" i="4"/>
  <c r="M1534" i="4"/>
  <c r="M1533" i="4"/>
  <c r="M1532" i="4"/>
  <c r="M1531" i="4"/>
  <c r="M1530" i="4"/>
  <c r="M1529" i="4"/>
  <c r="M1528" i="4"/>
  <c r="M1527" i="4"/>
  <c r="M1526" i="4"/>
  <c r="M1525" i="4"/>
  <c r="M1524" i="4"/>
  <c r="M1523" i="4"/>
  <c r="M1522" i="4"/>
  <c r="M1521" i="4"/>
  <c r="M1520" i="4"/>
  <c r="M1519" i="4"/>
  <c r="M1518" i="4"/>
  <c r="M1517" i="4"/>
  <c r="M1516" i="4"/>
  <c r="M1515" i="4"/>
  <c r="M1514" i="4"/>
  <c r="M1513" i="4"/>
  <c r="M1512" i="4"/>
  <c r="M1511" i="4"/>
  <c r="M1510" i="4"/>
  <c r="M1509" i="4"/>
  <c r="M1508" i="4"/>
  <c r="M1507" i="4"/>
  <c r="M1506" i="4"/>
  <c r="M1505" i="4"/>
  <c r="M1504" i="4"/>
  <c r="M1503" i="4"/>
  <c r="M1502" i="4"/>
  <c r="M1501" i="4"/>
  <c r="M1500" i="4"/>
  <c r="M1499" i="4"/>
  <c r="M1498" i="4"/>
  <c r="M1497" i="4"/>
  <c r="M1496" i="4"/>
  <c r="M1495" i="4"/>
  <c r="M1494" i="4"/>
  <c r="M1493" i="4"/>
  <c r="M1492" i="4"/>
  <c r="M1491" i="4"/>
  <c r="M1490" i="4"/>
  <c r="M1489" i="4"/>
  <c r="M1488" i="4"/>
  <c r="M1487" i="4"/>
  <c r="M1486" i="4"/>
  <c r="M1485" i="4"/>
  <c r="M1484" i="4"/>
  <c r="M1483" i="4"/>
  <c r="M1482" i="4"/>
  <c r="M1481" i="4"/>
  <c r="M1480" i="4"/>
  <c r="M1479" i="4"/>
  <c r="M1478" i="4"/>
  <c r="M1477" i="4"/>
  <c r="M1476" i="4"/>
  <c r="M1475" i="4"/>
  <c r="M1474" i="4"/>
  <c r="M1473" i="4"/>
  <c r="M1472" i="4"/>
  <c r="M1471" i="4"/>
  <c r="M1470" i="4"/>
  <c r="M1469" i="4"/>
  <c r="M1468" i="4"/>
  <c r="M1467" i="4"/>
  <c r="M1466" i="4"/>
  <c r="M1465" i="4"/>
  <c r="M1464" i="4"/>
  <c r="M1463" i="4"/>
  <c r="M1462" i="4"/>
  <c r="M1461" i="4"/>
  <c r="M1460" i="4"/>
  <c r="M1459" i="4"/>
  <c r="M1458" i="4"/>
  <c r="M1457" i="4"/>
  <c r="M1456" i="4"/>
  <c r="M1455" i="4"/>
  <c r="M1454" i="4"/>
  <c r="M1453" i="4"/>
  <c r="M1452" i="4"/>
  <c r="M1451" i="4"/>
  <c r="M1450" i="4"/>
  <c r="M1449" i="4"/>
  <c r="M1448" i="4"/>
  <c r="M1447" i="4"/>
  <c r="M1446" i="4"/>
  <c r="M1445" i="4"/>
  <c r="M1444" i="4"/>
  <c r="M1443" i="4"/>
  <c r="M1442" i="4"/>
  <c r="M1441" i="4"/>
  <c r="M1440" i="4"/>
  <c r="M1439" i="4"/>
  <c r="M1438" i="4"/>
  <c r="M1437" i="4"/>
  <c r="M1436" i="4"/>
  <c r="M1435" i="4"/>
  <c r="M1434" i="4"/>
  <c r="M1433" i="4"/>
  <c r="M1432" i="4"/>
  <c r="M1431" i="4"/>
  <c r="M1430" i="4"/>
  <c r="M1429" i="4"/>
  <c r="M1428" i="4"/>
  <c r="M1427" i="4"/>
  <c r="M1426" i="4"/>
  <c r="M1425" i="4"/>
  <c r="M1424" i="4"/>
  <c r="M1423" i="4"/>
  <c r="M1422" i="4"/>
  <c r="M1421" i="4"/>
  <c r="M1420" i="4"/>
  <c r="M1419" i="4"/>
  <c r="M1418" i="4"/>
  <c r="M1417" i="4"/>
  <c r="M1416" i="4"/>
  <c r="M1415" i="4"/>
  <c r="M1414" i="4"/>
  <c r="M1413" i="4"/>
  <c r="M1412" i="4"/>
  <c r="M1411" i="4"/>
  <c r="M1410" i="4"/>
  <c r="M1409" i="4"/>
  <c r="M1408" i="4"/>
  <c r="M1407" i="4"/>
  <c r="M1406" i="4"/>
  <c r="M1405" i="4"/>
  <c r="M1404" i="4"/>
  <c r="M1403" i="4"/>
  <c r="M1402" i="4"/>
  <c r="M1401" i="4"/>
  <c r="M1400" i="4"/>
  <c r="M1399" i="4"/>
  <c r="M1398" i="4"/>
  <c r="M1397" i="4"/>
  <c r="M1396" i="4"/>
  <c r="M1395" i="4"/>
  <c r="M1394" i="4"/>
  <c r="M1393" i="4"/>
  <c r="M1392" i="4"/>
  <c r="M1391" i="4"/>
  <c r="M1390" i="4"/>
  <c r="M1389" i="4"/>
  <c r="M1388" i="4"/>
  <c r="M1387" i="4"/>
  <c r="M1386" i="4"/>
  <c r="M1385" i="4"/>
  <c r="M1384" i="4"/>
  <c r="M1383" i="4"/>
  <c r="M1382" i="4"/>
  <c r="M1381" i="4"/>
  <c r="M1380" i="4"/>
  <c r="M1379" i="4"/>
  <c r="M1378" i="4"/>
  <c r="M1377" i="4"/>
  <c r="M1376" i="4"/>
  <c r="M1375" i="4"/>
  <c r="M1374" i="4"/>
  <c r="M1373" i="4"/>
  <c r="M1372" i="4"/>
  <c r="M1371" i="4"/>
  <c r="M1370" i="4"/>
  <c r="M1369" i="4"/>
  <c r="M1368" i="4"/>
  <c r="M1367" i="4"/>
  <c r="M1366" i="4"/>
  <c r="M1365" i="4"/>
  <c r="M1364" i="4"/>
  <c r="M1363" i="4"/>
  <c r="M1362" i="4"/>
  <c r="M1361" i="4"/>
  <c r="M1360" i="4"/>
  <c r="M1359" i="4"/>
  <c r="M1358" i="4"/>
  <c r="M1357" i="4"/>
  <c r="M1356" i="4"/>
  <c r="M1355" i="4"/>
  <c r="M1354" i="4"/>
  <c r="M1353" i="4"/>
  <c r="M1352" i="4"/>
  <c r="M1351" i="4"/>
  <c r="M1350" i="4"/>
  <c r="M1349" i="4"/>
  <c r="M1348" i="4"/>
  <c r="M1347" i="4"/>
  <c r="M1346" i="4"/>
  <c r="M1345" i="4"/>
  <c r="M1344" i="4"/>
  <c r="M1343" i="4"/>
  <c r="M1342" i="4"/>
  <c r="M1341" i="4"/>
  <c r="M1340" i="4"/>
  <c r="M1339" i="4"/>
  <c r="M1338" i="4"/>
  <c r="M1337" i="4"/>
  <c r="M1336" i="4"/>
  <c r="M1335" i="4"/>
  <c r="M1334" i="4"/>
  <c r="M1333" i="4"/>
  <c r="M1332" i="4"/>
  <c r="M1331" i="4"/>
  <c r="M1330" i="4"/>
  <c r="M1329" i="4"/>
  <c r="M1328" i="4"/>
  <c r="M1327" i="4"/>
  <c r="M1326" i="4"/>
  <c r="M1325" i="4"/>
  <c r="M1324" i="4"/>
  <c r="M1323" i="4"/>
  <c r="M1322" i="4"/>
  <c r="M1321" i="4"/>
  <c r="M1320" i="4"/>
  <c r="M1319" i="4"/>
  <c r="M1318" i="4"/>
  <c r="M1317" i="4"/>
  <c r="M1316" i="4"/>
  <c r="M1315" i="4"/>
  <c r="M1314" i="4"/>
  <c r="M1313" i="4"/>
  <c r="M1312" i="4"/>
  <c r="M1311" i="4"/>
  <c r="M1310" i="4"/>
  <c r="M1309" i="4"/>
  <c r="M1308" i="4"/>
  <c r="M1307" i="4"/>
  <c r="M1306" i="4"/>
  <c r="M1305" i="4"/>
  <c r="M1304" i="4"/>
  <c r="M1303" i="4"/>
  <c r="M1302" i="4"/>
  <c r="M1301" i="4"/>
  <c r="M1300" i="4"/>
  <c r="M1299" i="4"/>
  <c r="M1298" i="4"/>
  <c r="M1297" i="4"/>
  <c r="M1296" i="4"/>
  <c r="M1295" i="4"/>
  <c r="M1294" i="4"/>
  <c r="M1293" i="4"/>
  <c r="M1292" i="4"/>
  <c r="M1291" i="4"/>
  <c r="M1290" i="4"/>
  <c r="M1289" i="4"/>
  <c r="M1288" i="4"/>
  <c r="M1287" i="4"/>
  <c r="M1286" i="4"/>
  <c r="M1285" i="4"/>
  <c r="M1284" i="4"/>
  <c r="M1283" i="4"/>
  <c r="M1282" i="4"/>
  <c r="M1281" i="4"/>
  <c r="M1280" i="4"/>
  <c r="M1279" i="4"/>
  <c r="M1278" i="4"/>
  <c r="M1277" i="4"/>
  <c r="M1276" i="4"/>
  <c r="M1275" i="4"/>
  <c r="M1274" i="4"/>
  <c r="M1273" i="4"/>
  <c r="M1272" i="4"/>
  <c r="M1271" i="4"/>
  <c r="M1270" i="4"/>
  <c r="M1269" i="4"/>
  <c r="M1268" i="4"/>
  <c r="M1267" i="4"/>
  <c r="M1266" i="4"/>
  <c r="M1265" i="4"/>
  <c r="M1264" i="4"/>
  <c r="M1263" i="4"/>
  <c r="M1262" i="4"/>
  <c r="M1261" i="4"/>
  <c r="M1260" i="4"/>
  <c r="M1259" i="4"/>
  <c r="M1258" i="4"/>
  <c r="M1257" i="4"/>
  <c r="M1256" i="4"/>
  <c r="M1255" i="4"/>
  <c r="M1254" i="4"/>
  <c r="M1253" i="4"/>
  <c r="M1252" i="4"/>
  <c r="M1251" i="4"/>
  <c r="M1250" i="4"/>
  <c r="M1249" i="4"/>
  <c r="M1248" i="4"/>
  <c r="M1247" i="4"/>
  <c r="M1246" i="4"/>
  <c r="M1245" i="4"/>
  <c r="M1244" i="4"/>
  <c r="M1243" i="4"/>
  <c r="M1242" i="4"/>
  <c r="M1241" i="4"/>
  <c r="M1240" i="4"/>
  <c r="M1239" i="4"/>
  <c r="M1238" i="4"/>
  <c r="M1237" i="4"/>
  <c r="M1236" i="4"/>
  <c r="M1235" i="4"/>
  <c r="M1234" i="4"/>
  <c r="M1233" i="4"/>
  <c r="M1232" i="4"/>
  <c r="M1231" i="4"/>
  <c r="M1230" i="4"/>
  <c r="M1229" i="4"/>
  <c r="M1228" i="4"/>
  <c r="M1227" i="4"/>
  <c r="M1226" i="4"/>
  <c r="M1225" i="4"/>
  <c r="M1224" i="4"/>
  <c r="M1223" i="4"/>
  <c r="M1222" i="4"/>
  <c r="M1221" i="4"/>
  <c r="M1220" i="4"/>
  <c r="M1219" i="4"/>
  <c r="M1218" i="4"/>
  <c r="M1217" i="4"/>
  <c r="M1216" i="4"/>
  <c r="M1215" i="4"/>
  <c r="M1214" i="4"/>
  <c r="M1213" i="4"/>
  <c r="M1212" i="4"/>
  <c r="M1211" i="4"/>
  <c r="M1210" i="4"/>
  <c r="M1209" i="4"/>
  <c r="M1208" i="4"/>
  <c r="M1207" i="4"/>
  <c r="M1206" i="4"/>
  <c r="M1205" i="4"/>
  <c r="M1204" i="4"/>
  <c r="M1203" i="4"/>
  <c r="M1202" i="4"/>
  <c r="M1201" i="4"/>
  <c r="M1200" i="4"/>
  <c r="M1199" i="4"/>
  <c r="M1198" i="4"/>
  <c r="M1197" i="4"/>
  <c r="M1196" i="4"/>
  <c r="M1195" i="4"/>
  <c r="M1194" i="4"/>
  <c r="M1193" i="4"/>
  <c r="M1192" i="4"/>
  <c r="M1191" i="4"/>
  <c r="M1190" i="4"/>
  <c r="M1189" i="4"/>
  <c r="M1188" i="4"/>
  <c r="M1187" i="4"/>
  <c r="M1186" i="4"/>
  <c r="M1185" i="4"/>
  <c r="M1184" i="4"/>
  <c r="M1183" i="4"/>
  <c r="M1182" i="4"/>
  <c r="M1181" i="4"/>
  <c r="M1180" i="4"/>
  <c r="M1179" i="4"/>
  <c r="M1178" i="4"/>
  <c r="M1177" i="4"/>
  <c r="M1176" i="4"/>
  <c r="M1175" i="4"/>
  <c r="M1174" i="4"/>
  <c r="M1173" i="4"/>
  <c r="M1172" i="4"/>
  <c r="M1171" i="4"/>
  <c r="M1170" i="4"/>
  <c r="M1169" i="4"/>
  <c r="M1168" i="4"/>
  <c r="M1167" i="4"/>
  <c r="M1166" i="4"/>
  <c r="M1165" i="4"/>
  <c r="M1164" i="4"/>
  <c r="M1163" i="4"/>
  <c r="M1162" i="4"/>
  <c r="M1161" i="4"/>
  <c r="M1160" i="4"/>
  <c r="M1159" i="4"/>
  <c r="M1158" i="4"/>
  <c r="M1157" i="4"/>
  <c r="M1156" i="4"/>
  <c r="M1155" i="4"/>
  <c r="M1154" i="4"/>
  <c r="M1153" i="4"/>
  <c r="M1152" i="4"/>
  <c r="M1151" i="4"/>
  <c r="M1150" i="4"/>
  <c r="M1149" i="4"/>
  <c r="M1148" i="4"/>
  <c r="M1147" i="4"/>
  <c r="M1146" i="4"/>
  <c r="M1145" i="4"/>
  <c r="M1144" i="4"/>
  <c r="M1143" i="4"/>
  <c r="M1142" i="4"/>
  <c r="M1141" i="4"/>
  <c r="M1140" i="4"/>
  <c r="M1139" i="4"/>
  <c r="M1138" i="4"/>
  <c r="M1137" i="4"/>
  <c r="M1136" i="4"/>
  <c r="M1135" i="4"/>
  <c r="M1134" i="4"/>
  <c r="M1133" i="4"/>
  <c r="M1132" i="4"/>
  <c r="M1131" i="4"/>
  <c r="M1130" i="4"/>
  <c r="M1129" i="4"/>
  <c r="M1128" i="4"/>
  <c r="M1127" i="4"/>
  <c r="M1126" i="4"/>
  <c r="M1125" i="4"/>
  <c r="M1124" i="4"/>
  <c r="M1123" i="4"/>
  <c r="M1122" i="4"/>
  <c r="M1121" i="4"/>
  <c r="M1120" i="4"/>
  <c r="M1119" i="4"/>
  <c r="M1118" i="4"/>
  <c r="M1117" i="4"/>
  <c r="M1116" i="4"/>
  <c r="M1115" i="4"/>
  <c r="M1114" i="4"/>
  <c r="M1113" i="4"/>
  <c r="M1112" i="4"/>
  <c r="M1111" i="4"/>
  <c r="M1110" i="4"/>
  <c r="M1109" i="4"/>
  <c r="M1108" i="4"/>
  <c r="M1107" i="4"/>
  <c r="M1106" i="4"/>
  <c r="M1105" i="4"/>
  <c r="M1104" i="4"/>
  <c r="M1103" i="4"/>
  <c r="M1102" i="4"/>
  <c r="M1101" i="4"/>
  <c r="M1100" i="4"/>
  <c r="M1099" i="4"/>
  <c r="M1098" i="4"/>
  <c r="M1097" i="4"/>
  <c r="M1096" i="4"/>
  <c r="M1095" i="4"/>
  <c r="M1094" i="4"/>
  <c r="M1093" i="4"/>
  <c r="M1092" i="4"/>
  <c r="M1091" i="4"/>
  <c r="M1090" i="4"/>
  <c r="M1089" i="4"/>
  <c r="M1088" i="4"/>
  <c r="M1087" i="4"/>
  <c r="M1086" i="4"/>
  <c r="M1085" i="4"/>
  <c r="M1084" i="4"/>
  <c r="M1083" i="4"/>
  <c r="M1082" i="4"/>
  <c r="M1081" i="4"/>
  <c r="M1080" i="4"/>
  <c r="M1079" i="4"/>
  <c r="M1078" i="4"/>
  <c r="M1077" i="4"/>
  <c r="M1076" i="4"/>
  <c r="M1075" i="4"/>
  <c r="M1074" i="4"/>
  <c r="M1073" i="4"/>
  <c r="M1072" i="4"/>
  <c r="M1071" i="4"/>
  <c r="M1070" i="4"/>
  <c r="M1069" i="4"/>
  <c r="M1068" i="4"/>
  <c r="M1067" i="4"/>
  <c r="M1066" i="4"/>
  <c r="M1065" i="4"/>
  <c r="M1064" i="4"/>
  <c r="M1063" i="4"/>
  <c r="M1062" i="4"/>
  <c r="M1061" i="4"/>
  <c r="M1060" i="4"/>
  <c r="M1059" i="4"/>
  <c r="M1058" i="4"/>
  <c r="M1057" i="4"/>
  <c r="M1056" i="4"/>
  <c r="M1055" i="4"/>
  <c r="M1054" i="4"/>
  <c r="M1053" i="4"/>
  <c r="M1052" i="4"/>
  <c r="M1051" i="4"/>
  <c r="M1050" i="4"/>
  <c r="M1049" i="4"/>
  <c r="M1048" i="4"/>
  <c r="M1047" i="4"/>
  <c r="M1046" i="4"/>
  <c r="M1045" i="4"/>
  <c r="M1044" i="4"/>
  <c r="M1043" i="4"/>
  <c r="M1042" i="4"/>
  <c r="M1041" i="4"/>
  <c r="M1040" i="4"/>
  <c r="M1039" i="4"/>
  <c r="M1038" i="4"/>
  <c r="M1037" i="4"/>
  <c r="M1036" i="4"/>
  <c r="M1035" i="4"/>
  <c r="M1034" i="4"/>
  <c r="M1033" i="4"/>
  <c r="M1032" i="4"/>
  <c r="M1031" i="4"/>
  <c r="M1030" i="4"/>
  <c r="M1029" i="4"/>
  <c r="M1028" i="4"/>
  <c r="M1027" i="4"/>
  <c r="M1026" i="4"/>
  <c r="M1025" i="4"/>
  <c r="M1024" i="4"/>
  <c r="M1023" i="4"/>
  <c r="M1022" i="4"/>
  <c r="M1021" i="4"/>
  <c r="M1020" i="4"/>
  <c r="M1019" i="4"/>
  <c r="M1018" i="4"/>
  <c r="M1017" i="4"/>
  <c r="M1016" i="4"/>
  <c r="M1015" i="4"/>
  <c r="M1014" i="4"/>
  <c r="M1013" i="4"/>
  <c r="M1012" i="4"/>
  <c r="M1011" i="4"/>
  <c r="M1010" i="4"/>
  <c r="M1009" i="4"/>
  <c r="M1008" i="4"/>
  <c r="M1007" i="4"/>
  <c r="M1006" i="4"/>
  <c r="M1005" i="4"/>
  <c r="M1004" i="4"/>
  <c r="M1003" i="4"/>
  <c r="M1002" i="4"/>
  <c r="M1001" i="4"/>
  <c r="M1000" i="4"/>
  <c r="M999" i="4"/>
  <c r="M998" i="4"/>
  <c r="M997" i="4"/>
  <c r="M996" i="4"/>
  <c r="M995" i="4"/>
  <c r="M994" i="4"/>
  <c r="M993" i="4"/>
  <c r="M992" i="4"/>
  <c r="M991" i="4"/>
  <c r="M990" i="4"/>
  <c r="M989" i="4"/>
  <c r="M988" i="4"/>
  <c r="M987" i="4"/>
  <c r="M986" i="4"/>
  <c r="M985" i="4"/>
  <c r="M984" i="4"/>
  <c r="M983" i="4"/>
  <c r="M982" i="4"/>
  <c r="M981" i="4"/>
  <c r="M980" i="4"/>
  <c r="M979" i="4"/>
  <c r="M978" i="4"/>
  <c r="M977" i="4"/>
  <c r="M976" i="4"/>
  <c r="M975" i="4"/>
  <c r="M974" i="4"/>
  <c r="M973" i="4"/>
  <c r="M972" i="4"/>
  <c r="M971" i="4"/>
  <c r="M970" i="4"/>
  <c r="M969" i="4"/>
  <c r="M968" i="4"/>
  <c r="M967" i="4"/>
  <c r="M966" i="4"/>
  <c r="M965" i="4"/>
  <c r="M964" i="4"/>
  <c r="M963" i="4"/>
  <c r="M962" i="4"/>
  <c r="M961" i="4"/>
  <c r="M960" i="4"/>
  <c r="M959" i="4"/>
  <c r="M958" i="4"/>
  <c r="M957" i="4"/>
  <c r="M956" i="4"/>
  <c r="M955" i="4"/>
  <c r="M954" i="4"/>
  <c r="M953" i="4"/>
  <c r="M952" i="4"/>
  <c r="M951" i="4"/>
  <c r="M950" i="4"/>
  <c r="M949" i="4"/>
  <c r="M948" i="4"/>
  <c r="M947" i="4"/>
  <c r="M946" i="4"/>
  <c r="M945" i="4"/>
  <c r="M944" i="4"/>
  <c r="M943" i="4"/>
  <c r="M942" i="4"/>
  <c r="M941" i="4"/>
  <c r="M940" i="4"/>
  <c r="M939" i="4"/>
  <c r="M938" i="4"/>
  <c r="M937" i="4"/>
  <c r="M936" i="4"/>
  <c r="M935" i="4"/>
  <c r="M934" i="4"/>
  <c r="M933" i="4"/>
  <c r="M932" i="4"/>
  <c r="M931" i="4"/>
  <c r="M930" i="4"/>
  <c r="M929" i="4"/>
  <c r="M928" i="4"/>
  <c r="M927" i="4"/>
  <c r="M926" i="4"/>
  <c r="M925" i="4"/>
  <c r="M924" i="4"/>
  <c r="M923" i="4"/>
  <c r="M922" i="4"/>
  <c r="M921" i="4"/>
  <c r="M920" i="4"/>
  <c r="M919" i="4"/>
  <c r="M918" i="4"/>
  <c r="M917" i="4"/>
  <c r="M916" i="4"/>
  <c r="M915" i="4"/>
  <c r="M914" i="4"/>
  <c r="M913" i="4"/>
  <c r="M912" i="4"/>
  <c r="M911" i="4"/>
  <c r="M910" i="4"/>
  <c r="M909" i="4"/>
  <c r="M908" i="4"/>
  <c r="M907" i="4"/>
  <c r="M906" i="4"/>
  <c r="M905" i="4"/>
  <c r="M904" i="4"/>
  <c r="M903" i="4"/>
  <c r="M902" i="4"/>
  <c r="M901" i="4"/>
  <c r="M900" i="4"/>
  <c r="M899" i="4"/>
  <c r="M898" i="4"/>
  <c r="M897" i="4"/>
  <c r="M896" i="4"/>
  <c r="M895" i="4"/>
  <c r="M894" i="4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D6" i="1" s="1"/>
  <c r="D15" i="1"/>
  <c r="C15" i="1"/>
  <c r="D14" i="1"/>
  <c r="C14" i="1"/>
  <c r="D13" i="1"/>
  <c r="C13" i="1"/>
  <c r="D12" i="1"/>
  <c r="C12" i="1"/>
  <c r="B12" i="1"/>
  <c r="D11" i="1"/>
  <c r="C11" i="1"/>
  <c r="B11" i="1"/>
  <c r="D5" i="1"/>
  <c r="C5" i="1"/>
  <c r="D4" i="1"/>
  <c r="C4" i="1"/>
  <c r="C6" i="1" l="1"/>
</calcChain>
</file>

<file path=xl/sharedStrings.xml><?xml version="1.0" encoding="utf-8"?>
<sst xmlns="http://schemas.openxmlformats.org/spreadsheetml/2006/main" count="29084" uniqueCount="1820">
  <si>
    <t>State</t>
  </si>
  <si>
    <t>Number</t>
  </si>
  <si>
    <t>Total 2024 Disconnections</t>
  </si>
  <si>
    <t>Average 2024 Disconnection Rate</t>
  </si>
  <si>
    <t>Total Number of Customers</t>
  </si>
  <si>
    <t>Average Shutoff Rate</t>
  </si>
  <si>
    <t>NE</t>
  </si>
  <si>
    <t>Median Shutoff Rate</t>
  </si>
  <si>
    <t>Investor-owned utilities</t>
  </si>
  <si>
    <t>N/A (No Investor-Owned Utilities)</t>
  </si>
  <si>
    <t>OK</t>
  </si>
  <si>
    <t>Public Power (municipal utilities + electric co-operatives)</t>
  </si>
  <si>
    <t>TX</t>
  </si>
  <si>
    <t>LA</t>
  </si>
  <si>
    <t>AL</t>
  </si>
  <si>
    <t>Ownership</t>
  </si>
  <si>
    <t>FL</t>
  </si>
  <si>
    <t>Utility</t>
  </si>
  <si>
    <t>Holding Company</t>
  </si>
  <si>
    <t>MS</t>
  </si>
  <si>
    <t>Number of Customers</t>
  </si>
  <si>
    <t>2024 Disconnection Rate</t>
  </si>
  <si>
    <t>NV</t>
  </si>
  <si>
    <t>state</t>
  </si>
  <si>
    <t>Ranking (by Disconnection Rate)</t>
  </si>
  <si>
    <t>VA</t>
  </si>
  <si>
    <t>AR</t>
  </si>
  <si>
    <t>WV</t>
  </si>
  <si>
    <t>utility_name</t>
  </si>
  <si>
    <t>TN</t>
  </si>
  <si>
    <t>energy_type</t>
  </si>
  <si>
    <t>year</t>
  </si>
  <si>
    <t>SC</t>
  </si>
  <si>
    <t>ownership</t>
  </si>
  <si>
    <t>MN</t>
  </si>
  <si>
    <t>ownership_source</t>
  </si>
  <si>
    <t>GA</t>
  </si>
  <si>
    <t>Investor Owned</t>
  </si>
  <si>
    <t>parent</t>
  </si>
  <si>
    <t>Northwestern Wisconsin Elec Co</t>
  </si>
  <si>
    <t>DE</t>
  </si>
  <si>
    <t>customer_count</t>
  </si>
  <si>
    <t>IN</t>
  </si>
  <si>
    <t>NY</t>
  </si>
  <si>
    <t>shutoffs</t>
  </si>
  <si>
    <t>CT</t>
  </si>
  <si>
    <t>reconnections</t>
  </si>
  <si>
    <t>Fishers Island Utility Co Inc</t>
  </si>
  <si>
    <t>Fishers Island Utility Company</t>
  </si>
  <si>
    <t>MI</t>
  </si>
  <si>
    <t>final_notices</t>
  </si>
  <si>
    <t>shutoff_rate</t>
  </si>
  <si>
    <t>MO</t>
  </si>
  <si>
    <t>IA</t>
  </si>
  <si>
    <t>shutoff_rate_perc</t>
  </si>
  <si>
    <t>KS</t>
  </si>
  <si>
    <t>reconnection_rate</t>
  </si>
  <si>
    <t>final_notice_rate</t>
  </si>
  <si>
    <t>KY</t>
  </si>
  <si>
    <t>shutoff_rate_national_percentile</t>
  </si>
  <si>
    <t>shutoff_rate_state_percentile</t>
  </si>
  <si>
    <t>shutoff_rate_ownership_percentile</t>
  </si>
  <si>
    <t>OH</t>
  </si>
  <si>
    <t>bad_data_flag</t>
  </si>
  <si>
    <t>data_quality_note</t>
  </si>
  <si>
    <t>NM</t>
  </si>
  <si>
    <t>Amana Society Service Co</t>
  </si>
  <si>
    <t>OR</t>
  </si>
  <si>
    <t>Amana Society, Inc.</t>
  </si>
  <si>
    <t>ME</t>
  </si>
  <si>
    <t>Top 10 investor-owned utilities</t>
  </si>
  <si>
    <t>HI</t>
  </si>
  <si>
    <t>AK</t>
  </si>
  <si>
    <t>Maui Electric Co LTD</t>
  </si>
  <si>
    <t>Hawaiian Electric Industries</t>
  </si>
  <si>
    <t>South Kentucky Rural E C C</t>
  </si>
  <si>
    <t>electric</t>
  </si>
  <si>
    <t>IL</t>
  </si>
  <si>
    <t>Central Hudson Gas &amp; Elec Corp</t>
  </si>
  <si>
    <t>Fortis Inc.</t>
  </si>
  <si>
    <t>ID</t>
  </si>
  <si>
    <t>Cooperative</t>
  </si>
  <si>
    <t>WI</t>
  </si>
  <si>
    <t>eia_861</t>
  </si>
  <si>
    <t>NA</t>
  </si>
  <si>
    <t>North Central Power Co Inc</t>
  </si>
  <si>
    <t>NC</t>
  </si>
  <si>
    <t>Empire District Electric Co</t>
  </si>
  <si>
    <t>VT</t>
  </si>
  <si>
    <t>Algonquin Power &amp; Utilities Corp.</t>
  </si>
  <si>
    <t>Top 10 Public Power</t>
  </si>
  <si>
    <t>ND</t>
  </si>
  <si>
    <t>MA</t>
  </si>
  <si>
    <t>Nantucket Electric Co</t>
  </si>
  <si>
    <t>National Grid</t>
  </si>
  <si>
    <t>NH</t>
  </si>
  <si>
    <t>PA</t>
  </si>
  <si>
    <t>Consolidated Edison Co-Ny Inc</t>
  </si>
  <si>
    <t>MD</t>
  </si>
  <si>
    <t>Consolidated Edison</t>
  </si>
  <si>
    <t>NJ</t>
  </si>
  <si>
    <t>AZ</t>
  </si>
  <si>
    <t>Morenci Water And Electric</t>
  </si>
  <si>
    <t>CA</t>
  </si>
  <si>
    <t>CO</t>
  </si>
  <si>
    <t>Dahlberg Light &amp; Power Co</t>
  </si>
  <si>
    <t>Municipal Utilities</t>
  </si>
  <si>
    <t>Citizens Electric Co - (PA)</t>
  </si>
  <si>
    <t>C&amp;T Enterprises, Inc</t>
  </si>
  <si>
    <t>SD</t>
  </si>
  <si>
    <t>WA</t>
  </si>
  <si>
    <t>Puget Sound Energy Inc</t>
  </si>
  <si>
    <t>WY</t>
  </si>
  <si>
    <t>Puget Holdings LLC</t>
  </si>
  <si>
    <t>Jackson County Rural E M C - (IN)</t>
  </si>
  <si>
    <t>MT</t>
  </si>
  <si>
    <t>RI</t>
  </si>
  <si>
    <t>Wellsborough Electric Co</t>
  </si>
  <si>
    <t>UT</t>
  </si>
  <si>
    <t>Northern Indiana Pub Serv Co</t>
  </si>
  <si>
    <t>NiSource</t>
  </si>
  <si>
    <t>City of Camilla</t>
  </si>
  <si>
    <t>Pacificorp</t>
  </si>
  <si>
    <t>Berkshire Hathaway Energy</t>
  </si>
  <si>
    <t>Municipal</t>
  </si>
  <si>
    <t>eep_determined</t>
  </si>
  <si>
    <t>Electric Co-operatives</t>
  </si>
  <si>
    <t>South Central Ark El Coop, Inc</t>
  </si>
  <si>
    <t>Jersey Central Power &amp; Lt Co</t>
  </si>
  <si>
    <t>FirstEnergy</t>
  </si>
  <si>
    <t>Rochester Gas &amp; Electric Corp</t>
  </si>
  <si>
    <t>Avangrid</t>
  </si>
  <si>
    <t>Sylacauga Utilities Board</t>
  </si>
  <si>
    <t>Montana-Dakota Utilities Co</t>
  </si>
  <si>
    <t>MDU Resources Group</t>
  </si>
  <si>
    <t>Top 10 Investor-owned Utilities</t>
  </si>
  <si>
    <t>Alpena Power Co</t>
  </si>
  <si>
    <t>Kentucky Utilities Co</t>
  </si>
  <si>
    <t>PPL Corporation</t>
  </si>
  <si>
    <t>City of Orangeburg - (SC)</t>
  </si>
  <si>
    <t>The Narragansett Electric Co</t>
  </si>
  <si>
    <t>Black Hills Power, Inc.</t>
  </si>
  <si>
    <t>Black Hills Corporation</t>
  </si>
  <si>
    <t>Top 10 Municipal Utilities</t>
  </si>
  <si>
    <t>NorthWestern Energy LLC - (MT)</t>
  </si>
  <si>
    <t>NorthWestern Energy</t>
  </si>
  <si>
    <t>Lumbee River Elec Member Corp</t>
  </si>
  <si>
    <t>Florida Public Utilities Co</t>
  </si>
  <si>
    <t>Chesapeake Utilities Corporation</t>
  </si>
  <si>
    <t>Top 10 Electric-Cooperatives</t>
  </si>
  <si>
    <t>City Of Ocala</t>
  </si>
  <si>
    <t>Public Service Co of NM</t>
  </si>
  <si>
    <t>TXNM Energy</t>
  </si>
  <si>
    <t>Madison Gas &amp; Electric Co</t>
  </si>
  <si>
    <t>MGE Energy</t>
  </si>
  <si>
    <t>Southern California Edison Co</t>
  </si>
  <si>
    <t>Edison International</t>
  </si>
  <si>
    <t>City of Newberry - (SC)</t>
  </si>
  <si>
    <t>Cheyenne Light Fuel &amp; Power</t>
  </si>
  <si>
    <t>Small municipal utilities (&lt; 100,000 customers)</t>
  </si>
  <si>
    <t>Small Electric Co-operatives</t>
  </si>
  <si>
    <t>Large munis</t>
  </si>
  <si>
    <t>Large co-ops</t>
  </si>
  <si>
    <t>Black Hills Colorado Electric, Llc</t>
  </si>
  <si>
    <t>Intercounty Electric Coop Assn - (MO)</t>
  </si>
  <si>
    <t>Massachusetts Electric Co</t>
  </si>
  <si>
    <t>The Potomac Edison Company</t>
  </si>
  <si>
    <t>Unitil Energy Systems</t>
  </si>
  <si>
    <t>Unitil Corporation</t>
  </si>
  <si>
    <t>City Of Chattanooga - (TN)</t>
  </si>
  <si>
    <t>Otter Tail Power Co</t>
  </si>
  <si>
    <t>Otter Tail Corporation</t>
  </si>
  <si>
    <t>Potomac Electric Power Co</t>
  </si>
  <si>
    <t>Exelon</t>
  </si>
  <si>
    <t>Newnan Wtr, Sewer &amp; Light Comm</t>
  </si>
  <si>
    <t>MidAmerican Energy Co</t>
  </si>
  <si>
    <t>Uns Electric, Inc</t>
  </si>
  <si>
    <t>City of Evansville</t>
  </si>
  <si>
    <t>Connecticut Light &amp; Power Co</t>
  </si>
  <si>
    <t>Eversource</t>
  </si>
  <si>
    <t>ALLETE, Inc.</t>
  </si>
  <si>
    <t>Canada Pension Plan Investment Board (CPP Investments) and Global Infrastructure Partners (Blackrock)</t>
  </si>
  <si>
    <t>Avista Corp</t>
  </si>
  <si>
    <t>Avista Corporation</t>
  </si>
  <si>
    <t>City of Farmington - (NM)</t>
  </si>
  <si>
    <t>Commonwealth Edison Co</t>
  </si>
  <si>
    <t>UGI Utilities, INC</t>
  </si>
  <si>
    <t>UGI Corporation</t>
  </si>
  <si>
    <t>San Diego Gas &amp; Electric Co</t>
  </si>
  <si>
    <t>Sempra Energy</t>
  </si>
  <si>
    <t>Brazoria City of - TX</t>
  </si>
  <si>
    <t>gas</t>
  </si>
  <si>
    <t>Virginia Electric &amp; Power Co</t>
  </si>
  <si>
    <t>Dominion Energy</t>
  </si>
  <si>
    <t>Atlantic City Electric Co</t>
  </si>
  <si>
    <t>City of Ruston - (LA)</t>
  </si>
  <si>
    <t>The Toledo Edison Co</t>
  </si>
  <si>
    <t>Northern States Power Co</t>
  </si>
  <si>
    <t>Xcel Energy</t>
  </si>
  <si>
    <t>Pike County Light &amp; Power Co</t>
  </si>
  <si>
    <t>Corning Energy Corporation</t>
  </si>
  <si>
    <t>City of Gaffney - (SC)</t>
  </si>
  <si>
    <t>Upper Michigan Energy Resources Corp.</t>
  </si>
  <si>
    <t>WEC Energy</t>
  </si>
  <si>
    <t>Sylvia Town of - KS</t>
  </si>
  <si>
    <t>Lynches River Elec Coop, Inc</t>
  </si>
  <si>
    <t>Dayton Power &amp; Light Co</t>
  </si>
  <si>
    <t>AES</t>
  </si>
  <si>
    <t>Public Service Co of Colorado</t>
  </si>
  <si>
    <t>Wisconsin Power &amp; Light Co</t>
  </si>
  <si>
    <t>Alliant Energy</t>
  </si>
  <si>
    <t>Midwest Energy Cooperative - (MI)</t>
  </si>
  <si>
    <t>Tucson Electric Power Co</t>
  </si>
  <si>
    <t>City of Huntsville - (AL)</t>
  </si>
  <si>
    <t>Public Service Co of NH</t>
  </si>
  <si>
    <t>Versant Power</t>
  </si>
  <si>
    <t>ENMAX Corporation</t>
  </si>
  <si>
    <t>Cleveland Electric Illum Co</t>
  </si>
  <si>
    <t>Clarksville Gas Dept - TN</t>
  </si>
  <si>
    <t>NorthWestern Energy - (SD)</t>
  </si>
  <si>
    <t>Niagara Mohawk Power Corp.</t>
  </si>
  <si>
    <t>North Central Elec Coop, Inc - (ND)</t>
  </si>
  <si>
    <t>NSTAR Electric Company</t>
  </si>
  <si>
    <t>Arizona Public Service Co</t>
  </si>
  <si>
    <t>Pinnacle West Capital</t>
  </si>
  <si>
    <t>Kentucky Power Co</t>
  </si>
  <si>
    <t>American Electric Power</t>
  </si>
  <si>
    <t>City of Memphis - (TN)</t>
  </si>
  <si>
    <t>Wisconsin Public Service Corp</t>
  </si>
  <si>
    <t>Green Mountain Power Corp</t>
  </si>
  <si>
    <t>Énergir</t>
  </si>
  <si>
    <t>City Of Moreno Valley - (CA)</t>
  </si>
  <si>
    <t>Hawaiian Electric Co Inc</t>
  </si>
  <si>
    <t>Monongahela Power Co</t>
  </si>
  <si>
    <t>City Of Covington - (GA)</t>
  </si>
  <si>
    <t>Baltimore Gas &amp; Electric Co</t>
  </si>
  <si>
    <t>Exelon Energy</t>
  </si>
  <si>
    <t>Superior Water and Light Co</t>
  </si>
  <si>
    <t>City Of Kansas City - KS</t>
  </si>
  <si>
    <t>New York State Elec &amp; Gas Corp</t>
  </si>
  <si>
    <t>Mt Carmel Public Utility Co</t>
  </si>
  <si>
    <t>Mt. Carmel Public Utility Company</t>
  </si>
  <si>
    <t>City of Newbern</t>
  </si>
  <si>
    <t>Duke Energy Progress - NC</t>
  </si>
  <si>
    <t>Duke Energy</t>
  </si>
  <si>
    <t>Pacific Gas &amp; Electric Co.</t>
  </si>
  <si>
    <t>PG&amp;E Corporation</t>
  </si>
  <si>
    <t>Alaska Power And Telephone Co</t>
  </si>
  <si>
    <t>Newbern Gas Dept - TN</t>
  </si>
  <si>
    <t>Delmarva Power</t>
  </si>
  <si>
    <t>Northern States Power Co - Minnesota</t>
  </si>
  <si>
    <t>Portland General Electric Co</t>
  </si>
  <si>
    <t>Portland General Corporation</t>
  </si>
  <si>
    <t>Hawaii Electric Light Co Inc</t>
  </si>
  <si>
    <t>Alaska Electric Light &amp; Power Co.</t>
  </si>
  <si>
    <t>PECO Energy Co</t>
  </si>
  <si>
    <t>Gila River Indian Utility Authority Gricua</t>
  </si>
  <si>
    <t>Political Subdivision</t>
  </si>
  <si>
    <t>Liberty Utilities (Granite State Electri</t>
  </si>
  <si>
    <t>Duke Energy Carolinas, Llc</t>
  </si>
  <si>
    <t>Southwestern Electric Power Co</t>
  </si>
  <si>
    <t>White River Valley El Coop Inc</t>
  </si>
  <si>
    <t>City of Statesville - (NC)</t>
  </si>
  <si>
    <t>Upper Peninsula Power Company</t>
  </si>
  <si>
    <t>Axium Infrastructure</t>
  </si>
  <si>
    <t>Duke Energy Indiana, LLC</t>
  </si>
  <si>
    <t>Interstate Power and Light Co</t>
  </si>
  <si>
    <t>Appalachian Electric Coop</t>
  </si>
  <si>
    <t>Public Service Elec &amp; Gas Co</t>
  </si>
  <si>
    <t>Public Service Enterprise Group</t>
  </si>
  <si>
    <t>Southern Indiana Gas &amp; Elec Co</t>
  </si>
  <si>
    <t>CenterPoint Energy</t>
  </si>
  <si>
    <t>Tallahatchie Valley E P A</t>
  </si>
  <si>
    <t>Duquesne Light Co</t>
  </si>
  <si>
    <t>DQE Holdings LLC</t>
  </si>
  <si>
    <t>Hogansville City of - GA</t>
  </si>
  <si>
    <t>Ajo Improvement Co</t>
  </si>
  <si>
    <t>Freeport-McMoRan</t>
  </si>
  <si>
    <t>PPL Electric Utilities Corp</t>
  </si>
  <si>
    <t>Cotton Electric Coop, Inc</t>
  </si>
  <si>
    <t>DC</t>
  </si>
  <si>
    <t>Morgan City - (LA)</t>
  </si>
  <si>
    <t>Fitchburg Gas &amp; Elec Light Co</t>
  </si>
  <si>
    <t>Duke Energy Kentucky</t>
  </si>
  <si>
    <t>High West Energy, Inc</t>
  </si>
  <si>
    <t>Firstenergy Pennsylvania Electric Co</t>
  </si>
  <si>
    <t>City of Waynesville - (MO)</t>
  </si>
  <si>
    <t>Duke Energy Ohio Inc</t>
  </si>
  <si>
    <t>Mitchell Electric Member Corp</t>
  </si>
  <si>
    <t>Idaho Power Co</t>
  </si>
  <si>
    <t>Fayetteville Public Works Commission</t>
  </si>
  <si>
    <t>IDACORP</t>
  </si>
  <si>
    <t>Singing River Elec Cooperative</t>
  </si>
  <si>
    <t>Ohio Edison Co</t>
  </si>
  <si>
    <t>Huntsville Utilities Nat Gas Dept - AL</t>
  </si>
  <si>
    <t>City Of North Little Rock - (AR)</t>
  </si>
  <si>
    <t>Southwest Tennessee E M C</t>
  </si>
  <si>
    <t>Evergy Metro</t>
  </si>
  <si>
    <t>Evergy</t>
  </si>
  <si>
    <t>Central Maine Power Co</t>
  </si>
  <si>
    <t>Consumers Energy Co</t>
  </si>
  <si>
    <t>CMS Energy</t>
  </si>
  <si>
    <t>City Of Griffin - (GA)</t>
  </si>
  <si>
    <t>Southern Indiana R E C, Inc</t>
  </si>
  <si>
    <t>Stevenson Util BD - AL</t>
  </si>
  <si>
    <t>Wisconsin Electric Power Co</t>
  </si>
  <si>
    <t>Evergy Missouri West</t>
  </si>
  <si>
    <t>City of Alexandria - (LA)</t>
  </si>
  <si>
    <t>Pee Dee Electric Member Corp</t>
  </si>
  <si>
    <t>Ashland Town of - MS</t>
  </si>
  <si>
    <t>Ameren Illinois Company</t>
  </si>
  <si>
    <t>Ameren</t>
  </si>
  <si>
    <t>Evergy Kansas Central, Inc</t>
  </si>
  <si>
    <t>City Of West Memphis - (AR)</t>
  </si>
  <si>
    <t>West Central Electric Coop Inc - (MO)</t>
  </si>
  <si>
    <t>Mississippi Power Co</t>
  </si>
  <si>
    <t>Southern Company</t>
  </si>
  <si>
    <t>Wheelwright Util Comm - KY</t>
  </si>
  <si>
    <t>City Of East Point - (GA)</t>
  </si>
  <si>
    <t>East Central Oklahoma Elec Coop Inc</t>
  </si>
  <si>
    <t>Georgia Power Co</t>
  </si>
  <si>
    <t>City Of Bartow - (FL)</t>
  </si>
  <si>
    <t>El Paso Electric Co</t>
  </si>
  <si>
    <t>Infrastructure Investments Fund (J.P. Morgan)</t>
  </si>
  <si>
    <t>Union Electric Co - (MO)</t>
  </si>
  <si>
    <t>Sumter Electric Coop, Inc</t>
  </si>
  <si>
    <t>DTE Electric Company</t>
  </si>
  <si>
    <t>DTE Energy</t>
  </si>
  <si>
    <t>City of Gastonia - (NC)</t>
  </si>
  <si>
    <t>Appalachian Power Co</t>
  </si>
  <si>
    <t>Clay Electric Cooperative, Inc</t>
  </si>
  <si>
    <t>Evergy Kansas South, Inc</t>
  </si>
  <si>
    <t>City Of Fountain</t>
  </si>
  <si>
    <t>Dominion Energy South Carolina, Inc</t>
  </si>
  <si>
    <t>United Illuminating Co</t>
  </si>
  <si>
    <t>Lakeview Light &amp; Power</t>
  </si>
  <si>
    <t>Kingsport Power Co</t>
  </si>
  <si>
    <t>Town Of Middletown - (DE)</t>
  </si>
  <si>
    <t>Consolidated Water Power Co</t>
  </si>
  <si>
    <t>Sierra Pacific Power Co</t>
  </si>
  <si>
    <t>Talquin Electric Coop, Inc</t>
  </si>
  <si>
    <t>Richland City of - GA</t>
  </si>
  <si>
    <t>Kissimmee Utility Authority</t>
  </si>
  <si>
    <t>Entergy Texas Inc.</t>
  </si>
  <si>
    <t>Entergy</t>
  </si>
  <si>
    <t>City of Geary - (OK)</t>
  </si>
  <si>
    <t>Louisville Gas &amp; Electric Co</t>
  </si>
  <si>
    <t>Indiana Michigan Power Co</t>
  </si>
  <si>
    <t>Magic Valley Electric Coop Inc</t>
  </si>
  <si>
    <t>Ohio Power Co</t>
  </si>
  <si>
    <t>City Of Garden City</t>
  </si>
  <si>
    <t>Lockhart Power Co</t>
  </si>
  <si>
    <t>Pacolet Milliken</t>
  </si>
  <si>
    <t>Clark County Rural E M C - (IN)</t>
  </si>
  <si>
    <t>City Of Dothan - Al</t>
  </si>
  <si>
    <t>Black Diamond Power Co</t>
  </si>
  <si>
    <t>Wheeling Power Co</t>
  </si>
  <si>
    <t>Entergy Arkansas LLC</t>
  </si>
  <si>
    <t>City of Wilson</t>
  </si>
  <si>
    <t>Colfax Gas Dept - LA</t>
  </si>
  <si>
    <t>Duke Energy Florida, Llc</t>
  </si>
  <si>
    <t>Nevada Power Co</t>
  </si>
  <si>
    <t>City of Lansing - (MI)</t>
  </si>
  <si>
    <t>Duck Hill Nat Gas Sys - MS</t>
  </si>
  <si>
    <t>Alabama Power Co</t>
  </si>
  <si>
    <t>West River Electric Assn Inc</t>
  </si>
  <si>
    <t>Fort Pierce Utilities Authority</t>
  </si>
  <si>
    <t>Waynesville Town of - MO</t>
  </si>
  <si>
    <t>Warren Rural Elec Coop Corp</t>
  </si>
  <si>
    <t>Orange &amp; Rockland Utils Inc</t>
  </si>
  <si>
    <t>City Of Siloam Springs - (AR)</t>
  </si>
  <si>
    <t>Sam Houston Electric Coop Inc</t>
  </si>
  <si>
    <t>City Of Tallahassee - (FL)</t>
  </si>
  <si>
    <t>Tampa Electric Co</t>
  </si>
  <si>
    <t>Emera</t>
  </si>
  <si>
    <t>City of Clinton - (TN)</t>
  </si>
  <si>
    <t>Entergy Mississippi LLC</t>
  </si>
  <si>
    <t>Trinity Valley Elec Coop Inc</t>
  </si>
  <si>
    <t>Florida Power &amp; Light Co</t>
  </si>
  <si>
    <t>NextEra Energy</t>
  </si>
  <si>
    <t>Oklahoma Gas &amp; Electric Co</t>
  </si>
  <si>
    <t>OGE Energy Corp.</t>
  </si>
  <si>
    <t>City of Brownsville</t>
  </si>
  <si>
    <t>Pea River Electric Coop</t>
  </si>
  <si>
    <t>Texas-New Mexico Power Co</t>
  </si>
  <si>
    <t>Bamberg Board of Public Works</t>
  </si>
  <si>
    <t>Oncor Electric Delivery Company LLC</t>
  </si>
  <si>
    <t>Choctawhatche Elec Coop, Inc</t>
  </si>
  <si>
    <t>Centerpoint Energy</t>
  </si>
  <si>
    <t>City of Greenville - (TX)</t>
  </si>
  <si>
    <t>Public Service Co Of Oklahoma</t>
  </si>
  <si>
    <t>Upshur Rural Elec Coop Corp</t>
  </si>
  <si>
    <t>City of Douglas</t>
  </si>
  <si>
    <t>Lea County Electric Coop, Inc - (NM)</t>
  </si>
  <si>
    <t>City of Rock Hill - (SC)</t>
  </si>
  <si>
    <t>Jackson Electric Member Corp - (GA)</t>
  </si>
  <si>
    <t>City of Garland - (TX)</t>
  </si>
  <si>
    <t>Cumberland Elec Member Corp</t>
  </si>
  <si>
    <t>City of Castroville - (TX)</t>
  </si>
  <si>
    <t>City of Kinston - (NC)</t>
  </si>
  <si>
    <t>Valley Electric Assn, Inc</t>
  </si>
  <si>
    <t>City Of Lake Worth Beach - (FL)</t>
  </si>
  <si>
    <t>Southwest Louisiana E M C</t>
  </si>
  <si>
    <t>Town of High Point</t>
  </si>
  <si>
    <t>City of Monroe - (NC)</t>
  </si>
  <si>
    <t>Diverse Power Incorporated</t>
  </si>
  <si>
    <t>City Of Troy - (AL)</t>
  </si>
  <si>
    <t>City of Sikeston - (MO)</t>
  </si>
  <si>
    <t>Pickwick Electric Coop</t>
  </si>
  <si>
    <t>City of Albemarle - (NC)</t>
  </si>
  <si>
    <t>Mohave Electric Cooperative, Inc.</t>
  </si>
  <si>
    <t>City of Piedmont - (AL)</t>
  </si>
  <si>
    <t>First Electric Coop Corp</t>
  </si>
  <si>
    <t>City Of Sylvania - (GA)</t>
  </si>
  <si>
    <t>Southern Pioneer Electric Company</t>
  </si>
  <si>
    <t>City of Jackson - (TN)</t>
  </si>
  <si>
    <t>Boone Electric Coop</t>
  </si>
  <si>
    <t>City of Winfield - (KS)</t>
  </si>
  <si>
    <t>Modern Electric Water Company</t>
  </si>
  <si>
    <t>City Of Opelika - Al</t>
  </si>
  <si>
    <t>Greenville Utilities Comm</t>
  </si>
  <si>
    <t>Graham County Electric Coop Inc</t>
  </si>
  <si>
    <t>City of Rocky Mount - (NC)</t>
  </si>
  <si>
    <t>Volunteer Electric Coop</t>
  </si>
  <si>
    <t>City of South Sioux City</t>
  </si>
  <si>
    <t>Piedmont Electric Member Corp</t>
  </si>
  <si>
    <t>City of Pulaski - (TN)</t>
  </si>
  <si>
    <t>City of Cleveland - (TN)</t>
  </si>
  <si>
    <t>Carroll Electric Member Corp - (GA)</t>
  </si>
  <si>
    <t>City of Morganton - (NC)</t>
  </si>
  <si>
    <t>Black River Electric Coop, Inc - (SC)</t>
  </si>
  <si>
    <t>Easley Combined Utility System</t>
  </si>
  <si>
    <t>Carlisle City of - KY</t>
  </si>
  <si>
    <t>Kodiak Electric Assn Inc</t>
  </si>
  <si>
    <t>City of Poplar Bluff - (MO)</t>
  </si>
  <si>
    <t>Peace River Electric Coop, Inc</t>
  </si>
  <si>
    <t>Greer Commission of Public Wks</t>
  </si>
  <si>
    <t>Midstate Electric Coop, Inc</t>
  </si>
  <si>
    <t>City of Hannibal - (MO)</t>
  </si>
  <si>
    <t>Clarksville Connected Utilities</t>
  </si>
  <si>
    <t>Alaska Village Elec Coop, Inc</t>
  </si>
  <si>
    <t>City of Tacoma - (WA)</t>
  </si>
  <si>
    <t>Cumberland Valley Electric, Inc.</t>
  </si>
  <si>
    <t>City of Alexandria - LA</t>
  </si>
  <si>
    <t>City of Elizabeth City - (NC)</t>
  </si>
  <si>
    <t>Craighead Electric Coop Corp</t>
  </si>
  <si>
    <t>City Of College Park - (GA)</t>
  </si>
  <si>
    <t>Mid-South Electric Coop Assn</t>
  </si>
  <si>
    <t>Bristol Virginia Utilities</t>
  </si>
  <si>
    <t>Greystone Power Corporation</t>
  </si>
  <si>
    <t>City of Ponca City - (OK)</t>
  </si>
  <si>
    <t>Johnson County Rural E M C</t>
  </si>
  <si>
    <t>Shannon Town of - MS</t>
  </si>
  <si>
    <t>Sheffield Utilities</t>
  </si>
  <si>
    <t>Canoochee Electric Member Corp</t>
  </si>
  <si>
    <t>City Of Hope</t>
  </si>
  <si>
    <t>Clay County Electric Coop Corp - (AR)</t>
  </si>
  <si>
    <t>Greenwood CPW</t>
  </si>
  <si>
    <t>Sumter Electric Member Corp</t>
  </si>
  <si>
    <t>City of Robertsdale</t>
  </si>
  <si>
    <t>Farmers Electric Coop, Inc - (TX)</t>
  </si>
  <si>
    <t>Weakley County Mun Elec Sys</t>
  </si>
  <si>
    <t>Southwest Arkansas E C C</t>
  </si>
  <si>
    <t>Greenwood Utilities Comm</t>
  </si>
  <si>
    <t>Blue Ridge Electric Coop Inc - (SC)</t>
  </si>
  <si>
    <t>City of San Marcos - (TX)</t>
  </si>
  <si>
    <t>Maury City Gas Dept - TN</t>
  </si>
  <si>
    <t>Elmhurst Mutual Power &amp; Light Co</t>
  </si>
  <si>
    <t>City of Red Bud - (IL)</t>
  </si>
  <si>
    <t>Raft Rural Elec Coop Inc</t>
  </si>
  <si>
    <t>City of Independence - (MO)</t>
  </si>
  <si>
    <t>Planters Electric Member Corp</t>
  </si>
  <si>
    <t>City of Lebanon - (MO)</t>
  </si>
  <si>
    <t>EnergyUnited Elec Member Corp</t>
  </si>
  <si>
    <t>City of Kings Mountain - (NC)</t>
  </si>
  <si>
    <t>Deaf Smith Electric Coop, Inc</t>
  </si>
  <si>
    <t>City of Elberton</t>
  </si>
  <si>
    <t>Tallapoosa River Elec Coop Inc</t>
  </si>
  <si>
    <t>City of Bryan - (TX)</t>
  </si>
  <si>
    <t>City Of Idaho Falls - ID</t>
  </si>
  <si>
    <t>Sioux Valley SW Elec Coop</t>
  </si>
  <si>
    <t>City of La Grange - (GA)</t>
  </si>
  <si>
    <t>City of Hickman</t>
  </si>
  <si>
    <t>City of Cartersville - (GA)</t>
  </si>
  <si>
    <t>Northeast Oklahoma Electric Co</t>
  </si>
  <si>
    <t>City of Blountstown - (FL)</t>
  </si>
  <si>
    <t>Berkeley Electric Coop Inc</t>
  </si>
  <si>
    <t>City Of Loveland - (CO)</t>
  </si>
  <si>
    <t>Mountain View Elec Assn, Inc</t>
  </si>
  <si>
    <t>Clyde Light &amp; Power</t>
  </si>
  <si>
    <t>Southwest Electric Coop, Inc</t>
  </si>
  <si>
    <t>City Of Lexington - (NC)</t>
  </si>
  <si>
    <t>Pioneer Electric Coop, Inc - (KS)</t>
  </si>
  <si>
    <t>Jackson Energy Authority - TN</t>
  </si>
  <si>
    <t>City of Cuba - (MO)</t>
  </si>
  <si>
    <t>Kootenai Electric Cooperative</t>
  </si>
  <si>
    <t>City of Frankfort - (IN)</t>
  </si>
  <si>
    <t>South Alabama Elec Coop, Inc</t>
  </si>
  <si>
    <t>Washington Town of - LA</t>
  </si>
  <si>
    <t>City Of Lawrenceville - (GA)</t>
  </si>
  <si>
    <t>Prince George Electric Coop</t>
  </si>
  <si>
    <t>City of Peru - (IN)</t>
  </si>
  <si>
    <t>Eldorado City of - TX</t>
  </si>
  <si>
    <t>Central New Mexico El Coop, Inc</t>
  </si>
  <si>
    <t>City of Safford - (AZ)</t>
  </si>
  <si>
    <t>Salem Electric - (OR)</t>
  </si>
  <si>
    <t>City Of Fort Collins - (CO)</t>
  </si>
  <si>
    <t>Roughrider Electric Cooperativ</t>
  </si>
  <si>
    <t>City of Harriman - (TN)</t>
  </si>
  <si>
    <t>Coosa Valley Electric Coop Inc</t>
  </si>
  <si>
    <t>Sealy City of - TX</t>
  </si>
  <si>
    <t>City Of Calhoun - (GA)</t>
  </si>
  <si>
    <t>Fairfield Electric Coop, Inc</t>
  </si>
  <si>
    <t>City of Concord - (NC)</t>
  </si>
  <si>
    <t>Nebraska Public Power District</t>
  </si>
  <si>
    <t>North East Mississippi EPA</t>
  </si>
  <si>
    <t>City of Logan - (UT)</t>
  </si>
  <si>
    <t>Southeastern Indiana R E M C</t>
  </si>
  <si>
    <t>City of Lawrenceburg</t>
  </si>
  <si>
    <t>City of Starkville</t>
  </si>
  <si>
    <t>Jefferson Davis Elec Coop, Inc</t>
  </si>
  <si>
    <t>City of Chattahoochee - (FL)</t>
  </si>
  <si>
    <t>Clark Energy Coop Inc - (KY)</t>
  </si>
  <si>
    <t>City of Morristown - (TN)</t>
  </si>
  <si>
    <t>Gulf Coast Electric Coop, Inc</t>
  </si>
  <si>
    <t>City of Franklin - (KY)</t>
  </si>
  <si>
    <t>Southern Pine Electric Cooperative</t>
  </si>
  <si>
    <t>Decatur Utilities</t>
  </si>
  <si>
    <t>United Power, Inc</t>
  </si>
  <si>
    <t>Middle Tennessee E M C</t>
  </si>
  <si>
    <t>JEA</t>
  </si>
  <si>
    <t>Lamb County Electric Coop, Inc</t>
  </si>
  <si>
    <t>City of Winfield - KS</t>
  </si>
  <si>
    <t>City of Starke - (FL)</t>
  </si>
  <si>
    <t>Arkansas Valley Elec Coop Corp</t>
  </si>
  <si>
    <t>City of Monett - (MO)</t>
  </si>
  <si>
    <t>Wrens City of - GA</t>
  </si>
  <si>
    <t>Cobb Electric Membership Corp</t>
  </si>
  <si>
    <t>City of Piqua - (OH)</t>
  </si>
  <si>
    <t>Dixie Electric Coop</t>
  </si>
  <si>
    <t>Bandera Electric Coop, Inc</t>
  </si>
  <si>
    <t>City of Rensselaer - (IN)</t>
  </si>
  <si>
    <t>Medina Electric Coop, Inc</t>
  </si>
  <si>
    <t>City of Tuscumbia</t>
  </si>
  <si>
    <t>Laclede Electric Coop, Inc</t>
  </si>
  <si>
    <t>City of Lebanon - (IN)</t>
  </si>
  <si>
    <t>Central Georgia Electric Member Corp</t>
  </si>
  <si>
    <t>City of Alcoa Utilities</t>
  </si>
  <si>
    <t>Central Electric Coop, Inc - (SD)</t>
  </si>
  <si>
    <t>Meriwether Lewis Electric Coop</t>
  </si>
  <si>
    <t>Jamestown Board of Public Util</t>
  </si>
  <si>
    <t>Ripley City of - TN</t>
  </si>
  <si>
    <t>Canadian Valley Elec Coop, Inc</t>
  </si>
  <si>
    <t>City of Rolla - (MO)</t>
  </si>
  <si>
    <t>Victory Electric Coop Assn Inc</t>
  </si>
  <si>
    <t>Marion Natural Gas System - TN</t>
  </si>
  <si>
    <t>Provo City Corp</t>
  </si>
  <si>
    <t>Beauregard Electric Coop, Inc</t>
  </si>
  <si>
    <t>Webster Electric Coop</t>
  </si>
  <si>
    <t>Town of Mannford - (OK)</t>
  </si>
  <si>
    <t>Umatilla Electric Coop Assn</t>
  </si>
  <si>
    <t>City of Denton - (TX)</t>
  </si>
  <si>
    <t>Mid-Carolina Electric Coop Inc</t>
  </si>
  <si>
    <t>City Of Dover - (DE)</t>
  </si>
  <si>
    <t>Northern Plains Electric Coop</t>
  </si>
  <si>
    <t>Dixie Electric Membership Corp</t>
  </si>
  <si>
    <t>City of Richland - (MO)</t>
  </si>
  <si>
    <t>Guymon Mun Gas Co - OK</t>
  </si>
  <si>
    <t>Rural Electric Coop, Inc - (OK)</t>
  </si>
  <si>
    <t>City of Etowah</t>
  </si>
  <si>
    <t>Jones-Onslow Elec Member Corp</t>
  </si>
  <si>
    <t>Borough of Chambersburg - (PA)</t>
  </si>
  <si>
    <t>Bluebonnet Electric Coop, Inc</t>
  </si>
  <si>
    <t>Sperry Utility Services Auth - OK</t>
  </si>
  <si>
    <t>City of Lexington - (TN)</t>
  </si>
  <si>
    <t>Delta Montrose Electric Assn</t>
  </si>
  <si>
    <t>CKenergy Electric Cooperative</t>
  </si>
  <si>
    <t>City of Osage City - (KS)</t>
  </si>
  <si>
    <t>Ouachita Electric Coop Corp</t>
  </si>
  <si>
    <t>City of Shelbina - (MO)</t>
  </si>
  <si>
    <t>Bailey County Elec Coop Assn</t>
  </si>
  <si>
    <t>City of Lexington - (NE)</t>
  </si>
  <si>
    <t>Owen Electric Coop Inc</t>
  </si>
  <si>
    <t>Haskell Public Works Authority - OK</t>
  </si>
  <si>
    <t>City of Frankfort - (KY)</t>
  </si>
  <si>
    <t>Fleming-Mason Energy Coop Inc</t>
  </si>
  <si>
    <t>West Kentucky Rural E C C</t>
  </si>
  <si>
    <t>Crisp County Power Comm</t>
  </si>
  <si>
    <t>City of Washington - (NC)</t>
  </si>
  <si>
    <t>Macon Electric Coop</t>
  </si>
  <si>
    <t>City &amp; County Of San Francisco</t>
  </si>
  <si>
    <t>HILCO Electric Cooperative, Inc.</t>
  </si>
  <si>
    <t>West Florida El Coop Assn, Inc</t>
  </si>
  <si>
    <t>City of Auburn - (IN)</t>
  </si>
  <si>
    <t>North Arkansas Elec Coop, Inc</t>
  </si>
  <si>
    <t>City of Harrisonburg - (VA)</t>
  </si>
  <si>
    <t>Southeastern Electric Coop Inc - (SD)</t>
  </si>
  <si>
    <t>City Of Roseville - (CA)</t>
  </si>
  <si>
    <t>Jackson Purchase Energy Corporation</t>
  </si>
  <si>
    <t>Cuivre River Electric Coop Inc</t>
  </si>
  <si>
    <t>Columbia Power System - (TN)</t>
  </si>
  <si>
    <t>Butler Rural Electric Coop Inc - (OH)</t>
  </si>
  <si>
    <t>Village of Baraga - (MI)</t>
  </si>
  <si>
    <t>Shelby Energy Co-Op, Inc</t>
  </si>
  <si>
    <t>City of Pryor - (OK)</t>
  </si>
  <si>
    <t>Oconee Electric Member Corp</t>
  </si>
  <si>
    <t>Lee County Electric Coop, Inc</t>
  </si>
  <si>
    <t>City of Humboldt</t>
  </si>
  <si>
    <t>Rita Blanca Electric Coop, Inc</t>
  </si>
  <si>
    <t>Livingston Parish Gud 1 - LA</t>
  </si>
  <si>
    <t>City of Oak Ridge</t>
  </si>
  <si>
    <t>South River Elec Member Corp</t>
  </si>
  <si>
    <t>Washington Elec Member Corp</t>
  </si>
  <si>
    <t>City of New Bern - (NC)</t>
  </si>
  <si>
    <t>Yazoo Valley Elec Power Assn</t>
  </si>
  <si>
    <t>City Of Mishawaka</t>
  </si>
  <si>
    <t>Clinton City of - KY</t>
  </si>
  <si>
    <t>Hamilton County Elec Coop Assn</t>
  </si>
  <si>
    <t>City Of Riverside - (CA)</t>
  </si>
  <si>
    <t>Harrison County Rural E M C</t>
  </si>
  <si>
    <t>Geary Utility Authority - OK</t>
  </si>
  <si>
    <t>Taylor Electric Coop Inc - (TX)</t>
  </si>
  <si>
    <t>City Water And Light Plant</t>
  </si>
  <si>
    <t>Livonia Gas And Water - LA</t>
  </si>
  <si>
    <t>Buckeye Rural Elec Coop, Inc</t>
  </si>
  <si>
    <t>City of Edmond - (OK)</t>
  </si>
  <si>
    <t>South Central Indiana Remc</t>
  </si>
  <si>
    <t>Conway Corporation</t>
  </si>
  <si>
    <t>South Central Power Company</t>
  </si>
  <si>
    <t>Donaldsonville City of - LA</t>
  </si>
  <si>
    <t>Otero County Electric Coop Inc</t>
  </si>
  <si>
    <t>City of Georgetown - (TX)</t>
  </si>
  <si>
    <t>Western Coop Electric Assn Inc</t>
  </si>
  <si>
    <t>Paintsville Gas Sys - KY</t>
  </si>
  <si>
    <t>City of Owensboro - (KY)</t>
  </si>
  <si>
    <t>Indian Electric Coop, Inc</t>
  </si>
  <si>
    <t>Licking Valley Rural E C C</t>
  </si>
  <si>
    <t>City of Danville - (VA)</t>
  </si>
  <si>
    <t>Jackson Energy Coop Corp - (KY)</t>
  </si>
  <si>
    <t>City of Lafayette - (LA)</t>
  </si>
  <si>
    <t>Ninestar Connect</t>
  </si>
  <si>
    <t>City of Plaquemine - (LA)</t>
  </si>
  <si>
    <t>City Of San Antonio - TX</t>
  </si>
  <si>
    <t>Wise Electric Coop Inc</t>
  </si>
  <si>
    <t>Basile Town of - LA</t>
  </si>
  <si>
    <t>Central Valley Elec Coop, Inc</t>
  </si>
  <si>
    <t>City Of Florence - (AL)</t>
  </si>
  <si>
    <t>Kenergy Corp</t>
  </si>
  <si>
    <t>City of Fort Morgan</t>
  </si>
  <si>
    <t>Bartlett Electric Coop, Inc</t>
  </si>
  <si>
    <t>City of Fulton - (KY)</t>
  </si>
  <si>
    <t>Gallaway City of - TN</t>
  </si>
  <si>
    <t>Continental Divide El Coop Inc</t>
  </si>
  <si>
    <t>Town of Gueydan</t>
  </si>
  <si>
    <t>Tishomingo County E P A</t>
  </si>
  <si>
    <t>City of Macon - (MO)</t>
  </si>
  <si>
    <t>Woodruff Electric Coop Corp</t>
  </si>
  <si>
    <t>Pedernales Electric Coop, Inc</t>
  </si>
  <si>
    <t>Sacramento Municipal Utility District</t>
  </si>
  <si>
    <t>Nueces Electric Cooperative</t>
  </si>
  <si>
    <t>City of Gallatin - (TN)</t>
  </si>
  <si>
    <t>Cooke County Elec Coop Assn</t>
  </si>
  <si>
    <t>City of McLeansboro - (IL)</t>
  </si>
  <si>
    <t>Houston County Elec Coop Inc</t>
  </si>
  <si>
    <t>Petit Jean Electric Coop Corp</t>
  </si>
  <si>
    <t>City of Sullivan - (IL)</t>
  </si>
  <si>
    <t>Jamestown Gas System - TN</t>
  </si>
  <si>
    <t>Rutherford Elec Member Corp</t>
  </si>
  <si>
    <t>Foley Board Of Utilities</t>
  </si>
  <si>
    <t>Delta Electric Power Assn</t>
  </si>
  <si>
    <t>Spearman City of - TX</t>
  </si>
  <si>
    <t>San Patricio Electric Coop Inc</t>
  </si>
  <si>
    <t>City of Providence - (KY)</t>
  </si>
  <si>
    <t>Comanche County Elec Coop Assn</t>
  </si>
  <si>
    <t>City Of Grand Island - NE</t>
  </si>
  <si>
    <t>Core Electric Cooperative</t>
  </si>
  <si>
    <t>City of Niles - (OH)</t>
  </si>
  <si>
    <t>Wild Rice Electric Coop, Inc</t>
  </si>
  <si>
    <t>Joe Wheeler Elec Member Corp</t>
  </si>
  <si>
    <t>City of Dayton - (TN)</t>
  </si>
  <si>
    <t>Tri-County Elec Member Corp Ga</t>
  </si>
  <si>
    <t>City of North Platte</t>
  </si>
  <si>
    <t>Edgecombe-Martin County E M C</t>
  </si>
  <si>
    <t>City of Yale - (OK)</t>
  </si>
  <si>
    <t>Inland Power &amp; Light Company</t>
  </si>
  <si>
    <t>Southside Electric Coop, Inc</t>
  </si>
  <si>
    <t>City of New Albany - (MS)</t>
  </si>
  <si>
    <t>Ozark Border Electric Coop</t>
  </si>
  <si>
    <t>City of Lumberton - (NC)</t>
  </si>
  <si>
    <t>Farmers Rural Electric Coop Corp - (KY)</t>
  </si>
  <si>
    <t>Denton County Elec Coop, Inc</t>
  </si>
  <si>
    <t>City Of Chickamauga</t>
  </si>
  <si>
    <t>Central Electric Power Assn - (MS)</t>
  </si>
  <si>
    <t>City of Hemphill - (TX)</t>
  </si>
  <si>
    <t>Wickliffe City of - KY</t>
  </si>
  <si>
    <t>Baldwin County El Member Corp</t>
  </si>
  <si>
    <t>City of Nebraska City - (NE)</t>
  </si>
  <si>
    <t>Black River Electric Coop - (MO)</t>
  </si>
  <si>
    <t>Calera City of - AL</t>
  </si>
  <si>
    <t>City of Logansport - (IN)</t>
  </si>
  <si>
    <t>Clarke-Washington E M C</t>
  </si>
  <si>
    <t>City of Columbus - (OH)</t>
  </si>
  <si>
    <t>Nolin Rural Electric Coop Corp</t>
  </si>
  <si>
    <t>Ignacio Town of - CO</t>
  </si>
  <si>
    <t>Paragould Light &amp; Water Comm</t>
  </si>
  <si>
    <t>Tri-County Elec Member Corp (NC)</t>
  </si>
  <si>
    <t>Withlacoochee River Elec Coop</t>
  </si>
  <si>
    <t>City of Amory</t>
  </si>
  <si>
    <t>Decatur County Rural E M C</t>
  </si>
  <si>
    <t>Stillwater Utilities Authority</t>
  </si>
  <si>
    <t>Grand Valley Power</t>
  </si>
  <si>
    <t>City of Salem - (VA)</t>
  </si>
  <si>
    <t>Randolph Electric Member Corp</t>
  </si>
  <si>
    <t>Jackson Electric Coop, Inc - (TX)</t>
  </si>
  <si>
    <t>City of Philadelphia - (MS)</t>
  </si>
  <si>
    <t>Mountrail-Williams Elec Coop</t>
  </si>
  <si>
    <t>City of Holyoke - (MA)</t>
  </si>
  <si>
    <t>Carroll Electric Coop Corp - (AR)</t>
  </si>
  <si>
    <t>Village of Riverton - (IL)</t>
  </si>
  <si>
    <t>Laurens Electric Coop, Inc</t>
  </si>
  <si>
    <t>Okefenoke Rural El Member Corp</t>
  </si>
  <si>
    <t>Watertown Municipal Utilities</t>
  </si>
  <si>
    <t>Choptank Electric Cooperative, Inc</t>
  </si>
  <si>
    <t>City of Adel- (GA)</t>
  </si>
  <si>
    <t>Brunswick Electric Member Corp</t>
  </si>
  <si>
    <t>City Of Owatonna - (MN)</t>
  </si>
  <si>
    <t>Wiregrass Electric Coop, Inc</t>
  </si>
  <si>
    <t>City of Elizabethton - (TN)</t>
  </si>
  <si>
    <t>City of Bardstown - (KY)</t>
  </si>
  <si>
    <t>Central Florida Elec Coop, Inc</t>
  </si>
  <si>
    <t>City of Wapakoneta - (OH)</t>
  </si>
  <si>
    <t>Rappahannock Electric Coop</t>
  </si>
  <si>
    <t>Delcambre Town of - LA</t>
  </si>
  <si>
    <t>City of Springfield - (IL)</t>
  </si>
  <si>
    <t>Wake Electric Membership Corp</t>
  </si>
  <si>
    <t>Slick Town of - OK</t>
  </si>
  <si>
    <t>City Of Azusa</t>
  </si>
  <si>
    <t>Noble County R E M C</t>
  </si>
  <si>
    <t>City of Bowling Green - (KY)</t>
  </si>
  <si>
    <t>Olive Hill City Of</t>
  </si>
  <si>
    <t>Jemez Mountains Elec Coop, Inc</t>
  </si>
  <si>
    <t>Concordia Electric Coop, Inc</t>
  </si>
  <si>
    <t>Town of Bedford - (VA)</t>
  </si>
  <si>
    <t>Golden Valley Elec Assn Inc</t>
  </si>
  <si>
    <t>City of Chanute (KS)</t>
  </si>
  <si>
    <t>Oklahoma Electric Coop Inc</t>
  </si>
  <si>
    <t>Concho Valley Elec Coop Inc</t>
  </si>
  <si>
    <t>Madisonville Municipal Utils</t>
  </si>
  <si>
    <t>Victoria Electric Coop, Inc</t>
  </si>
  <si>
    <t>City Of Elk River</t>
  </si>
  <si>
    <t>Prairie Land Electric Coop Inc</t>
  </si>
  <si>
    <t>City Of Norwich - (CT)</t>
  </si>
  <si>
    <t>Y-W Electric Assn Inc</t>
  </si>
  <si>
    <t>Lamar County Elec Coop Assn</t>
  </si>
  <si>
    <t>City of Newport - (TN)</t>
  </si>
  <si>
    <t>Southern Pine Elec Coop, Inc</t>
  </si>
  <si>
    <t>City of Chicopee - (MA)</t>
  </si>
  <si>
    <t>Big Sandy Rural Elec Coop Corp</t>
  </si>
  <si>
    <t>Citizens Electric Corporation - (MO)</t>
  </si>
  <si>
    <t>City of Mayfield Plant Board</t>
  </si>
  <si>
    <t>City of Vanceburg</t>
  </si>
  <si>
    <t>Highline Electric Assn</t>
  </si>
  <si>
    <t>Wyandotte Municipal Serv Comm - (MI)</t>
  </si>
  <si>
    <t>Freestate Electric Coop</t>
  </si>
  <si>
    <t>New-Mac Electric Coop, Inc</t>
  </si>
  <si>
    <t>City of Neodesha - (KS)</t>
  </si>
  <si>
    <t>McKenzie Electric Coop Inc</t>
  </si>
  <si>
    <t>Bennettsville City of - SC</t>
  </si>
  <si>
    <t>City of Paducah - (KY)</t>
  </si>
  <si>
    <t>Lyntegar Electric Coop, Inc</t>
  </si>
  <si>
    <t>City of Bluffton - (IN)</t>
  </si>
  <si>
    <t>Blue Grass Energy Coop Corp</t>
  </si>
  <si>
    <t>City Of Athens - (AL)</t>
  </si>
  <si>
    <t>Carrollton City of - KY</t>
  </si>
  <si>
    <t>Three Rivers Electric Coop</t>
  </si>
  <si>
    <t>Town of Winnsboro - (SC)</t>
  </si>
  <si>
    <t>Suwannee Valley Elec Coop Inc</t>
  </si>
  <si>
    <t>Aiken Electric Coop Inc</t>
  </si>
  <si>
    <t>Hagerstown Light Department</t>
  </si>
  <si>
    <t>Clay City Of</t>
  </si>
  <si>
    <t>Eastern Maine Electric Coop</t>
  </si>
  <si>
    <t>City of Madison - (SD)</t>
  </si>
  <si>
    <t>CMS Electric Coop Inc</t>
  </si>
  <si>
    <t>City of Richland - (WA)</t>
  </si>
  <si>
    <t>Wood County Electric Coop, Inc</t>
  </si>
  <si>
    <t>Jasper County Rural E M C</t>
  </si>
  <si>
    <t>City of Buford</t>
  </si>
  <si>
    <t>Callaway Electric Cooperative</t>
  </si>
  <si>
    <t>City of Falls City - (NE)</t>
  </si>
  <si>
    <t>Cherryland Electric Coop Inc</t>
  </si>
  <si>
    <t>Wisconsin Rapids W W &amp; L Comm</t>
  </si>
  <si>
    <t>Plaquemine City of - LA</t>
  </si>
  <si>
    <t>Midwest Energy Inc</t>
  </si>
  <si>
    <t>City of Floresville</t>
  </si>
  <si>
    <t>Coast Electric Power Assn - (MS)</t>
  </si>
  <si>
    <t>City Of Anoka</t>
  </si>
  <si>
    <t>Meade County Rural E C C</t>
  </si>
  <si>
    <t>Northeast Ok Pub Facilities Auth - OK</t>
  </si>
  <si>
    <t>Inter County Energy Coop Corp</t>
  </si>
  <si>
    <t>Hartford Electric</t>
  </si>
  <si>
    <t>La Center City of - KY</t>
  </si>
  <si>
    <t>Barrow Utils &amp; Elec Coop, Inc</t>
  </si>
  <si>
    <t>Crawfordsville Elec, Lgt &amp; Pwr</t>
  </si>
  <si>
    <t>Moreauville Village of - LA</t>
  </si>
  <si>
    <t>Ozarks Electric Coop Corp - (AR)</t>
  </si>
  <si>
    <t>City of McPherson - (KS)</t>
  </si>
  <si>
    <t>Daviess Martin County R E M C</t>
  </si>
  <si>
    <t>City of Fayetteville</t>
  </si>
  <si>
    <t>Morgan County Rural Elec Assn</t>
  </si>
  <si>
    <t>Osage Valley Elec Coop Assn</t>
  </si>
  <si>
    <t>Henderson City Utility Comm</t>
  </si>
  <si>
    <t>Town of Arnaudville - LA</t>
  </si>
  <si>
    <t>Verdigris Valley Elec Coop Inc</t>
  </si>
  <si>
    <t>Sevier County Electric System</t>
  </si>
  <si>
    <t>Starr County Gas System - TX</t>
  </si>
  <si>
    <t>Pioneer Rural Elec Coop, Inc - - (OH)</t>
  </si>
  <si>
    <t>Carroll County - (TN)</t>
  </si>
  <si>
    <t>Adams Electric Cooperative Inc</t>
  </si>
  <si>
    <t>Athens Utility Board</t>
  </si>
  <si>
    <t>Crawford Electric Coop, Inc</t>
  </si>
  <si>
    <t>City of Fremont - (NE)</t>
  </si>
  <si>
    <t>Corn Belt Energy Corporation</t>
  </si>
  <si>
    <t>City Utilities of Springfield - (MO)</t>
  </si>
  <si>
    <t>Munford City of - TN</t>
  </si>
  <si>
    <t>Juneau Utility Comm</t>
  </si>
  <si>
    <t>Freeborn Mower Electric Cooperative</t>
  </si>
  <si>
    <t>Empire Electric Assn, Inc</t>
  </si>
  <si>
    <t>City of College Station - (TX)</t>
  </si>
  <si>
    <t>Magnolia Electric Power Assn</t>
  </si>
  <si>
    <t>City Of Bentonville - (AR)</t>
  </si>
  <si>
    <t>Eastern Illinois Elec Coop</t>
  </si>
  <si>
    <t>City of Sturgis - (MI)</t>
  </si>
  <si>
    <t>Covington Electric Coop, Inc</t>
  </si>
  <si>
    <t>Three Notch Elec Member Corp</t>
  </si>
  <si>
    <t>City of Williston - (FL)</t>
  </si>
  <si>
    <t>Oregon Trail El Cons Coop, Inc</t>
  </si>
  <si>
    <t>Town of Huntersville - (NC)</t>
  </si>
  <si>
    <t>Grayson Rural Electric Coop Corp</t>
  </si>
  <si>
    <t>PUD No 1 of Cowlitz County</t>
  </si>
  <si>
    <t>City of Trinidad - (CO)</t>
  </si>
  <si>
    <t>Yampa Valley Electric Assn Inc</t>
  </si>
  <si>
    <t>Dixie Electric Power Assn - (MS)</t>
  </si>
  <si>
    <t>City of Holland</t>
  </si>
  <si>
    <t>City of Greenfield - (IN)</t>
  </si>
  <si>
    <t>Taylor County Rural E C C</t>
  </si>
  <si>
    <t>Hutchinson Utilities Comm</t>
  </si>
  <si>
    <t>Howell-Oregon Elec Coop, Inc</t>
  </si>
  <si>
    <t>City of Monroe City - (MO)</t>
  </si>
  <si>
    <t>Cherokee County Elec Coop Assn - (TX)</t>
  </si>
  <si>
    <t>City of Celina - (OH)</t>
  </si>
  <si>
    <t>Flathead Electric Coop Inc</t>
  </si>
  <si>
    <t>Coos-Curry Electric Coop, Inc</t>
  </si>
  <si>
    <t>City of Pierre - (SD)</t>
  </si>
  <si>
    <t>Roosevelt County Elec Coop Inc</t>
  </si>
  <si>
    <t>City of Hamilton - (OH)</t>
  </si>
  <si>
    <t>Granby City of - MO</t>
  </si>
  <si>
    <t>Great Lakes Energy Coop</t>
  </si>
  <si>
    <t>City of Painesville - (OH)</t>
  </si>
  <si>
    <t>Emerald People's Utility Dist</t>
  </si>
  <si>
    <t>Union Electric Membership Corp - (NC)</t>
  </si>
  <si>
    <t>City of Murray - (UT)</t>
  </si>
  <si>
    <t>Mississippi County Electric Co</t>
  </si>
  <si>
    <t>Jackson Town of - LA</t>
  </si>
  <si>
    <t>Kerrville Public Utility Board</t>
  </si>
  <si>
    <t>Connexus Energy</t>
  </si>
  <si>
    <t>Panola-Harrison Elec Coop, Inc</t>
  </si>
  <si>
    <t>City of Menasha - (WI)</t>
  </si>
  <si>
    <t>Northwestern Rural E C A, Inc - (PA)</t>
  </si>
  <si>
    <t>City Of Mesa - (AZ)</t>
  </si>
  <si>
    <t>Northeast Louisiana Power Coop Inc.</t>
  </si>
  <si>
    <t>City of Manassas - (VA)</t>
  </si>
  <si>
    <t>Poudre Valley Rea, Inc</t>
  </si>
  <si>
    <t>Springer Electric Coop, Inc</t>
  </si>
  <si>
    <t>City Of Longmont</t>
  </si>
  <si>
    <t>Southern Maryland Elec Coop Inc</t>
  </si>
  <si>
    <t>City Of St George</t>
  </si>
  <si>
    <t>Rusk County Electric Coop, Inc</t>
  </si>
  <si>
    <t>Sun Prairie Utilities</t>
  </si>
  <si>
    <t>Big Bend Electric Coop, Inc</t>
  </si>
  <si>
    <t>Shenandoah Valley Elec Coop</t>
  </si>
  <si>
    <t>City Of Anaheim - (CA)</t>
  </si>
  <si>
    <t>Black Warrior Elec Member Corp</t>
  </si>
  <si>
    <t>City Of Moorhead - (MN)</t>
  </si>
  <si>
    <t>Hartwell City of - GA</t>
  </si>
  <si>
    <t>Red River Valley Rrl Elec Assn</t>
  </si>
  <si>
    <t>City Of Alexandria - (MN)</t>
  </si>
  <si>
    <t>San Isabel Electric Assn, Inc</t>
  </si>
  <si>
    <t>City Of Maquoketa - IA</t>
  </si>
  <si>
    <t>Central Virginia Electric Coop</t>
  </si>
  <si>
    <t>Shelby Electric Coop, Inc</t>
  </si>
  <si>
    <t>City of Peabody - (MA)</t>
  </si>
  <si>
    <t>Harriman Utility Board - TN</t>
  </si>
  <si>
    <t>North Central Elec Coop, Inc - (OH)</t>
  </si>
  <si>
    <t>City of Batavia - (IL)</t>
  </si>
  <si>
    <t>Kiamichi Electric Coop, Inc</t>
  </si>
  <si>
    <t>City of Grand Haven - (MI)</t>
  </si>
  <si>
    <t>Tipmont Rural Elec Member Corp</t>
  </si>
  <si>
    <t>Austin Energy</t>
  </si>
  <si>
    <t>Newberry Electric Coop, Inc</t>
  </si>
  <si>
    <t>Alameda Municipal Power</t>
  </si>
  <si>
    <t>Paulding-Putman Elec Coop, Inc</t>
  </si>
  <si>
    <t>Benton County</t>
  </si>
  <si>
    <t>Rayle Electric Membership Corp</t>
  </si>
  <si>
    <t>Morton City of - TX</t>
  </si>
  <si>
    <t>Cass County Elec Coop Inc</t>
  </si>
  <si>
    <t>City of Springville - (UT)</t>
  </si>
  <si>
    <t>K C Electric Association</t>
  </si>
  <si>
    <t>City Of Pasadena - (CA)</t>
  </si>
  <si>
    <t>Rushshelby Energy</t>
  </si>
  <si>
    <t>Jefferson Utilities</t>
  </si>
  <si>
    <t>Lorain-Medina R E C, Inc</t>
  </si>
  <si>
    <t>Loudon Utilities Board</t>
  </si>
  <si>
    <t>People'S Cooperative Services</t>
  </si>
  <si>
    <t>Knoxville Utilities Board</t>
  </si>
  <si>
    <t>Coles-Moultrie Electric Coop</t>
  </si>
  <si>
    <t>Kay Electric Coop</t>
  </si>
  <si>
    <t>Shawano Municipal Utilities</t>
  </si>
  <si>
    <t>Northern Lights, Inc</t>
  </si>
  <si>
    <t>City of Sweetwater</t>
  </si>
  <si>
    <t>Egyptian Electric Coop Assn</t>
  </si>
  <si>
    <t>Northern Neck Elec Coop, Inc</t>
  </si>
  <si>
    <t>City Of Marshall - (MN)</t>
  </si>
  <si>
    <t>Palmetto Electric Coop Inc</t>
  </si>
  <si>
    <t>Lehi City Corporation</t>
  </si>
  <si>
    <t>Amicalola Electric Member Corp</t>
  </si>
  <si>
    <t>City of Union - (SC)</t>
  </si>
  <si>
    <t>Trico Electric Cooperative Inc</t>
  </si>
  <si>
    <t>Shakopee Public Utilities Comm</t>
  </si>
  <si>
    <t>Northern Virginia Elec Coop</t>
  </si>
  <si>
    <t>Dalton Utilities</t>
  </si>
  <si>
    <t>BENCO Electric Cooperative</t>
  </si>
  <si>
    <t>York Electric Coop Inc</t>
  </si>
  <si>
    <t>City Of Austin - (MN)</t>
  </si>
  <si>
    <t>Northeastern Rural E M C</t>
  </si>
  <si>
    <t>Lincoln Electric System</t>
  </si>
  <si>
    <t>Salt River Electric Coop Corp</t>
  </si>
  <si>
    <t>City of Cleveland - (OH)</t>
  </si>
  <si>
    <t>Habersham Electric Membership Corp</t>
  </si>
  <si>
    <t>Central Rural Electric Cooperative, Inc</t>
  </si>
  <si>
    <t>Waupun Utilities</t>
  </si>
  <si>
    <t>Camilla City of - GA</t>
  </si>
  <si>
    <t>Wharton County Elec Coop, Inc</t>
  </si>
  <si>
    <t>New Ulm Public Utilities Comm</t>
  </si>
  <si>
    <t>Kankakee Valley Rural E M C</t>
  </si>
  <si>
    <t>City Of Homestead - (FL)</t>
  </si>
  <si>
    <t>Covington City of - TN</t>
  </si>
  <si>
    <t>Powell Valley Electric Coop</t>
  </si>
  <si>
    <t>City of Black River Falls</t>
  </si>
  <si>
    <t>Dunn County Electric Coop</t>
  </si>
  <si>
    <t>City of Vineland - (NJ)</t>
  </si>
  <si>
    <t>Whitewater Valley Rural EMC</t>
  </si>
  <si>
    <t>Oconto Falls Water &amp; Light Comm</t>
  </si>
  <si>
    <t>Consolidated Cooperative</t>
  </si>
  <si>
    <t>Manitowoc Public Utilities</t>
  </si>
  <si>
    <t>Southeast Colorado Power Assn</t>
  </si>
  <si>
    <t>Woodsboro Natural Gas - TX</t>
  </si>
  <si>
    <t>City of Springfield - (OR)</t>
  </si>
  <si>
    <t>Navarro County Elec Coop, Inc</t>
  </si>
  <si>
    <t>City of Bowling Green - (OH)</t>
  </si>
  <si>
    <t>Deep East Texas Elec Coop Inc</t>
  </si>
  <si>
    <t>Loudon Util Gas Dept - TN</t>
  </si>
  <si>
    <t>City of Bushnell - (IL)</t>
  </si>
  <si>
    <t>Guernsey-Muskingum El Coop Inc</t>
  </si>
  <si>
    <t>Hibbing Public Utilities Comm</t>
  </si>
  <si>
    <t>Haywood Electric Member Corp</t>
  </si>
  <si>
    <t>City of Bristol - (TN)</t>
  </si>
  <si>
    <t>Claverack Rural Elec Coop Inc</t>
  </si>
  <si>
    <t>Alto City of - TX</t>
  </si>
  <si>
    <t>Pascoag Utility District</t>
  </si>
  <si>
    <t>Union Rural Electric Coop, Inc</t>
  </si>
  <si>
    <t>City of Boulder City - (NV)</t>
  </si>
  <si>
    <t>City of Brooklyn - (IA)</t>
  </si>
  <si>
    <t>Oakdale Electric Coop</t>
  </si>
  <si>
    <t>City of Central City</t>
  </si>
  <si>
    <t>Lighthouse Electric Coop, Inc</t>
  </si>
  <si>
    <t>Dyersburg Gas System - TN</t>
  </si>
  <si>
    <t>City of Naperville - (IL)</t>
  </si>
  <si>
    <t>Dixie Escalante R E A, Inc</t>
  </si>
  <si>
    <t>City of Westfield - (MA)</t>
  </si>
  <si>
    <t>Missouri Rural Electric Coop</t>
  </si>
  <si>
    <t>Monticello City of - GA</t>
  </si>
  <si>
    <t>Slinger Utilities</t>
  </si>
  <si>
    <t>Mt Wheeler Power, Inc</t>
  </si>
  <si>
    <t>City of Liberal - (MO)</t>
  </si>
  <si>
    <t>Menard Electric Coop</t>
  </si>
  <si>
    <t>Safford City of - AZ</t>
  </si>
  <si>
    <t>City Of Burbank Water And Power</t>
  </si>
  <si>
    <t>Capital Electric Coop, Inc</t>
  </si>
  <si>
    <t>New London Electric&amp;Water Util</t>
  </si>
  <si>
    <t>George West City of - TX</t>
  </si>
  <si>
    <t>City Of Colorado Springs - (CO)</t>
  </si>
  <si>
    <t>Co-Mo Electric Coop Inc</t>
  </si>
  <si>
    <t>City of Boscobel - (WI)</t>
  </si>
  <si>
    <t>Carteret-Craven El Member Corp</t>
  </si>
  <si>
    <t>Forest Hill Village of - LA</t>
  </si>
  <si>
    <t>Cloverland Electric Co-Op</t>
  </si>
  <si>
    <t>Rochelle Municipal Utilities</t>
  </si>
  <si>
    <t>White Plains Natural Gas - KY</t>
  </si>
  <si>
    <t>City Of Chaska - (MN)</t>
  </si>
  <si>
    <t>Colquitt Electric Membership Corp</t>
  </si>
  <si>
    <t>City of Bardwell - (KY)</t>
  </si>
  <si>
    <t>City of Dover - (OH)</t>
  </si>
  <si>
    <t>Heart of Texas Electric Coop</t>
  </si>
  <si>
    <t>Tri-State Electric Member Corp</t>
  </si>
  <si>
    <t>City of Eugene - (OR)</t>
  </si>
  <si>
    <t>Kosciusko County Rural E M C</t>
  </si>
  <si>
    <t>Whitehall Electric Utility</t>
  </si>
  <si>
    <t>Dakota Valley Elec Coop Inc</t>
  </si>
  <si>
    <t>City of Westerville - (OH)</t>
  </si>
  <si>
    <t>Altamaha Electric Member Corp</t>
  </si>
  <si>
    <t>City of Peru - (IL)</t>
  </si>
  <si>
    <t>La Plata Electric Assn, Inc</t>
  </si>
  <si>
    <t>City of Sturgeon Bay - (WI)</t>
  </si>
  <si>
    <t>Bartholomew County Rural E M C</t>
  </si>
  <si>
    <t>City of Kaplan - (LA)</t>
  </si>
  <si>
    <t>Ozark Electric Coop Inc - (MO)</t>
  </si>
  <si>
    <t>City of Albany - (MO)</t>
  </si>
  <si>
    <t>Southeastern Il Elec Coop, Inc</t>
  </si>
  <si>
    <t>City of Orrville - (OH)</t>
  </si>
  <si>
    <t>Vermont Electric Cooperative, Inc</t>
  </si>
  <si>
    <t>City of Taunton</t>
  </si>
  <si>
    <t>City of Lebanon - (OH)</t>
  </si>
  <si>
    <t>Tri-County Electric Coop, Inc (SC)</t>
  </si>
  <si>
    <t>City of Volga - (SD)</t>
  </si>
  <si>
    <t>Childersburg Wtr Swr Gas - AL</t>
  </si>
  <si>
    <t>Pearl River Valley El Pwr Assn</t>
  </si>
  <si>
    <t>Town of Massena - (NY)</t>
  </si>
  <si>
    <t>Big Lake City of - TX</t>
  </si>
  <si>
    <t>City Of Ames - IA</t>
  </si>
  <si>
    <t>Fayette Electric Coop, Inc</t>
  </si>
  <si>
    <t>City of Mcminnville - (OR)</t>
  </si>
  <si>
    <t>Central Lincoln People's Ut Dt</t>
  </si>
  <si>
    <t>Edisto Electric Coop, Inc</t>
  </si>
  <si>
    <t>East Baton Rouge Parish Gud 1 - LA</t>
  </si>
  <si>
    <t>Village of Prairie Du Sac - (WI)</t>
  </si>
  <si>
    <t>Missoula Electric Coop, Inc</t>
  </si>
  <si>
    <t>City of Cuyahoga Falls - (OH)</t>
  </si>
  <si>
    <t>Surry-Yadkin Elec Member Corp</t>
  </si>
  <si>
    <t>Hemphill City of - TX</t>
  </si>
  <si>
    <t>City of Seattle - (WA)</t>
  </si>
  <si>
    <t>Kit Carson Electric Coop, Inc</t>
  </si>
  <si>
    <t>Houlton Water Company</t>
  </si>
  <si>
    <t>Minnesota Valley Electric Coop</t>
  </si>
  <si>
    <t>Flemingsburg City of - KY</t>
  </si>
  <si>
    <t>Village of Muscoda - (WI)</t>
  </si>
  <si>
    <t>Hendricks County Rural E M C</t>
  </si>
  <si>
    <t>City of Hastings - (NE)</t>
  </si>
  <si>
    <t>Barron Electric Coop</t>
  </si>
  <si>
    <t>Mason Natural Gas - TN</t>
  </si>
  <si>
    <t>Central Texas Elec Coop, Inc</t>
  </si>
  <si>
    <t>City of Wisner (NE)</t>
  </si>
  <si>
    <t>Sweeny City of - TX</t>
  </si>
  <si>
    <t>Lake Country Power</t>
  </si>
  <si>
    <t>Humboldt Utils - TN</t>
  </si>
  <si>
    <t>City of Bloomfield - (IA)</t>
  </si>
  <si>
    <t>Moon Lake Electric Assn Inc</t>
  </si>
  <si>
    <t>Merced Irrigation District</t>
  </si>
  <si>
    <t>Bedford Rural Elec Coop, Inc</t>
  </si>
  <si>
    <t>City of Gladstone</t>
  </si>
  <si>
    <t>Powder River Energy Corp</t>
  </si>
  <si>
    <t>Lake Cumberland Gas Authority - KY</t>
  </si>
  <si>
    <t>Nephi City Corporation</t>
  </si>
  <si>
    <t>Wells Rural Electric Co</t>
  </si>
  <si>
    <t>Fayette Gas Board - AL</t>
  </si>
  <si>
    <t>Town of Vidalia - (LA)</t>
  </si>
  <si>
    <t>Lane Electric Coop Inc</t>
  </si>
  <si>
    <t>Town Of Wallingford - (CT)</t>
  </si>
  <si>
    <t>Florida Keys El Coop Assn, Inc</t>
  </si>
  <si>
    <t>Village of Greenup - (IL)</t>
  </si>
  <si>
    <t>Beltrami Electric Coop, Inc</t>
  </si>
  <si>
    <t>City of Columbus - (WI)</t>
  </si>
  <si>
    <t>Alfalfa Electric Coop, Inc</t>
  </si>
  <si>
    <t>Board Of Water Electric &amp; Communications</t>
  </si>
  <si>
    <t>Black Hills Electric Coop, Inc</t>
  </si>
  <si>
    <t>Dakota Electric Association</t>
  </si>
  <si>
    <t>City Of Glendale - (CA)</t>
  </si>
  <si>
    <t>Brewton City of - AL</t>
  </si>
  <si>
    <t>City of Two Harbors- (MN)</t>
  </si>
  <si>
    <t>Tri-County Electric Coop, Inc Il</t>
  </si>
  <si>
    <t>City of Geneva- (IL)</t>
  </si>
  <si>
    <t>Jefferson Electric Member Corp</t>
  </si>
  <si>
    <t>Lagrange City of - GA</t>
  </si>
  <si>
    <t>City Of Santa Clara - (CA)</t>
  </si>
  <si>
    <t>Access Energy Coop</t>
  </si>
  <si>
    <t>Rochester Public Utilities</t>
  </si>
  <si>
    <t>Heartland REMC</t>
  </si>
  <si>
    <t>Tri-County Electric Coop, Inc (OK)</t>
  </si>
  <si>
    <t>Utility Board Of The City Of Key West, FL</t>
  </si>
  <si>
    <t>Flint Electric Membership Corp</t>
  </si>
  <si>
    <t>City of Westby</t>
  </si>
  <si>
    <t>Perryton City of - TX</t>
  </si>
  <si>
    <t>Lower Yellowstone R E A, Inc</t>
  </si>
  <si>
    <t>Town of North Attleborough - (MA)</t>
  </si>
  <si>
    <t>Rock Energy Cooperative</t>
  </si>
  <si>
    <t>City of Brady - (TX)</t>
  </si>
  <si>
    <t>Mille Lacs Energy Cooperative</t>
  </si>
  <si>
    <t>Ketchikan Public Utilities</t>
  </si>
  <si>
    <t>Central Electric Coop, Inc - (PA)</t>
  </si>
  <si>
    <t>City of Brookings - (SD)</t>
  </si>
  <si>
    <t>Somerset Rural Elec Coop, Inc</t>
  </si>
  <si>
    <t>Groton Dept Of Utilities - (CT)</t>
  </si>
  <si>
    <t>Blountstown City of - FL</t>
  </si>
  <si>
    <t>Delaware Electric Cooperative</t>
  </si>
  <si>
    <t>Reedsburg Utility Comm</t>
  </si>
  <si>
    <t>SEMO Electric Cooperative</t>
  </si>
  <si>
    <t>City Of Newark - (DE)</t>
  </si>
  <si>
    <t>Surprise Valley Electrification</t>
  </si>
  <si>
    <t>Town of Tarboro - (NC)</t>
  </si>
  <si>
    <t>Oahe Electric Cooperative, Inc.</t>
  </si>
  <si>
    <t>City of Sabula - (IA)</t>
  </si>
  <si>
    <t>Utilities Dist-Western IN REMC</t>
  </si>
  <si>
    <t>Village of L'Anse - (MI)</t>
  </si>
  <si>
    <t>Horry Electric Coop Inc</t>
  </si>
  <si>
    <t>City of Wahoo - (NE)</t>
  </si>
  <si>
    <t>Albemarle Electric Member Corp</t>
  </si>
  <si>
    <t>Saco Municipal Gas Svc - MT</t>
  </si>
  <si>
    <t>City of Burlingame - (KS)</t>
  </si>
  <si>
    <t>Carroll-White REMC</t>
  </si>
  <si>
    <t>Seiling Public Works Authority - OK</t>
  </si>
  <si>
    <t>City of Ellensburg - (WA)</t>
  </si>
  <si>
    <t>Chugach Electric Assn Inc</t>
  </si>
  <si>
    <t>City of Virginia - (MN)</t>
  </si>
  <si>
    <t>Verendrye Electric Coop Inc</t>
  </si>
  <si>
    <t>Western Indiana Energy REMC</t>
  </si>
  <si>
    <t>City of Perry - (MO)</t>
  </si>
  <si>
    <t>Osage City Natural Gas - KS</t>
  </si>
  <si>
    <t>Village of Mt. Horeb - (WI)</t>
  </si>
  <si>
    <t>Blue Ridge Elec Member Corp - (NC)</t>
  </si>
  <si>
    <t>City of Plymouth - (WI)</t>
  </si>
  <si>
    <t>REA Energy Coop Inc</t>
  </si>
  <si>
    <t>Bismarck City of - MO</t>
  </si>
  <si>
    <t>City of Henning - (MN)</t>
  </si>
  <si>
    <t>South Central Electric Assn</t>
  </si>
  <si>
    <t>PUD No 1 of Franklin County</t>
  </si>
  <si>
    <t>New Smyrna Beach City Of</t>
  </si>
  <si>
    <t>Central Missouri Elec Coop Inc</t>
  </si>
  <si>
    <t>Corinth City of Gas And Water - MS</t>
  </si>
  <si>
    <t>Village of Freeport - (NY)</t>
  </si>
  <si>
    <t>Steele-Waseca Cooperative Electric</t>
  </si>
  <si>
    <t>City of Forest Grove</t>
  </si>
  <si>
    <t>Farmers Electric Coop, Inc - (MO)</t>
  </si>
  <si>
    <t>Easton Utilities Comm</t>
  </si>
  <si>
    <t>Tri-County Rural Elec Coop Inc (PA)</t>
  </si>
  <si>
    <t>Jonesboro City of - IL</t>
  </si>
  <si>
    <t>City of Plattsburgh - (NY)</t>
  </si>
  <si>
    <t>Adams-Columbia Electric Coop</t>
  </si>
  <si>
    <t>City of Stoughton - (WI)</t>
  </si>
  <si>
    <t>South Louisiana Elec Coop Assn</t>
  </si>
  <si>
    <t>West Baton Rouge Parish Nat Gas - LA</t>
  </si>
  <si>
    <t>Two Rivers Water &amp; Light</t>
  </si>
  <si>
    <t>Platte-Clay Electric Coop, Inc</t>
  </si>
  <si>
    <t>Kountze City of - TX</t>
  </si>
  <si>
    <t>City of St Charles - (IL)</t>
  </si>
  <si>
    <t>Jasper-Newton Elec Coop, Inc</t>
  </si>
  <si>
    <t>Town of Middleborough - (MA)</t>
  </si>
  <si>
    <t>St Joseph Mun Nat Gas - LA</t>
  </si>
  <si>
    <t>City Of Worthington - (MN)</t>
  </si>
  <si>
    <t>New Hampshire Elec Coop Inc</t>
  </si>
  <si>
    <t>Florence Utility Comm</t>
  </si>
  <si>
    <t>Adamsville City of - TN</t>
  </si>
  <si>
    <t>Consumers Power, Inc</t>
  </si>
  <si>
    <t>City of Kirkwood - (MO)</t>
  </si>
  <si>
    <t>Consumers Energy</t>
  </si>
  <si>
    <t>City of Winchester - (TN)</t>
  </si>
  <si>
    <t>Cedar Falls Utilities</t>
  </si>
  <si>
    <t>Town of Hudson - (MA)</t>
  </si>
  <si>
    <t>San Miguel Power Assn, Inc</t>
  </si>
  <si>
    <t>City Of Burlington Electric - Vt</t>
  </si>
  <si>
    <t>East Central Energy</t>
  </si>
  <si>
    <t>City of Kaukauna (WI)</t>
  </si>
  <si>
    <t>Oconomowoc Utilities</t>
  </si>
  <si>
    <t>French Broad Elec Member Corp</t>
  </si>
  <si>
    <t>Krotz Springs City of - LA</t>
  </si>
  <si>
    <t>City of Marquette - (MI)</t>
  </si>
  <si>
    <t>Sand Mountain Electric Coop</t>
  </si>
  <si>
    <t>City of Lenoir - (TN)</t>
  </si>
  <si>
    <t>Peninsula Light Company</t>
  </si>
  <si>
    <t>City of Clarksville - (TN)</t>
  </si>
  <si>
    <t>Central Electric Coop Inc - (OR)</t>
  </si>
  <si>
    <t>Johnson City - (TN)</t>
  </si>
  <si>
    <t>Havana Town of - FL</t>
  </si>
  <si>
    <t>Southern Rivers Energy</t>
  </si>
  <si>
    <t>City of Fairbank - (IA)</t>
  </si>
  <si>
    <t>Benton Rural Electric Assn</t>
  </si>
  <si>
    <t>City of Cuba Natural Gas - MO</t>
  </si>
  <si>
    <t>Linn County Rec</t>
  </si>
  <si>
    <t>Los Alamos County</t>
  </si>
  <si>
    <t>Dubois Rural Electric Coop Inc</t>
  </si>
  <si>
    <t>Fitzgerald Wtr Lgt &amp; Bond Comm</t>
  </si>
  <si>
    <t>City of Huntingburg - (IN)</t>
  </si>
  <si>
    <t>Upper Cumberland E M C</t>
  </si>
  <si>
    <t>Rockport City of - TX</t>
  </si>
  <si>
    <t>Consolidated Electric Coop</t>
  </si>
  <si>
    <t>City of Negaunee</t>
  </si>
  <si>
    <t>Marshall Cty Gas Dist - AL</t>
  </si>
  <si>
    <t>City of Jasper - (IN)</t>
  </si>
  <si>
    <t>Hart Electric Member Corp</t>
  </si>
  <si>
    <t>City of Marshfield - (WI)</t>
  </si>
  <si>
    <t>South Plains Electric Coop Inc</t>
  </si>
  <si>
    <t>Covington Town of - OK</t>
  </si>
  <si>
    <t>Bozrah Light &amp; Power Company</t>
  </si>
  <si>
    <t>Presque Isle Elec &amp; Gas Coop</t>
  </si>
  <si>
    <t>City Of Lake Crystal - Mn</t>
  </si>
  <si>
    <t>Agralite Electric Coop</t>
  </si>
  <si>
    <t>Emw Gas Assn - NM</t>
  </si>
  <si>
    <t>City of Osage - (IA)</t>
  </si>
  <si>
    <t>United Electric Co-Op, Inc - ID</t>
  </si>
  <si>
    <t>Willmar Municipal Utilities (MN)</t>
  </si>
  <si>
    <t>Eastern Iowa Light &amp; Power Coop</t>
  </si>
  <si>
    <t>Louisville City of - GA</t>
  </si>
  <si>
    <t>City of Alton</t>
  </si>
  <si>
    <t>Valley Rural Electric Coop Inc</t>
  </si>
  <si>
    <t>Lawrenceburg Utility Systems - TN</t>
  </si>
  <si>
    <t>City of Stromsburg - (NE)</t>
  </si>
  <si>
    <t>Rio Grande Electric Coop, Inc</t>
  </si>
  <si>
    <t>City Of Benton - (AR)</t>
  </si>
  <si>
    <t>Cimarron Electric Coop</t>
  </si>
  <si>
    <t>City of Manning - (IA)</t>
  </si>
  <si>
    <t>Wayne-White Counties Elec Coop</t>
  </si>
  <si>
    <t>Town of Apex- (NC)</t>
  </si>
  <si>
    <t>City of Rockwood - (TN)</t>
  </si>
  <si>
    <t>Matanuska Electric Assn Inc</t>
  </si>
  <si>
    <t>Rock Rapids Municipal Utility - (IA)</t>
  </si>
  <si>
    <t>San Bernard Electric Coop, Inc</t>
  </si>
  <si>
    <t>City of Sylvania - GA</t>
  </si>
  <si>
    <t>Brodhead Water &amp; Lighting Comm</t>
  </si>
  <si>
    <t>Karnes Electric Coop Inc</t>
  </si>
  <si>
    <t>City of Zeeland - (MI)</t>
  </si>
  <si>
    <t>Tri-County Electric Coop, Inc Ok</t>
  </si>
  <si>
    <t>Lordsburg City of - NM</t>
  </si>
  <si>
    <t>Pittsburg Power Company</t>
  </si>
  <si>
    <t>Norris Electric Coop</t>
  </si>
  <si>
    <t>City Of Independence - IA</t>
  </si>
  <si>
    <t>Nodak Electric Coop Inc</t>
  </si>
  <si>
    <t>Holy Cross Electric Assn, Inc</t>
  </si>
  <si>
    <t>City of New Richmond</t>
  </si>
  <si>
    <t>Southwestern Electric Coop Inc - (NM)</t>
  </si>
  <si>
    <t>City of Port Angeles - (WA)</t>
  </si>
  <si>
    <t>City of Wadsworth - (OH)</t>
  </si>
  <si>
    <t>City of Round Lake - (MN)</t>
  </si>
  <si>
    <t>Duck River Elec Member Corp</t>
  </si>
  <si>
    <t>Gueydan Town of - LA</t>
  </si>
  <si>
    <t>Town of Shrewsbury - (MA)</t>
  </si>
  <si>
    <t>Greenbelt Electric Coop, Inc</t>
  </si>
  <si>
    <t>Town of Mansfield - (MA)</t>
  </si>
  <si>
    <t>Crow Wing Cooperative Power &amp; Light Comp</t>
  </si>
  <si>
    <t>City of New Holstein - (WI)</t>
  </si>
  <si>
    <t>Jo-Carroll Energy, Inc</t>
  </si>
  <si>
    <t>City of Superior - (NE)</t>
  </si>
  <si>
    <t>Coweta-Fayette El Member Corp</t>
  </si>
  <si>
    <t>City of Wall Lake - (IA)</t>
  </si>
  <si>
    <t>Northwestern Electric Coop Inc - (OK)</t>
  </si>
  <si>
    <t>City of Remsen - (IA)</t>
  </si>
  <si>
    <t>Orcas Power &amp; Light Coop</t>
  </si>
  <si>
    <t>Mclean Electric Coop, Inc</t>
  </si>
  <si>
    <t>Village of New Glarus - (WI)</t>
  </si>
  <si>
    <t>Homer Electric Assn Inc</t>
  </si>
  <si>
    <t>City of Mapleton- (IA)</t>
  </si>
  <si>
    <t>Tri-County Electric Coop Mi</t>
  </si>
  <si>
    <t>City of Moundridge - (KS)</t>
  </si>
  <si>
    <t>Itasca-Mantrap Co-Op Electrical Assn</t>
  </si>
  <si>
    <t>Commerce City of - GA</t>
  </si>
  <si>
    <t>City of Randall - (MN)</t>
  </si>
  <si>
    <t>Big Country Electric Coop, Inc</t>
  </si>
  <si>
    <t>City of Richland Center - (WI)</t>
  </si>
  <si>
    <t>Prairie Energy Coop</t>
  </si>
  <si>
    <t>Alger-Delta Coop Electric Assn</t>
  </si>
  <si>
    <t>City of Covington - GA</t>
  </si>
  <si>
    <t>City of Sanborn - (IA)</t>
  </si>
  <si>
    <t>Washington Electric Coop - (VT)</t>
  </si>
  <si>
    <t>Algoma Utility Comm</t>
  </si>
  <si>
    <t>Polk-Burnett Electric Coop</t>
  </si>
  <si>
    <t>City of Altamont - (KS)</t>
  </si>
  <si>
    <t>Butler County Rural Elec Coop - IA</t>
  </si>
  <si>
    <t>Cedarburg Light &amp; Water Comm</t>
  </si>
  <si>
    <t>Federated Rural Electric Assn</t>
  </si>
  <si>
    <t>Harlan Municipal Utilities - (IA)</t>
  </si>
  <si>
    <t>Holmes-Wayne Electric Coop Inc</t>
  </si>
  <si>
    <t>Montgomery Town of - LA</t>
  </si>
  <si>
    <t>Wright-Hennepin Coop Elec Assn</t>
  </si>
  <si>
    <t>City of Laurens - (SC)</t>
  </si>
  <si>
    <t>City of Lodi - (WI)</t>
  </si>
  <si>
    <t>Scottsboro Wtr Sewer And Gas Board - AL</t>
  </si>
  <si>
    <t>Southwest Texas Elec Coop, Inc</t>
  </si>
  <si>
    <t>Village of Fairport - (NY)</t>
  </si>
  <si>
    <t>Town of Littleton - (MA)</t>
  </si>
  <si>
    <t>Maquoketa Valley Rrl Elec Coop</t>
  </si>
  <si>
    <t>Midwest Electric, Inc - (OH)</t>
  </si>
  <si>
    <t>City of River Falls</t>
  </si>
  <si>
    <t>Meeker Coop Light &amp; Power Assn</t>
  </si>
  <si>
    <t>South Fulton City of - TN</t>
  </si>
  <si>
    <t>City of Scribner - (NE)</t>
  </si>
  <si>
    <t>Heartland Power Coop</t>
  </si>
  <si>
    <t>Washington Parish Gud  2 - LA</t>
  </si>
  <si>
    <t>City of Stuart - (NE)</t>
  </si>
  <si>
    <t>Minnesota Valley Coop L&amp;P Assn</t>
  </si>
  <si>
    <t>City of Norway</t>
  </si>
  <si>
    <t>Hancock-Wood Electric Coop Inc</t>
  </si>
  <si>
    <t>Town of Braintree - (MA)</t>
  </si>
  <si>
    <t>Scenic Rivers Energy Coop</t>
  </si>
  <si>
    <t>Turlock Irrigation District</t>
  </si>
  <si>
    <t>City of Hawarden - (IA)</t>
  </si>
  <si>
    <t>Rosebud Electric Coop Inc</t>
  </si>
  <si>
    <t>Madisonville Town of - LA</t>
  </si>
  <si>
    <t>Licking Rural Electric Inc</t>
  </si>
  <si>
    <t>Town of Danvers</t>
  </si>
  <si>
    <t>Obion Town of - TN</t>
  </si>
  <si>
    <t>Northern Electric Coop, Inc</t>
  </si>
  <si>
    <t>City of Granite - (OK)</t>
  </si>
  <si>
    <t>Columbia Rural Elec Assn, Inc</t>
  </si>
  <si>
    <t>City of Traer - (IA)</t>
  </si>
  <si>
    <t>Sawnee Electric Membership Corporation</t>
  </si>
  <si>
    <t>City of Pender - (NE)</t>
  </si>
  <si>
    <t>Mienergy Cooperative</t>
  </si>
  <si>
    <t>Fall River Rural Elec Coop Inc</t>
  </si>
  <si>
    <t>City of Cuba City</t>
  </si>
  <si>
    <t>Garnett City of - KS</t>
  </si>
  <si>
    <t>Iowa Lakes Electric Coop</t>
  </si>
  <si>
    <t>City of Crystal Falls</t>
  </si>
  <si>
    <t>Kauai Island Utility Cooperative</t>
  </si>
  <si>
    <t>Woodville City of - TX</t>
  </si>
  <si>
    <t>City Of Palo Alto - (CA)</t>
  </si>
  <si>
    <t>East-Central Iowa Rural Elec Coop</t>
  </si>
  <si>
    <t>PUD No 1 of Benton County</t>
  </si>
  <si>
    <t>Town of Wakefield - (MA)</t>
  </si>
  <si>
    <t>Kotzebue Electric Assn Inc</t>
  </si>
  <si>
    <t>Cascade Mun Util - IA</t>
  </si>
  <si>
    <t>Burke-Divide Electric Coop Inc</t>
  </si>
  <si>
    <t>Lower Valley Energy Inc</t>
  </si>
  <si>
    <t>City of Lamoni - (IA)</t>
  </si>
  <si>
    <t>Stearns Cooperative Elec Assn</t>
  </si>
  <si>
    <t>City of Eagle River - (WI)</t>
  </si>
  <si>
    <t>Englewood Utilities - TN</t>
  </si>
  <si>
    <t>Runestone Electric Assn</t>
  </si>
  <si>
    <t>Los Angeles Department Of Water &amp; Power</t>
  </si>
  <si>
    <t>Halstead Mun Gas Dept - KS</t>
  </si>
  <si>
    <t>Lake Region Electric Cooperative - (MN)</t>
  </si>
  <si>
    <t>Elberton Utilities  Nat Gas Div - GA</t>
  </si>
  <si>
    <t>Midland Power Coop</t>
  </si>
  <si>
    <t>Usbia-San Carlos Project</t>
  </si>
  <si>
    <t>Federal</t>
  </si>
  <si>
    <t>Mountain Parks Electric, Inc</t>
  </si>
  <si>
    <t>Central Electric Membership Corp. - (NC)</t>
  </si>
  <si>
    <t>Cookson Hills Elec Coop, Inc</t>
  </si>
  <si>
    <t>North Plains Electric Coop Inc</t>
  </si>
  <si>
    <t>Midwest Electric Member Corp - (NE)</t>
  </si>
  <si>
    <t>Lyon Rural Electric Coop</t>
  </si>
  <si>
    <t>White River Electric Assn, Inc</t>
  </si>
  <si>
    <t>Fergus Electric Coop, Inc</t>
  </si>
  <si>
    <t>Calhoun County Elec Coop Assn</t>
  </si>
  <si>
    <t>Waynesboro City of - TN</t>
  </si>
  <si>
    <t>North West Rural Electric Coop</t>
  </si>
  <si>
    <t>Chester Gas Sys - TX</t>
  </si>
  <si>
    <t>Jena Town of - LA</t>
  </si>
  <si>
    <t>Carrizo Springs City of - TX</t>
  </si>
  <si>
    <t>New Florence Municipal Gas - MO</t>
  </si>
  <si>
    <t>Providence City of - KY</t>
  </si>
  <si>
    <t>Summerville Nat Gas Sys - GA</t>
  </si>
  <si>
    <t>Harrisburg Wtr Gas Div - AR</t>
  </si>
  <si>
    <t>Kevil City of - KY</t>
  </si>
  <si>
    <t>Uvalde Gas System - TX</t>
  </si>
  <si>
    <t>Fairland Gas Auth - OK</t>
  </si>
  <si>
    <t>Arlington City of - KY</t>
  </si>
  <si>
    <t>Huntington City of - TX</t>
  </si>
  <si>
    <t>Mt Pleasant Gas Sys - TN</t>
  </si>
  <si>
    <t>New River Light &amp; Power Co</t>
  </si>
  <si>
    <t>Dupo Village of - IL</t>
  </si>
  <si>
    <t>Belmont Natural Gas Town of - MS</t>
  </si>
  <si>
    <t>Cherokee Electric Coop</t>
  </si>
  <si>
    <t>Crockett Public Utility Dist - TN</t>
  </si>
  <si>
    <t>Vera Irrigation District #15</t>
  </si>
  <si>
    <t>Benson City of - AZ</t>
  </si>
  <si>
    <t>Imperial Irrigation District</t>
  </si>
  <si>
    <t>Virginia Tech Electric Service</t>
  </si>
  <si>
    <t>City of Grant City Missouri - MO</t>
  </si>
  <si>
    <t>PUD No 1 of Clallam County</t>
  </si>
  <si>
    <t>Bowman City of - GA</t>
  </si>
  <si>
    <t>Columbia River Peoples Ut Dist</t>
  </si>
  <si>
    <t>Leesburg City of - FL</t>
  </si>
  <si>
    <t>Grove Mun Services Authority - OK</t>
  </si>
  <si>
    <t>Northern Wasco County PUD - (OR)</t>
  </si>
  <si>
    <t>Cashion Pub Wks Auth - OK</t>
  </si>
  <si>
    <t>Andersonville City of - GA</t>
  </si>
  <si>
    <t>Village of Pleasant Hill - IL</t>
  </si>
  <si>
    <t>Pineland City of - TX</t>
  </si>
  <si>
    <t>Social Circle City of - GA</t>
  </si>
  <si>
    <t>Union City of - SC</t>
  </si>
  <si>
    <t>Barlow Mun Gas Co - KY</t>
  </si>
  <si>
    <t>Southern Public Power District</t>
  </si>
  <si>
    <t>Paris - KY</t>
  </si>
  <si>
    <t>City of Chanute</t>
  </si>
  <si>
    <t>Gary Natural Gas System - TX</t>
  </si>
  <si>
    <t>Overton Power District No 5</t>
  </si>
  <si>
    <t>Westlake Nat Gas Sys - LA</t>
  </si>
  <si>
    <t>Cedar-Knox Public Power Dist</t>
  </si>
  <si>
    <t>Brooksville City of - KY</t>
  </si>
  <si>
    <t>Iota Town of - LA</t>
  </si>
  <si>
    <t>Buford City of - GA</t>
  </si>
  <si>
    <t>Tishomingo City Of</t>
  </si>
  <si>
    <t>Morehead Utility Plant Board</t>
  </si>
  <si>
    <t>Village Energy Coop Assoc Inc - OH</t>
  </si>
  <si>
    <t>Prescott Mun Nat Gas Co - IA</t>
  </si>
  <si>
    <t>PUD No 1 of Okanogan County</t>
  </si>
  <si>
    <t>Jasonville City of - IN</t>
  </si>
  <si>
    <t>Falls City City of - NE</t>
  </si>
  <si>
    <t>Citipower Llc - KY</t>
  </si>
  <si>
    <t>PUD No 2 of Grant County - (WA)</t>
  </si>
  <si>
    <t>Cordova Wtr Wks And Gas BD - AL</t>
  </si>
  <si>
    <t>Deshler Municipal Utilities - OH</t>
  </si>
  <si>
    <t>Starke City of - FL</t>
  </si>
  <si>
    <t>Modesto Irrigation District</t>
  </si>
  <si>
    <t>Trion Town of - GA</t>
  </si>
  <si>
    <t>City of Cleveland - OK</t>
  </si>
  <si>
    <t>Utilities Board of Trussville - AL</t>
  </si>
  <si>
    <t>Lafayette City of - TN</t>
  </si>
  <si>
    <t>PUD No 2 of Pacific County</t>
  </si>
  <si>
    <t>Yale Water &amp; Sewer Trust - OK</t>
  </si>
  <si>
    <t>Gas Util District 2 - LA</t>
  </si>
  <si>
    <t>Port Barre Town of - LA</t>
  </si>
  <si>
    <t>Berwick Town of - LA</t>
  </si>
  <si>
    <t>Reklaw Nat Gas Sys - TX</t>
  </si>
  <si>
    <t>Fountain Inn Natural Gas - SC</t>
  </si>
  <si>
    <t>Dekalb Cherokee Counties - AL</t>
  </si>
  <si>
    <t>Springfield City Utils - MO</t>
  </si>
  <si>
    <t>Richland City of - MO</t>
  </si>
  <si>
    <t>Red Bay Water And Gas - AL</t>
  </si>
  <si>
    <t>Las Cruces Mun Gas - NM</t>
  </si>
  <si>
    <t>Vanceburg Electric Plant Board of - KY</t>
  </si>
  <si>
    <t>Bolivar City of - TN</t>
  </si>
  <si>
    <t>PUD No 1 of Grays Harbor County</t>
  </si>
  <si>
    <t>Gibson County Utility District - TN</t>
  </si>
  <si>
    <t>Moulton Mun Gas Sys - IA</t>
  </si>
  <si>
    <t>Linton City of - IN</t>
  </si>
  <si>
    <t>Fort Gaines City of - GA</t>
  </si>
  <si>
    <t>Equality Municipal Gas - IL</t>
  </si>
  <si>
    <t>Anna City of - IL</t>
  </si>
  <si>
    <t>USBIA-Mission Valley Power</t>
  </si>
  <si>
    <t>Alexander City Mun Gas Co - AL</t>
  </si>
  <si>
    <t>Clinton Newberry Nat Gas Authority - SC</t>
  </si>
  <si>
    <t>Leonville Town of - LA</t>
  </si>
  <si>
    <t>Pensacola Energy - FL</t>
  </si>
  <si>
    <t>Maplesville Ut BD - AL</t>
  </si>
  <si>
    <t>Chattahoochee City of - FL</t>
  </si>
  <si>
    <t>Village of Elizabeth - LA</t>
  </si>
  <si>
    <t>Boaz City of Gas BD - AL</t>
  </si>
  <si>
    <t>Tallapoosa City of - GA</t>
  </si>
  <si>
    <t>Booneville Municipal Gas - MS</t>
  </si>
  <si>
    <t>East Central Alabama Gas District - AL</t>
  </si>
  <si>
    <t>Roanoke Utility Board - AL</t>
  </si>
  <si>
    <t>Bainbridge City of - GA</t>
  </si>
  <si>
    <t>Richmond Utilities Board - KY</t>
  </si>
  <si>
    <t>Dawson Power District</t>
  </si>
  <si>
    <t>Chickasawhay Nat Gas - MS</t>
  </si>
  <si>
    <t>Denison City of - KS</t>
  </si>
  <si>
    <t>Henderson City of - TN</t>
  </si>
  <si>
    <t>Liberal Municipal Natural Gas System - MO</t>
  </si>
  <si>
    <t>Centerville Town of - TN</t>
  </si>
  <si>
    <t>St James Parish Utilities - LA</t>
  </si>
  <si>
    <t>Leitchfield Util - KY</t>
  </si>
  <si>
    <t>Howard City of - KS</t>
  </si>
  <si>
    <t>Clatskanie Peoples Util Dist</t>
  </si>
  <si>
    <t>PUD No 1 of Lewis County - (WA)</t>
  </si>
  <si>
    <t>Montezuma Municipal Gas Utility - IN</t>
  </si>
  <si>
    <t>Tri-County Natural Gas Authority - GA</t>
  </si>
  <si>
    <t>Wheaton City of - MO</t>
  </si>
  <si>
    <t>Southwest Public Power Dist</t>
  </si>
  <si>
    <t>PUD No 3 of Mason County</t>
  </si>
  <si>
    <t>Cartersville Gas System - GA</t>
  </si>
  <si>
    <t>Cornhusker Public Power Dist</t>
  </si>
  <si>
    <t>Morganfield City of - KY</t>
  </si>
  <si>
    <t>Green City Municipal Natural Gas Sys - MO</t>
  </si>
  <si>
    <t>Tillamook Peoples Utility Dist</t>
  </si>
  <si>
    <t>Pittsfield City of - IL</t>
  </si>
  <si>
    <t>Hazard City Of</t>
  </si>
  <si>
    <t>Elkhorn Rural Public Pwr Dist</t>
  </si>
  <si>
    <t>Uniontown City of - KS</t>
  </si>
  <si>
    <t>Elizabethtown City of - KY</t>
  </si>
  <si>
    <t>Vernon Parish Gud 1 - LA</t>
  </si>
  <si>
    <t>Willcox City of - AZ</t>
  </si>
  <si>
    <t>Chelsea Gas Authority - OK</t>
  </si>
  <si>
    <t>Tallassee City of - AL</t>
  </si>
  <si>
    <t>Williston City of - FL</t>
  </si>
  <si>
    <t>Pulaski Natural Gas Dept - TN</t>
  </si>
  <si>
    <t>City of Winona - TX</t>
  </si>
  <si>
    <t>Montezuma Natural Gas Dept - IA</t>
  </si>
  <si>
    <t>Chester Cty Nat Gas Auth - SC</t>
  </si>
  <si>
    <t>Perry City of - FL</t>
  </si>
  <si>
    <t>North Crossett Utilities Gas &amp; Water - AR</t>
  </si>
  <si>
    <t>Toccoa Natural Gas System - GA</t>
  </si>
  <si>
    <t>Perennial Public Power Dist</t>
  </si>
  <si>
    <t>Crescent City Nat Gas - FL</t>
  </si>
  <si>
    <t>Madison City of - FL</t>
  </si>
  <si>
    <t>Jacksonville - AL</t>
  </si>
  <si>
    <t>Defuniak Springs City of - FL</t>
  </si>
  <si>
    <t>PUD No 1 of Chelan County - (WA)</t>
  </si>
  <si>
    <t>Barrow Utilities Electric Coop Inc - AK</t>
  </si>
  <si>
    <t>Partridge City of - KS</t>
  </si>
  <si>
    <t>Norris Public Power District</t>
  </si>
  <si>
    <t>Mulberry Municipal Natural Gas Sys - KS</t>
  </si>
  <si>
    <t>Lake Apopka Natural Gas District - FL</t>
  </si>
  <si>
    <t>Bushnell City of - IL</t>
  </si>
  <si>
    <t>Rangely Town of - CO</t>
  </si>
  <si>
    <t>Tomball City of - TX</t>
  </si>
  <si>
    <t>Argyle City of - MN</t>
  </si>
  <si>
    <t>Loup River Public Power Dist</t>
  </si>
  <si>
    <t>Boonville Nat Gas Corp - IN</t>
  </si>
  <si>
    <t>Lewisburg Gas Dept - TN</t>
  </si>
  <si>
    <t>Woodworth Town of - LA</t>
  </si>
  <si>
    <t>Strawberry Electric Serv Dist</t>
  </si>
  <si>
    <t>Mulga Nat Gas System - AL</t>
  </si>
  <si>
    <t>Grand Isle Town of - LA</t>
  </si>
  <si>
    <t>PUD No 1 of Pend Oreille County - (WA)</t>
  </si>
  <si>
    <t>Wilcox County Gas District - AL</t>
  </si>
  <si>
    <t>West Tennessee Public Utility Dist - TN</t>
  </si>
  <si>
    <t>Southeast Alabama Gas District - AL</t>
  </si>
  <si>
    <t>Millen City of - GA</t>
  </si>
  <si>
    <t>Iberville Parish Utility Department - LA</t>
  </si>
  <si>
    <t>Abbyville City of - KS</t>
  </si>
  <si>
    <t>Huxley City of - TX</t>
  </si>
  <si>
    <t>C T Enterprises  - Pa</t>
  </si>
  <si>
    <t>Sicily Island Gas Co - LA</t>
  </si>
  <si>
    <t>Vici Pub Work Auth - OK</t>
  </si>
  <si>
    <t>City of Columbia Gas Department - KY</t>
  </si>
  <si>
    <t>Electrical Dist No3 Pinal County</t>
  </si>
  <si>
    <t>Mccomb Natural Gas - OH</t>
  </si>
  <si>
    <t>City of Alpine Gas Department - TX</t>
  </si>
  <si>
    <t>Humphreys County Utilities Dist - TN</t>
  </si>
  <si>
    <t>Pickens County Natural Gas District - AL</t>
  </si>
  <si>
    <t>West Liberty Gas System - KY</t>
  </si>
  <si>
    <t>Hornbeck Town of - LA</t>
  </si>
  <si>
    <t>Port Aransas City of - TX</t>
  </si>
  <si>
    <t>Northeast Power</t>
  </si>
  <si>
    <t>Bluford Gas - IL</t>
  </si>
  <si>
    <t>Lancaster Cty Nat Gas Authority - SC</t>
  </si>
  <si>
    <t>North Alabama Gas District - AL</t>
  </si>
  <si>
    <t>Smyrna Nat Gas Sys - TN</t>
  </si>
  <si>
    <t>Greater Dickson Gas Authority - TN</t>
  </si>
  <si>
    <t>Dadeville Gas Board - AL</t>
  </si>
  <si>
    <t>South Carolina Public Service Authority</t>
  </si>
  <si>
    <t>Jonesville Town of - LA</t>
  </si>
  <si>
    <t>Bessemer City of - NC</t>
  </si>
  <si>
    <t>Osgood Mun Sys - IN</t>
  </si>
  <si>
    <t>PUD No 1 of Klickitat County</t>
  </si>
  <si>
    <t>Mona City - UT</t>
  </si>
  <si>
    <t>Claiborne Utilities District - TN</t>
  </si>
  <si>
    <t>Cisne Village of - IL</t>
  </si>
  <si>
    <t>Daisetta City of - TX</t>
  </si>
  <si>
    <t>Oneonta Util BD - AL</t>
  </si>
  <si>
    <t>Metropolitan Utilities Dist of Omaha - NE</t>
  </si>
  <si>
    <t>Columbia Town of - LA</t>
  </si>
  <si>
    <t>Neodesha City of - KS</t>
  </si>
  <si>
    <t>Patterson City of - LA</t>
  </si>
  <si>
    <t>City of Mannford - OK</t>
  </si>
  <si>
    <t>Statesboro City of - GA</t>
  </si>
  <si>
    <t>Norris City Village of - IL</t>
  </si>
  <si>
    <t>Welch Gas Co Op - WV</t>
  </si>
  <si>
    <t>Madison City of - MO</t>
  </si>
  <si>
    <t>Tifton Natural Gas System - GA</t>
  </si>
  <si>
    <t>Keystone Cooperative Association Inc - PA</t>
  </si>
  <si>
    <t>Plains City of - TX</t>
  </si>
  <si>
    <t>West Feliciano Parish Gud 1</t>
  </si>
  <si>
    <t>Appleby Natural Gas - TX</t>
  </si>
  <si>
    <t>Sweetwater Utilities Board - TN</t>
  </si>
  <si>
    <t>Fultondale Gas Board - AL</t>
  </si>
  <si>
    <t>Perry Municipal Gas System - MO</t>
  </si>
  <si>
    <t>Knox Energy Coop Association Inc - PA</t>
  </si>
  <si>
    <t>Winder City of - GA</t>
  </si>
  <si>
    <t>Enumclaw City of - WA</t>
  </si>
  <si>
    <t>City of Lexington - NC</t>
  </si>
  <si>
    <t>Perry City of - GA</t>
  </si>
  <si>
    <t>Fairfield City of - IL</t>
  </si>
  <si>
    <t>Long Island Power Authority</t>
  </si>
  <si>
    <t>Hardeman Fayette Util Dist - TN</t>
  </si>
  <si>
    <t>Rolfe Municipal Gas - IA</t>
  </si>
  <si>
    <t>Fort Hill Nat Gas Auth - SC</t>
  </si>
  <si>
    <t>Bamberg BD of Pub Works - SC</t>
  </si>
  <si>
    <t>Lenox Gas System - IA</t>
  </si>
  <si>
    <t>Salt River Project</t>
  </si>
  <si>
    <t>Omaha Public Power District</t>
  </si>
  <si>
    <t>PUD 1 of Snohomish County</t>
  </si>
  <si>
    <t>PUD No 1 Of Clark County - WA</t>
  </si>
  <si>
    <t>Unionville Municipal Natural Gas Sys - MO</t>
  </si>
  <si>
    <t>City of Lawrenceville - GA</t>
  </si>
  <si>
    <t>City of Susanville - CA</t>
  </si>
  <si>
    <t>Somerset Gas Svc - KY</t>
  </si>
  <si>
    <t>Clinton Town of - LA</t>
  </si>
  <si>
    <t>Cgud of Grant Parish - LA</t>
  </si>
  <si>
    <t>Benton Gas System - KY</t>
  </si>
  <si>
    <t>Hulbert Pub Wks Auth - OK</t>
  </si>
  <si>
    <t>Bridgeport Util BD - AL</t>
  </si>
  <si>
    <t>Pike County Light And Power - PA</t>
  </si>
  <si>
    <t>Lancaster Municipal Gas - OH</t>
  </si>
  <si>
    <t>Burlingame City of - KS</t>
  </si>
  <si>
    <t>Greenup Village of - IL</t>
  </si>
  <si>
    <t>Middle Tennessee Util Dist - TN</t>
  </si>
  <si>
    <t>Rensselaer Gas Util Dept - IN</t>
  </si>
  <si>
    <t>Cullman Jefferson Gas - AL</t>
  </si>
  <si>
    <t>Elk River Public Utility District - TN</t>
  </si>
  <si>
    <t>C T Enterprises  - PA</t>
  </si>
  <si>
    <t>Lewisport City of - KY</t>
  </si>
  <si>
    <t>Salem City of - IL</t>
  </si>
  <si>
    <t>Jefferson Cocke Co Utility District - TN</t>
  </si>
  <si>
    <t>Sheffield Utilities - AL</t>
  </si>
  <si>
    <t>Bay St Louis City of - MS</t>
  </si>
  <si>
    <t>Humboldt City of - KS</t>
  </si>
  <si>
    <t>City of Jasper - IN</t>
  </si>
  <si>
    <t>Stuart Gas Co - NE</t>
  </si>
  <si>
    <t>Crooks Municipal Gas - SD</t>
  </si>
  <si>
    <t>Las Vegas Nat Gas Dept City of - NM</t>
  </si>
  <si>
    <t>City of Monroe - NC</t>
  </si>
  <si>
    <t>Okaloosa Gas District - FL</t>
  </si>
  <si>
    <t>Clarke Mobile Counties Gas District - AL</t>
  </si>
  <si>
    <t>White Hall City of - IL</t>
  </si>
  <si>
    <t>Fitzgerald City of - GA</t>
  </si>
  <si>
    <t>Sumiton Town of - AL</t>
  </si>
  <si>
    <t>Portland City of - TN</t>
  </si>
  <si>
    <t>Vina Town of Natural Gas - AL</t>
  </si>
  <si>
    <t>Powell Clinch Utility District - TN</t>
  </si>
  <si>
    <t>Hesston City of - KS</t>
  </si>
  <si>
    <t>Citizens Gas Util District - TN</t>
  </si>
  <si>
    <t>Fountaintown Gas Co - IN</t>
  </si>
  <si>
    <t>City of Hardtner - KS</t>
  </si>
  <si>
    <t>Pointe Coupee Parish Public Util - LA</t>
  </si>
  <si>
    <t>New Summerfield City of - TX</t>
  </si>
  <si>
    <t>Kings Mountain City of - NC</t>
  </si>
  <si>
    <t>Palatka Gas Authority - FL</t>
  </si>
  <si>
    <t>Oak Ridge Util District - TN</t>
  </si>
  <si>
    <t>City of Brady - TX</t>
  </si>
  <si>
    <t>Freedom Municipal Trust Authority - OK</t>
  </si>
  <si>
    <t>Dunlap Nat Gas Sys - TN</t>
  </si>
  <si>
    <t>Grayville City of - IL</t>
  </si>
  <si>
    <t>Lake County Utility District - TN</t>
  </si>
  <si>
    <t>Aledo City of - IL</t>
  </si>
  <si>
    <t>Cushing City of - TX</t>
  </si>
  <si>
    <t>Village of Pawnee - IL</t>
  </si>
  <si>
    <t>Clearwater Gas Sys - FL</t>
  </si>
  <si>
    <t>Prestonburg City Utilities Comm - KY</t>
  </si>
  <si>
    <t>Edinburg Mun Gas System - IL</t>
  </si>
  <si>
    <t>La Cygne Gas Company - KS</t>
  </si>
  <si>
    <t>Knox Energy Cooperative Association - OH</t>
  </si>
  <si>
    <t>First Utility District Tipton - TN</t>
  </si>
  <si>
    <t>Tallahassee Municipal Gas System - FL</t>
  </si>
  <si>
    <t>Piedmont Water Gas And Sewer Board - AL</t>
  </si>
  <si>
    <t>Pinckneyville City of - IL</t>
  </si>
  <si>
    <t>City of Cross Plains - TX</t>
  </si>
  <si>
    <t>City of Mesa - AZ</t>
  </si>
  <si>
    <t>Fort Valley Utility Commission - GA</t>
  </si>
  <si>
    <t>Guthrie Natural Gas - KY</t>
  </si>
  <si>
    <t>Sylacauga Utilities Board - AL</t>
  </si>
  <si>
    <t>Clearfield Nat Gas Co - IA</t>
  </si>
  <si>
    <t>Valley Rural Utility Co - IN</t>
  </si>
  <si>
    <t>Vidalia City of - LA</t>
  </si>
  <si>
    <t>Memphis Light Gas And Water - TN</t>
  </si>
  <si>
    <t>Grey Forest Util - TX</t>
  </si>
  <si>
    <t>Sabula City of - IA</t>
  </si>
  <si>
    <t>Livingston Town of - TN</t>
  </si>
  <si>
    <t>Fairfax Town of - OK</t>
  </si>
  <si>
    <t>Pierre Part Nat Gas - LA</t>
  </si>
  <si>
    <t>Lexington Gas System - TN</t>
  </si>
  <si>
    <t>Denver City Gas System - TX</t>
  </si>
  <si>
    <t>Gallatin Natural Gas Systems - TN</t>
  </si>
  <si>
    <t>Morton Village of - IL</t>
  </si>
  <si>
    <t>Danville City of - VA</t>
  </si>
  <si>
    <t>Adairsville Nat Gas Sys - GA</t>
  </si>
  <si>
    <t>Hawley City of - MN</t>
  </si>
  <si>
    <t>Linden Town of - TN</t>
  </si>
  <si>
    <t>Clifton Gas Dept - TN</t>
  </si>
  <si>
    <t>Stonington Village of - IL</t>
  </si>
  <si>
    <t>Sundown City of - TX</t>
  </si>
  <si>
    <t>Hawkinsville Natural Gas System City - GA</t>
  </si>
  <si>
    <t>Community Coops of Lake Park - MN</t>
  </si>
  <si>
    <t>Milford Village of - IL</t>
  </si>
  <si>
    <t>Charlottesville City of - VA</t>
  </si>
  <si>
    <t>Kuttawa City Of</t>
  </si>
  <si>
    <t>Murray City of - KY</t>
  </si>
  <si>
    <t>Waukee Municipal Gas - IA</t>
  </si>
  <si>
    <t>Bardwell Nat Gas - KY</t>
  </si>
  <si>
    <t>Argonia City of - KS</t>
  </si>
  <si>
    <t>Maringouin Town Of</t>
  </si>
  <si>
    <t>Waynesboro City of - Ga</t>
  </si>
  <si>
    <t>Geneva Cty Gas Dist - AL</t>
  </si>
  <si>
    <t>Trinidad City of - CO</t>
  </si>
  <si>
    <t>Plattsburg City of - MO</t>
  </si>
  <si>
    <t>City of Marfa - TX</t>
  </si>
  <si>
    <t>Decatur Util Gas Dept - AL</t>
  </si>
  <si>
    <t>City of Norwich - CT</t>
  </si>
  <si>
    <t>Florence Utility Commission - WI</t>
  </si>
  <si>
    <t>Westville Gas Commission - IL</t>
  </si>
  <si>
    <t>Florence Natural Gas Dept City of - AL</t>
  </si>
  <si>
    <t>Madison Energy Cooperative Assoc Inc - OH</t>
  </si>
  <si>
    <t>Sugar Hill City of - GA</t>
  </si>
  <si>
    <t>Sac City Municipal Gas Co - IA</t>
  </si>
  <si>
    <t>Lebanon City of - TN</t>
  </si>
  <si>
    <t>Central City Gas Dept - NE</t>
  </si>
  <si>
    <t>Macon Municipal Utilities - MO</t>
  </si>
  <si>
    <t>Nat Gas Util Dist Hawkins Cty - TN</t>
  </si>
  <si>
    <t>National Gas And Oil Cooperative - OH</t>
  </si>
  <si>
    <t>Jasper City of - FL</t>
  </si>
  <si>
    <t>Toldedo Village of - IL</t>
  </si>
  <si>
    <t>Corona Village of - NM</t>
  </si>
  <si>
    <t>Vienna Municipal Gas System - IL</t>
  </si>
  <si>
    <t>Wall Lake City of - IA</t>
  </si>
  <si>
    <t>Cookeville Gas Department - TN</t>
  </si>
  <si>
    <t>Divernon Village of - IL</t>
  </si>
  <si>
    <t>Philadelphia Gas Works - PA</t>
  </si>
  <si>
    <t>Duluth City of - MN</t>
  </si>
  <si>
    <t>Savannah City of - TN</t>
  </si>
  <si>
    <t>Chireno City of - TX</t>
  </si>
  <si>
    <t>Monroe City Gas Dept</t>
  </si>
  <si>
    <t>Minco Gas Auth - OK</t>
  </si>
  <si>
    <t>Marietta City of - TX</t>
  </si>
  <si>
    <t>Shawneetown Municipal Gas - IL</t>
  </si>
  <si>
    <t>Winnsboro Town of - SC</t>
  </si>
  <si>
    <t>Presque Isle E And G Coop - MI</t>
  </si>
  <si>
    <t>Sevier Cty Util Dist - TN</t>
  </si>
  <si>
    <t>Tompkinsville City of - KY</t>
  </si>
  <si>
    <t>Onalaska Water And Gas Supply Corp - TX</t>
  </si>
  <si>
    <t>Shelby Gas Association - MT</t>
  </si>
  <si>
    <t>Perham City of - MN</t>
  </si>
  <si>
    <t>Hibbing Pub Util Comm - MN</t>
  </si>
  <si>
    <t>Abita Springs Natural Gas Co - LA</t>
  </si>
  <si>
    <t>Cobden Mun Gas Sys - IL</t>
  </si>
  <si>
    <t>Lake Region Energy Services - MN</t>
  </si>
  <si>
    <t>Lake City City of - FL</t>
  </si>
  <si>
    <t>Citizens Gas of Westfield - IN</t>
  </si>
  <si>
    <t>New Haven City Natural Gas System - MO</t>
  </si>
  <si>
    <t>Long Beach City of - CA</t>
  </si>
  <si>
    <t>Pinedale Natural Gas Inc - WY</t>
  </si>
  <si>
    <t>West Escambia Utilities Inc - AL</t>
  </si>
  <si>
    <t>St Joe Nat Gas Co - FL</t>
  </si>
  <si>
    <t>Socorro City of - NM</t>
  </si>
  <si>
    <t>Emmetsburg Municipal Utilities - IA</t>
  </si>
  <si>
    <t>Borough of Chambersburg</t>
  </si>
  <si>
    <t>Poplar Grove Util Dist - TN</t>
  </si>
  <si>
    <t>Corpus Christi Gas Div - TX</t>
  </si>
  <si>
    <t>Springfield Gas Sys - TN</t>
  </si>
  <si>
    <t>City of Austin - MN</t>
  </si>
  <si>
    <t>Martinsville City of - IL</t>
  </si>
  <si>
    <t>New York Mills Mun Gas Sys - MN</t>
  </si>
  <si>
    <t>Nebraska City Utilities - NE</t>
  </si>
  <si>
    <t>Eagle Bendclarissa Gas Util - MN</t>
  </si>
  <si>
    <t>Parsons City of - TN</t>
  </si>
  <si>
    <t>Granite Town of - OK</t>
  </si>
  <si>
    <t>Enfield Municipal Gas System - IL</t>
  </si>
  <si>
    <t>Albany Mun Gas Sys - MO</t>
  </si>
  <si>
    <t>Pikeville City of - KY</t>
  </si>
  <si>
    <t>Rocky Mount City of - NC</t>
  </si>
  <si>
    <t>Montgomery City Gas Co - MO</t>
  </si>
  <si>
    <t>Potosi City of - MO</t>
  </si>
  <si>
    <t>Alton Municipal Utilities - IA</t>
  </si>
  <si>
    <t>Hawarden Municipal Utilities - IA</t>
  </si>
  <si>
    <t>Knoxville Utilities Board - TN</t>
  </si>
  <si>
    <t>Goodhue City of - MN</t>
  </si>
  <si>
    <t>Randall City of - MN</t>
  </si>
  <si>
    <t>Foley Board of Utilities</t>
  </si>
  <si>
    <t>Centennial Util DBA Circle Pines Uti - MN</t>
  </si>
  <si>
    <t>Altamont City of - KS</t>
  </si>
  <si>
    <t>Laurens Commission of Public Works - SC</t>
  </si>
  <si>
    <t>Stromsburg City of - NE</t>
  </si>
  <si>
    <t>Sunrise City of - FL</t>
  </si>
  <si>
    <t>Brackettville City of - TX</t>
  </si>
  <si>
    <t>Orangeburg Dept of Pub Util - SC</t>
  </si>
  <si>
    <t>New Boston Mun Gas Sys - IL</t>
  </si>
  <si>
    <t>Middletown Mun Gas System - MO</t>
  </si>
  <si>
    <t>Poseyville Mun Gas Co - IN</t>
  </si>
  <si>
    <t>Henderson Municipal Gas - KY</t>
  </si>
  <si>
    <t>Cheney City of - KS</t>
  </si>
  <si>
    <t>Pender Village of - NE</t>
  </si>
  <si>
    <t>Horton Hwy Util Dist - TN</t>
  </si>
  <si>
    <t>Mclean City of - TX</t>
  </si>
  <si>
    <t>Pryor Municipal Utility Board - OK</t>
  </si>
  <si>
    <t>Louisburg City of - KS</t>
  </si>
  <si>
    <t>Morgantown City of - KY</t>
  </si>
  <si>
    <t>Nashville City of - IL</t>
  </si>
  <si>
    <t>Winfield Municipal Gas - IA</t>
  </si>
  <si>
    <t>City of Palo Alto - CA</t>
  </si>
  <si>
    <t>Paris City of - MO</t>
  </si>
  <si>
    <t>Gulf Breeze City of - FL</t>
  </si>
  <si>
    <t>Consumers Gas Coop - OH</t>
  </si>
  <si>
    <t>Clearbrook Municipal Gas City of - MN</t>
  </si>
  <si>
    <t>Findlay Village of - IL</t>
  </si>
  <si>
    <t>Fayetteville Public Utility Gas Dept - TN</t>
  </si>
  <si>
    <t>Rockwood Gas Systems - TN</t>
  </si>
  <si>
    <t>Sanborn Municipal Gas Utility - IA</t>
  </si>
  <si>
    <t>Coserv Gas Ltd - TX</t>
  </si>
  <si>
    <t>Denton County Electric Cooperative, Inc.</t>
  </si>
  <si>
    <t>Corning Municipal Utilities - IA</t>
  </si>
  <si>
    <t>Rossville Mun Gas Village of - IL</t>
  </si>
  <si>
    <t>Village of Crossville - IL</t>
  </si>
  <si>
    <t>Shelbina City of - MO</t>
  </si>
  <si>
    <t>City of Colorado Springs - CO</t>
  </si>
  <si>
    <t>Rock Rapids - IA</t>
  </si>
  <si>
    <t>Sullivan City of - IL</t>
  </si>
  <si>
    <t>Guthrie Ctr Municipal Utilities - IA</t>
  </si>
  <si>
    <t>Utilities Board Town of Citronelle - AL</t>
  </si>
  <si>
    <t>Cedar Falls Util - IA</t>
  </si>
  <si>
    <t>Kaplan City of - LA</t>
  </si>
  <si>
    <t>Osage Mun Gas Util - IA</t>
  </si>
  <si>
    <t>Lapel Municipal Water And Gas - IN</t>
  </si>
  <si>
    <t>North Baldwin Utilities - AL</t>
  </si>
  <si>
    <t>Manning Mun Nat Gas - IA</t>
  </si>
  <si>
    <t>Tipton City of - IA</t>
  </si>
  <si>
    <t>United Natural Gas Llc - MN</t>
  </si>
  <si>
    <t>Superior City of - NE</t>
  </si>
  <si>
    <t>New Ulm Pub Util Comm - MN</t>
  </si>
  <si>
    <t>Sioux Center Mun Gas - IA</t>
  </si>
  <si>
    <t>Wayland Mun Gas Sys - IA</t>
  </si>
  <si>
    <t>Selmer Public Works - TN</t>
  </si>
  <si>
    <t>Perryville City of - MO</t>
  </si>
  <si>
    <t>Kiefer Public Works Auth - OK</t>
  </si>
  <si>
    <t>Lamoni Mun Util - IA</t>
  </si>
  <si>
    <t>Athens Utilities Board - TN</t>
  </si>
  <si>
    <t>Huntingburg City of - IN</t>
  </si>
  <si>
    <t>Lyons City of - KS</t>
  </si>
  <si>
    <t>Sunray Util City of - TX</t>
  </si>
  <si>
    <t>Batesville Gas Utility - IN</t>
  </si>
  <si>
    <t>Middleborough Gas &amp; Electric Dept - MA</t>
  </si>
  <si>
    <t>City of San Antonio - TX</t>
  </si>
  <si>
    <t>Holyoke City of - MA</t>
  </si>
  <si>
    <t>Pearsall City of -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</si>
</sst>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10" fontId="2" fillId="0" borderId="0" xfId="0" applyNumberFormat="1" applyFont="1"/>
    <xf numFmtId="10" fontId="3" fillId="0" borderId="0" xfId="0" applyNumberFormat="1" applyFont="1"/>
    <xf numFmtId="0" fontId="4" fillId="0" borderId="0" xfId="0" applyFont="1"/>
    <xf numFmtId="0" fontId="5" fillId="0" borderId="0" xfId="0" applyFont="1"/>
    <xf numFmtId="49" fontId="4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2" fillId="0" borderId="0" xfId="0" applyNumberFormat="1" applyFont="1"/>
    <xf numFmtId="3" fontId="4" fillId="0" borderId="0" xfId="0" applyNumberFormat="1" applyFont="1"/>
    <xf numFmtId="3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D21"/>
  <sheetViews>
    <sheetView workbookViewId="0"/>
  </sheetViews>
  <sheetFormatPr defaultColWidth="12.6328125" defaultRowHeight="15.75" customHeight="1" x14ac:dyDescent="0.25"/>
  <cols>
    <col min="1" max="1" width="44.08984375" customWidth="1"/>
    <col min="2" max="2" width="16.6328125" customWidth="1"/>
    <col min="3" max="3" width="17.6328125" customWidth="1"/>
    <col min="4" max="4" width="16.36328125" customWidth="1"/>
  </cols>
  <sheetData>
    <row r="2" spans="1:4" ht="12.5" hidden="1" x14ac:dyDescent="0.25">
      <c r="B2" s="2" t="s">
        <v>1</v>
      </c>
      <c r="C2" s="2" t="s">
        <v>5</v>
      </c>
      <c r="D2" s="2" t="s">
        <v>7</v>
      </c>
    </row>
    <row r="3" spans="1:4" ht="12.5" hidden="1" x14ac:dyDescent="0.25">
      <c r="A3" s="2" t="s">
        <v>8</v>
      </c>
      <c r="B3" s="2">
        <v>169</v>
      </c>
      <c r="C3" s="5">
        <v>6.3399999999999998E-2</v>
      </c>
      <c r="D3" s="5">
        <v>3.8800000000000001E-2</v>
      </c>
    </row>
    <row r="4" spans="1:4" ht="12.5" hidden="1" x14ac:dyDescent="0.25">
      <c r="A4" s="2" t="s">
        <v>11</v>
      </c>
      <c r="B4" s="2">
        <v>1571</v>
      </c>
      <c r="C4" s="5">
        <f>AVERAGE('2024-PP'!M:M)/100</f>
        <v>8.8915865222796958E-2</v>
      </c>
      <c r="D4" s="5">
        <f>MEDIAN('2024-PP'!M:M)/100</f>
        <v>4.8243019403691439E-2</v>
      </c>
    </row>
    <row r="5" spans="1:4" ht="12.5" hidden="1" x14ac:dyDescent="0.25">
      <c r="A5" s="2" t="s">
        <v>70</v>
      </c>
      <c r="B5" s="2">
        <v>10</v>
      </c>
      <c r="C5" s="5">
        <f>AVERAGE('2024-IOUs'!F2:F11)/100</f>
        <v>2.5525123133000004E-3</v>
      </c>
      <c r="D5" s="5">
        <f>MEDIAN('2024-IOUs'!F2:F11)/100</f>
        <v>2.7351528775E-3</v>
      </c>
    </row>
    <row r="6" spans="1:4" ht="12.5" hidden="1" x14ac:dyDescent="0.25">
      <c r="A6" s="2" t="s">
        <v>90</v>
      </c>
      <c r="B6" s="2">
        <v>10</v>
      </c>
      <c r="C6" s="5">
        <f>AVERAGE('2024-PP'!M2:M11)/100</f>
        <v>0.75894527517861343</v>
      </c>
      <c r="D6" s="5">
        <f>MEDIAN('2024-PP'!M2:M11)/100</f>
        <v>0.76216122452842683</v>
      </c>
    </row>
    <row r="7" spans="1:4" ht="12.5" hidden="1" x14ac:dyDescent="0.25">
      <c r="C7" s="5"/>
      <c r="D7" s="5"/>
    </row>
    <row r="8" spans="1:4" ht="12.5" x14ac:dyDescent="0.25">
      <c r="C8" s="5"/>
      <c r="D8" s="5"/>
    </row>
    <row r="9" spans="1:4" ht="12.5" x14ac:dyDescent="0.25">
      <c r="B9" s="2" t="s">
        <v>1</v>
      </c>
      <c r="C9" s="2" t="s">
        <v>5</v>
      </c>
      <c r="D9" s="2" t="s">
        <v>7</v>
      </c>
    </row>
    <row r="10" spans="1:4" ht="12.5" x14ac:dyDescent="0.25">
      <c r="A10" s="2" t="s">
        <v>8</v>
      </c>
      <c r="B10" s="2">
        <v>169</v>
      </c>
      <c r="C10" s="5">
        <v>6.3399999999999998E-2</v>
      </c>
      <c r="D10" s="5">
        <v>3.8800000000000001E-2</v>
      </c>
    </row>
    <row r="11" spans="1:4" ht="12.5" x14ac:dyDescent="0.25">
      <c r="A11" s="2" t="s">
        <v>106</v>
      </c>
      <c r="B11" s="2">
        <f>COUNT('2024-MUNIS'!D:D)</f>
        <v>444</v>
      </c>
      <c r="C11" s="5">
        <f>AVERAGE('2024-MUNIS'!M:M)/100</f>
        <v>0.12315237388051332</v>
      </c>
      <c r="D11" s="5">
        <f>MEDIAN('2024-MUNIS'!M:M)/100</f>
        <v>7.9675036259296311E-2</v>
      </c>
    </row>
    <row r="12" spans="1:4" ht="12.5" x14ac:dyDescent="0.25">
      <c r="A12" s="2" t="s">
        <v>126</v>
      </c>
      <c r="B12" s="2">
        <f>COUNT('2024-COOPS'!D:D)</f>
        <v>509</v>
      </c>
      <c r="C12" s="5">
        <f>AVERAGE('2024-COOPS'!M:M)/100</f>
        <v>7.8091599195088929E-2</v>
      </c>
      <c r="D12" s="5">
        <f>MEDIAN('2024-COOPS'!M:M)/100</f>
        <v>4.3872554849188151E-2</v>
      </c>
    </row>
    <row r="13" spans="1:4" ht="12.5" x14ac:dyDescent="0.25">
      <c r="A13" s="2" t="s">
        <v>135</v>
      </c>
      <c r="B13" s="2">
        <v>10</v>
      </c>
      <c r="C13" s="5">
        <f>AVERAGE('2024-IOUs'!F2:F11)/100</f>
        <v>2.5525123133000004E-3</v>
      </c>
      <c r="D13" s="5">
        <f>MEDIAN('2024-IOUs'!F2:F11)/100</f>
        <v>2.7351528775E-3</v>
      </c>
    </row>
    <row r="14" spans="1:4" ht="12.5" x14ac:dyDescent="0.25">
      <c r="A14" s="2" t="s">
        <v>143</v>
      </c>
      <c r="B14" s="2">
        <v>10</v>
      </c>
      <c r="C14" s="5">
        <f>AVERAGE('2024-MUNIS'!M2:M11)/100</f>
        <v>0.68970940625824906</v>
      </c>
      <c r="D14" s="5">
        <f>MEDIAN('2024-MUNIS'!M2:M11)/100</f>
        <v>0.6935722214140333</v>
      </c>
    </row>
    <row r="15" spans="1:4" ht="12.5" x14ac:dyDescent="0.25">
      <c r="A15" s="2" t="s">
        <v>149</v>
      </c>
      <c r="B15" s="2">
        <v>10</v>
      </c>
      <c r="C15" s="5">
        <f>AVERAGE('2024-COOPS'!M2:M11)/100</f>
        <v>0.62754911351709708</v>
      </c>
      <c r="D15" s="5">
        <f>MEDIAN('2024-COOPS'!M2:M11)/100</f>
        <v>0.62331278764234366</v>
      </c>
    </row>
    <row r="16" spans="1:4" ht="12.5" x14ac:dyDescent="0.25">
      <c r="C16" s="5"/>
      <c r="D16" s="5"/>
    </row>
    <row r="17" spans="1:4" ht="12.5" hidden="1" x14ac:dyDescent="0.25">
      <c r="A17" s="2" t="s">
        <v>159</v>
      </c>
      <c r="B17" s="2">
        <v>12.14</v>
      </c>
      <c r="C17" s="5"/>
      <c r="D17" s="5"/>
    </row>
    <row r="18" spans="1:4" ht="12.5" hidden="1" x14ac:dyDescent="0.25">
      <c r="A18" s="2" t="s">
        <v>160</v>
      </c>
      <c r="B18" s="2">
        <v>7.57</v>
      </c>
    </row>
    <row r="19" spans="1:4" ht="12.5" hidden="1" x14ac:dyDescent="0.25">
      <c r="A19" s="2" t="s">
        <v>161</v>
      </c>
      <c r="B19" s="2">
        <v>16.399999999999999</v>
      </c>
    </row>
    <row r="20" spans="1:4" ht="12.5" hidden="1" x14ac:dyDescent="0.25">
      <c r="A20" s="2" t="s">
        <v>162</v>
      </c>
      <c r="B20" s="2">
        <v>11.57</v>
      </c>
    </row>
    <row r="21" spans="1:4" ht="12.5" hidden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1"/>
  <sheetViews>
    <sheetView workbookViewId="0"/>
  </sheetViews>
  <sheetFormatPr defaultColWidth="12.6328125" defaultRowHeight="15.75" customHeight="1" x14ac:dyDescent="0.25"/>
  <cols>
    <col min="2" max="2" width="19.90625" customWidth="1"/>
  </cols>
  <sheetData>
    <row r="1" spans="1:4" x14ac:dyDescent="0.3">
      <c r="A1" s="1" t="s">
        <v>0</v>
      </c>
      <c r="B1" s="1" t="s">
        <v>2</v>
      </c>
      <c r="C1" s="1" t="s">
        <v>3</v>
      </c>
      <c r="D1" s="1" t="s">
        <v>4</v>
      </c>
    </row>
    <row r="2" spans="1:4" ht="15.75" customHeight="1" x14ac:dyDescent="0.25">
      <c r="A2" s="3" t="s">
        <v>6</v>
      </c>
      <c r="B2" s="3">
        <v>0</v>
      </c>
      <c r="C2" s="3" t="s">
        <v>9</v>
      </c>
      <c r="D2" s="3">
        <v>0</v>
      </c>
    </row>
    <row r="3" spans="1:4" ht="15.75" customHeight="1" x14ac:dyDescent="0.25">
      <c r="A3" s="3" t="s">
        <v>10</v>
      </c>
      <c r="B3" s="4">
        <v>458044</v>
      </c>
      <c r="C3" s="6">
        <v>0.27529999999999999</v>
      </c>
      <c r="D3" s="4">
        <v>1213812</v>
      </c>
    </row>
    <row r="4" spans="1:4" ht="15.75" customHeight="1" x14ac:dyDescent="0.25">
      <c r="A4" s="3" t="s">
        <v>12</v>
      </c>
      <c r="B4" s="4">
        <v>2389983</v>
      </c>
      <c r="C4" s="6">
        <v>0.24229999999999999</v>
      </c>
      <c r="D4" s="4">
        <v>7168916</v>
      </c>
    </row>
    <row r="5" spans="1:4" ht="15.75" customHeight="1" x14ac:dyDescent="0.25">
      <c r="A5" s="3" t="s">
        <v>13</v>
      </c>
      <c r="B5" s="4">
        <v>32864</v>
      </c>
      <c r="C5" s="6">
        <v>0.1585</v>
      </c>
      <c r="D5" s="4">
        <v>207338</v>
      </c>
    </row>
    <row r="6" spans="1:4" ht="15.75" customHeight="1" x14ac:dyDescent="0.25">
      <c r="A6" s="3" t="s">
        <v>14</v>
      </c>
      <c r="B6" s="4">
        <v>208579</v>
      </c>
      <c r="C6" s="6">
        <v>0.15620000000000001</v>
      </c>
      <c r="D6" s="4">
        <v>1335705</v>
      </c>
    </row>
    <row r="7" spans="1:4" ht="15.75" customHeight="1" x14ac:dyDescent="0.25">
      <c r="A7" s="3" t="s">
        <v>16</v>
      </c>
      <c r="B7" s="4">
        <v>1674668</v>
      </c>
      <c r="C7" s="6">
        <v>0.15540000000000001</v>
      </c>
      <c r="D7" s="4">
        <v>7900927</v>
      </c>
    </row>
    <row r="8" spans="1:4" ht="15.75" customHeight="1" x14ac:dyDescent="0.25">
      <c r="A8" s="3" t="s">
        <v>19</v>
      </c>
      <c r="B8" s="4">
        <v>98151</v>
      </c>
      <c r="C8" s="6">
        <v>0.1482</v>
      </c>
      <c r="D8" s="4">
        <v>542048</v>
      </c>
    </row>
    <row r="9" spans="1:4" ht="15.75" customHeight="1" x14ac:dyDescent="0.25">
      <c r="A9" s="3" t="s">
        <v>22</v>
      </c>
      <c r="B9" s="4">
        <v>177756</v>
      </c>
      <c r="C9" s="6">
        <v>0.13389999999999999</v>
      </c>
      <c r="D9" s="4">
        <v>1247276</v>
      </c>
    </row>
    <row r="10" spans="1:4" ht="15.75" customHeight="1" x14ac:dyDescent="0.25">
      <c r="A10" s="3" t="s">
        <v>25</v>
      </c>
      <c r="B10" s="4">
        <v>412480</v>
      </c>
      <c r="C10" s="6">
        <v>0.1246</v>
      </c>
      <c r="D10" s="4">
        <v>2848831</v>
      </c>
    </row>
    <row r="11" spans="1:4" ht="15.75" customHeight="1" x14ac:dyDescent="0.25">
      <c r="A11" s="3" t="s">
        <v>26</v>
      </c>
      <c r="B11" s="4">
        <v>112485</v>
      </c>
      <c r="C11" s="6">
        <v>0.1215</v>
      </c>
      <c r="D11" s="4">
        <v>779471</v>
      </c>
    </row>
    <row r="12" spans="1:4" ht="15.75" customHeight="1" x14ac:dyDescent="0.25">
      <c r="A12" s="3" t="s">
        <v>27</v>
      </c>
      <c r="B12" s="4">
        <v>86911</v>
      </c>
      <c r="C12" s="6">
        <v>0.10929999999999999</v>
      </c>
      <c r="D12" s="4">
        <v>857062</v>
      </c>
    </row>
    <row r="13" spans="1:4" ht="15.75" customHeight="1" x14ac:dyDescent="0.25">
      <c r="A13" s="3" t="s">
        <v>29</v>
      </c>
      <c r="B13" s="4">
        <v>4642</v>
      </c>
      <c r="C13" s="6">
        <v>0.1076</v>
      </c>
      <c r="D13" s="4">
        <v>43159</v>
      </c>
    </row>
    <row r="14" spans="1:4" ht="15.75" customHeight="1" x14ac:dyDescent="0.25">
      <c r="A14" s="3" t="s">
        <v>32</v>
      </c>
      <c r="B14" s="4">
        <v>115051</v>
      </c>
      <c r="C14" s="6">
        <v>0.1012</v>
      </c>
      <c r="D14" s="4">
        <v>1413660</v>
      </c>
    </row>
    <row r="15" spans="1:4" ht="15.75" customHeight="1" x14ac:dyDescent="0.25">
      <c r="A15" s="3" t="s">
        <v>36</v>
      </c>
      <c r="B15" s="4">
        <v>187007</v>
      </c>
      <c r="C15" s="6">
        <v>7.6999999999999999E-2</v>
      </c>
      <c r="D15" s="4">
        <v>2429276</v>
      </c>
    </row>
    <row r="16" spans="1:4" ht="12.5" x14ac:dyDescent="0.25">
      <c r="A16" s="3" t="s">
        <v>40</v>
      </c>
      <c r="B16" s="4">
        <v>19833</v>
      </c>
      <c r="C16" s="6">
        <v>6.5699999999999995E-2</v>
      </c>
      <c r="D16" s="4">
        <v>302040</v>
      </c>
    </row>
    <row r="17" spans="1:4" ht="12.5" x14ac:dyDescent="0.25">
      <c r="A17" s="3" t="s">
        <v>42</v>
      </c>
      <c r="B17" s="4">
        <v>113354</v>
      </c>
      <c r="C17" s="6">
        <v>6.5000000000000002E-2</v>
      </c>
      <c r="D17" s="4">
        <v>1830532</v>
      </c>
    </row>
    <row r="18" spans="1:4" ht="12.5" x14ac:dyDescent="0.25">
      <c r="A18" s="3" t="s">
        <v>45</v>
      </c>
      <c r="B18" s="4">
        <v>64908</v>
      </c>
      <c r="C18" s="6">
        <v>6.1800000000000001E-2</v>
      </c>
      <c r="D18" s="4">
        <v>1529405</v>
      </c>
    </row>
    <row r="19" spans="1:4" ht="12.5" x14ac:dyDescent="0.25">
      <c r="A19" s="3" t="s">
        <v>49</v>
      </c>
      <c r="B19" s="4">
        <v>305914</v>
      </c>
      <c r="C19" s="6">
        <v>5.6899999999999999E-2</v>
      </c>
      <c r="D19" s="4">
        <v>3958143</v>
      </c>
    </row>
    <row r="20" spans="1:4" ht="12.5" x14ac:dyDescent="0.25">
      <c r="A20" s="3" t="s">
        <v>52</v>
      </c>
      <c r="B20" s="4">
        <v>139317</v>
      </c>
      <c r="C20" s="6">
        <v>5.6899999999999999E-2</v>
      </c>
      <c r="D20" s="4">
        <v>1814672</v>
      </c>
    </row>
    <row r="21" spans="1:4" ht="12.5" x14ac:dyDescent="0.25">
      <c r="A21" s="3" t="s">
        <v>55</v>
      </c>
      <c r="B21" s="4">
        <v>65870</v>
      </c>
      <c r="C21" s="6">
        <v>5.6399999999999999E-2</v>
      </c>
      <c r="D21" s="4">
        <v>897210</v>
      </c>
    </row>
    <row r="22" spans="1:4" ht="12.5" x14ac:dyDescent="0.25">
      <c r="A22" s="3" t="s">
        <v>58</v>
      </c>
      <c r="B22" s="4">
        <v>64651</v>
      </c>
      <c r="C22" s="6">
        <v>5.4699999999999999E-2</v>
      </c>
      <c r="D22" s="4">
        <v>1129805</v>
      </c>
    </row>
    <row r="23" spans="1:4" ht="12.5" x14ac:dyDescent="0.25">
      <c r="A23" s="3" t="s">
        <v>62</v>
      </c>
      <c r="B23" s="4">
        <v>288450</v>
      </c>
      <c r="C23" s="6">
        <v>5.4300000000000001E-2</v>
      </c>
      <c r="D23" s="4">
        <v>4429509</v>
      </c>
    </row>
    <row r="24" spans="1:4" ht="12.5" x14ac:dyDescent="0.25">
      <c r="A24" s="3" t="s">
        <v>65</v>
      </c>
      <c r="B24" s="4">
        <v>16562</v>
      </c>
      <c r="C24" s="6">
        <v>4.7800000000000002E-2</v>
      </c>
      <c r="D24" s="4">
        <v>600323</v>
      </c>
    </row>
    <row r="25" spans="1:4" ht="12.5" x14ac:dyDescent="0.25">
      <c r="A25" s="3" t="s">
        <v>67</v>
      </c>
      <c r="B25" s="4">
        <v>57202</v>
      </c>
      <c r="C25" s="6">
        <v>4.5100000000000001E-2</v>
      </c>
      <c r="D25" s="4">
        <v>1396975</v>
      </c>
    </row>
    <row r="26" spans="1:4" ht="12.5" x14ac:dyDescent="0.25">
      <c r="A26" s="3" t="s">
        <v>69</v>
      </c>
      <c r="B26" s="4">
        <v>36654</v>
      </c>
      <c r="C26" s="6">
        <v>4.41E-2</v>
      </c>
      <c r="D26" s="4">
        <v>698998</v>
      </c>
    </row>
    <row r="27" spans="1:4" ht="12.5" x14ac:dyDescent="0.25">
      <c r="A27" s="3" t="s">
        <v>72</v>
      </c>
      <c r="B27" s="3">
        <v>897</v>
      </c>
      <c r="C27" s="6">
        <v>4.2000000000000003E-2</v>
      </c>
      <c r="D27" s="4">
        <v>21008</v>
      </c>
    </row>
    <row r="28" spans="1:4" ht="12.5" x14ac:dyDescent="0.25">
      <c r="A28" s="3" t="s">
        <v>43</v>
      </c>
      <c r="B28" s="4">
        <v>133562</v>
      </c>
      <c r="C28" s="6">
        <v>4.0899999999999999E-2</v>
      </c>
      <c r="D28" s="4">
        <v>6103348</v>
      </c>
    </row>
    <row r="29" spans="1:4" ht="12.5" x14ac:dyDescent="0.25">
      <c r="A29" s="3" t="s">
        <v>77</v>
      </c>
      <c r="B29" s="4">
        <v>170011</v>
      </c>
      <c r="C29" s="6">
        <v>3.9899999999999998E-2</v>
      </c>
      <c r="D29" s="4">
        <v>4830062</v>
      </c>
    </row>
    <row r="30" spans="1:4" ht="12.5" x14ac:dyDescent="0.25">
      <c r="A30" s="3" t="s">
        <v>80</v>
      </c>
      <c r="B30" s="4">
        <v>40564</v>
      </c>
      <c r="C30" s="6">
        <v>3.85E-2</v>
      </c>
      <c r="D30" s="4">
        <v>720261</v>
      </c>
    </row>
    <row r="31" spans="1:4" ht="12.5" x14ac:dyDescent="0.25">
      <c r="A31" s="3" t="s">
        <v>86</v>
      </c>
      <c r="B31" s="4">
        <v>143567</v>
      </c>
      <c r="C31" s="6">
        <v>3.73E-2</v>
      </c>
      <c r="D31" s="4">
        <v>3384107</v>
      </c>
    </row>
    <row r="32" spans="1:4" ht="12.5" x14ac:dyDescent="0.25">
      <c r="A32" s="3" t="s">
        <v>82</v>
      </c>
      <c r="B32" s="4">
        <v>104173</v>
      </c>
      <c r="C32" s="6">
        <v>3.6900000000000002E-2</v>
      </c>
      <c r="D32" s="4">
        <v>2304669</v>
      </c>
    </row>
    <row r="33" spans="1:4" ht="12.5" x14ac:dyDescent="0.25">
      <c r="A33" s="3" t="s">
        <v>88</v>
      </c>
      <c r="B33" s="4">
        <v>8264</v>
      </c>
      <c r="C33" s="6">
        <v>3.5999999999999997E-2</v>
      </c>
      <c r="D33" s="4">
        <v>229573</v>
      </c>
    </row>
    <row r="34" spans="1:4" ht="12.5" x14ac:dyDescent="0.25">
      <c r="A34" s="3" t="s">
        <v>91</v>
      </c>
      <c r="B34" s="4">
        <v>7737</v>
      </c>
      <c r="C34" s="6">
        <v>3.4799999999999998E-2</v>
      </c>
      <c r="D34" s="4">
        <v>208780</v>
      </c>
    </row>
    <row r="35" spans="1:4" ht="12.5" x14ac:dyDescent="0.25">
      <c r="A35" s="3" t="s">
        <v>95</v>
      </c>
      <c r="B35" s="4">
        <v>17916</v>
      </c>
      <c r="C35" s="6">
        <v>3.32E-2</v>
      </c>
      <c r="D35" s="4">
        <v>563503</v>
      </c>
    </row>
    <row r="36" spans="1:4" ht="12.5" x14ac:dyDescent="0.25">
      <c r="A36" s="3" t="s">
        <v>96</v>
      </c>
      <c r="B36" s="4">
        <v>249595</v>
      </c>
      <c r="C36" s="6">
        <v>3.2599999999999997E-2</v>
      </c>
      <c r="D36" s="4">
        <v>5246169</v>
      </c>
    </row>
    <row r="37" spans="1:4" ht="12.5" x14ac:dyDescent="0.25">
      <c r="A37" s="3" t="s">
        <v>98</v>
      </c>
      <c r="B37" s="4">
        <v>72387</v>
      </c>
      <c r="C37" s="6">
        <v>3.1E-2</v>
      </c>
      <c r="D37" s="4">
        <v>2203609</v>
      </c>
    </row>
    <row r="38" spans="1:4" ht="12.5" x14ac:dyDescent="0.25">
      <c r="A38" s="3" t="s">
        <v>100</v>
      </c>
      <c r="B38" s="4">
        <v>125435</v>
      </c>
      <c r="C38" s="6">
        <v>2.9399999999999999E-2</v>
      </c>
      <c r="D38" s="4">
        <v>3597749</v>
      </c>
    </row>
    <row r="39" spans="1:4" ht="12.5" x14ac:dyDescent="0.25">
      <c r="A39" s="3" t="s">
        <v>101</v>
      </c>
      <c r="B39" s="4">
        <v>57043</v>
      </c>
      <c r="C39" s="6">
        <v>2.8500000000000001E-2</v>
      </c>
      <c r="D39" s="4">
        <v>1765349</v>
      </c>
    </row>
    <row r="40" spans="1:4" ht="12.5" x14ac:dyDescent="0.25">
      <c r="A40" s="3" t="s">
        <v>103</v>
      </c>
      <c r="B40" s="4">
        <v>316839</v>
      </c>
      <c r="C40" s="6">
        <v>2.7300000000000001E-2</v>
      </c>
      <c r="D40" s="4">
        <v>10772368</v>
      </c>
    </row>
    <row r="41" spans="1:4" ht="12.5" x14ac:dyDescent="0.25">
      <c r="A41" s="3" t="s">
        <v>71</v>
      </c>
      <c r="B41" s="4">
        <v>13488</v>
      </c>
      <c r="C41" s="6">
        <v>2.7E-2</v>
      </c>
      <c r="D41" s="4">
        <v>416403</v>
      </c>
    </row>
    <row r="42" spans="1:4" ht="12.5" x14ac:dyDescent="0.25">
      <c r="A42" s="3" t="s">
        <v>92</v>
      </c>
      <c r="B42" s="4">
        <v>39100</v>
      </c>
      <c r="C42" s="6">
        <v>2.6700000000000002E-2</v>
      </c>
      <c r="D42" s="4">
        <v>1632707</v>
      </c>
    </row>
    <row r="43" spans="1:4" ht="12.5" x14ac:dyDescent="0.25">
      <c r="A43" s="3" t="s">
        <v>104</v>
      </c>
      <c r="B43" s="4">
        <v>43621</v>
      </c>
      <c r="C43" s="6">
        <v>2.5600000000000001E-2</v>
      </c>
      <c r="D43" s="4">
        <v>1454305</v>
      </c>
    </row>
    <row r="44" spans="1:4" ht="12.5" x14ac:dyDescent="0.25">
      <c r="A44" s="3" t="s">
        <v>34</v>
      </c>
      <c r="B44" s="4">
        <v>57006</v>
      </c>
      <c r="C44" s="6">
        <v>2.46E-2</v>
      </c>
      <c r="D44" s="4">
        <v>1408186</v>
      </c>
    </row>
    <row r="45" spans="1:4" ht="12.5" x14ac:dyDescent="0.25">
      <c r="A45" s="3" t="s">
        <v>53</v>
      </c>
      <c r="B45" s="4">
        <v>35384</v>
      </c>
      <c r="C45" s="6">
        <v>2.4199999999999999E-2</v>
      </c>
      <c r="D45" s="4">
        <v>1061498</v>
      </c>
    </row>
    <row r="46" spans="1:4" ht="12.5" x14ac:dyDescent="0.25">
      <c r="A46" s="3" t="s">
        <v>109</v>
      </c>
      <c r="B46" s="4">
        <v>2933</v>
      </c>
      <c r="C46" s="6">
        <v>2.3400000000000001E-2</v>
      </c>
      <c r="D46" s="4">
        <v>127859</v>
      </c>
    </row>
    <row r="47" spans="1:4" ht="12.5" x14ac:dyDescent="0.25">
      <c r="A47" s="3" t="s">
        <v>110</v>
      </c>
      <c r="B47" s="4">
        <v>19907</v>
      </c>
      <c r="C47" s="6">
        <v>2.0299999999999999E-2</v>
      </c>
      <c r="D47" s="4">
        <v>1459925</v>
      </c>
    </row>
    <row r="48" spans="1:4" ht="12.5" x14ac:dyDescent="0.25">
      <c r="A48" s="3" t="s">
        <v>112</v>
      </c>
      <c r="B48" s="4">
        <v>2293</v>
      </c>
      <c r="C48" s="6">
        <v>2.01E-2</v>
      </c>
      <c r="D48" s="4">
        <v>173124</v>
      </c>
    </row>
    <row r="49" spans="1:4" ht="12.5" x14ac:dyDescent="0.25">
      <c r="A49" s="3" t="s">
        <v>115</v>
      </c>
      <c r="B49" s="4">
        <v>4804</v>
      </c>
      <c r="C49" s="6">
        <v>1.54E-2</v>
      </c>
      <c r="D49" s="4">
        <v>313077</v>
      </c>
    </row>
    <row r="50" spans="1:4" ht="12.5" x14ac:dyDescent="0.25">
      <c r="A50" s="3" t="s">
        <v>116</v>
      </c>
      <c r="B50" s="4">
        <v>6746</v>
      </c>
      <c r="C50" s="6">
        <v>1.49E-2</v>
      </c>
      <c r="D50" s="4">
        <v>452383</v>
      </c>
    </row>
    <row r="51" spans="1:4" ht="12.5" x14ac:dyDescent="0.25">
      <c r="A51" s="3" t="s">
        <v>118</v>
      </c>
      <c r="B51" s="4">
        <v>10059</v>
      </c>
      <c r="C51" s="6">
        <v>1.0699999999999999E-2</v>
      </c>
      <c r="D51" s="4">
        <v>940760</v>
      </c>
    </row>
  </sheetData>
  <autoFilter ref="A1:D5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H170"/>
  <sheetViews>
    <sheetView tabSelected="1" workbookViewId="0">
      <selection activeCell="E18" sqref="E18:E170"/>
    </sheetView>
  </sheetViews>
  <sheetFormatPr defaultColWidth="12.6328125" defaultRowHeight="15.75" customHeight="1" x14ac:dyDescent="0.25"/>
  <cols>
    <col min="3" max="3" width="27" customWidth="1"/>
    <col min="6" max="6" width="30" customWidth="1"/>
    <col min="8" max="8" width="30" customWidth="1"/>
  </cols>
  <sheetData>
    <row r="1" spans="1:8" x14ac:dyDescent="0.3">
      <c r="A1" s="2" t="s">
        <v>0</v>
      </c>
      <c r="B1" s="2" t="s">
        <v>15</v>
      </c>
      <c r="C1" s="2" t="s">
        <v>17</v>
      </c>
      <c r="D1" s="2" t="s">
        <v>18</v>
      </c>
      <c r="E1" s="2" t="s">
        <v>20</v>
      </c>
      <c r="F1" s="2" t="s">
        <v>21</v>
      </c>
      <c r="G1" s="2" t="s">
        <v>2</v>
      </c>
      <c r="H1" s="8" t="s">
        <v>24</v>
      </c>
    </row>
    <row r="2" spans="1:8" ht="15.75" hidden="1" customHeight="1" x14ac:dyDescent="0.25">
      <c r="A2" s="2" t="s">
        <v>34</v>
      </c>
      <c r="B2" s="2" t="s">
        <v>37</v>
      </c>
      <c r="C2" s="2" t="s">
        <v>39</v>
      </c>
      <c r="D2" s="2" t="s">
        <v>39</v>
      </c>
      <c r="E2" s="2">
        <v>88</v>
      </c>
      <c r="F2" s="2">
        <v>0</v>
      </c>
      <c r="G2" s="2">
        <v>0</v>
      </c>
      <c r="H2" s="2">
        <v>169</v>
      </c>
    </row>
    <row r="3" spans="1:8" ht="15.75" hidden="1" customHeight="1" x14ac:dyDescent="0.25">
      <c r="A3" s="2" t="s">
        <v>43</v>
      </c>
      <c r="B3" s="2" t="s">
        <v>37</v>
      </c>
      <c r="C3" s="2" t="s">
        <v>47</v>
      </c>
      <c r="D3" s="2" t="s">
        <v>48</v>
      </c>
      <c r="E3" s="2">
        <v>657</v>
      </c>
      <c r="F3" s="2">
        <v>0</v>
      </c>
      <c r="G3" s="2">
        <v>0</v>
      </c>
      <c r="H3" s="2">
        <v>168</v>
      </c>
    </row>
    <row r="4" spans="1:8" ht="15.75" hidden="1" customHeight="1" x14ac:dyDescent="0.25">
      <c r="A4" s="2" t="s">
        <v>53</v>
      </c>
      <c r="B4" s="2" t="s">
        <v>37</v>
      </c>
      <c r="C4" s="2" t="s">
        <v>66</v>
      </c>
      <c r="D4" s="2" t="s">
        <v>68</v>
      </c>
      <c r="E4" s="2">
        <v>713</v>
      </c>
      <c r="F4" s="2">
        <v>0.1402524544</v>
      </c>
      <c r="G4" s="2">
        <v>1</v>
      </c>
      <c r="H4" s="2">
        <v>167</v>
      </c>
    </row>
    <row r="5" spans="1:8" ht="15.75" hidden="1" customHeight="1" x14ac:dyDescent="0.25">
      <c r="A5" s="2" t="s">
        <v>71</v>
      </c>
      <c r="B5" s="2" t="s">
        <v>37</v>
      </c>
      <c r="C5" s="2" t="s">
        <v>73</v>
      </c>
      <c r="D5" s="2" t="s">
        <v>74</v>
      </c>
      <c r="E5" s="2">
        <v>61811</v>
      </c>
      <c r="F5" s="2">
        <v>0.2232627368</v>
      </c>
      <c r="G5" s="2">
        <v>138</v>
      </c>
      <c r="H5" s="2">
        <v>166</v>
      </c>
    </row>
    <row r="6" spans="1:8" ht="15.75" hidden="1" customHeight="1" x14ac:dyDescent="0.25">
      <c r="A6" s="2" t="s">
        <v>43</v>
      </c>
      <c r="B6" s="2" t="s">
        <v>37</v>
      </c>
      <c r="C6" s="2" t="s">
        <v>78</v>
      </c>
      <c r="D6" s="2" t="s">
        <v>79</v>
      </c>
      <c r="E6" s="2">
        <v>275025</v>
      </c>
      <c r="F6" s="2">
        <v>0.2665209831</v>
      </c>
      <c r="G6" s="2">
        <v>733</v>
      </c>
      <c r="H6" s="2">
        <v>165</v>
      </c>
    </row>
    <row r="7" spans="1:8" ht="15.75" hidden="1" customHeight="1" x14ac:dyDescent="0.25">
      <c r="A7" s="2" t="s">
        <v>82</v>
      </c>
      <c r="B7" s="2" t="s">
        <v>37</v>
      </c>
      <c r="C7" s="2" t="s">
        <v>85</v>
      </c>
      <c r="D7" s="2" t="s">
        <v>85</v>
      </c>
      <c r="E7" s="2">
        <v>4991</v>
      </c>
      <c r="F7" s="2">
        <v>0.28050959240000001</v>
      </c>
      <c r="G7" s="2">
        <v>14</v>
      </c>
      <c r="H7" s="2">
        <v>164</v>
      </c>
    </row>
    <row r="8" spans="1:8" ht="15.75" hidden="1" customHeight="1" x14ac:dyDescent="0.25">
      <c r="A8" s="2" t="s">
        <v>52</v>
      </c>
      <c r="B8" s="2" t="s">
        <v>37</v>
      </c>
      <c r="C8" s="2" t="s">
        <v>87</v>
      </c>
      <c r="D8" s="2" t="s">
        <v>89</v>
      </c>
      <c r="E8" s="2">
        <v>141381</v>
      </c>
      <c r="F8" s="2">
        <v>0.28858123660000001</v>
      </c>
      <c r="G8" s="2">
        <v>408</v>
      </c>
      <c r="H8" s="2">
        <v>163</v>
      </c>
    </row>
    <row r="9" spans="1:8" ht="15.75" hidden="1" customHeight="1" x14ac:dyDescent="0.25">
      <c r="A9" s="2" t="s">
        <v>92</v>
      </c>
      <c r="B9" s="2" t="s">
        <v>37</v>
      </c>
      <c r="C9" s="2" t="s">
        <v>93</v>
      </c>
      <c r="D9" s="2" t="s">
        <v>94</v>
      </c>
      <c r="E9" s="2">
        <v>12823</v>
      </c>
      <c r="F9" s="2">
        <v>0.35872807499999998</v>
      </c>
      <c r="G9" s="2">
        <v>46</v>
      </c>
      <c r="H9" s="2">
        <v>162</v>
      </c>
    </row>
    <row r="10" spans="1:8" ht="15.75" hidden="1" customHeight="1" x14ac:dyDescent="0.25">
      <c r="A10" s="2" t="s">
        <v>43</v>
      </c>
      <c r="B10" s="2" t="s">
        <v>37</v>
      </c>
      <c r="C10" s="2" t="s">
        <v>97</v>
      </c>
      <c r="D10" s="2" t="s">
        <v>99</v>
      </c>
      <c r="E10" s="2">
        <v>3077967</v>
      </c>
      <c r="F10" s="2">
        <v>0.41228518889999999</v>
      </c>
      <c r="G10" s="2">
        <v>12690</v>
      </c>
      <c r="H10" s="2">
        <v>161</v>
      </c>
    </row>
    <row r="11" spans="1:8" ht="15.75" hidden="1" customHeight="1" x14ac:dyDescent="0.25">
      <c r="A11" s="2" t="s">
        <v>101</v>
      </c>
      <c r="B11" s="2" t="s">
        <v>37</v>
      </c>
      <c r="C11" s="2" t="s">
        <v>102</v>
      </c>
      <c r="D11" s="2" t="s">
        <v>102</v>
      </c>
      <c r="E11" s="2">
        <v>2232</v>
      </c>
      <c r="F11" s="2">
        <v>0.58237204610000004</v>
      </c>
      <c r="G11" s="2">
        <v>13</v>
      </c>
      <c r="H11" s="2">
        <v>160</v>
      </c>
    </row>
    <row r="12" spans="1:8" ht="15.75" hidden="1" customHeight="1" x14ac:dyDescent="0.25">
      <c r="A12" s="2" t="s">
        <v>55</v>
      </c>
      <c r="B12" s="2" t="s">
        <v>37</v>
      </c>
      <c r="C12" s="2" t="s">
        <v>87</v>
      </c>
      <c r="D12" s="2" t="s">
        <v>89</v>
      </c>
      <c r="E12" s="2">
        <v>8341</v>
      </c>
      <c r="F12" s="2">
        <v>0.63544716099999998</v>
      </c>
      <c r="G12" s="2">
        <v>53</v>
      </c>
      <c r="H12" s="2">
        <v>159</v>
      </c>
    </row>
    <row r="13" spans="1:8" ht="15.75" hidden="1" customHeight="1" x14ac:dyDescent="0.25">
      <c r="A13" s="2" t="s">
        <v>82</v>
      </c>
      <c r="B13" s="2" t="s">
        <v>37</v>
      </c>
      <c r="C13" s="2" t="s">
        <v>105</v>
      </c>
      <c r="D13" s="2" t="s">
        <v>105</v>
      </c>
      <c r="E13" s="2">
        <v>10939</v>
      </c>
      <c r="F13" s="2">
        <v>0.6581804054</v>
      </c>
      <c r="G13" s="2">
        <v>72</v>
      </c>
      <c r="H13" s="2">
        <v>158</v>
      </c>
    </row>
    <row r="14" spans="1:8" ht="15.75" hidden="1" customHeight="1" x14ac:dyDescent="0.25">
      <c r="A14" s="2" t="s">
        <v>96</v>
      </c>
      <c r="B14" s="2" t="s">
        <v>37</v>
      </c>
      <c r="C14" s="2" t="s">
        <v>107</v>
      </c>
      <c r="D14" s="2" t="s">
        <v>108</v>
      </c>
      <c r="E14" s="2">
        <v>5958</v>
      </c>
      <c r="F14" s="2">
        <v>0.67136623029999998</v>
      </c>
      <c r="G14" s="2">
        <v>40</v>
      </c>
      <c r="H14" s="2">
        <v>157</v>
      </c>
    </row>
    <row r="15" spans="1:8" ht="15.75" hidden="1" customHeight="1" x14ac:dyDescent="0.25">
      <c r="A15" s="2" t="s">
        <v>110</v>
      </c>
      <c r="B15" s="2" t="s">
        <v>37</v>
      </c>
      <c r="C15" s="2" t="s">
        <v>111</v>
      </c>
      <c r="D15" s="2" t="s">
        <v>113</v>
      </c>
      <c r="E15" s="2">
        <v>1091599</v>
      </c>
      <c r="F15" s="2">
        <v>0.68999702039999999</v>
      </c>
      <c r="G15" s="2">
        <v>7532</v>
      </c>
      <c r="H15" s="2">
        <v>156</v>
      </c>
    </row>
    <row r="16" spans="1:8" ht="12.5" hidden="1" x14ac:dyDescent="0.25">
      <c r="A16" s="2" t="s">
        <v>96</v>
      </c>
      <c r="B16" s="2" t="s">
        <v>37</v>
      </c>
      <c r="C16" s="2" t="s">
        <v>117</v>
      </c>
      <c r="D16" s="2" t="s">
        <v>108</v>
      </c>
      <c r="E16" s="2">
        <v>5160</v>
      </c>
      <c r="F16" s="2">
        <v>0.69770822229999996</v>
      </c>
      <c r="G16" s="2">
        <v>36</v>
      </c>
      <c r="H16" s="2">
        <v>155</v>
      </c>
    </row>
    <row r="17" spans="1:8" ht="12.5" hidden="1" x14ac:dyDescent="0.25">
      <c r="A17" s="2" t="s">
        <v>42</v>
      </c>
      <c r="B17" s="2" t="s">
        <v>37</v>
      </c>
      <c r="C17" s="2" t="s">
        <v>119</v>
      </c>
      <c r="D17" s="2" t="s">
        <v>120</v>
      </c>
      <c r="E17" s="2">
        <v>490669</v>
      </c>
      <c r="F17" s="2">
        <v>0.72880150089999995</v>
      </c>
      <c r="G17" s="2">
        <v>3576</v>
      </c>
      <c r="H17" s="2">
        <v>154</v>
      </c>
    </row>
    <row r="18" spans="1:8" ht="12.5" x14ac:dyDescent="0.25">
      <c r="A18" s="2" t="s">
        <v>10</v>
      </c>
      <c r="B18" s="2" t="s">
        <v>37</v>
      </c>
      <c r="C18" s="2" t="s">
        <v>87</v>
      </c>
      <c r="D18" s="2" t="s">
        <v>89</v>
      </c>
      <c r="E18" s="2">
        <v>3874</v>
      </c>
      <c r="F18" s="2">
        <v>0.7744766904</v>
      </c>
      <c r="G18" s="2">
        <v>30</v>
      </c>
      <c r="H18" s="2">
        <v>153</v>
      </c>
    </row>
    <row r="19" spans="1:8" ht="12.5" hidden="1" x14ac:dyDescent="0.25">
      <c r="A19" s="2" t="s">
        <v>110</v>
      </c>
      <c r="B19" s="2" t="s">
        <v>37</v>
      </c>
      <c r="C19" s="2" t="s">
        <v>122</v>
      </c>
      <c r="D19" s="2" t="s">
        <v>123</v>
      </c>
      <c r="E19" s="2">
        <v>115751</v>
      </c>
      <c r="F19" s="2">
        <v>0.94167924160000005</v>
      </c>
      <c r="G19" s="2">
        <v>1090</v>
      </c>
      <c r="H19" s="2">
        <v>152</v>
      </c>
    </row>
    <row r="20" spans="1:8" ht="12.5" hidden="1" x14ac:dyDescent="0.25">
      <c r="A20" s="2" t="s">
        <v>112</v>
      </c>
      <c r="B20" s="2" t="s">
        <v>37</v>
      </c>
      <c r="C20" s="2" t="s">
        <v>122</v>
      </c>
      <c r="D20" s="2" t="s">
        <v>123</v>
      </c>
      <c r="E20" s="2">
        <v>116560</v>
      </c>
      <c r="F20" s="2">
        <v>1.0252274589999999</v>
      </c>
      <c r="G20" s="2">
        <v>1195</v>
      </c>
      <c r="H20" s="2">
        <v>151</v>
      </c>
    </row>
    <row r="21" spans="1:8" ht="12.5" hidden="1" x14ac:dyDescent="0.25">
      <c r="A21" s="2" t="s">
        <v>118</v>
      </c>
      <c r="B21" s="2" t="s">
        <v>37</v>
      </c>
      <c r="C21" s="2" t="s">
        <v>122</v>
      </c>
      <c r="D21" s="2" t="s">
        <v>123</v>
      </c>
      <c r="E21" s="2">
        <v>940760</v>
      </c>
      <c r="F21" s="2">
        <v>1.069242458</v>
      </c>
      <c r="G21" s="2">
        <v>10059</v>
      </c>
      <c r="H21" s="2">
        <v>150</v>
      </c>
    </row>
    <row r="22" spans="1:8" ht="12.5" hidden="1" x14ac:dyDescent="0.25">
      <c r="A22" s="2" t="s">
        <v>82</v>
      </c>
      <c r="B22" s="2" t="s">
        <v>37</v>
      </c>
      <c r="C22" s="2" t="s">
        <v>39</v>
      </c>
      <c r="D22" s="2" t="s">
        <v>39</v>
      </c>
      <c r="E22" s="2">
        <v>12965</v>
      </c>
      <c r="F22" s="2">
        <v>1.0952564600000001</v>
      </c>
      <c r="G22" s="2">
        <v>142</v>
      </c>
      <c r="H22" s="2">
        <v>149</v>
      </c>
    </row>
    <row r="23" spans="1:8" ht="12.5" hidden="1" x14ac:dyDescent="0.25">
      <c r="A23" s="2" t="s">
        <v>26</v>
      </c>
      <c r="B23" s="2" t="s">
        <v>37</v>
      </c>
      <c r="C23" s="2" t="s">
        <v>87</v>
      </c>
      <c r="D23" s="2" t="s">
        <v>89</v>
      </c>
      <c r="E23" s="2">
        <v>4780</v>
      </c>
      <c r="F23" s="2">
        <v>1.2551425979999999</v>
      </c>
      <c r="G23" s="2">
        <v>60</v>
      </c>
      <c r="H23" s="2">
        <v>148</v>
      </c>
    </row>
    <row r="24" spans="1:8" ht="12.5" hidden="1" x14ac:dyDescent="0.25">
      <c r="A24" s="2" t="s">
        <v>100</v>
      </c>
      <c r="B24" s="2" t="s">
        <v>37</v>
      </c>
      <c r="C24" s="2" t="s">
        <v>128</v>
      </c>
      <c r="D24" s="2" t="s">
        <v>129</v>
      </c>
      <c r="E24" s="2">
        <v>1035046</v>
      </c>
      <c r="F24" s="2">
        <v>1.270958313</v>
      </c>
      <c r="G24" s="2">
        <v>13155</v>
      </c>
      <c r="H24" s="2">
        <v>147</v>
      </c>
    </row>
    <row r="25" spans="1:8" ht="12.5" hidden="1" x14ac:dyDescent="0.25">
      <c r="A25" s="2" t="s">
        <v>43</v>
      </c>
      <c r="B25" s="2" t="s">
        <v>37</v>
      </c>
      <c r="C25" s="2" t="s">
        <v>130</v>
      </c>
      <c r="D25" s="2" t="s">
        <v>131</v>
      </c>
      <c r="E25" s="2">
        <v>294053</v>
      </c>
      <c r="F25" s="2">
        <v>1.364303034</v>
      </c>
      <c r="G25" s="2">
        <v>4011.7739999999999</v>
      </c>
      <c r="H25" s="2">
        <v>146</v>
      </c>
    </row>
    <row r="26" spans="1:8" ht="12.5" hidden="1" x14ac:dyDescent="0.25">
      <c r="A26" s="2" t="s">
        <v>109</v>
      </c>
      <c r="B26" s="2" t="s">
        <v>37</v>
      </c>
      <c r="C26" s="2" t="s">
        <v>133</v>
      </c>
      <c r="D26" s="2" t="s">
        <v>134</v>
      </c>
      <c r="E26" s="2">
        <v>6294</v>
      </c>
      <c r="F26" s="2">
        <v>1.366489235</v>
      </c>
      <c r="G26" s="2">
        <v>86</v>
      </c>
      <c r="H26" s="2">
        <v>145</v>
      </c>
    </row>
    <row r="27" spans="1:8" ht="12.5" hidden="1" x14ac:dyDescent="0.25">
      <c r="A27" s="2" t="s">
        <v>49</v>
      </c>
      <c r="B27" s="2" t="s">
        <v>37</v>
      </c>
      <c r="C27" s="2" t="s">
        <v>136</v>
      </c>
      <c r="D27" s="2" t="s">
        <v>136</v>
      </c>
      <c r="E27" s="2">
        <v>13752</v>
      </c>
      <c r="F27" s="2">
        <v>1.425255873</v>
      </c>
      <c r="G27" s="2">
        <v>196</v>
      </c>
      <c r="H27" s="2">
        <v>144</v>
      </c>
    </row>
    <row r="28" spans="1:8" ht="12.5" hidden="1" x14ac:dyDescent="0.25">
      <c r="A28" s="2" t="s">
        <v>58</v>
      </c>
      <c r="B28" s="2" t="s">
        <v>37</v>
      </c>
      <c r="C28" s="2" t="s">
        <v>137</v>
      </c>
      <c r="D28" s="2" t="s">
        <v>138</v>
      </c>
      <c r="E28" s="2">
        <v>474646</v>
      </c>
      <c r="F28" s="2">
        <v>1.4404414240000001</v>
      </c>
      <c r="G28" s="2">
        <v>6837</v>
      </c>
      <c r="H28" s="2">
        <v>143</v>
      </c>
    </row>
    <row r="29" spans="1:8" ht="12.5" hidden="1" x14ac:dyDescent="0.25">
      <c r="A29" s="2" t="s">
        <v>116</v>
      </c>
      <c r="B29" s="2" t="s">
        <v>37</v>
      </c>
      <c r="C29" s="2" t="s">
        <v>140</v>
      </c>
      <c r="D29" s="2" t="s">
        <v>138</v>
      </c>
      <c r="E29" s="2">
        <v>452383</v>
      </c>
      <c r="F29" s="2">
        <v>1.4912137539999999</v>
      </c>
      <c r="G29" s="2">
        <v>6746</v>
      </c>
      <c r="H29" s="2">
        <v>142</v>
      </c>
    </row>
    <row r="30" spans="1:8" ht="12.5" hidden="1" x14ac:dyDescent="0.25">
      <c r="A30" s="2" t="s">
        <v>109</v>
      </c>
      <c r="B30" s="2" t="s">
        <v>37</v>
      </c>
      <c r="C30" s="2" t="s">
        <v>141</v>
      </c>
      <c r="D30" s="2" t="s">
        <v>142</v>
      </c>
      <c r="E30" s="2">
        <v>60951</v>
      </c>
      <c r="F30" s="2">
        <v>1.527462747</v>
      </c>
      <c r="G30" s="2">
        <v>931</v>
      </c>
      <c r="H30" s="2">
        <v>141</v>
      </c>
    </row>
    <row r="31" spans="1:8" ht="12.5" hidden="1" x14ac:dyDescent="0.25">
      <c r="A31" s="2" t="s">
        <v>115</v>
      </c>
      <c r="B31" s="2" t="s">
        <v>37</v>
      </c>
      <c r="C31" s="2" t="s">
        <v>144</v>
      </c>
      <c r="D31" s="2" t="s">
        <v>145</v>
      </c>
      <c r="E31" s="2">
        <v>293481</v>
      </c>
      <c r="F31" s="2">
        <v>1.533321199</v>
      </c>
      <c r="G31" s="2">
        <v>4500</v>
      </c>
      <c r="H31" s="2">
        <v>140</v>
      </c>
    </row>
    <row r="32" spans="1:8" ht="12.5" hidden="1" x14ac:dyDescent="0.25">
      <c r="A32" s="2" t="s">
        <v>16</v>
      </c>
      <c r="B32" s="2" t="s">
        <v>37</v>
      </c>
      <c r="C32" s="2" t="s">
        <v>147</v>
      </c>
      <c r="D32" s="2" t="s">
        <v>148</v>
      </c>
      <c r="E32" s="2">
        <v>25560</v>
      </c>
      <c r="F32" s="2">
        <v>1.5453834120000001</v>
      </c>
      <c r="G32" s="2">
        <v>395</v>
      </c>
      <c r="H32" s="2">
        <v>139</v>
      </c>
    </row>
    <row r="33" spans="1:8" ht="12.5" hidden="1" x14ac:dyDescent="0.25">
      <c r="A33" s="2" t="s">
        <v>115</v>
      </c>
      <c r="B33" s="2" t="s">
        <v>37</v>
      </c>
      <c r="C33" s="2" t="s">
        <v>133</v>
      </c>
      <c r="D33" s="2" t="s">
        <v>134</v>
      </c>
      <c r="E33" s="2">
        <v>19596</v>
      </c>
      <c r="F33" s="2">
        <v>1.5513502020000001</v>
      </c>
      <c r="G33" s="2">
        <v>304</v>
      </c>
      <c r="H33" s="2">
        <v>138</v>
      </c>
    </row>
    <row r="34" spans="1:8" ht="12.5" hidden="1" x14ac:dyDescent="0.25">
      <c r="A34" s="2" t="s">
        <v>112</v>
      </c>
      <c r="B34" s="2" t="s">
        <v>37</v>
      </c>
      <c r="C34" s="2" t="s">
        <v>133</v>
      </c>
      <c r="D34" s="2" t="s">
        <v>134</v>
      </c>
      <c r="E34" s="2">
        <v>14593</v>
      </c>
      <c r="F34" s="2">
        <v>1.603462749</v>
      </c>
      <c r="G34" s="2">
        <v>234</v>
      </c>
      <c r="H34" s="2">
        <v>137</v>
      </c>
    </row>
    <row r="35" spans="1:8" ht="12.5" hidden="1" x14ac:dyDescent="0.25">
      <c r="A35" s="2" t="s">
        <v>65</v>
      </c>
      <c r="B35" s="2" t="s">
        <v>37</v>
      </c>
      <c r="C35" s="2" t="s">
        <v>151</v>
      </c>
      <c r="D35" s="2" t="s">
        <v>152</v>
      </c>
      <c r="E35" s="2">
        <v>492945</v>
      </c>
      <c r="F35" s="2">
        <v>1.634462815</v>
      </c>
      <c r="G35" s="2">
        <v>8057</v>
      </c>
      <c r="H35" s="2">
        <v>136</v>
      </c>
    </row>
    <row r="36" spans="1:8" ht="12.5" hidden="1" x14ac:dyDescent="0.25">
      <c r="A36" s="2" t="s">
        <v>82</v>
      </c>
      <c r="B36" s="2" t="s">
        <v>37</v>
      </c>
      <c r="C36" s="2" t="s">
        <v>153</v>
      </c>
      <c r="D36" s="2" t="s">
        <v>154</v>
      </c>
      <c r="E36" s="2">
        <v>144610</v>
      </c>
      <c r="F36" s="2">
        <v>1.7806514069999999</v>
      </c>
      <c r="G36" s="2">
        <v>2575</v>
      </c>
      <c r="H36" s="2">
        <v>135</v>
      </c>
    </row>
    <row r="37" spans="1:8" ht="12.5" hidden="1" x14ac:dyDescent="0.25">
      <c r="A37" s="2" t="s">
        <v>103</v>
      </c>
      <c r="B37" s="2" t="s">
        <v>37</v>
      </c>
      <c r="C37" s="2" t="s">
        <v>155</v>
      </c>
      <c r="D37" s="2" t="s">
        <v>156</v>
      </c>
      <c r="E37" s="2">
        <v>4624551</v>
      </c>
      <c r="F37" s="2">
        <v>1.9042063810000001</v>
      </c>
      <c r="G37" s="2">
        <v>88061</v>
      </c>
      <c r="H37" s="2">
        <v>134</v>
      </c>
    </row>
    <row r="38" spans="1:8" ht="12.5" hidden="1" x14ac:dyDescent="0.25">
      <c r="A38" s="2" t="s">
        <v>112</v>
      </c>
      <c r="B38" s="2" t="s">
        <v>37</v>
      </c>
      <c r="C38" s="2" t="s">
        <v>158</v>
      </c>
      <c r="D38" s="2" t="s">
        <v>142</v>
      </c>
      <c r="E38" s="2">
        <v>39953</v>
      </c>
      <c r="F38" s="2">
        <v>1.989821458</v>
      </c>
      <c r="G38" s="2">
        <v>795</v>
      </c>
      <c r="H38" s="2">
        <v>133</v>
      </c>
    </row>
    <row r="39" spans="1:8" ht="12.5" hidden="1" x14ac:dyDescent="0.25">
      <c r="A39" s="2" t="s">
        <v>80</v>
      </c>
      <c r="B39" s="2" t="s">
        <v>37</v>
      </c>
      <c r="C39" s="2" t="s">
        <v>122</v>
      </c>
      <c r="D39" s="2" t="s">
        <v>123</v>
      </c>
      <c r="E39" s="2">
        <v>74588</v>
      </c>
      <c r="F39" s="2">
        <v>2.0539474019999999</v>
      </c>
      <c r="G39" s="2">
        <v>1532</v>
      </c>
      <c r="H39" s="2">
        <v>132</v>
      </c>
    </row>
    <row r="40" spans="1:8" ht="12.5" hidden="1" x14ac:dyDescent="0.25">
      <c r="A40" s="2" t="s">
        <v>104</v>
      </c>
      <c r="B40" s="2" t="s">
        <v>37</v>
      </c>
      <c r="C40" s="2" t="s">
        <v>163</v>
      </c>
      <c r="D40" s="2" t="s">
        <v>142</v>
      </c>
      <c r="E40" s="2">
        <v>89252</v>
      </c>
      <c r="F40" s="2">
        <v>2.055972497</v>
      </c>
      <c r="G40" s="2">
        <v>1835</v>
      </c>
      <c r="H40" s="2">
        <v>131</v>
      </c>
    </row>
    <row r="41" spans="1:8" ht="12.5" hidden="1" x14ac:dyDescent="0.25">
      <c r="A41" s="2" t="s">
        <v>92</v>
      </c>
      <c r="B41" s="2" t="s">
        <v>37</v>
      </c>
      <c r="C41" s="2" t="s">
        <v>165</v>
      </c>
      <c r="D41" s="2" t="s">
        <v>94</v>
      </c>
      <c r="E41" s="2">
        <v>1210221</v>
      </c>
      <c r="F41" s="2">
        <v>2.0757371519999999</v>
      </c>
      <c r="G41" s="2">
        <v>25121</v>
      </c>
      <c r="H41" s="2">
        <v>130</v>
      </c>
    </row>
    <row r="42" spans="1:8" ht="12.5" hidden="1" x14ac:dyDescent="0.25">
      <c r="A42" s="2" t="s">
        <v>98</v>
      </c>
      <c r="B42" s="2" t="s">
        <v>37</v>
      </c>
      <c r="C42" s="2" t="s">
        <v>166</v>
      </c>
      <c r="D42" s="2" t="s">
        <v>129</v>
      </c>
      <c r="E42" s="2">
        <v>256766</v>
      </c>
      <c r="F42" s="2">
        <v>2.1248898559999998</v>
      </c>
      <c r="G42" s="2">
        <v>5456</v>
      </c>
      <c r="H42" s="2">
        <v>129</v>
      </c>
    </row>
    <row r="43" spans="1:8" ht="12.5" hidden="1" x14ac:dyDescent="0.25">
      <c r="A43" s="2" t="s">
        <v>95</v>
      </c>
      <c r="B43" s="2" t="s">
        <v>37</v>
      </c>
      <c r="C43" s="2" t="s">
        <v>167</v>
      </c>
      <c r="D43" s="2" t="s">
        <v>168</v>
      </c>
      <c r="E43" s="2">
        <v>68551</v>
      </c>
      <c r="F43" s="2">
        <v>2.249422874</v>
      </c>
      <c r="G43" s="2">
        <v>1542</v>
      </c>
      <c r="H43" s="2">
        <v>128</v>
      </c>
    </row>
    <row r="44" spans="1:8" ht="12.5" hidden="1" x14ac:dyDescent="0.25">
      <c r="A44" s="2" t="s">
        <v>91</v>
      </c>
      <c r="B44" s="2" t="s">
        <v>37</v>
      </c>
      <c r="C44" s="2" t="s">
        <v>170</v>
      </c>
      <c r="D44" s="2" t="s">
        <v>171</v>
      </c>
      <c r="E44" s="2">
        <v>46554</v>
      </c>
      <c r="F44" s="2">
        <v>2.2769501760000002</v>
      </c>
      <c r="G44" s="2">
        <v>1060</v>
      </c>
      <c r="H44" s="2">
        <v>127</v>
      </c>
    </row>
    <row r="45" spans="1:8" ht="12.5" hidden="1" x14ac:dyDescent="0.25">
      <c r="A45" s="2" t="s">
        <v>98</v>
      </c>
      <c r="B45" s="2" t="s">
        <v>37</v>
      </c>
      <c r="C45" s="2" t="s">
        <v>172</v>
      </c>
      <c r="D45" s="2" t="s">
        <v>173</v>
      </c>
      <c r="E45" s="2">
        <v>553607</v>
      </c>
      <c r="F45" s="2">
        <v>2.27797078</v>
      </c>
      <c r="G45" s="2">
        <v>12611</v>
      </c>
      <c r="H45" s="2">
        <v>126</v>
      </c>
    </row>
    <row r="46" spans="1:8" ht="12.5" hidden="1" x14ac:dyDescent="0.25">
      <c r="A46" s="2" t="s">
        <v>103</v>
      </c>
      <c r="B46" s="2" t="s">
        <v>37</v>
      </c>
      <c r="C46" s="2" t="s">
        <v>122</v>
      </c>
      <c r="D46" s="2" t="s">
        <v>123</v>
      </c>
      <c r="E46" s="2">
        <v>36675</v>
      </c>
      <c r="F46" s="2">
        <v>2.2958679380000002</v>
      </c>
      <c r="G46" s="2">
        <v>842</v>
      </c>
      <c r="H46" s="2">
        <v>125</v>
      </c>
    </row>
    <row r="47" spans="1:8" ht="12.5" hidden="1" x14ac:dyDescent="0.25">
      <c r="A47" s="2" t="s">
        <v>109</v>
      </c>
      <c r="B47" s="2" t="s">
        <v>37</v>
      </c>
      <c r="C47" s="2" t="s">
        <v>175</v>
      </c>
      <c r="D47" s="2" t="s">
        <v>123</v>
      </c>
      <c r="E47" s="2">
        <v>4230</v>
      </c>
      <c r="F47" s="2">
        <v>2.3166023170000001</v>
      </c>
      <c r="G47" s="2">
        <v>98</v>
      </c>
      <c r="H47" s="2">
        <v>124</v>
      </c>
    </row>
    <row r="48" spans="1:8" ht="12.5" hidden="1" x14ac:dyDescent="0.25">
      <c r="A48" s="2" t="s">
        <v>101</v>
      </c>
      <c r="B48" s="2" t="s">
        <v>37</v>
      </c>
      <c r="C48" s="2" t="s">
        <v>176</v>
      </c>
      <c r="D48" s="2" t="s">
        <v>79</v>
      </c>
      <c r="E48" s="2">
        <v>94425</v>
      </c>
      <c r="F48" s="2">
        <v>2.3351907779999999</v>
      </c>
      <c r="G48" s="2">
        <v>2205</v>
      </c>
      <c r="H48" s="2">
        <v>123</v>
      </c>
    </row>
    <row r="49" spans="1:8" ht="12.5" hidden="1" x14ac:dyDescent="0.25">
      <c r="A49" s="2" t="s">
        <v>53</v>
      </c>
      <c r="B49" s="2" t="s">
        <v>37</v>
      </c>
      <c r="C49" s="2" t="s">
        <v>175</v>
      </c>
      <c r="D49" s="2" t="s">
        <v>123</v>
      </c>
      <c r="E49" s="2">
        <v>631006</v>
      </c>
      <c r="F49" s="2">
        <v>2.3941141589999999</v>
      </c>
      <c r="G49" s="2">
        <v>15107</v>
      </c>
      <c r="H49" s="2">
        <v>122</v>
      </c>
    </row>
    <row r="50" spans="1:8" ht="12.5" hidden="1" x14ac:dyDescent="0.25">
      <c r="A50" s="2" t="s">
        <v>45</v>
      </c>
      <c r="B50" s="2" t="s">
        <v>37</v>
      </c>
      <c r="C50" s="2" t="s">
        <v>178</v>
      </c>
      <c r="D50" s="2" t="s">
        <v>179</v>
      </c>
      <c r="E50" s="2">
        <v>1161171</v>
      </c>
      <c r="F50" s="2">
        <v>2.4462381639999999</v>
      </c>
      <c r="G50" s="2">
        <v>28405</v>
      </c>
      <c r="H50" s="2">
        <v>121</v>
      </c>
    </row>
    <row r="51" spans="1:8" ht="12.5" hidden="1" x14ac:dyDescent="0.25">
      <c r="A51" s="2" t="s">
        <v>34</v>
      </c>
      <c r="B51" s="2" t="s">
        <v>37</v>
      </c>
      <c r="C51" s="2" t="s">
        <v>180</v>
      </c>
      <c r="D51" s="2" t="s">
        <v>181</v>
      </c>
      <c r="E51" s="2">
        <v>125896</v>
      </c>
      <c r="F51" s="2">
        <v>2.4750587789999998</v>
      </c>
      <c r="G51" s="2">
        <v>3116</v>
      </c>
      <c r="H51" s="2">
        <v>120</v>
      </c>
    </row>
    <row r="52" spans="1:8" ht="12.5" hidden="1" x14ac:dyDescent="0.25">
      <c r="A52" s="2" t="s">
        <v>80</v>
      </c>
      <c r="B52" s="2" t="s">
        <v>37</v>
      </c>
      <c r="C52" s="2" t="s">
        <v>182</v>
      </c>
      <c r="D52" s="2" t="s">
        <v>183</v>
      </c>
      <c r="E52" s="2">
        <v>137574</v>
      </c>
      <c r="F52" s="2">
        <v>2.5012054149999998</v>
      </c>
      <c r="G52" s="2">
        <v>3441</v>
      </c>
      <c r="H52" s="2">
        <v>119</v>
      </c>
    </row>
    <row r="53" spans="1:8" ht="12.5" hidden="1" x14ac:dyDescent="0.25">
      <c r="A53" s="2" t="s">
        <v>77</v>
      </c>
      <c r="B53" s="2" t="s">
        <v>37</v>
      </c>
      <c r="C53" s="2" t="s">
        <v>185</v>
      </c>
      <c r="D53" s="2" t="s">
        <v>173</v>
      </c>
      <c r="E53" s="2">
        <v>3691840</v>
      </c>
      <c r="F53" s="2">
        <v>2.589629811</v>
      </c>
      <c r="G53" s="2">
        <v>95605</v>
      </c>
      <c r="H53" s="2">
        <v>118</v>
      </c>
    </row>
    <row r="54" spans="1:8" ht="12.5" hidden="1" x14ac:dyDescent="0.25">
      <c r="A54" s="2" t="s">
        <v>96</v>
      </c>
      <c r="B54" s="2" t="s">
        <v>37</v>
      </c>
      <c r="C54" s="2" t="s">
        <v>186</v>
      </c>
      <c r="D54" s="2" t="s">
        <v>187</v>
      </c>
      <c r="E54" s="2">
        <v>55005</v>
      </c>
      <c r="F54" s="2">
        <v>2.6234217200000001</v>
      </c>
      <c r="G54" s="2">
        <v>1443</v>
      </c>
      <c r="H54" s="2">
        <v>117</v>
      </c>
    </row>
    <row r="55" spans="1:8" ht="12.5" hidden="1" x14ac:dyDescent="0.25">
      <c r="A55" s="2" t="s">
        <v>77</v>
      </c>
      <c r="B55" s="2" t="s">
        <v>37</v>
      </c>
      <c r="C55" s="2" t="s">
        <v>175</v>
      </c>
      <c r="D55" s="2" t="s">
        <v>123</v>
      </c>
      <c r="E55" s="2">
        <v>73192</v>
      </c>
      <c r="F55" s="2">
        <v>2.6505689389999998</v>
      </c>
      <c r="G55" s="2">
        <v>1940</v>
      </c>
      <c r="H55" s="2">
        <v>116</v>
      </c>
    </row>
    <row r="56" spans="1:8" ht="12.5" hidden="1" x14ac:dyDescent="0.25">
      <c r="A56" s="2" t="s">
        <v>103</v>
      </c>
      <c r="B56" s="2" t="s">
        <v>37</v>
      </c>
      <c r="C56" s="2" t="s">
        <v>188</v>
      </c>
      <c r="D56" s="2" t="s">
        <v>189</v>
      </c>
      <c r="E56" s="2">
        <v>1360226</v>
      </c>
      <c r="F56" s="2">
        <v>2.7113878329999999</v>
      </c>
      <c r="G56" s="2">
        <v>36881</v>
      </c>
      <c r="H56" s="2">
        <v>115</v>
      </c>
    </row>
    <row r="57" spans="1:8" ht="12.5" hidden="1" x14ac:dyDescent="0.25">
      <c r="A57" s="2" t="s">
        <v>86</v>
      </c>
      <c r="B57" s="2" t="s">
        <v>37</v>
      </c>
      <c r="C57" s="2" t="s">
        <v>192</v>
      </c>
      <c r="D57" s="2" t="s">
        <v>193</v>
      </c>
      <c r="E57" s="2">
        <v>108656</v>
      </c>
      <c r="F57" s="2">
        <v>2.7205145289999999</v>
      </c>
      <c r="G57" s="2">
        <v>2956</v>
      </c>
      <c r="H57" s="2">
        <v>114</v>
      </c>
    </row>
    <row r="58" spans="1:8" ht="12.5" hidden="1" x14ac:dyDescent="0.25">
      <c r="A58" s="2" t="s">
        <v>91</v>
      </c>
      <c r="B58" s="2" t="s">
        <v>37</v>
      </c>
      <c r="C58" s="2" t="s">
        <v>133</v>
      </c>
      <c r="D58" s="2" t="s">
        <v>134</v>
      </c>
      <c r="E58" s="2">
        <v>79239</v>
      </c>
      <c r="F58" s="2">
        <v>2.7498969369999999</v>
      </c>
      <c r="G58" s="2">
        <v>2179</v>
      </c>
      <c r="H58" s="2">
        <v>113</v>
      </c>
    </row>
    <row r="59" spans="1:8" ht="12.5" hidden="1" x14ac:dyDescent="0.25">
      <c r="A59" s="2" t="s">
        <v>100</v>
      </c>
      <c r="B59" s="2" t="s">
        <v>37</v>
      </c>
      <c r="C59" s="2" t="s">
        <v>194</v>
      </c>
      <c r="D59" s="2" t="s">
        <v>173</v>
      </c>
      <c r="E59" s="2">
        <v>506472</v>
      </c>
      <c r="F59" s="2">
        <v>2.7626426560000001</v>
      </c>
      <c r="G59" s="2">
        <v>13992</v>
      </c>
      <c r="H59" s="2">
        <v>112</v>
      </c>
    </row>
    <row r="60" spans="1:8" ht="12.5" hidden="1" x14ac:dyDescent="0.25">
      <c r="A60" s="2" t="s">
        <v>62</v>
      </c>
      <c r="B60" s="2" t="s">
        <v>37</v>
      </c>
      <c r="C60" s="2" t="s">
        <v>196</v>
      </c>
      <c r="D60" s="2" t="s">
        <v>129</v>
      </c>
      <c r="E60" s="2">
        <v>279790</v>
      </c>
      <c r="F60" s="2">
        <v>5.1116863439999998</v>
      </c>
      <c r="G60" s="2">
        <v>14302</v>
      </c>
      <c r="H60" s="2">
        <v>111</v>
      </c>
    </row>
    <row r="61" spans="1:8" ht="12.5" hidden="1" x14ac:dyDescent="0.25">
      <c r="A61" s="2" t="s">
        <v>49</v>
      </c>
      <c r="B61" s="2" t="s">
        <v>37</v>
      </c>
      <c r="C61" s="2" t="s">
        <v>197</v>
      </c>
      <c r="D61" s="2" t="s">
        <v>198</v>
      </c>
      <c r="E61" s="2">
        <v>7579</v>
      </c>
      <c r="F61" s="2">
        <v>2.8895632670000002</v>
      </c>
      <c r="G61" s="2">
        <v>219</v>
      </c>
      <c r="H61" s="2">
        <v>110</v>
      </c>
    </row>
    <row r="62" spans="1:8" ht="12.5" hidden="1" x14ac:dyDescent="0.25">
      <c r="A62" s="2" t="s">
        <v>96</v>
      </c>
      <c r="B62" s="2" t="s">
        <v>37</v>
      </c>
      <c r="C62" s="2" t="s">
        <v>199</v>
      </c>
      <c r="D62" s="2" t="s">
        <v>200</v>
      </c>
      <c r="E62" s="2">
        <v>3646</v>
      </c>
      <c r="F62" s="2">
        <v>2.934722984</v>
      </c>
      <c r="G62" s="2">
        <v>107</v>
      </c>
      <c r="H62" s="2">
        <v>109</v>
      </c>
    </row>
    <row r="63" spans="1:8" ht="12.5" hidden="1" x14ac:dyDescent="0.25">
      <c r="A63" s="2" t="s">
        <v>49</v>
      </c>
      <c r="B63" s="2" t="s">
        <v>37</v>
      </c>
      <c r="C63" s="2" t="s">
        <v>202</v>
      </c>
      <c r="D63" s="2" t="s">
        <v>203</v>
      </c>
      <c r="E63" s="2">
        <v>33252</v>
      </c>
      <c r="F63" s="2">
        <v>3.0073379039999999</v>
      </c>
      <c r="G63" s="2">
        <v>1000</v>
      </c>
      <c r="H63" s="2">
        <v>108</v>
      </c>
    </row>
    <row r="64" spans="1:8" ht="12.5" hidden="1" x14ac:dyDescent="0.25">
      <c r="A64" s="2" t="s">
        <v>62</v>
      </c>
      <c r="B64" s="2" t="s">
        <v>37</v>
      </c>
      <c r="C64" s="2" t="s">
        <v>206</v>
      </c>
      <c r="D64" s="2" t="s">
        <v>207</v>
      </c>
      <c r="E64" s="2">
        <v>481025</v>
      </c>
      <c r="F64" s="2">
        <v>3.0081575749999998</v>
      </c>
      <c r="G64" s="2">
        <v>14470</v>
      </c>
      <c r="H64" s="2">
        <v>107</v>
      </c>
    </row>
    <row r="65" spans="1:8" ht="12.5" hidden="1" x14ac:dyDescent="0.25">
      <c r="A65" s="2" t="s">
        <v>104</v>
      </c>
      <c r="B65" s="2" t="s">
        <v>37</v>
      </c>
      <c r="C65" s="2" t="s">
        <v>208</v>
      </c>
      <c r="D65" s="2" t="s">
        <v>198</v>
      </c>
      <c r="E65" s="2">
        <v>1365053</v>
      </c>
      <c r="F65" s="2">
        <v>3.0611276859999998</v>
      </c>
      <c r="G65" s="2">
        <v>41786</v>
      </c>
      <c r="H65" s="2">
        <v>106</v>
      </c>
    </row>
    <row r="66" spans="1:8" ht="12.5" hidden="1" x14ac:dyDescent="0.25">
      <c r="A66" s="2" t="s">
        <v>82</v>
      </c>
      <c r="B66" s="2" t="s">
        <v>37</v>
      </c>
      <c r="C66" s="2" t="s">
        <v>209</v>
      </c>
      <c r="D66" s="2" t="s">
        <v>210</v>
      </c>
      <c r="E66" s="2">
        <v>444284</v>
      </c>
      <c r="F66" s="2">
        <v>3.1216525019999999</v>
      </c>
      <c r="G66" s="2">
        <v>13869</v>
      </c>
      <c r="H66" s="2">
        <v>105</v>
      </c>
    </row>
    <row r="67" spans="1:8" ht="12.5" hidden="1" x14ac:dyDescent="0.25">
      <c r="A67" s="2" t="s">
        <v>34</v>
      </c>
      <c r="B67" s="2" t="s">
        <v>37</v>
      </c>
      <c r="C67" s="2" t="s">
        <v>170</v>
      </c>
      <c r="D67" s="2" t="s">
        <v>171</v>
      </c>
      <c r="E67" s="2">
        <v>52145</v>
      </c>
      <c r="F67" s="2">
        <v>3.1278416579999999</v>
      </c>
      <c r="G67" s="2">
        <v>1631</v>
      </c>
      <c r="H67" s="2">
        <v>104</v>
      </c>
    </row>
    <row r="68" spans="1:8" ht="12.5" hidden="1" x14ac:dyDescent="0.25">
      <c r="A68" s="2" t="s">
        <v>101</v>
      </c>
      <c r="B68" s="2" t="s">
        <v>37</v>
      </c>
      <c r="C68" s="2" t="s">
        <v>212</v>
      </c>
      <c r="D68" s="2" t="s">
        <v>79</v>
      </c>
      <c r="E68" s="2">
        <v>409548</v>
      </c>
      <c r="F68" s="2">
        <v>3.1532317019999998</v>
      </c>
      <c r="G68" s="2">
        <v>12914</v>
      </c>
      <c r="H68" s="2">
        <v>103</v>
      </c>
    </row>
    <row r="69" spans="1:8" ht="12.5" hidden="1" x14ac:dyDescent="0.25">
      <c r="A69" s="2" t="s">
        <v>27</v>
      </c>
      <c r="B69" s="2" t="s">
        <v>37</v>
      </c>
      <c r="C69" s="2" t="s">
        <v>166</v>
      </c>
      <c r="D69" s="2" t="s">
        <v>129</v>
      </c>
      <c r="E69" s="2">
        <v>135266</v>
      </c>
      <c r="F69" s="2">
        <v>3.1818727880000002</v>
      </c>
      <c r="G69" s="2">
        <v>4304</v>
      </c>
      <c r="H69" s="2">
        <v>102</v>
      </c>
    </row>
    <row r="70" spans="1:8" ht="12.5" hidden="1" x14ac:dyDescent="0.25">
      <c r="A70" s="2" t="s">
        <v>95</v>
      </c>
      <c r="B70" s="2" t="s">
        <v>37</v>
      </c>
      <c r="C70" s="2" t="s">
        <v>214</v>
      </c>
      <c r="D70" s="2" t="s">
        <v>179</v>
      </c>
      <c r="E70" s="2">
        <v>455078</v>
      </c>
      <c r="F70" s="2">
        <v>3.2023105209999998</v>
      </c>
      <c r="G70" s="2">
        <v>14573</v>
      </c>
      <c r="H70" s="2">
        <v>101</v>
      </c>
    </row>
    <row r="71" spans="1:8" ht="12.5" hidden="1" x14ac:dyDescent="0.25">
      <c r="A71" s="2" t="s">
        <v>69</v>
      </c>
      <c r="B71" s="2" t="s">
        <v>37</v>
      </c>
      <c r="C71" s="2" t="s">
        <v>215</v>
      </c>
      <c r="D71" s="2" t="s">
        <v>216</v>
      </c>
      <c r="E71" s="2">
        <v>109130</v>
      </c>
      <c r="F71" s="2">
        <v>3.2035260779999999</v>
      </c>
      <c r="G71" s="2">
        <v>3496</v>
      </c>
      <c r="H71" s="2">
        <v>100</v>
      </c>
    </row>
    <row r="72" spans="1:8" ht="12.5" hidden="1" x14ac:dyDescent="0.25">
      <c r="A72" s="2" t="s">
        <v>62</v>
      </c>
      <c r="B72" s="2" t="s">
        <v>37</v>
      </c>
      <c r="C72" s="2" t="s">
        <v>217</v>
      </c>
      <c r="D72" s="2" t="s">
        <v>129</v>
      </c>
      <c r="E72" s="2">
        <v>676708</v>
      </c>
      <c r="F72" s="2">
        <v>3.2043386539999998</v>
      </c>
      <c r="G72" s="2">
        <v>21684</v>
      </c>
      <c r="H72" s="2">
        <v>99</v>
      </c>
    </row>
    <row r="73" spans="1:8" ht="12.5" hidden="1" x14ac:dyDescent="0.25">
      <c r="A73" s="2" t="s">
        <v>109</v>
      </c>
      <c r="B73" s="2" t="s">
        <v>37</v>
      </c>
      <c r="C73" s="2" t="s">
        <v>219</v>
      </c>
      <c r="D73" s="2" t="s">
        <v>145</v>
      </c>
      <c r="E73" s="2">
        <v>46939</v>
      </c>
      <c r="F73" s="2">
        <v>3.2190715609999998</v>
      </c>
      <c r="G73" s="2">
        <v>1511</v>
      </c>
      <c r="H73" s="2">
        <v>98</v>
      </c>
    </row>
    <row r="74" spans="1:8" ht="12.5" hidden="1" x14ac:dyDescent="0.25">
      <c r="A74" s="2" t="s">
        <v>43</v>
      </c>
      <c r="B74" s="2" t="s">
        <v>37</v>
      </c>
      <c r="C74" s="2" t="s">
        <v>220</v>
      </c>
      <c r="D74" s="2" t="s">
        <v>94</v>
      </c>
      <c r="E74" s="2">
        <v>1515683</v>
      </c>
      <c r="F74" s="2">
        <v>3.2274551630000001</v>
      </c>
      <c r="G74" s="2">
        <v>48918</v>
      </c>
      <c r="H74" s="2">
        <v>97</v>
      </c>
    </row>
    <row r="75" spans="1:8" ht="12.5" hidden="1" x14ac:dyDescent="0.25">
      <c r="A75" s="2" t="s">
        <v>109</v>
      </c>
      <c r="B75" s="2" t="s">
        <v>37</v>
      </c>
      <c r="C75" s="2" t="s">
        <v>170</v>
      </c>
      <c r="D75" s="2" t="s">
        <v>171</v>
      </c>
      <c r="E75" s="2">
        <v>9445</v>
      </c>
      <c r="F75" s="2">
        <v>3.2503110030000002</v>
      </c>
      <c r="G75" s="2">
        <v>307</v>
      </c>
      <c r="H75" s="2">
        <v>96</v>
      </c>
    </row>
    <row r="76" spans="1:8" ht="12.5" hidden="1" x14ac:dyDescent="0.25">
      <c r="A76" s="2" t="s">
        <v>92</v>
      </c>
      <c r="B76" s="2" t="s">
        <v>37</v>
      </c>
      <c r="C76" s="2" t="s">
        <v>222</v>
      </c>
      <c r="D76" s="2" t="s">
        <v>179</v>
      </c>
      <c r="E76" s="2">
        <v>383373</v>
      </c>
      <c r="F76" s="2">
        <v>3.2944417060000002</v>
      </c>
      <c r="G76" s="2">
        <v>12630</v>
      </c>
      <c r="H76" s="2">
        <v>95</v>
      </c>
    </row>
    <row r="77" spans="1:8" ht="12.5" hidden="1" x14ac:dyDescent="0.25">
      <c r="A77" s="2" t="s">
        <v>101</v>
      </c>
      <c r="B77" s="2" t="s">
        <v>37</v>
      </c>
      <c r="C77" s="2" t="s">
        <v>223</v>
      </c>
      <c r="D77" s="2" t="s">
        <v>224</v>
      </c>
      <c r="E77" s="2">
        <v>1258323</v>
      </c>
      <c r="F77" s="2">
        <v>3.3275246749999998</v>
      </c>
      <c r="G77" s="2">
        <v>41871</v>
      </c>
      <c r="H77" s="2">
        <v>94</v>
      </c>
    </row>
    <row r="78" spans="1:8" ht="12.5" hidden="1" x14ac:dyDescent="0.25">
      <c r="A78" s="2" t="s">
        <v>58</v>
      </c>
      <c r="B78" s="2" t="s">
        <v>37</v>
      </c>
      <c r="C78" s="2" t="s">
        <v>225</v>
      </c>
      <c r="D78" s="2" t="s">
        <v>226</v>
      </c>
      <c r="E78" s="2">
        <v>130852</v>
      </c>
      <c r="F78" s="2">
        <v>3.3671757680000001</v>
      </c>
      <c r="G78" s="2">
        <v>4406</v>
      </c>
      <c r="H78" s="2">
        <v>93</v>
      </c>
    </row>
    <row r="79" spans="1:8" ht="12.5" hidden="1" x14ac:dyDescent="0.25">
      <c r="A79" s="2" t="s">
        <v>82</v>
      </c>
      <c r="B79" s="2" t="s">
        <v>37</v>
      </c>
      <c r="C79" s="2" t="s">
        <v>228</v>
      </c>
      <c r="D79" s="2" t="s">
        <v>203</v>
      </c>
      <c r="E79" s="2">
        <v>414076</v>
      </c>
      <c r="F79" s="2">
        <v>3.3827150750000001</v>
      </c>
      <c r="G79" s="2">
        <v>14007</v>
      </c>
      <c r="H79" s="2">
        <v>92</v>
      </c>
    </row>
    <row r="80" spans="1:8" ht="12.5" hidden="1" x14ac:dyDescent="0.25">
      <c r="A80" s="2" t="s">
        <v>112</v>
      </c>
      <c r="B80" s="2" t="s">
        <v>37</v>
      </c>
      <c r="C80" s="2" t="s">
        <v>141</v>
      </c>
      <c r="D80" s="2" t="s">
        <v>142</v>
      </c>
      <c r="E80" s="2">
        <v>2018</v>
      </c>
      <c r="F80" s="2">
        <v>3.4190857659999998</v>
      </c>
      <c r="G80" s="2">
        <v>69</v>
      </c>
      <c r="H80" s="2">
        <v>91</v>
      </c>
    </row>
    <row r="81" spans="1:8" ht="12.5" hidden="1" x14ac:dyDescent="0.25">
      <c r="A81" s="2" t="s">
        <v>88</v>
      </c>
      <c r="B81" s="2" t="s">
        <v>37</v>
      </c>
      <c r="C81" s="2" t="s">
        <v>229</v>
      </c>
      <c r="D81" s="2" t="s">
        <v>230</v>
      </c>
      <c r="E81" s="2">
        <v>229573</v>
      </c>
      <c r="F81" s="2">
        <v>3.5997199150000001</v>
      </c>
      <c r="G81" s="2">
        <v>8264</v>
      </c>
      <c r="H81" s="2">
        <v>90</v>
      </c>
    </row>
    <row r="82" spans="1:8" ht="12.5" hidden="1" x14ac:dyDescent="0.25">
      <c r="A82" s="2" t="s">
        <v>71</v>
      </c>
      <c r="B82" s="2" t="s">
        <v>37</v>
      </c>
      <c r="C82" s="2" t="s">
        <v>232</v>
      </c>
      <c r="D82" s="2" t="s">
        <v>74</v>
      </c>
      <c r="E82" s="2">
        <v>276206</v>
      </c>
      <c r="F82" s="2">
        <v>3.6244752550000001</v>
      </c>
      <c r="G82" s="2">
        <v>10011</v>
      </c>
      <c r="H82" s="2">
        <v>89</v>
      </c>
    </row>
    <row r="83" spans="1:8" ht="12.5" hidden="1" x14ac:dyDescent="0.25">
      <c r="A83" s="2" t="s">
        <v>27</v>
      </c>
      <c r="B83" s="2" t="s">
        <v>37</v>
      </c>
      <c r="C83" s="2" t="s">
        <v>233</v>
      </c>
      <c r="D83" s="2" t="s">
        <v>129</v>
      </c>
      <c r="E83" s="2">
        <v>334588</v>
      </c>
      <c r="F83" s="2">
        <v>3.6477707029999999</v>
      </c>
      <c r="G83" s="2">
        <v>12205</v>
      </c>
      <c r="H83" s="2">
        <v>88</v>
      </c>
    </row>
    <row r="84" spans="1:8" ht="12.5" hidden="1" x14ac:dyDescent="0.25">
      <c r="A84" s="2" t="s">
        <v>67</v>
      </c>
      <c r="B84" s="2" t="s">
        <v>37</v>
      </c>
      <c r="C84" s="2" t="s">
        <v>122</v>
      </c>
      <c r="D84" s="2" t="s">
        <v>123</v>
      </c>
      <c r="E84" s="2">
        <v>553547</v>
      </c>
      <c r="F84" s="2">
        <v>3.816117363</v>
      </c>
      <c r="G84" s="2">
        <v>21124</v>
      </c>
      <c r="H84" s="2">
        <v>87</v>
      </c>
    </row>
    <row r="85" spans="1:8" ht="12.5" hidden="1" x14ac:dyDescent="0.25">
      <c r="A85" s="2" t="s">
        <v>98</v>
      </c>
      <c r="B85" s="2" t="s">
        <v>37</v>
      </c>
      <c r="C85" s="2" t="s">
        <v>235</v>
      </c>
      <c r="D85" s="2" t="s">
        <v>236</v>
      </c>
      <c r="E85" s="2">
        <v>1206868</v>
      </c>
      <c r="F85" s="2">
        <v>3.8604879379999999</v>
      </c>
      <c r="G85" s="2">
        <v>46591</v>
      </c>
      <c r="H85" s="2">
        <v>86</v>
      </c>
    </row>
    <row r="86" spans="1:8" ht="12.5" hidden="1" x14ac:dyDescent="0.25">
      <c r="A86" s="2" t="s">
        <v>82</v>
      </c>
      <c r="B86" s="2" t="s">
        <v>37</v>
      </c>
      <c r="C86" s="2" t="s">
        <v>237</v>
      </c>
      <c r="D86" s="2" t="s">
        <v>181</v>
      </c>
      <c r="E86" s="2">
        <v>12952</v>
      </c>
      <c r="F86" s="2">
        <v>3.8758742270000002</v>
      </c>
      <c r="G86" s="2">
        <v>502</v>
      </c>
      <c r="H86" s="2">
        <v>85</v>
      </c>
    </row>
    <row r="87" spans="1:8" ht="12.5" hidden="1" x14ac:dyDescent="0.25">
      <c r="A87" s="2" t="s">
        <v>43</v>
      </c>
      <c r="B87" s="2" t="s">
        <v>37</v>
      </c>
      <c r="C87" s="2" t="s">
        <v>239</v>
      </c>
      <c r="D87" s="2" t="s">
        <v>131</v>
      </c>
      <c r="E87" s="2">
        <v>724621</v>
      </c>
      <c r="F87" s="2">
        <v>3.8798235440000002</v>
      </c>
      <c r="G87" s="2">
        <v>28114</v>
      </c>
      <c r="H87" s="2">
        <v>84</v>
      </c>
    </row>
    <row r="88" spans="1:8" ht="12.5" hidden="1" x14ac:dyDescent="0.25">
      <c r="A88" s="2" t="s">
        <v>77</v>
      </c>
      <c r="B88" s="2" t="s">
        <v>37</v>
      </c>
      <c r="C88" s="2" t="s">
        <v>240</v>
      </c>
      <c r="D88" s="2" t="s">
        <v>241</v>
      </c>
      <c r="E88" s="2">
        <v>4355</v>
      </c>
      <c r="F88" s="2">
        <v>3.9031856880000002</v>
      </c>
      <c r="G88" s="2">
        <v>170</v>
      </c>
      <c r="H88" s="2">
        <v>83</v>
      </c>
    </row>
    <row r="89" spans="1:8" ht="12.5" hidden="1" x14ac:dyDescent="0.25">
      <c r="A89" s="2" t="s">
        <v>86</v>
      </c>
      <c r="B89" s="2" t="s">
        <v>37</v>
      </c>
      <c r="C89" s="2" t="s">
        <v>243</v>
      </c>
      <c r="D89" s="2" t="s">
        <v>244</v>
      </c>
      <c r="E89" s="2">
        <v>1356079</v>
      </c>
      <c r="F89" s="2">
        <v>3.9163645140000001</v>
      </c>
      <c r="G89" s="2">
        <v>53109</v>
      </c>
      <c r="H89" s="2">
        <v>82</v>
      </c>
    </row>
    <row r="90" spans="1:8" ht="12.5" hidden="1" x14ac:dyDescent="0.25">
      <c r="A90" s="2" t="s">
        <v>103</v>
      </c>
      <c r="B90" s="2" t="s">
        <v>37</v>
      </c>
      <c r="C90" s="2" t="s">
        <v>245</v>
      </c>
      <c r="D90" s="2" t="s">
        <v>246</v>
      </c>
      <c r="E90" s="2">
        <v>4750916</v>
      </c>
      <c r="F90" s="2">
        <v>4.0214348129999999</v>
      </c>
      <c r="G90" s="2">
        <v>191055</v>
      </c>
      <c r="H90" s="2">
        <v>81</v>
      </c>
    </row>
    <row r="91" spans="1:8" ht="12.5" hidden="1" x14ac:dyDescent="0.25">
      <c r="A91" s="2" t="s">
        <v>72</v>
      </c>
      <c r="B91" s="2" t="s">
        <v>37</v>
      </c>
      <c r="C91" s="2" t="s">
        <v>247</v>
      </c>
      <c r="D91" s="2" t="s">
        <v>247</v>
      </c>
      <c r="E91" s="2">
        <v>5737</v>
      </c>
      <c r="F91" s="2">
        <v>4.0439253969999998</v>
      </c>
      <c r="G91" s="2">
        <v>232</v>
      </c>
      <c r="H91" s="2">
        <v>80</v>
      </c>
    </row>
    <row r="92" spans="1:8" ht="12.5" hidden="1" x14ac:dyDescent="0.25">
      <c r="A92" s="2" t="s">
        <v>98</v>
      </c>
      <c r="B92" s="2" t="s">
        <v>37</v>
      </c>
      <c r="C92" s="2" t="s">
        <v>249</v>
      </c>
      <c r="D92" s="2" t="s">
        <v>173</v>
      </c>
      <c r="E92" s="2">
        <v>186368</v>
      </c>
      <c r="F92" s="2">
        <v>4.1471656250000004</v>
      </c>
      <c r="G92" s="2">
        <v>7729</v>
      </c>
      <c r="H92" s="2">
        <v>79</v>
      </c>
    </row>
    <row r="93" spans="1:8" ht="12.5" hidden="1" x14ac:dyDescent="0.25">
      <c r="A93" s="2" t="s">
        <v>34</v>
      </c>
      <c r="B93" s="2" t="s">
        <v>37</v>
      </c>
      <c r="C93" s="2" t="s">
        <v>250</v>
      </c>
      <c r="D93" s="2" t="s">
        <v>198</v>
      </c>
      <c r="E93" s="2">
        <v>1230057</v>
      </c>
      <c r="F93" s="2">
        <v>4.2485040319999996</v>
      </c>
      <c r="G93" s="2">
        <v>52259</v>
      </c>
      <c r="H93" s="2">
        <v>78</v>
      </c>
    </row>
    <row r="94" spans="1:8" ht="12.5" hidden="1" x14ac:dyDescent="0.25">
      <c r="A94" s="2" t="s">
        <v>67</v>
      </c>
      <c r="B94" s="2" t="s">
        <v>37</v>
      </c>
      <c r="C94" s="2" t="s">
        <v>251</v>
      </c>
      <c r="D94" s="2" t="s">
        <v>252</v>
      </c>
      <c r="E94" s="2">
        <v>829629</v>
      </c>
      <c r="F94" s="2">
        <v>4.2578080859999998</v>
      </c>
      <c r="G94" s="2">
        <v>35324</v>
      </c>
      <c r="H94" s="2">
        <v>77</v>
      </c>
    </row>
    <row r="95" spans="1:8" ht="12.5" hidden="1" x14ac:dyDescent="0.25">
      <c r="A95" s="2" t="s">
        <v>71</v>
      </c>
      <c r="B95" s="2" t="s">
        <v>37</v>
      </c>
      <c r="C95" s="2" t="s">
        <v>253</v>
      </c>
      <c r="D95" s="2" t="s">
        <v>74</v>
      </c>
      <c r="E95" s="2">
        <v>78386</v>
      </c>
      <c r="F95" s="2">
        <v>4.2596756449999997</v>
      </c>
      <c r="G95" s="2">
        <v>3339</v>
      </c>
      <c r="H95" s="2">
        <v>76</v>
      </c>
    </row>
    <row r="96" spans="1:8" ht="12.5" hidden="1" x14ac:dyDescent="0.25">
      <c r="A96" s="2" t="s">
        <v>72</v>
      </c>
      <c r="B96" s="2" t="s">
        <v>37</v>
      </c>
      <c r="C96" s="2" t="s">
        <v>254</v>
      </c>
      <c r="D96" s="2" t="s">
        <v>183</v>
      </c>
      <c r="E96" s="2">
        <v>15271</v>
      </c>
      <c r="F96" s="2">
        <v>4.3545878690000004</v>
      </c>
      <c r="G96" s="2">
        <v>665</v>
      </c>
      <c r="H96" s="2">
        <v>75</v>
      </c>
    </row>
    <row r="97" spans="1:8" ht="12.5" hidden="1" x14ac:dyDescent="0.25">
      <c r="A97" s="2" t="s">
        <v>96</v>
      </c>
      <c r="B97" s="2" t="s">
        <v>37</v>
      </c>
      <c r="C97" s="2" t="s">
        <v>255</v>
      </c>
      <c r="D97" s="2" t="s">
        <v>173</v>
      </c>
      <c r="E97" s="2">
        <v>1534059</v>
      </c>
      <c r="F97" s="2">
        <v>4.3843178079999996</v>
      </c>
      <c r="G97" s="2">
        <v>67258</v>
      </c>
      <c r="H97" s="2">
        <v>74</v>
      </c>
    </row>
    <row r="98" spans="1:8" ht="12.5" hidden="1" x14ac:dyDescent="0.25">
      <c r="A98" s="2" t="s">
        <v>110</v>
      </c>
      <c r="B98" s="2" t="s">
        <v>37</v>
      </c>
      <c r="C98" s="2" t="s">
        <v>182</v>
      </c>
      <c r="D98" s="2" t="s">
        <v>183</v>
      </c>
      <c r="E98" s="2">
        <v>252575</v>
      </c>
      <c r="F98" s="2">
        <v>4.4679768600000003</v>
      </c>
      <c r="G98" s="2">
        <v>11285</v>
      </c>
      <c r="H98" s="2">
        <v>73</v>
      </c>
    </row>
    <row r="99" spans="1:8" ht="12.5" hidden="1" x14ac:dyDescent="0.25">
      <c r="A99" s="2" t="s">
        <v>95</v>
      </c>
      <c r="B99" s="2" t="s">
        <v>37</v>
      </c>
      <c r="C99" s="2" t="s">
        <v>258</v>
      </c>
      <c r="D99" s="2" t="s">
        <v>89</v>
      </c>
      <c r="E99" s="2">
        <v>39874</v>
      </c>
      <c r="F99" s="2">
        <v>4.5167182529999996</v>
      </c>
      <c r="G99" s="2">
        <v>1801</v>
      </c>
      <c r="H99" s="2">
        <v>72</v>
      </c>
    </row>
    <row r="100" spans="1:8" ht="12.5" hidden="1" x14ac:dyDescent="0.25">
      <c r="A100" s="2" t="s">
        <v>86</v>
      </c>
      <c r="B100" s="2" t="s">
        <v>37</v>
      </c>
      <c r="C100" s="2" t="s">
        <v>259</v>
      </c>
      <c r="D100" s="2" t="s">
        <v>244</v>
      </c>
      <c r="E100" s="2">
        <v>1919372</v>
      </c>
      <c r="F100" s="2">
        <v>4.5588861779999998</v>
      </c>
      <c r="G100" s="2">
        <v>87502</v>
      </c>
      <c r="H100" s="2">
        <v>71</v>
      </c>
    </row>
    <row r="101" spans="1:8" ht="12.5" hidden="1" x14ac:dyDescent="0.25">
      <c r="A101" s="2" t="s">
        <v>26</v>
      </c>
      <c r="B101" s="2" t="s">
        <v>37</v>
      </c>
      <c r="C101" s="2" t="s">
        <v>260</v>
      </c>
      <c r="D101" s="2" t="s">
        <v>226</v>
      </c>
      <c r="E101" s="2">
        <v>108104</v>
      </c>
      <c r="F101" s="2">
        <v>4.6150074849999996</v>
      </c>
      <c r="G101" s="2">
        <v>4989</v>
      </c>
      <c r="H101" s="2">
        <v>70</v>
      </c>
    </row>
    <row r="102" spans="1:8" ht="12.5" hidden="1" x14ac:dyDescent="0.25">
      <c r="A102" s="2" t="s">
        <v>49</v>
      </c>
      <c r="B102" s="2" t="s">
        <v>37</v>
      </c>
      <c r="C102" s="2" t="s">
        <v>263</v>
      </c>
      <c r="D102" s="2" t="s">
        <v>264</v>
      </c>
      <c r="E102" s="2">
        <v>47654</v>
      </c>
      <c r="F102" s="2">
        <v>4.6606383109999996</v>
      </c>
      <c r="G102" s="2">
        <v>2221</v>
      </c>
      <c r="H102" s="2">
        <v>69</v>
      </c>
    </row>
    <row r="103" spans="1:8" ht="12.5" hidden="1" x14ac:dyDescent="0.25">
      <c r="A103" s="2" t="s">
        <v>42</v>
      </c>
      <c r="B103" s="2" t="s">
        <v>37</v>
      </c>
      <c r="C103" s="2" t="s">
        <v>265</v>
      </c>
      <c r="D103" s="2" t="s">
        <v>244</v>
      </c>
      <c r="E103" s="2">
        <v>784677</v>
      </c>
      <c r="F103" s="2">
        <v>4.6699455089999997</v>
      </c>
      <c r="G103" s="2">
        <v>36644</v>
      </c>
      <c r="H103" s="2">
        <v>68</v>
      </c>
    </row>
    <row r="104" spans="1:8" ht="12.5" hidden="1" x14ac:dyDescent="0.25">
      <c r="A104" s="2" t="s">
        <v>53</v>
      </c>
      <c r="B104" s="2" t="s">
        <v>37</v>
      </c>
      <c r="C104" s="2" t="s">
        <v>266</v>
      </c>
      <c r="D104" s="2" t="s">
        <v>210</v>
      </c>
      <c r="E104" s="2">
        <v>429779</v>
      </c>
      <c r="F104" s="2">
        <v>4.7177772119999997</v>
      </c>
      <c r="G104" s="2">
        <v>20276</v>
      </c>
      <c r="H104" s="2">
        <v>67</v>
      </c>
    </row>
    <row r="105" spans="1:8" ht="12.5" hidden="1" x14ac:dyDescent="0.25">
      <c r="A105" s="2" t="s">
        <v>100</v>
      </c>
      <c r="B105" s="2" t="s">
        <v>37</v>
      </c>
      <c r="C105" s="2" t="s">
        <v>268</v>
      </c>
      <c r="D105" s="2" t="s">
        <v>269</v>
      </c>
      <c r="E105" s="2">
        <v>2056231</v>
      </c>
      <c r="F105" s="2">
        <v>4.7800071129999999</v>
      </c>
      <c r="G105" s="2">
        <v>98288</v>
      </c>
      <c r="H105" s="2">
        <v>66</v>
      </c>
    </row>
    <row r="106" spans="1:8" ht="12.5" hidden="1" x14ac:dyDescent="0.25">
      <c r="A106" s="2" t="s">
        <v>42</v>
      </c>
      <c r="B106" s="2" t="s">
        <v>37</v>
      </c>
      <c r="C106" s="2" t="s">
        <v>270</v>
      </c>
      <c r="D106" s="2" t="s">
        <v>271</v>
      </c>
      <c r="E106" s="2">
        <v>133124</v>
      </c>
      <c r="F106" s="2">
        <v>4.783507116</v>
      </c>
      <c r="G106" s="2">
        <v>6368</v>
      </c>
      <c r="H106" s="2">
        <v>65</v>
      </c>
    </row>
    <row r="107" spans="1:8" ht="12.5" hidden="1" x14ac:dyDescent="0.25">
      <c r="A107" s="2" t="s">
        <v>96</v>
      </c>
      <c r="B107" s="2" t="s">
        <v>37</v>
      </c>
      <c r="C107" s="2" t="s">
        <v>273</v>
      </c>
      <c r="D107" s="2" t="s">
        <v>274</v>
      </c>
      <c r="E107" s="2">
        <v>550405</v>
      </c>
      <c r="F107" s="2">
        <v>4.8593308559999997</v>
      </c>
      <c r="G107" s="2">
        <v>26746</v>
      </c>
      <c r="H107" s="2">
        <v>64</v>
      </c>
    </row>
    <row r="108" spans="1:8" ht="12.5" hidden="1" x14ac:dyDescent="0.25">
      <c r="A108" s="2" t="s">
        <v>101</v>
      </c>
      <c r="B108" s="2" t="s">
        <v>37</v>
      </c>
      <c r="C108" s="2" t="s">
        <v>276</v>
      </c>
      <c r="D108" s="2" t="s">
        <v>277</v>
      </c>
      <c r="E108" s="2">
        <v>821</v>
      </c>
      <c r="F108" s="2">
        <v>4.8706240489999999</v>
      </c>
      <c r="G108" s="2">
        <v>40</v>
      </c>
      <c r="H108" s="2">
        <v>63</v>
      </c>
    </row>
    <row r="109" spans="1:8" ht="12.5" hidden="1" x14ac:dyDescent="0.25">
      <c r="A109" s="2" t="s">
        <v>96</v>
      </c>
      <c r="B109" s="2" t="s">
        <v>37</v>
      </c>
      <c r="C109" s="2" t="s">
        <v>278</v>
      </c>
      <c r="D109" s="2" t="s">
        <v>138</v>
      </c>
      <c r="E109" s="2">
        <v>1285925</v>
      </c>
      <c r="F109" s="2">
        <v>4.8837980170000002</v>
      </c>
      <c r="G109" s="2">
        <v>62802</v>
      </c>
      <c r="H109" s="2">
        <v>62</v>
      </c>
    </row>
    <row r="110" spans="1:8" ht="12.5" hidden="1" x14ac:dyDescent="0.25">
      <c r="A110" s="2" t="s">
        <v>280</v>
      </c>
      <c r="B110" s="2" t="s">
        <v>37</v>
      </c>
      <c r="C110" s="2" t="s">
        <v>172</v>
      </c>
      <c r="D110" s="2" t="s">
        <v>173</v>
      </c>
      <c r="E110" s="2">
        <v>318780</v>
      </c>
      <c r="F110" s="2">
        <v>4.9008682309999996</v>
      </c>
      <c r="G110" s="2">
        <v>15623</v>
      </c>
      <c r="H110" s="2">
        <v>61</v>
      </c>
    </row>
    <row r="111" spans="1:8" ht="12.5" hidden="1" x14ac:dyDescent="0.25">
      <c r="A111" s="2" t="s">
        <v>92</v>
      </c>
      <c r="B111" s="2" t="s">
        <v>37</v>
      </c>
      <c r="C111" s="2" t="s">
        <v>282</v>
      </c>
      <c r="D111" s="2" t="s">
        <v>168</v>
      </c>
      <c r="E111" s="2">
        <v>26290</v>
      </c>
      <c r="F111" s="2">
        <v>4.9563199740000004</v>
      </c>
      <c r="G111" s="2">
        <v>1303</v>
      </c>
      <c r="H111" s="2">
        <v>60</v>
      </c>
    </row>
    <row r="112" spans="1:8" ht="12.5" hidden="1" x14ac:dyDescent="0.25">
      <c r="A112" s="2" t="s">
        <v>58</v>
      </c>
      <c r="B112" s="2" t="s">
        <v>37</v>
      </c>
      <c r="C112" s="2" t="s">
        <v>283</v>
      </c>
      <c r="D112" s="2" t="s">
        <v>244</v>
      </c>
      <c r="E112" s="2">
        <v>139405</v>
      </c>
      <c r="F112" s="2">
        <v>5.0048270480000001</v>
      </c>
      <c r="G112" s="2">
        <v>6977</v>
      </c>
      <c r="H112" s="2">
        <v>59</v>
      </c>
    </row>
    <row r="113" spans="1:8" ht="12.5" hidden="1" x14ac:dyDescent="0.25">
      <c r="A113" s="2" t="s">
        <v>96</v>
      </c>
      <c r="B113" s="2" t="s">
        <v>37</v>
      </c>
      <c r="C113" s="2" t="s">
        <v>285</v>
      </c>
      <c r="D113" s="2" t="s">
        <v>129</v>
      </c>
      <c r="E113" s="2">
        <v>1806011</v>
      </c>
      <c r="F113" s="2">
        <v>5.0477558130000002</v>
      </c>
      <c r="G113" s="2">
        <v>91163</v>
      </c>
      <c r="H113" s="2">
        <v>58</v>
      </c>
    </row>
    <row r="114" spans="1:8" ht="12.5" hidden="1" x14ac:dyDescent="0.25">
      <c r="A114" s="2" t="s">
        <v>62</v>
      </c>
      <c r="B114" s="2" t="s">
        <v>37</v>
      </c>
      <c r="C114" s="2" t="s">
        <v>287</v>
      </c>
      <c r="D114" s="2" t="s">
        <v>244</v>
      </c>
      <c r="E114" s="2">
        <v>693435</v>
      </c>
      <c r="F114" s="2">
        <v>5.4812622470000001</v>
      </c>
      <c r="G114" s="2">
        <v>38009</v>
      </c>
      <c r="H114" s="2">
        <v>57</v>
      </c>
    </row>
    <row r="115" spans="1:8" ht="12.5" hidden="1" x14ac:dyDescent="0.25">
      <c r="A115" s="2" t="s">
        <v>43</v>
      </c>
      <c r="B115" s="2" t="s">
        <v>37</v>
      </c>
      <c r="C115" s="2" t="s">
        <v>285</v>
      </c>
      <c r="D115" s="2" t="s">
        <v>129</v>
      </c>
      <c r="E115" s="2">
        <v>3399</v>
      </c>
      <c r="F115" s="2">
        <v>5.2079246760000002</v>
      </c>
      <c r="G115" s="2">
        <v>177</v>
      </c>
      <c r="H115" s="2">
        <v>56</v>
      </c>
    </row>
    <row r="116" spans="1:8" ht="12.5" hidden="1" x14ac:dyDescent="0.25">
      <c r="A116" s="2" t="s">
        <v>32</v>
      </c>
      <c r="B116" s="2" t="s">
        <v>37</v>
      </c>
      <c r="C116" s="2" t="s">
        <v>259</v>
      </c>
      <c r="D116" s="2" t="s">
        <v>244</v>
      </c>
      <c r="E116" s="2">
        <v>568586</v>
      </c>
      <c r="F116" s="2">
        <v>5.2468748139999999</v>
      </c>
      <c r="G116" s="2">
        <v>29833</v>
      </c>
      <c r="H116" s="2">
        <v>55</v>
      </c>
    </row>
    <row r="117" spans="1:8" ht="12.5" hidden="1" x14ac:dyDescent="0.25">
      <c r="A117" s="2" t="s">
        <v>91</v>
      </c>
      <c r="B117" s="2" t="s">
        <v>37</v>
      </c>
      <c r="C117" s="2" t="s">
        <v>250</v>
      </c>
      <c r="D117" s="2" t="s">
        <v>198</v>
      </c>
      <c r="E117" s="2">
        <v>82987</v>
      </c>
      <c r="F117" s="2">
        <v>5.4201097159999998</v>
      </c>
      <c r="G117" s="2">
        <v>4498</v>
      </c>
      <c r="H117" s="2">
        <v>54</v>
      </c>
    </row>
    <row r="118" spans="1:8" ht="12.5" hidden="1" x14ac:dyDescent="0.25">
      <c r="A118" s="2" t="s">
        <v>67</v>
      </c>
      <c r="B118" s="2" t="s">
        <v>37</v>
      </c>
      <c r="C118" s="2" t="s">
        <v>289</v>
      </c>
      <c r="D118" s="2" t="s">
        <v>291</v>
      </c>
      <c r="E118" s="2">
        <v>13799</v>
      </c>
      <c r="F118" s="2">
        <v>5.4640980739999998</v>
      </c>
      <c r="G118" s="2">
        <v>754</v>
      </c>
      <c r="H118" s="2">
        <v>53</v>
      </c>
    </row>
    <row r="119" spans="1:8" ht="12.5" hidden="1" x14ac:dyDescent="0.25">
      <c r="A119" s="2" t="s">
        <v>62</v>
      </c>
      <c r="B119" s="2" t="s">
        <v>37</v>
      </c>
      <c r="C119" s="2" t="s">
        <v>293</v>
      </c>
      <c r="D119" s="2" t="s">
        <v>129</v>
      </c>
      <c r="E119" s="2">
        <v>959319</v>
      </c>
      <c r="F119" s="2">
        <v>2.8743298959999999</v>
      </c>
      <c r="G119" s="2">
        <v>27574</v>
      </c>
      <c r="H119" s="2">
        <v>52</v>
      </c>
    </row>
    <row r="120" spans="1:8" ht="12.5" hidden="1" x14ac:dyDescent="0.25">
      <c r="A120" s="2" t="s">
        <v>82</v>
      </c>
      <c r="B120" s="2" t="s">
        <v>37</v>
      </c>
      <c r="C120" s="2" t="s">
        <v>197</v>
      </c>
      <c r="D120" s="2" t="s">
        <v>198</v>
      </c>
      <c r="E120" s="2">
        <v>220574</v>
      </c>
      <c r="F120" s="2">
        <v>5.488850513</v>
      </c>
      <c r="G120" s="2">
        <v>12107</v>
      </c>
      <c r="H120" s="2">
        <v>51</v>
      </c>
    </row>
    <row r="121" spans="1:8" ht="12.5" hidden="1" x14ac:dyDescent="0.25">
      <c r="A121" s="2" t="s">
        <v>55</v>
      </c>
      <c r="B121" s="2" t="s">
        <v>37</v>
      </c>
      <c r="C121" s="2" t="s">
        <v>297</v>
      </c>
      <c r="D121" s="2" t="s">
        <v>298</v>
      </c>
      <c r="E121" s="2">
        <v>244555</v>
      </c>
      <c r="F121" s="2">
        <v>5.4969342210000001</v>
      </c>
      <c r="G121" s="2">
        <v>13443</v>
      </c>
      <c r="H121" s="2">
        <v>50</v>
      </c>
    </row>
    <row r="122" spans="1:8" ht="12.5" hidden="1" x14ac:dyDescent="0.25">
      <c r="A122" s="2" t="s">
        <v>69</v>
      </c>
      <c r="B122" s="2" t="s">
        <v>37</v>
      </c>
      <c r="C122" s="2" t="s">
        <v>299</v>
      </c>
      <c r="D122" s="2" t="s">
        <v>131</v>
      </c>
      <c r="E122" s="2">
        <v>589868</v>
      </c>
      <c r="F122" s="2">
        <v>5.6212616080000002</v>
      </c>
      <c r="G122" s="2">
        <v>33158</v>
      </c>
      <c r="H122" s="2">
        <v>49</v>
      </c>
    </row>
    <row r="123" spans="1:8" ht="12.5" hidden="1" x14ac:dyDescent="0.25">
      <c r="A123" s="2" t="s">
        <v>49</v>
      </c>
      <c r="B123" s="2" t="s">
        <v>37</v>
      </c>
      <c r="C123" s="2" t="s">
        <v>300</v>
      </c>
      <c r="D123" s="2" t="s">
        <v>301</v>
      </c>
      <c r="E123" s="2">
        <v>1677450</v>
      </c>
      <c r="F123" s="2">
        <v>5.8246755139999999</v>
      </c>
      <c r="G123" s="2">
        <v>97706</v>
      </c>
      <c r="H123" s="2">
        <v>48</v>
      </c>
    </row>
    <row r="124" spans="1:8" ht="12.5" hidden="1" x14ac:dyDescent="0.25">
      <c r="A124" s="2" t="s">
        <v>82</v>
      </c>
      <c r="B124" s="2" t="s">
        <v>37</v>
      </c>
      <c r="C124" s="2" t="s">
        <v>305</v>
      </c>
      <c r="D124" s="2" t="s">
        <v>203</v>
      </c>
      <c r="E124" s="2">
        <v>1039208</v>
      </c>
      <c r="F124" s="2">
        <v>5.8580202080000001</v>
      </c>
      <c r="G124" s="2">
        <v>60877</v>
      </c>
      <c r="H124" s="2">
        <v>47</v>
      </c>
    </row>
    <row r="125" spans="1:8" ht="12.5" hidden="1" x14ac:dyDescent="0.25">
      <c r="A125" s="2" t="s">
        <v>52</v>
      </c>
      <c r="B125" s="2" t="s">
        <v>37</v>
      </c>
      <c r="C125" s="2" t="s">
        <v>306</v>
      </c>
      <c r="D125" s="2" t="s">
        <v>298</v>
      </c>
      <c r="E125" s="2">
        <v>305583</v>
      </c>
      <c r="F125" s="2">
        <v>6.2287513350000001</v>
      </c>
      <c r="G125" s="2">
        <v>19034</v>
      </c>
      <c r="H125" s="2">
        <v>46</v>
      </c>
    </row>
    <row r="126" spans="1:8" ht="12.5" hidden="1" x14ac:dyDescent="0.25">
      <c r="A126" s="2" t="s">
        <v>40</v>
      </c>
      <c r="B126" s="2" t="s">
        <v>37</v>
      </c>
      <c r="C126" s="2" t="s">
        <v>249</v>
      </c>
      <c r="D126" s="2" t="s">
        <v>173</v>
      </c>
      <c r="E126" s="2">
        <v>302040</v>
      </c>
      <c r="F126" s="2">
        <v>6.5663397699999999</v>
      </c>
      <c r="G126" s="2">
        <v>19833</v>
      </c>
      <c r="H126" s="2">
        <v>45</v>
      </c>
    </row>
    <row r="127" spans="1:8" ht="12.5" hidden="1" x14ac:dyDescent="0.25">
      <c r="A127" s="2" t="s">
        <v>77</v>
      </c>
      <c r="B127" s="2" t="s">
        <v>37</v>
      </c>
      <c r="C127" s="2" t="s">
        <v>310</v>
      </c>
      <c r="D127" s="2" t="s">
        <v>311</v>
      </c>
      <c r="E127" s="2">
        <v>1060675</v>
      </c>
      <c r="F127" s="2">
        <v>6.8160391000000002</v>
      </c>
      <c r="G127" s="2">
        <v>72296</v>
      </c>
      <c r="H127" s="2">
        <v>44</v>
      </c>
    </row>
    <row r="128" spans="1:8" ht="12.5" hidden="1" x14ac:dyDescent="0.25">
      <c r="A128" s="2" t="s">
        <v>55</v>
      </c>
      <c r="B128" s="2" t="s">
        <v>37</v>
      </c>
      <c r="C128" s="2" t="s">
        <v>312</v>
      </c>
      <c r="D128" s="2" t="s">
        <v>298</v>
      </c>
      <c r="E128" s="2">
        <v>341806</v>
      </c>
      <c r="F128" s="2">
        <v>6.9188403750000003</v>
      </c>
      <c r="G128" s="2">
        <v>23649</v>
      </c>
      <c r="H128" s="2">
        <v>43</v>
      </c>
    </row>
    <row r="129" spans="1:8" ht="12.5" hidden="1" x14ac:dyDescent="0.25">
      <c r="A129" s="2" t="s">
        <v>19</v>
      </c>
      <c r="B129" s="2" t="s">
        <v>37</v>
      </c>
      <c r="C129" s="2" t="s">
        <v>315</v>
      </c>
      <c r="D129" s="2" t="s">
        <v>316</v>
      </c>
      <c r="E129" s="2">
        <v>157437</v>
      </c>
      <c r="F129" s="2">
        <v>6.9792996560000002</v>
      </c>
      <c r="G129" s="2">
        <v>10988</v>
      </c>
      <c r="H129" s="2">
        <v>42</v>
      </c>
    </row>
    <row r="130" spans="1:8" ht="12.5" hidden="1" x14ac:dyDescent="0.25">
      <c r="A130" s="2" t="s">
        <v>80</v>
      </c>
      <c r="B130" s="2" t="s">
        <v>37</v>
      </c>
      <c r="C130" s="2" t="s">
        <v>289</v>
      </c>
      <c r="D130" s="2" t="s">
        <v>291</v>
      </c>
      <c r="E130" s="2">
        <v>508099</v>
      </c>
      <c r="F130" s="2">
        <v>7.0047395630000002</v>
      </c>
      <c r="G130" s="2">
        <v>35591</v>
      </c>
      <c r="H130" s="2">
        <v>41</v>
      </c>
    </row>
    <row r="131" spans="1:8" ht="12.5" hidden="1" x14ac:dyDescent="0.25">
      <c r="A131" s="2" t="s">
        <v>52</v>
      </c>
      <c r="B131" s="2" t="s">
        <v>37</v>
      </c>
      <c r="C131" s="2" t="s">
        <v>297</v>
      </c>
      <c r="D131" s="2" t="s">
        <v>298</v>
      </c>
      <c r="E131" s="2">
        <v>273860</v>
      </c>
      <c r="F131" s="2">
        <v>7.0473921910000001</v>
      </c>
      <c r="G131" s="2">
        <v>19300</v>
      </c>
      <c r="H131" s="2">
        <v>40</v>
      </c>
    </row>
    <row r="132" spans="1:8" ht="12.5" hidden="1" x14ac:dyDescent="0.25">
      <c r="A132" s="2" t="s">
        <v>36</v>
      </c>
      <c r="B132" s="2" t="s">
        <v>37</v>
      </c>
      <c r="C132" s="2" t="s">
        <v>320</v>
      </c>
      <c r="D132" s="2" t="s">
        <v>316</v>
      </c>
      <c r="E132" s="2">
        <v>2429276</v>
      </c>
      <c r="F132" s="2">
        <v>7.6980541020000004</v>
      </c>
      <c r="G132" s="2">
        <v>187007</v>
      </c>
      <c r="H132" s="2">
        <v>39</v>
      </c>
    </row>
    <row r="133" spans="1:8" ht="12.5" hidden="1" x14ac:dyDescent="0.25">
      <c r="A133" s="2" t="s">
        <v>65</v>
      </c>
      <c r="B133" s="2" t="s">
        <v>37</v>
      </c>
      <c r="C133" s="2" t="s">
        <v>322</v>
      </c>
      <c r="D133" s="2" t="s">
        <v>323</v>
      </c>
      <c r="E133" s="2">
        <v>107378</v>
      </c>
      <c r="F133" s="2">
        <v>7.920641474</v>
      </c>
      <c r="G133" s="2">
        <v>8505</v>
      </c>
      <c r="H133" s="2">
        <v>38</v>
      </c>
    </row>
    <row r="134" spans="1:8" ht="12.5" hidden="1" x14ac:dyDescent="0.25">
      <c r="A134" s="2" t="s">
        <v>52</v>
      </c>
      <c r="B134" s="2" t="s">
        <v>37</v>
      </c>
      <c r="C134" s="2" t="s">
        <v>324</v>
      </c>
      <c r="D134" s="2" t="s">
        <v>311</v>
      </c>
      <c r="E134" s="2">
        <v>1093848</v>
      </c>
      <c r="F134" s="2">
        <v>9.1946075369999996</v>
      </c>
      <c r="G134" s="2">
        <v>100575</v>
      </c>
      <c r="H134" s="2">
        <v>37</v>
      </c>
    </row>
    <row r="135" spans="1:8" ht="12.5" hidden="1" x14ac:dyDescent="0.25">
      <c r="A135" s="2" t="s">
        <v>49</v>
      </c>
      <c r="B135" s="2" t="s">
        <v>37</v>
      </c>
      <c r="C135" s="2" t="s">
        <v>326</v>
      </c>
      <c r="D135" s="2" t="s">
        <v>327</v>
      </c>
      <c r="E135" s="2">
        <v>2065856</v>
      </c>
      <c r="F135" s="2">
        <v>9.2055321550000002</v>
      </c>
      <c r="G135" s="2">
        <v>190173</v>
      </c>
      <c r="H135" s="2">
        <v>36</v>
      </c>
    </row>
    <row r="136" spans="1:8" ht="12.5" hidden="1" x14ac:dyDescent="0.25">
      <c r="A136" s="2" t="s">
        <v>25</v>
      </c>
      <c r="B136" s="2" t="s">
        <v>37</v>
      </c>
      <c r="C136" s="2" t="s">
        <v>329</v>
      </c>
      <c r="D136" s="2" t="s">
        <v>226</v>
      </c>
      <c r="E136" s="2">
        <v>465283</v>
      </c>
      <c r="F136" s="2">
        <v>9.4581096569999996</v>
      </c>
      <c r="G136" s="2">
        <v>44007</v>
      </c>
      <c r="H136" s="2">
        <v>35</v>
      </c>
    </row>
    <row r="137" spans="1:8" ht="12.5" hidden="1" x14ac:dyDescent="0.25">
      <c r="A137" s="2" t="s">
        <v>55</v>
      </c>
      <c r="B137" s="2" t="s">
        <v>37</v>
      </c>
      <c r="C137" s="2" t="s">
        <v>331</v>
      </c>
      <c r="D137" s="2" t="s">
        <v>298</v>
      </c>
      <c r="E137" s="2">
        <v>302508</v>
      </c>
      <c r="F137" s="2">
        <v>9.4956061819999995</v>
      </c>
      <c r="G137" s="2">
        <v>28725</v>
      </c>
      <c r="H137" s="2">
        <v>34</v>
      </c>
    </row>
    <row r="138" spans="1:8" ht="12.5" hidden="1" x14ac:dyDescent="0.25">
      <c r="A138" s="2" t="s">
        <v>32</v>
      </c>
      <c r="B138" s="2" t="s">
        <v>37</v>
      </c>
      <c r="C138" s="2" t="s">
        <v>333</v>
      </c>
      <c r="D138" s="2" t="s">
        <v>193</v>
      </c>
      <c r="E138" s="2">
        <v>696385</v>
      </c>
      <c r="F138" s="2">
        <v>9.7177590259999995</v>
      </c>
      <c r="G138" s="2">
        <v>67673</v>
      </c>
      <c r="H138" s="2">
        <v>33</v>
      </c>
    </row>
    <row r="139" spans="1:8" ht="12.5" hidden="1" x14ac:dyDescent="0.25">
      <c r="A139" s="2" t="s">
        <v>45</v>
      </c>
      <c r="B139" s="2" t="s">
        <v>37</v>
      </c>
      <c r="C139" s="2" t="s">
        <v>334</v>
      </c>
      <c r="D139" s="2" t="s">
        <v>131</v>
      </c>
      <c r="E139" s="2">
        <v>368234</v>
      </c>
      <c r="F139" s="2">
        <v>9.9129901100000009</v>
      </c>
      <c r="G139" s="2">
        <v>36503</v>
      </c>
      <c r="H139" s="2">
        <v>32</v>
      </c>
    </row>
    <row r="140" spans="1:8" ht="12.5" hidden="1" x14ac:dyDescent="0.25">
      <c r="A140" s="2" t="s">
        <v>29</v>
      </c>
      <c r="B140" s="2" t="s">
        <v>37</v>
      </c>
      <c r="C140" s="2" t="s">
        <v>336</v>
      </c>
      <c r="D140" s="2" t="s">
        <v>226</v>
      </c>
      <c r="E140" s="2">
        <v>43159</v>
      </c>
      <c r="F140" s="2">
        <v>10.75570282</v>
      </c>
      <c r="G140" s="2">
        <v>4642</v>
      </c>
      <c r="H140" s="2">
        <v>31</v>
      </c>
    </row>
    <row r="141" spans="1:8" ht="12.5" hidden="1" x14ac:dyDescent="0.25">
      <c r="A141" s="2" t="s">
        <v>82</v>
      </c>
      <c r="B141" s="2" t="s">
        <v>37</v>
      </c>
      <c r="C141" s="2" t="s">
        <v>338</v>
      </c>
      <c r="D141" s="2" t="s">
        <v>338</v>
      </c>
      <c r="E141" s="2">
        <v>70</v>
      </c>
      <c r="F141" s="2">
        <v>11.38790036</v>
      </c>
      <c r="G141" s="2">
        <v>8</v>
      </c>
      <c r="H141" s="2">
        <v>30</v>
      </c>
    </row>
    <row r="142" spans="1:8" ht="12.5" hidden="1" x14ac:dyDescent="0.25">
      <c r="A142" s="2" t="s">
        <v>22</v>
      </c>
      <c r="B142" s="2" t="s">
        <v>37</v>
      </c>
      <c r="C142" s="2" t="s">
        <v>339</v>
      </c>
      <c r="D142" s="2" t="s">
        <v>123</v>
      </c>
      <c r="E142" s="2">
        <v>330891</v>
      </c>
      <c r="F142" s="2">
        <v>11.545511279999999</v>
      </c>
      <c r="G142" s="2">
        <v>38203</v>
      </c>
      <c r="H142" s="2">
        <v>29</v>
      </c>
    </row>
    <row r="143" spans="1:8" ht="12.5" hidden="1" x14ac:dyDescent="0.25">
      <c r="A143" s="2" t="s">
        <v>12</v>
      </c>
      <c r="B143" s="2" t="s">
        <v>37</v>
      </c>
      <c r="C143" s="2" t="s">
        <v>343</v>
      </c>
      <c r="D143" s="2" t="s">
        <v>344</v>
      </c>
      <c r="E143" s="2">
        <v>457369</v>
      </c>
      <c r="F143" s="2">
        <v>11.661050299999999</v>
      </c>
      <c r="G143" s="2">
        <v>53334</v>
      </c>
      <c r="H143" s="2">
        <v>28</v>
      </c>
    </row>
    <row r="144" spans="1:8" ht="12.5" hidden="1" x14ac:dyDescent="0.25">
      <c r="A144" s="2" t="s">
        <v>32</v>
      </c>
      <c r="B144" s="2" t="s">
        <v>37</v>
      </c>
      <c r="C144" s="2" t="s">
        <v>243</v>
      </c>
      <c r="D144" s="2" t="s">
        <v>244</v>
      </c>
      <c r="E144" s="2">
        <v>143713</v>
      </c>
      <c r="F144" s="2">
        <v>11.731742499999999</v>
      </c>
      <c r="G144" s="2">
        <v>16860</v>
      </c>
      <c r="H144" s="2">
        <v>27</v>
      </c>
    </row>
    <row r="145" spans="1:8" ht="12.5" hidden="1" x14ac:dyDescent="0.25">
      <c r="A145" s="2" t="s">
        <v>58</v>
      </c>
      <c r="B145" s="2" t="s">
        <v>37</v>
      </c>
      <c r="C145" s="2" t="s">
        <v>346</v>
      </c>
      <c r="D145" s="2" t="s">
        <v>138</v>
      </c>
      <c r="E145" s="2">
        <v>384902</v>
      </c>
      <c r="F145" s="2">
        <v>12.0630706</v>
      </c>
      <c r="G145" s="2">
        <v>46431</v>
      </c>
      <c r="H145" s="2">
        <v>26</v>
      </c>
    </row>
    <row r="146" spans="1:8" ht="12.5" hidden="1" x14ac:dyDescent="0.25">
      <c r="A146" s="2" t="s">
        <v>49</v>
      </c>
      <c r="B146" s="2" t="s">
        <v>37</v>
      </c>
      <c r="C146" s="2" t="s">
        <v>347</v>
      </c>
      <c r="D146" s="2" t="s">
        <v>226</v>
      </c>
      <c r="E146" s="2">
        <v>112600</v>
      </c>
      <c r="F146" s="2">
        <v>12.7877253</v>
      </c>
      <c r="G146" s="2">
        <v>14399</v>
      </c>
      <c r="H146" s="2">
        <v>25</v>
      </c>
    </row>
    <row r="147" spans="1:8" ht="12.5" hidden="1" x14ac:dyDescent="0.25">
      <c r="A147" s="2" t="s">
        <v>62</v>
      </c>
      <c r="B147" s="2" t="s">
        <v>37</v>
      </c>
      <c r="C147" s="2" t="s">
        <v>349</v>
      </c>
      <c r="D147" s="2" t="s">
        <v>226</v>
      </c>
      <c r="E147" s="2">
        <v>1339232</v>
      </c>
      <c r="F147" s="2">
        <v>12.873869389999999</v>
      </c>
      <c r="G147" s="2">
        <v>172411</v>
      </c>
      <c r="H147" s="2">
        <v>24</v>
      </c>
    </row>
    <row r="148" spans="1:8" ht="12.5" hidden="1" x14ac:dyDescent="0.25">
      <c r="A148" s="2" t="s">
        <v>32</v>
      </c>
      <c r="B148" s="2" t="s">
        <v>37</v>
      </c>
      <c r="C148" s="2" t="s">
        <v>351</v>
      </c>
      <c r="D148" s="2" t="s">
        <v>352</v>
      </c>
      <c r="E148" s="2">
        <v>4976</v>
      </c>
      <c r="F148" s="2">
        <v>13.76653827</v>
      </c>
      <c r="G148" s="2">
        <v>685</v>
      </c>
      <c r="H148" s="2">
        <v>23</v>
      </c>
    </row>
    <row r="149" spans="1:8" ht="12.5" hidden="1" x14ac:dyDescent="0.25">
      <c r="A149" s="2" t="s">
        <v>12</v>
      </c>
      <c r="B149" s="2" t="s">
        <v>37</v>
      </c>
      <c r="C149" s="2" t="s">
        <v>322</v>
      </c>
      <c r="D149" s="2" t="s">
        <v>323</v>
      </c>
      <c r="E149" s="2">
        <v>352021</v>
      </c>
      <c r="F149" s="2">
        <v>13.834398650000001</v>
      </c>
      <c r="G149" s="2">
        <v>48700</v>
      </c>
      <c r="H149" s="2">
        <v>22</v>
      </c>
    </row>
    <row r="150" spans="1:8" ht="12.5" hidden="1" x14ac:dyDescent="0.25">
      <c r="A150" s="2" t="s">
        <v>27</v>
      </c>
      <c r="B150" s="2" t="s">
        <v>37</v>
      </c>
      <c r="C150" s="2" t="s">
        <v>355</v>
      </c>
      <c r="D150" s="2" t="s">
        <v>355</v>
      </c>
      <c r="E150" s="2">
        <v>3870</v>
      </c>
      <c r="F150" s="2">
        <v>14.52258926</v>
      </c>
      <c r="G150" s="2">
        <v>562</v>
      </c>
      <c r="H150" s="2">
        <v>21</v>
      </c>
    </row>
    <row r="151" spans="1:8" ht="12.5" hidden="1" x14ac:dyDescent="0.25">
      <c r="A151" s="2" t="s">
        <v>27</v>
      </c>
      <c r="B151" s="2" t="s">
        <v>37</v>
      </c>
      <c r="C151" s="2" t="s">
        <v>356</v>
      </c>
      <c r="D151" s="2" t="s">
        <v>226</v>
      </c>
      <c r="E151" s="2">
        <v>34392</v>
      </c>
      <c r="F151" s="2">
        <v>14.753395279999999</v>
      </c>
      <c r="G151" s="2">
        <v>5074</v>
      </c>
      <c r="H151" s="2">
        <v>20</v>
      </c>
    </row>
    <row r="152" spans="1:8" ht="12.5" hidden="1" x14ac:dyDescent="0.25">
      <c r="A152" s="2" t="s">
        <v>26</v>
      </c>
      <c r="B152" s="2" t="s">
        <v>37</v>
      </c>
      <c r="C152" s="2" t="s">
        <v>357</v>
      </c>
      <c r="D152" s="2" t="s">
        <v>344</v>
      </c>
      <c r="E152" s="2">
        <v>608363</v>
      </c>
      <c r="F152" s="2">
        <v>15.00468676</v>
      </c>
      <c r="G152" s="2">
        <v>91283</v>
      </c>
      <c r="H152" s="2">
        <v>19</v>
      </c>
    </row>
    <row r="153" spans="1:8" ht="12.5" hidden="1" x14ac:dyDescent="0.25">
      <c r="A153" s="2" t="s">
        <v>16</v>
      </c>
      <c r="B153" s="2" t="s">
        <v>37</v>
      </c>
      <c r="C153" s="2" t="s">
        <v>360</v>
      </c>
      <c r="D153" s="2" t="s">
        <v>244</v>
      </c>
      <c r="E153" s="2">
        <v>1820759</v>
      </c>
      <c r="F153" s="2">
        <v>15.148959189999999</v>
      </c>
      <c r="G153" s="2">
        <v>275826</v>
      </c>
      <c r="H153" s="2">
        <v>18</v>
      </c>
    </row>
    <row r="154" spans="1:8" ht="12.5" hidden="1" x14ac:dyDescent="0.25">
      <c r="A154" s="2" t="s">
        <v>22</v>
      </c>
      <c r="B154" s="2" t="s">
        <v>37</v>
      </c>
      <c r="C154" s="2" t="s">
        <v>361</v>
      </c>
      <c r="D154" s="2" t="s">
        <v>123</v>
      </c>
      <c r="E154" s="2">
        <v>916385</v>
      </c>
      <c r="F154" s="2">
        <v>15.22864298</v>
      </c>
      <c r="G154" s="2">
        <v>139553</v>
      </c>
      <c r="H154" s="2">
        <v>17</v>
      </c>
    </row>
    <row r="155" spans="1:8" ht="12.5" hidden="1" x14ac:dyDescent="0.25">
      <c r="A155" s="2" t="s">
        <v>25</v>
      </c>
      <c r="B155" s="2" t="s">
        <v>37</v>
      </c>
      <c r="C155" s="2" t="s">
        <v>192</v>
      </c>
      <c r="D155" s="2" t="s">
        <v>193</v>
      </c>
      <c r="E155" s="2">
        <v>2383548</v>
      </c>
      <c r="F155" s="2">
        <v>15.4590105</v>
      </c>
      <c r="G155" s="2">
        <v>368473</v>
      </c>
      <c r="H155" s="2">
        <v>16</v>
      </c>
    </row>
    <row r="156" spans="1:8" ht="12.5" hidden="1" x14ac:dyDescent="0.25">
      <c r="A156" s="2" t="s">
        <v>14</v>
      </c>
      <c r="B156" s="2" t="s">
        <v>37</v>
      </c>
      <c r="C156" s="2" t="s">
        <v>364</v>
      </c>
      <c r="D156" s="2" t="s">
        <v>316</v>
      </c>
      <c r="E156" s="2">
        <v>1335705</v>
      </c>
      <c r="F156" s="2">
        <v>15.61564574</v>
      </c>
      <c r="G156" s="2">
        <v>208579</v>
      </c>
      <c r="H156" s="2">
        <v>15</v>
      </c>
    </row>
    <row r="157" spans="1:8" ht="12.5" hidden="1" x14ac:dyDescent="0.25">
      <c r="A157" s="2" t="s">
        <v>42</v>
      </c>
      <c r="B157" s="2" t="s">
        <v>37</v>
      </c>
      <c r="C157" s="2" t="s">
        <v>347</v>
      </c>
      <c r="D157" s="2" t="s">
        <v>226</v>
      </c>
      <c r="E157" s="2">
        <v>422062</v>
      </c>
      <c r="F157" s="2">
        <v>15.818996650000001</v>
      </c>
      <c r="G157" s="2">
        <v>66766</v>
      </c>
      <c r="H157" s="2">
        <v>14</v>
      </c>
    </row>
    <row r="158" spans="1:8" ht="12.5" hidden="1" x14ac:dyDescent="0.25">
      <c r="A158" s="2" t="s">
        <v>13</v>
      </c>
      <c r="B158" s="2" t="s">
        <v>37</v>
      </c>
      <c r="C158" s="2" t="s">
        <v>260</v>
      </c>
      <c r="D158" s="2" t="s">
        <v>226</v>
      </c>
      <c r="E158" s="2">
        <v>207338</v>
      </c>
      <c r="F158" s="2">
        <v>15.85042161</v>
      </c>
      <c r="G158" s="2">
        <v>32864</v>
      </c>
      <c r="H158" s="2">
        <v>13</v>
      </c>
    </row>
    <row r="159" spans="1:8" ht="12.5" hidden="1" x14ac:dyDescent="0.25">
      <c r="A159" s="2" t="s">
        <v>43</v>
      </c>
      <c r="B159" s="2" t="s">
        <v>37</v>
      </c>
      <c r="C159" s="2" t="s">
        <v>369</v>
      </c>
      <c r="D159" s="2" t="s">
        <v>99</v>
      </c>
      <c r="E159" s="2">
        <v>211943</v>
      </c>
      <c r="F159" s="2">
        <v>18.362934419999998</v>
      </c>
      <c r="G159" s="2">
        <v>38919</v>
      </c>
      <c r="H159" s="2">
        <v>12</v>
      </c>
    </row>
    <row r="160" spans="1:8" ht="12.5" hidden="1" x14ac:dyDescent="0.25">
      <c r="A160" s="2" t="s">
        <v>27</v>
      </c>
      <c r="B160" s="2" t="s">
        <v>37</v>
      </c>
      <c r="C160" s="2" t="s">
        <v>329</v>
      </c>
      <c r="D160" s="2" t="s">
        <v>226</v>
      </c>
      <c r="E160" s="2">
        <v>348946</v>
      </c>
      <c r="F160" s="2">
        <v>18.560460509999999</v>
      </c>
      <c r="G160" s="2">
        <v>64766</v>
      </c>
      <c r="H160" s="2">
        <v>11</v>
      </c>
    </row>
    <row r="161" spans="1:8" ht="12.5" hidden="1" x14ac:dyDescent="0.25">
      <c r="A161" s="2" t="s">
        <v>12</v>
      </c>
      <c r="B161" s="2" t="s">
        <v>37</v>
      </c>
      <c r="C161" s="2" t="s">
        <v>260</v>
      </c>
      <c r="D161" s="2" t="s">
        <v>226</v>
      </c>
      <c r="E161" s="2">
        <v>156280</v>
      </c>
      <c r="F161" s="2">
        <v>18.969127579999999</v>
      </c>
      <c r="G161" s="2">
        <v>29645</v>
      </c>
      <c r="H161" s="2">
        <v>10</v>
      </c>
    </row>
    <row r="162" spans="1:8" ht="12.5" hidden="1" x14ac:dyDescent="0.25">
      <c r="A162" s="2" t="s">
        <v>16</v>
      </c>
      <c r="B162" s="2" t="s">
        <v>37</v>
      </c>
      <c r="C162" s="2" t="s">
        <v>373</v>
      </c>
      <c r="D162" s="2" t="s">
        <v>374</v>
      </c>
      <c r="E162" s="2">
        <v>757280</v>
      </c>
      <c r="F162" s="2">
        <v>22.26772132</v>
      </c>
      <c r="G162" s="2">
        <v>168629</v>
      </c>
      <c r="H162" s="2">
        <v>9</v>
      </c>
    </row>
    <row r="163" spans="1:8" ht="12.5" hidden="1" x14ac:dyDescent="0.25">
      <c r="A163" s="2" t="s">
        <v>19</v>
      </c>
      <c r="B163" s="2" t="s">
        <v>37</v>
      </c>
      <c r="C163" s="2" t="s">
        <v>376</v>
      </c>
      <c r="D163" s="2" t="s">
        <v>344</v>
      </c>
      <c r="E163" s="2">
        <v>384611</v>
      </c>
      <c r="F163" s="2">
        <v>22.662648170000001</v>
      </c>
      <c r="G163" s="2">
        <v>87163</v>
      </c>
      <c r="H163" s="2">
        <v>8</v>
      </c>
    </row>
    <row r="164" spans="1:8" ht="12.5" hidden="1" x14ac:dyDescent="0.25">
      <c r="A164" s="2" t="s">
        <v>16</v>
      </c>
      <c r="B164" s="2" t="s">
        <v>37</v>
      </c>
      <c r="C164" s="2" t="s">
        <v>378</v>
      </c>
      <c r="D164" s="2" t="s">
        <v>379</v>
      </c>
      <c r="E164" s="2">
        <v>5297328</v>
      </c>
      <c r="F164" s="2">
        <v>23.215818209999998</v>
      </c>
      <c r="G164" s="2">
        <v>1229818</v>
      </c>
      <c r="H164" s="2">
        <v>7</v>
      </c>
    </row>
    <row r="165" spans="1:8" ht="12.5" x14ac:dyDescent="0.25">
      <c r="A165" s="2" t="s">
        <v>10</v>
      </c>
      <c r="B165" s="2" t="s">
        <v>37</v>
      </c>
      <c r="C165" s="2" t="s">
        <v>380</v>
      </c>
      <c r="D165" s="2" t="s">
        <v>381</v>
      </c>
      <c r="E165" s="2">
        <v>711360</v>
      </c>
      <c r="F165" s="2">
        <v>23.514805670000001</v>
      </c>
      <c r="G165" s="2">
        <v>167275</v>
      </c>
      <c r="H165" s="2">
        <v>6</v>
      </c>
    </row>
    <row r="166" spans="1:8" ht="12.5" hidden="1" x14ac:dyDescent="0.25">
      <c r="A166" s="2" t="s">
        <v>12</v>
      </c>
      <c r="B166" s="2" t="s">
        <v>37</v>
      </c>
      <c r="C166" s="2" t="s">
        <v>384</v>
      </c>
      <c r="D166" s="2" t="s">
        <v>152</v>
      </c>
      <c r="E166" s="2">
        <v>232882</v>
      </c>
      <c r="F166" s="2">
        <v>26.940672769999999</v>
      </c>
      <c r="G166" s="2">
        <v>62740</v>
      </c>
      <c r="H166" s="2">
        <v>5</v>
      </c>
    </row>
    <row r="167" spans="1:8" ht="12.5" hidden="1" x14ac:dyDescent="0.25">
      <c r="A167" s="2" t="s">
        <v>26</v>
      </c>
      <c r="B167" s="2" t="s">
        <v>37</v>
      </c>
      <c r="C167" s="2" t="s">
        <v>380</v>
      </c>
      <c r="D167" s="2" t="s">
        <v>381</v>
      </c>
      <c r="E167" s="2">
        <v>58224</v>
      </c>
      <c r="F167" s="2">
        <v>27.742775770000002</v>
      </c>
      <c r="G167" s="2">
        <v>16153</v>
      </c>
      <c r="H167" s="2">
        <v>4</v>
      </c>
    </row>
    <row r="168" spans="1:8" ht="12.5" hidden="1" x14ac:dyDescent="0.25">
      <c r="A168" s="2" t="s">
        <v>12</v>
      </c>
      <c r="B168" s="2" t="s">
        <v>37</v>
      </c>
      <c r="C168" s="2" t="s">
        <v>386</v>
      </c>
      <c r="D168" s="2" t="s">
        <v>189</v>
      </c>
      <c r="E168" s="2">
        <v>3477215</v>
      </c>
      <c r="F168" s="2">
        <v>35.701708940000003</v>
      </c>
      <c r="G168" s="2">
        <v>1241425</v>
      </c>
      <c r="H168" s="2">
        <v>3</v>
      </c>
    </row>
    <row r="169" spans="1:8" ht="12.5" hidden="1" x14ac:dyDescent="0.25">
      <c r="A169" s="2" t="s">
        <v>12</v>
      </c>
      <c r="B169" s="2" t="s">
        <v>37</v>
      </c>
      <c r="C169" s="2" t="s">
        <v>388</v>
      </c>
      <c r="D169" s="2" t="s">
        <v>271</v>
      </c>
      <c r="E169" s="2">
        <v>2493149</v>
      </c>
      <c r="F169" s="2">
        <v>38.270432470000003</v>
      </c>
      <c r="G169" s="2">
        <v>954139</v>
      </c>
      <c r="H169" s="2">
        <v>2</v>
      </c>
    </row>
    <row r="170" spans="1:8" ht="12.5" x14ac:dyDescent="0.25">
      <c r="A170" s="2" t="s">
        <v>10</v>
      </c>
      <c r="B170" s="2" t="s">
        <v>37</v>
      </c>
      <c r="C170" s="2" t="s">
        <v>390</v>
      </c>
      <c r="D170" s="2" t="s">
        <v>226</v>
      </c>
      <c r="E170" s="2">
        <v>498578</v>
      </c>
      <c r="F170" s="2">
        <v>58.31367324</v>
      </c>
      <c r="G170" s="2">
        <v>290739</v>
      </c>
      <c r="H170" s="2">
        <v>1</v>
      </c>
    </row>
  </sheetData>
  <autoFilter ref="A1:H170" xr:uid="{00000000-0009-0000-0000-000002000000}">
    <filterColumn colId="0">
      <filters>
        <filter val="OK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AA1574"/>
  <sheetViews>
    <sheetView workbookViewId="0"/>
  </sheetViews>
  <sheetFormatPr defaultColWidth="12.6328125" defaultRowHeight="15.75" customHeight="1" x14ac:dyDescent="0.25"/>
  <cols>
    <col min="2" max="2" width="42.6328125" customWidth="1"/>
  </cols>
  <sheetData>
    <row r="1" spans="1:27" ht="13" x14ac:dyDescent="0.3">
      <c r="A1" s="7" t="s">
        <v>23</v>
      </c>
      <c r="B1" s="7" t="s">
        <v>28</v>
      </c>
      <c r="C1" s="7" t="s">
        <v>30</v>
      </c>
      <c r="D1" s="7" t="s">
        <v>31</v>
      </c>
      <c r="E1" s="7" t="s">
        <v>33</v>
      </c>
      <c r="F1" s="7" t="s">
        <v>35</v>
      </c>
      <c r="G1" s="7" t="s">
        <v>38</v>
      </c>
      <c r="H1" s="9" t="s">
        <v>41</v>
      </c>
      <c r="I1" s="7" t="s">
        <v>44</v>
      </c>
      <c r="J1" s="7" t="s">
        <v>46</v>
      </c>
      <c r="K1" s="7" t="s">
        <v>50</v>
      </c>
      <c r="L1" s="7" t="s">
        <v>51</v>
      </c>
      <c r="M1" s="7" t="s">
        <v>54</v>
      </c>
      <c r="N1" s="7" t="s">
        <v>56</v>
      </c>
      <c r="O1" s="7" t="s">
        <v>57</v>
      </c>
      <c r="P1" s="7" t="s">
        <v>59</v>
      </c>
      <c r="Q1" s="7" t="s">
        <v>60</v>
      </c>
      <c r="R1" s="7" t="s">
        <v>61</v>
      </c>
      <c r="S1" s="7" t="s">
        <v>63</v>
      </c>
      <c r="T1" s="7" t="s">
        <v>64</v>
      </c>
      <c r="U1" s="10"/>
      <c r="V1" s="10"/>
      <c r="W1" s="10"/>
      <c r="X1" s="10"/>
      <c r="Y1" s="10"/>
      <c r="Z1" s="10"/>
      <c r="AA1" s="10"/>
    </row>
    <row r="2" spans="1:27" ht="12.5" x14ac:dyDescent="0.25">
      <c r="A2" s="10" t="s">
        <v>58</v>
      </c>
      <c r="B2" s="10" t="s">
        <v>75</v>
      </c>
      <c r="C2" s="10" t="s">
        <v>76</v>
      </c>
      <c r="D2" s="11">
        <v>2024</v>
      </c>
      <c r="E2" s="10" t="s">
        <v>81</v>
      </c>
      <c r="F2" s="10" t="s">
        <v>83</v>
      </c>
      <c r="G2" s="10" t="s">
        <v>84</v>
      </c>
      <c r="H2" s="11">
        <v>64563</v>
      </c>
      <c r="I2" s="11">
        <v>55643</v>
      </c>
      <c r="J2" s="11">
        <v>55037</v>
      </c>
      <c r="K2" s="11">
        <v>488373</v>
      </c>
      <c r="L2" s="11">
        <v>0.86184037296903804</v>
      </c>
      <c r="M2" s="11">
        <f t="shared" ref="M2:M256" si="0">(I2/H2)*100</f>
        <v>86.18403729690381</v>
      </c>
      <c r="N2" s="11">
        <v>0.989109142210161</v>
      </c>
      <c r="O2" s="11">
        <v>7.5642860461874504</v>
      </c>
      <c r="P2" s="11">
        <v>0.99662162162162204</v>
      </c>
      <c r="Q2" s="11">
        <v>1</v>
      </c>
      <c r="R2" s="11">
        <v>0.99418604651162801</v>
      </c>
      <c r="S2" s="10" t="s">
        <v>84</v>
      </c>
      <c r="T2" s="10" t="s">
        <v>84</v>
      </c>
      <c r="U2" s="10"/>
      <c r="V2" s="10"/>
      <c r="W2" s="10"/>
      <c r="X2" s="10"/>
      <c r="Y2" s="10"/>
      <c r="Z2" s="10"/>
      <c r="AA2" s="10"/>
    </row>
    <row r="3" spans="1:27" ht="12.5" x14ac:dyDescent="0.25">
      <c r="A3" s="10" t="s">
        <v>42</v>
      </c>
      <c r="B3" s="10" t="s">
        <v>114</v>
      </c>
      <c r="C3" s="10" t="s">
        <v>76</v>
      </c>
      <c r="D3" s="11">
        <v>2024</v>
      </c>
      <c r="E3" s="10" t="s">
        <v>81</v>
      </c>
      <c r="F3" s="10" t="s">
        <v>83</v>
      </c>
      <c r="G3" s="10" t="s">
        <v>84</v>
      </c>
      <c r="H3" s="11">
        <v>20678</v>
      </c>
      <c r="I3" s="11">
        <v>16115</v>
      </c>
      <c r="J3" s="11">
        <v>15797</v>
      </c>
      <c r="K3" s="11">
        <v>87801</v>
      </c>
      <c r="L3" s="11">
        <v>0.779349534518196</v>
      </c>
      <c r="M3" s="11">
        <f t="shared" si="0"/>
        <v>77.933068962182034</v>
      </c>
      <c r="N3" s="11">
        <v>0.98026683214396504</v>
      </c>
      <c r="O3" s="11">
        <v>4.2462096481682998</v>
      </c>
      <c r="P3" s="11">
        <v>0.99577702702702697</v>
      </c>
      <c r="Q3" s="11">
        <v>1</v>
      </c>
      <c r="R3" s="11">
        <v>0.99224806201550397</v>
      </c>
      <c r="S3" s="10" t="s">
        <v>84</v>
      </c>
      <c r="T3" s="10" t="s">
        <v>84</v>
      </c>
      <c r="U3" s="10"/>
      <c r="V3" s="10"/>
      <c r="W3" s="10"/>
      <c r="X3" s="10"/>
      <c r="Y3" s="10"/>
      <c r="Z3" s="10"/>
      <c r="AA3" s="10"/>
    </row>
    <row r="4" spans="1:27" ht="12.5" x14ac:dyDescent="0.25">
      <c r="A4" s="10" t="s">
        <v>36</v>
      </c>
      <c r="B4" s="10" t="s">
        <v>121</v>
      </c>
      <c r="C4" s="10" t="s">
        <v>76</v>
      </c>
      <c r="D4" s="11">
        <v>2024</v>
      </c>
      <c r="E4" s="10" t="s">
        <v>124</v>
      </c>
      <c r="F4" s="10" t="s">
        <v>125</v>
      </c>
      <c r="G4" s="10" t="s">
        <v>84</v>
      </c>
      <c r="H4" s="11">
        <v>2481</v>
      </c>
      <c r="I4" s="11">
        <v>1921</v>
      </c>
      <c r="J4" s="11">
        <v>451</v>
      </c>
      <c r="K4" s="11">
        <v>1933</v>
      </c>
      <c r="L4" s="11">
        <v>0.77415454881284196</v>
      </c>
      <c r="M4" s="11">
        <f t="shared" si="0"/>
        <v>77.428456267634019</v>
      </c>
      <c r="N4" s="11">
        <v>0.23477355543987499</v>
      </c>
      <c r="O4" s="11">
        <v>0.77899049602041803</v>
      </c>
      <c r="P4" s="11">
        <v>0.99493243243243201</v>
      </c>
      <c r="Q4" s="11">
        <v>1</v>
      </c>
      <c r="R4" s="11">
        <v>0.99776286353467603</v>
      </c>
      <c r="S4" s="10" t="s">
        <v>84</v>
      </c>
      <c r="T4" s="10" t="s">
        <v>84</v>
      </c>
      <c r="U4" s="10"/>
      <c r="V4" s="10"/>
      <c r="W4" s="10"/>
      <c r="X4" s="10"/>
      <c r="Y4" s="10"/>
      <c r="Z4" s="10"/>
      <c r="AA4" s="10"/>
    </row>
    <row r="5" spans="1:27" ht="12.5" x14ac:dyDescent="0.25">
      <c r="A5" s="10" t="s">
        <v>26</v>
      </c>
      <c r="B5" s="10" t="s">
        <v>127</v>
      </c>
      <c r="C5" s="10" t="s">
        <v>76</v>
      </c>
      <c r="D5" s="11">
        <v>2024</v>
      </c>
      <c r="E5" s="10" t="s">
        <v>81</v>
      </c>
      <c r="F5" s="10" t="s">
        <v>83</v>
      </c>
      <c r="G5" s="10" t="s">
        <v>84</v>
      </c>
      <c r="H5" s="11">
        <v>6023</v>
      </c>
      <c r="I5" s="11">
        <v>4602</v>
      </c>
      <c r="J5" s="11">
        <v>4232</v>
      </c>
      <c r="K5" s="11">
        <v>10450</v>
      </c>
      <c r="L5" s="11">
        <v>0.76407106093308996</v>
      </c>
      <c r="M5" s="11">
        <f t="shared" si="0"/>
        <v>76.407106093308983</v>
      </c>
      <c r="N5" s="11">
        <v>0.91960017383746195</v>
      </c>
      <c r="O5" s="11">
        <v>1.7350157728706599</v>
      </c>
      <c r="P5" s="11">
        <v>0.99408783783783805</v>
      </c>
      <c r="Q5" s="11">
        <v>1</v>
      </c>
      <c r="R5" s="11">
        <v>0.99031007751938005</v>
      </c>
      <c r="S5" s="10" t="s">
        <v>84</v>
      </c>
      <c r="T5" s="10" t="s">
        <v>84</v>
      </c>
      <c r="U5" s="10"/>
      <c r="V5" s="10"/>
      <c r="W5" s="10"/>
      <c r="X5" s="10"/>
      <c r="Y5" s="10"/>
      <c r="Z5" s="10"/>
      <c r="AA5" s="10"/>
    </row>
    <row r="6" spans="1:27" ht="12.5" x14ac:dyDescent="0.25">
      <c r="A6" s="10" t="s">
        <v>14</v>
      </c>
      <c r="B6" s="10" t="s">
        <v>132</v>
      </c>
      <c r="C6" s="10" t="s">
        <v>76</v>
      </c>
      <c r="D6" s="11">
        <v>2024</v>
      </c>
      <c r="E6" s="10" t="s">
        <v>124</v>
      </c>
      <c r="F6" s="10" t="s">
        <v>125</v>
      </c>
      <c r="G6" s="10" t="s">
        <v>84</v>
      </c>
      <c r="H6" s="11">
        <v>5125</v>
      </c>
      <c r="I6" s="11">
        <v>3907</v>
      </c>
      <c r="J6" s="11">
        <v>3881</v>
      </c>
      <c r="K6" s="11">
        <v>23192</v>
      </c>
      <c r="L6" s="11">
        <v>0.76235385941234801</v>
      </c>
      <c r="M6" s="11">
        <f t="shared" si="0"/>
        <v>76.234146341463415</v>
      </c>
      <c r="N6" s="11">
        <v>0.99334527770668002</v>
      </c>
      <c r="O6" s="11">
        <v>4.5253418754776504</v>
      </c>
      <c r="P6" s="11">
        <v>0.99324324324324298</v>
      </c>
      <c r="Q6" s="11">
        <v>1</v>
      </c>
      <c r="R6" s="11">
        <v>0.99552572706935105</v>
      </c>
      <c r="S6" s="10" t="s">
        <v>84</v>
      </c>
      <c r="T6" s="10" t="s">
        <v>84</v>
      </c>
      <c r="U6" s="10"/>
      <c r="V6" s="10"/>
      <c r="W6" s="10"/>
      <c r="X6" s="10"/>
      <c r="Y6" s="10"/>
      <c r="Z6" s="10"/>
      <c r="AA6" s="10"/>
    </row>
    <row r="7" spans="1:27" ht="12.5" x14ac:dyDescent="0.25">
      <c r="A7" s="10" t="s">
        <v>32</v>
      </c>
      <c r="B7" s="10" t="s">
        <v>139</v>
      </c>
      <c r="C7" s="10" t="s">
        <v>76</v>
      </c>
      <c r="D7" s="11">
        <v>2024</v>
      </c>
      <c r="E7" s="10" t="s">
        <v>124</v>
      </c>
      <c r="F7" s="10" t="s">
        <v>83</v>
      </c>
      <c r="G7" s="10" t="s">
        <v>84</v>
      </c>
      <c r="H7" s="11">
        <v>20616</v>
      </c>
      <c r="I7" s="11">
        <v>15709</v>
      </c>
      <c r="J7" s="11">
        <v>14136</v>
      </c>
      <c r="K7" s="11">
        <v>86716</v>
      </c>
      <c r="L7" s="11">
        <v>0.76197174558903802</v>
      </c>
      <c r="M7" s="11">
        <f t="shared" si="0"/>
        <v>76.198098564221965</v>
      </c>
      <c r="N7" s="11">
        <v>0.899866318670826</v>
      </c>
      <c r="O7" s="11">
        <v>4.2061965682410696</v>
      </c>
      <c r="P7" s="11">
        <v>0.99239864864864902</v>
      </c>
      <c r="Q7" s="11">
        <v>1</v>
      </c>
      <c r="R7" s="11">
        <v>0.99328859060402697</v>
      </c>
      <c r="S7" s="10" t="s">
        <v>84</v>
      </c>
      <c r="T7" s="10" t="s">
        <v>84</v>
      </c>
      <c r="U7" s="10"/>
      <c r="V7" s="10"/>
      <c r="W7" s="10"/>
      <c r="X7" s="10"/>
      <c r="Y7" s="10"/>
      <c r="Z7" s="10"/>
      <c r="AA7" s="10"/>
    </row>
    <row r="8" spans="1:27" ht="12.5" x14ac:dyDescent="0.25">
      <c r="A8" s="10" t="s">
        <v>86</v>
      </c>
      <c r="B8" s="10" t="s">
        <v>146</v>
      </c>
      <c r="C8" s="10" t="s">
        <v>76</v>
      </c>
      <c r="D8" s="11">
        <v>2024</v>
      </c>
      <c r="E8" s="10" t="s">
        <v>81</v>
      </c>
      <c r="F8" s="10" t="s">
        <v>83</v>
      </c>
      <c r="G8" s="10" t="s">
        <v>84</v>
      </c>
      <c r="H8" s="11">
        <v>63038</v>
      </c>
      <c r="I8" s="11">
        <v>47637</v>
      </c>
      <c r="J8" s="11">
        <v>45572</v>
      </c>
      <c r="K8" s="11">
        <v>144648</v>
      </c>
      <c r="L8" s="11">
        <v>0.75569004287113695</v>
      </c>
      <c r="M8" s="11">
        <f t="shared" si="0"/>
        <v>75.56870459088168</v>
      </c>
      <c r="N8" s="11">
        <v>0.95665134244389904</v>
      </c>
      <c r="O8" s="11">
        <v>2.29462504610333</v>
      </c>
      <c r="P8" s="11">
        <v>0.99155405405405395</v>
      </c>
      <c r="Q8" s="11">
        <v>0.97826086956521696</v>
      </c>
      <c r="R8" s="11">
        <v>0.98837209302325602</v>
      </c>
      <c r="S8" s="10" t="s">
        <v>84</v>
      </c>
      <c r="T8" s="10" t="s">
        <v>84</v>
      </c>
      <c r="U8" s="10"/>
      <c r="V8" s="10"/>
      <c r="W8" s="10"/>
      <c r="X8" s="10"/>
      <c r="Y8" s="10"/>
      <c r="Z8" s="10"/>
      <c r="AA8" s="10"/>
    </row>
    <row r="9" spans="1:27" ht="12.5" x14ac:dyDescent="0.25">
      <c r="A9" s="10" t="s">
        <v>16</v>
      </c>
      <c r="B9" s="10" t="s">
        <v>150</v>
      </c>
      <c r="C9" s="10" t="s">
        <v>76</v>
      </c>
      <c r="D9" s="11">
        <v>2024</v>
      </c>
      <c r="E9" s="10" t="s">
        <v>124</v>
      </c>
      <c r="F9" s="10" t="s">
        <v>83</v>
      </c>
      <c r="G9" s="10" t="s">
        <v>84</v>
      </c>
      <c r="H9" s="11">
        <v>46885</v>
      </c>
      <c r="I9" s="11">
        <v>33849</v>
      </c>
      <c r="J9" s="11">
        <v>32663</v>
      </c>
      <c r="K9" s="11">
        <v>57328</v>
      </c>
      <c r="L9" s="11">
        <v>0.72195541589201995</v>
      </c>
      <c r="M9" s="11">
        <f t="shared" si="0"/>
        <v>72.195798229710988</v>
      </c>
      <c r="N9" s="11">
        <v>0.96496203728322805</v>
      </c>
      <c r="O9" s="11">
        <v>1.2227321363188799</v>
      </c>
      <c r="P9" s="11">
        <v>0.99070945945945899</v>
      </c>
      <c r="Q9" s="11">
        <v>1</v>
      </c>
      <c r="R9" s="11">
        <v>0.99105145413870199</v>
      </c>
      <c r="S9" s="10" t="s">
        <v>84</v>
      </c>
      <c r="T9" s="10" t="s">
        <v>84</v>
      </c>
      <c r="U9" s="10"/>
      <c r="V9" s="10"/>
      <c r="W9" s="10"/>
      <c r="X9" s="10"/>
      <c r="Y9" s="10"/>
      <c r="Z9" s="10"/>
      <c r="AA9" s="10"/>
    </row>
    <row r="10" spans="1:27" ht="12.5" x14ac:dyDescent="0.25">
      <c r="A10" s="10" t="s">
        <v>32</v>
      </c>
      <c r="B10" s="10" t="s">
        <v>157</v>
      </c>
      <c r="C10" s="10" t="s">
        <v>76</v>
      </c>
      <c r="D10" s="11">
        <v>2024</v>
      </c>
      <c r="E10" s="10" t="s">
        <v>124</v>
      </c>
      <c r="F10" s="10" t="s">
        <v>125</v>
      </c>
      <c r="G10" s="10" t="s">
        <v>84</v>
      </c>
      <c r="H10" s="11">
        <v>4502</v>
      </c>
      <c r="I10" s="11">
        <v>3181</v>
      </c>
      <c r="J10" s="11">
        <v>3162</v>
      </c>
      <c r="K10" s="11">
        <v>16183</v>
      </c>
      <c r="L10" s="11">
        <v>0.70662717512032602</v>
      </c>
      <c r="M10" s="11">
        <f t="shared" si="0"/>
        <v>70.65748556197245</v>
      </c>
      <c r="N10" s="11">
        <v>0.99402703552341998</v>
      </c>
      <c r="O10" s="11">
        <v>3.59489078119215</v>
      </c>
      <c r="P10" s="11">
        <v>0.98986486486486502</v>
      </c>
      <c r="Q10" s="11">
        <v>0.96551724137931005</v>
      </c>
      <c r="R10" s="11">
        <v>0.98881431767337802</v>
      </c>
      <c r="S10" s="10" t="s">
        <v>84</v>
      </c>
      <c r="T10" s="10" t="s">
        <v>84</v>
      </c>
      <c r="U10" s="10"/>
      <c r="V10" s="10"/>
      <c r="W10" s="10"/>
      <c r="X10" s="10"/>
      <c r="Y10" s="10"/>
      <c r="Z10" s="10"/>
      <c r="AA10" s="10"/>
    </row>
    <row r="11" spans="1:27" ht="12.5" x14ac:dyDescent="0.25">
      <c r="A11" s="10" t="s">
        <v>52</v>
      </c>
      <c r="B11" s="10" t="s">
        <v>164</v>
      </c>
      <c r="C11" s="10" t="s">
        <v>76</v>
      </c>
      <c r="D11" s="11">
        <v>2024</v>
      </c>
      <c r="E11" s="10" t="s">
        <v>81</v>
      </c>
      <c r="F11" s="10" t="s">
        <v>83</v>
      </c>
      <c r="G11" s="10" t="s">
        <v>84</v>
      </c>
      <c r="H11" s="11">
        <v>29630</v>
      </c>
      <c r="I11" s="11">
        <v>20782</v>
      </c>
      <c r="J11" s="11">
        <v>19464</v>
      </c>
      <c r="K11" s="11">
        <v>25032</v>
      </c>
      <c r="L11" s="11">
        <v>0.70138965060454395</v>
      </c>
      <c r="M11" s="11">
        <f t="shared" si="0"/>
        <v>70.138373270334114</v>
      </c>
      <c r="N11" s="11">
        <v>0.93657973246078297</v>
      </c>
      <c r="O11" s="11">
        <v>0.844826567892068</v>
      </c>
      <c r="P11" s="11">
        <v>0.98902027027026995</v>
      </c>
      <c r="Q11" s="11">
        <v>1</v>
      </c>
      <c r="R11" s="11">
        <v>0.98643410852713198</v>
      </c>
      <c r="S11" s="10" t="s">
        <v>84</v>
      </c>
      <c r="T11" s="10" t="s">
        <v>84</v>
      </c>
      <c r="U11" s="10"/>
      <c r="V11" s="10"/>
      <c r="W11" s="10"/>
      <c r="X11" s="10"/>
      <c r="Y11" s="10"/>
      <c r="Z11" s="10"/>
      <c r="AA11" s="10"/>
    </row>
    <row r="12" spans="1:27" ht="12.5" x14ac:dyDescent="0.25">
      <c r="A12" s="10" t="s">
        <v>36</v>
      </c>
      <c r="B12" s="10" t="s">
        <v>169</v>
      </c>
      <c r="C12" s="10" t="s">
        <v>76</v>
      </c>
      <c r="D12" s="11">
        <v>2024</v>
      </c>
      <c r="E12" s="10" t="s">
        <v>124</v>
      </c>
      <c r="F12" s="10" t="s">
        <v>83</v>
      </c>
      <c r="G12" s="10" t="s">
        <v>84</v>
      </c>
      <c r="H12" s="11">
        <v>10369</v>
      </c>
      <c r="I12" s="11">
        <v>7056</v>
      </c>
      <c r="J12" s="11">
        <v>6937</v>
      </c>
      <c r="K12" s="11">
        <v>39002</v>
      </c>
      <c r="L12" s="11">
        <v>0.68051726770773902</v>
      </c>
      <c r="M12" s="11">
        <f t="shared" si="0"/>
        <v>68.048992188253436</v>
      </c>
      <c r="N12" s="11">
        <v>0.98313492063492103</v>
      </c>
      <c r="O12" s="11">
        <v>3.7615553394468901</v>
      </c>
      <c r="P12" s="11">
        <v>0.98817567567567599</v>
      </c>
      <c r="Q12" s="11">
        <v>0.97872340425531901</v>
      </c>
      <c r="R12" s="11">
        <v>0.98657718120805404</v>
      </c>
      <c r="S12" s="10" t="s">
        <v>84</v>
      </c>
      <c r="T12" s="10" t="s">
        <v>84</v>
      </c>
      <c r="U12" s="10"/>
      <c r="V12" s="10"/>
      <c r="W12" s="10"/>
      <c r="X12" s="10"/>
      <c r="Y12" s="10"/>
      <c r="Z12" s="10"/>
      <c r="AA12" s="10"/>
    </row>
    <row r="13" spans="1:27" ht="12.5" x14ac:dyDescent="0.25">
      <c r="A13" s="10" t="s">
        <v>36</v>
      </c>
      <c r="B13" s="10" t="s">
        <v>174</v>
      </c>
      <c r="C13" s="10" t="s">
        <v>76</v>
      </c>
      <c r="D13" s="11">
        <v>2024</v>
      </c>
      <c r="E13" s="10" t="s">
        <v>124</v>
      </c>
      <c r="F13" s="10" t="s">
        <v>83</v>
      </c>
      <c r="G13" s="10" t="s">
        <v>84</v>
      </c>
      <c r="H13" s="11">
        <v>8559</v>
      </c>
      <c r="I13" s="11">
        <v>5696</v>
      </c>
      <c r="J13" s="11">
        <v>5696</v>
      </c>
      <c r="K13" s="11">
        <v>34437</v>
      </c>
      <c r="L13" s="11">
        <v>0.66551126516464498</v>
      </c>
      <c r="M13" s="11">
        <f t="shared" si="0"/>
        <v>66.549830587685477</v>
      </c>
      <c r="N13" s="11">
        <v>1</v>
      </c>
      <c r="O13" s="11">
        <v>4.0235624014176397</v>
      </c>
      <c r="P13" s="11">
        <v>0.98733108108108103</v>
      </c>
      <c r="Q13" s="11">
        <v>0.95744680851063801</v>
      </c>
      <c r="R13" s="11">
        <v>0.98434004474272896</v>
      </c>
      <c r="S13" s="10" t="s">
        <v>84</v>
      </c>
      <c r="T13" s="10" t="s">
        <v>84</v>
      </c>
      <c r="U13" s="10"/>
      <c r="V13" s="10"/>
      <c r="W13" s="10"/>
      <c r="X13" s="10"/>
      <c r="Y13" s="10"/>
      <c r="Z13" s="10"/>
      <c r="AA13" s="10"/>
    </row>
    <row r="14" spans="1:27" ht="12.5" x14ac:dyDescent="0.25">
      <c r="A14" s="10" t="s">
        <v>82</v>
      </c>
      <c r="B14" s="10" t="s">
        <v>177</v>
      </c>
      <c r="C14" s="10" t="s">
        <v>76</v>
      </c>
      <c r="D14" s="11">
        <v>2024</v>
      </c>
      <c r="E14" s="10" t="s">
        <v>124</v>
      </c>
      <c r="F14" s="10" t="s">
        <v>83</v>
      </c>
      <c r="G14" s="10" t="s">
        <v>84</v>
      </c>
      <c r="H14" s="11">
        <v>193</v>
      </c>
      <c r="I14" s="11">
        <v>126</v>
      </c>
      <c r="J14" s="11">
        <v>100</v>
      </c>
      <c r="K14" s="11">
        <v>774</v>
      </c>
      <c r="L14" s="11">
        <v>0.65256797583081605</v>
      </c>
      <c r="M14" s="11">
        <f t="shared" si="0"/>
        <v>65.284974093264253</v>
      </c>
      <c r="N14" s="11">
        <v>0.79365079365079405</v>
      </c>
      <c r="O14" s="11">
        <v>4.00863185153215</v>
      </c>
      <c r="P14" s="11">
        <v>0.98648648648648696</v>
      </c>
      <c r="Q14" s="11">
        <v>1</v>
      </c>
      <c r="R14" s="11">
        <v>0.98210290827740498</v>
      </c>
      <c r="S14" s="10" t="s">
        <v>84</v>
      </c>
      <c r="T14" s="10" t="s">
        <v>84</v>
      </c>
      <c r="U14" s="10"/>
      <c r="V14" s="10"/>
      <c r="W14" s="10"/>
      <c r="X14" s="10"/>
      <c r="Y14" s="10"/>
      <c r="Z14" s="10"/>
      <c r="AA14" s="10"/>
    </row>
    <row r="15" spans="1:27" ht="12.5" x14ac:dyDescent="0.25">
      <c r="A15" s="10" t="s">
        <v>65</v>
      </c>
      <c r="B15" s="10" t="s">
        <v>184</v>
      </c>
      <c r="C15" s="10" t="s">
        <v>76</v>
      </c>
      <c r="D15" s="11">
        <v>2024</v>
      </c>
      <c r="E15" s="10" t="s">
        <v>124</v>
      </c>
      <c r="F15" s="10" t="s">
        <v>83</v>
      </c>
      <c r="G15" s="10" t="s">
        <v>84</v>
      </c>
      <c r="H15" s="11">
        <v>39005</v>
      </c>
      <c r="I15" s="11">
        <v>23312</v>
      </c>
      <c r="J15" s="11">
        <v>3520</v>
      </c>
      <c r="K15" s="11">
        <v>59847</v>
      </c>
      <c r="L15" s="11">
        <v>0.59767335035412505</v>
      </c>
      <c r="M15" s="11">
        <f t="shared" si="0"/>
        <v>59.766696577361877</v>
      </c>
      <c r="N15" s="11">
        <v>0.15099519560741201</v>
      </c>
      <c r="O15" s="11">
        <v>1.5343581416713801</v>
      </c>
      <c r="P15" s="11">
        <v>0.985641891891892</v>
      </c>
      <c r="Q15" s="11">
        <v>1</v>
      </c>
      <c r="R15" s="11">
        <v>0.97986577181208101</v>
      </c>
      <c r="S15" s="10" t="s">
        <v>84</v>
      </c>
      <c r="T15" s="10" t="s">
        <v>84</v>
      </c>
      <c r="U15" s="10"/>
      <c r="V15" s="10"/>
      <c r="W15" s="10"/>
      <c r="X15" s="10"/>
      <c r="Y15" s="10"/>
      <c r="Z15" s="10"/>
      <c r="AA15" s="10"/>
    </row>
    <row r="16" spans="1:27" ht="12.5" hidden="1" x14ac:dyDescent="0.25">
      <c r="A16" s="10" t="s">
        <v>12</v>
      </c>
      <c r="B16" s="10" t="s">
        <v>190</v>
      </c>
      <c r="C16" s="10" t="s">
        <v>191</v>
      </c>
      <c r="D16" s="11">
        <v>2024</v>
      </c>
      <c r="E16" s="10" t="s">
        <v>124</v>
      </c>
      <c r="F16" s="10" t="s">
        <v>125</v>
      </c>
      <c r="G16" s="10" t="s">
        <v>84</v>
      </c>
      <c r="H16" s="12">
        <v>747.08333333333303</v>
      </c>
      <c r="I16" s="11">
        <v>446</v>
      </c>
      <c r="J16" s="11">
        <v>446</v>
      </c>
      <c r="K16" s="11">
        <v>35</v>
      </c>
      <c r="L16" s="11">
        <v>0.59698828778583402</v>
      </c>
      <c r="M16" s="11">
        <f t="shared" si="0"/>
        <v>59.698828778583405</v>
      </c>
      <c r="N16" s="11">
        <v>1</v>
      </c>
      <c r="O16" s="11">
        <v>4.6848856664807599E-2</v>
      </c>
      <c r="P16" s="11">
        <v>0.99877450980392202</v>
      </c>
      <c r="Q16" s="11">
        <v>1</v>
      </c>
      <c r="R16" s="11">
        <v>0.99806201550387597</v>
      </c>
      <c r="S16" s="10" t="s">
        <v>84</v>
      </c>
      <c r="T16" s="10" t="s">
        <v>84</v>
      </c>
      <c r="U16" s="10"/>
      <c r="V16" s="10"/>
      <c r="W16" s="10"/>
      <c r="X16" s="10"/>
      <c r="Y16" s="10"/>
      <c r="Z16" s="10"/>
      <c r="AA16" s="10"/>
    </row>
    <row r="17" spans="1:27" ht="12.5" x14ac:dyDescent="0.25">
      <c r="A17" s="10" t="s">
        <v>13</v>
      </c>
      <c r="B17" s="10" t="s">
        <v>195</v>
      </c>
      <c r="C17" s="10" t="s">
        <v>76</v>
      </c>
      <c r="D17" s="11">
        <v>2024</v>
      </c>
      <c r="E17" s="10" t="s">
        <v>124</v>
      </c>
      <c r="F17" s="10" t="s">
        <v>83</v>
      </c>
      <c r="G17" s="10" t="s">
        <v>84</v>
      </c>
      <c r="H17" s="11">
        <v>9982</v>
      </c>
      <c r="I17" s="11">
        <v>5727</v>
      </c>
      <c r="J17" s="11">
        <v>5176</v>
      </c>
      <c r="K17" s="11">
        <v>31509</v>
      </c>
      <c r="L17" s="11">
        <v>0.57376145869859196</v>
      </c>
      <c r="M17" s="11">
        <f t="shared" si="0"/>
        <v>57.373271889400925</v>
      </c>
      <c r="N17" s="11">
        <v>0.90378906932076097</v>
      </c>
      <c r="O17" s="11">
        <v>3.1567399689425399</v>
      </c>
      <c r="P17" s="11">
        <v>0.98395270270270296</v>
      </c>
      <c r="Q17" s="11">
        <v>0.90476190476190499</v>
      </c>
      <c r="R17" s="11">
        <v>0.97762863534675604</v>
      </c>
      <c r="S17" s="10" t="s">
        <v>84</v>
      </c>
      <c r="T17" s="10" t="s">
        <v>84</v>
      </c>
      <c r="U17" s="10"/>
      <c r="V17" s="10"/>
      <c r="W17" s="10"/>
      <c r="X17" s="10"/>
      <c r="Y17" s="10"/>
      <c r="Z17" s="10"/>
      <c r="AA17" s="10"/>
    </row>
    <row r="18" spans="1:27" ht="12.5" x14ac:dyDescent="0.25">
      <c r="A18" s="10" t="s">
        <v>32</v>
      </c>
      <c r="B18" s="10" t="s">
        <v>201</v>
      </c>
      <c r="C18" s="10" t="s">
        <v>76</v>
      </c>
      <c r="D18" s="11">
        <v>2024</v>
      </c>
      <c r="E18" s="10" t="s">
        <v>124</v>
      </c>
      <c r="F18" s="10" t="s">
        <v>83</v>
      </c>
      <c r="G18" s="10" t="s">
        <v>84</v>
      </c>
      <c r="H18" s="11">
        <v>6314</v>
      </c>
      <c r="I18" s="11">
        <v>3608</v>
      </c>
      <c r="J18" s="11">
        <v>3424</v>
      </c>
      <c r="K18" s="11">
        <v>18189</v>
      </c>
      <c r="L18" s="11">
        <v>0.57145119778261699</v>
      </c>
      <c r="M18" s="11">
        <f t="shared" si="0"/>
        <v>57.142857142857139</v>
      </c>
      <c r="N18" s="11">
        <v>0.94900221729489997</v>
      </c>
      <c r="O18" s="11">
        <v>2.8808552761829298</v>
      </c>
      <c r="P18" s="11">
        <v>0.983108108108108</v>
      </c>
      <c r="Q18" s="11">
        <v>0.931034482758621</v>
      </c>
      <c r="R18" s="11">
        <v>0.97539149888143195</v>
      </c>
      <c r="S18" s="10" t="s">
        <v>84</v>
      </c>
      <c r="T18" s="10" t="s">
        <v>84</v>
      </c>
      <c r="U18" s="10"/>
      <c r="V18" s="10"/>
      <c r="W18" s="10"/>
      <c r="X18" s="10"/>
      <c r="Y18" s="10"/>
      <c r="Z18" s="10"/>
      <c r="AA18" s="10"/>
    </row>
    <row r="19" spans="1:27" ht="12.5" hidden="1" x14ac:dyDescent="0.25">
      <c r="A19" s="10" t="s">
        <v>55</v>
      </c>
      <c r="B19" s="10" t="s">
        <v>204</v>
      </c>
      <c r="C19" s="10" t="s">
        <v>191</v>
      </c>
      <c r="D19" s="11">
        <v>2024</v>
      </c>
      <c r="E19" s="10" t="s">
        <v>124</v>
      </c>
      <c r="F19" s="10" t="s">
        <v>125</v>
      </c>
      <c r="G19" s="10" t="s">
        <v>84</v>
      </c>
      <c r="H19" s="12">
        <v>111</v>
      </c>
      <c r="I19" s="11">
        <v>61</v>
      </c>
      <c r="J19" s="11">
        <v>19</v>
      </c>
      <c r="K19" s="11">
        <v>322</v>
      </c>
      <c r="L19" s="11">
        <v>0.54954954954955004</v>
      </c>
      <c r="M19" s="11">
        <f t="shared" si="0"/>
        <v>54.954954954954957</v>
      </c>
      <c r="N19" s="11">
        <v>0.31147540983606598</v>
      </c>
      <c r="O19" s="11">
        <v>2.9009009009009001</v>
      </c>
      <c r="P19" s="11">
        <v>0.99754901960784303</v>
      </c>
      <c r="Q19" s="11">
        <v>1</v>
      </c>
      <c r="R19" s="11">
        <v>0.99612403100775204</v>
      </c>
      <c r="S19" s="10" t="s">
        <v>84</v>
      </c>
      <c r="T19" s="10" t="s">
        <v>84</v>
      </c>
      <c r="U19" s="10"/>
      <c r="V19" s="10"/>
      <c r="W19" s="10"/>
      <c r="X19" s="10"/>
      <c r="Y19" s="10"/>
      <c r="Z19" s="10"/>
      <c r="AA19" s="10"/>
    </row>
    <row r="20" spans="1:27" ht="12.5" x14ac:dyDescent="0.25">
      <c r="A20" s="10" t="s">
        <v>32</v>
      </c>
      <c r="B20" s="10" t="s">
        <v>205</v>
      </c>
      <c r="C20" s="10" t="s">
        <v>76</v>
      </c>
      <c r="D20" s="11">
        <v>2024</v>
      </c>
      <c r="E20" s="10" t="s">
        <v>81</v>
      </c>
      <c r="F20" s="10" t="s">
        <v>83</v>
      </c>
      <c r="G20" s="10" t="s">
        <v>84</v>
      </c>
      <c r="H20" s="11">
        <v>21207</v>
      </c>
      <c r="I20" s="11">
        <v>11563</v>
      </c>
      <c r="J20" s="11">
        <v>7801</v>
      </c>
      <c r="K20" s="11">
        <v>15169</v>
      </c>
      <c r="L20" s="11">
        <v>0.54523592468014204</v>
      </c>
      <c r="M20" s="11">
        <f t="shared" si="0"/>
        <v>54.524449474230209</v>
      </c>
      <c r="N20" s="11">
        <v>0.67465190694456501</v>
      </c>
      <c r="O20" s="11">
        <v>0.715271446983748</v>
      </c>
      <c r="P20" s="11">
        <v>0.98226351351351304</v>
      </c>
      <c r="Q20" s="11">
        <v>0.89655172413793105</v>
      </c>
      <c r="R20" s="11">
        <v>0.98449612403100795</v>
      </c>
      <c r="S20" s="10" t="s">
        <v>84</v>
      </c>
      <c r="T20" s="10" t="s">
        <v>84</v>
      </c>
      <c r="U20" s="10"/>
      <c r="V20" s="10"/>
      <c r="W20" s="10"/>
      <c r="X20" s="10"/>
      <c r="Y20" s="10"/>
      <c r="Z20" s="10"/>
      <c r="AA20" s="10"/>
    </row>
    <row r="21" spans="1:27" ht="12.5" x14ac:dyDescent="0.25">
      <c r="A21" s="10" t="s">
        <v>49</v>
      </c>
      <c r="B21" s="10" t="s">
        <v>211</v>
      </c>
      <c r="C21" s="10" t="s">
        <v>76</v>
      </c>
      <c r="D21" s="11">
        <v>2024</v>
      </c>
      <c r="E21" s="10" t="s">
        <v>81</v>
      </c>
      <c r="F21" s="10" t="s">
        <v>83</v>
      </c>
      <c r="G21" s="10" t="s">
        <v>84</v>
      </c>
      <c r="H21" s="11">
        <v>29261</v>
      </c>
      <c r="I21" s="11">
        <v>15828</v>
      </c>
      <c r="J21" s="11">
        <v>15620</v>
      </c>
      <c r="K21" s="11">
        <v>47766</v>
      </c>
      <c r="L21" s="11">
        <v>0.54093402368380605</v>
      </c>
      <c r="M21" s="11">
        <f t="shared" si="0"/>
        <v>54.092478042445578</v>
      </c>
      <c r="N21" s="11">
        <v>0.98685873136214297</v>
      </c>
      <c r="O21" s="11">
        <v>1.63243963705337</v>
      </c>
      <c r="P21" s="11">
        <v>0.98141891891891897</v>
      </c>
      <c r="Q21" s="11">
        <v>1</v>
      </c>
      <c r="R21" s="11">
        <v>0.98255813953488402</v>
      </c>
      <c r="S21" s="10" t="s">
        <v>84</v>
      </c>
      <c r="T21" s="10" t="s">
        <v>84</v>
      </c>
      <c r="U21" s="10"/>
      <c r="V21" s="10"/>
      <c r="W21" s="10"/>
      <c r="X21" s="10"/>
      <c r="Y21" s="10"/>
      <c r="Z21" s="10"/>
      <c r="AA21" s="10"/>
    </row>
    <row r="22" spans="1:27" ht="12.5" x14ac:dyDescent="0.25">
      <c r="A22" s="10" t="s">
        <v>14</v>
      </c>
      <c r="B22" s="10" t="s">
        <v>213</v>
      </c>
      <c r="C22" s="10" t="s">
        <v>76</v>
      </c>
      <c r="D22" s="11">
        <v>2024</v>
      </c>
      <c r="E22" s="10" t="s">
        <v>124</v>
      </c>
      <c r="F22" s="10" t="s">
        <v>83</v>
      </c>
      <c r="G22" s="10" t="s">
        <v>84</v>
      </c>
      <c r="H22" s="11">
        <v>198345</v>
      </c>
      <c r="I22" s="11">
        <v>107061</v>
      </c>
      <c r="J22" s="11">
        <v>48610</v>
      </c>
      <c r="K22" s="11">
        <v>430307</v>
      </c>
      <c r="L22" s="11">
        <v>0.53977070294906504</v>
      </c>
      <c r="M22" s="11">
        <f t="shared" si="0"/>
        <v>53.977161007335702</v>
      </c>
      <c r="N22" s="11">
        <v>0.45404022006146</v>
      </c>
      <c r="O22" s="11">
        <v>2.1694838631612199</v>
      </c>
      <c r="P22" s="11">
        <v>0.98057432432432401</v>
      </c>
      <c r="Q22" s="11">
        <v>0.96428571428571397</v>
      </c>
      <c r="R22" s="11">
        <v>0.97315436241610698</v>
      </c>
      <c r="S22" s="10" t="s">
        <v>84</v>
      </c>
      <c r="T22" s="10" t="s">
        <v>84</v>
      </c>
      <c r="U22" s="10"/>
      <c r="V22" s="10"/>
      <c r="W22" s="10"/>
      <c r="X22" s="10"/>
      <c r="Y22" s="10"/>
      <c r="Z22" s="10"/>
      <c r="AA22" s="10"/>
    </row>
    <row r="23" spans="1:27" ht="12.5" hidden="1" x14ac:dyDescent="0.25">
      <c r="A23" s="10" t="s">
        <v>29</v>
      </c>
      <c r="B23" s="10" t="s">
        <v>218</v>
      </c>
      <c r="C23" s="10" t="s">
        <v>191</v>
      </c>
      <c r="D23" s="11">
        <v>2024</v>
      </c>
      <c r="E23" s="10" t="s">
        <v>124</v>
      </c>
      <c r="F23" s="10" t="s">
        <v>125</v>
      </c>
      <c r="G23" s="10" t="s">
        <v>84</v>
      </c>
      <c r="H23" s="12">
        <v>29129</v>
      </c>
      <c r="I23" s="11">
        <v>15638</v>
      </c>
      <c r="J23" s="11">
        <v>12199</v>
      </c>
      <c r="K23" s="11">
        <v>24910</v>
      </c>
      <c r="L23" s="11">
        <v>0.53685484355465796</v>
      </c>
      <c r="M23" s="11">
        <f t="shared" si="0"/>
        <v>53.685330770023</v>
      </c>
      <c r="N23" s="11">
        <v>0.78008696764292096</v>
      </c>
      <c r="O23" s="11">
        <v>0.85516396936606498</v>
      </c>
      <c r="P23" s="11">
        <v>0.99632352941176505</v>
      </c>
      <c r="Q23" s="11">
        <v>1</v>
      </c>
      <c r="R23" s="11">
        <v>0.99418604651162801</v>
      </c>
      <c r="S23" s="10" t="s">
        <v>84</v>
      </c>
      <c r="T23" s="10" t="s">
        <v>84</v>
      </c>
      <c r="U23" s="10"/>
      <c r="V23" s="10"/>
      <c r="W23" s="10"/>
      <c r="X23" s="10"/>
      <c r="Y23" s="10"/>
      <c r="Z23" s="10"/>
      <c r="AA23" s="10"/>
    </row>
    <row r="24" spans="1:27" ht="12.5" x14ac:dyDescent="0.25">
      <c r="A24" s="10" t="s">
        <v>91</v>
      </c>
      <c r="B24" s="10" t="s">
        <v>221</v>
      </c>
      <c r="C24" s="10" t="s">
        <v>76</v>
      </c>
      <c r="D24" s="11">
        <v>2024</v>
      </c>
      <c r="E24" s="10" t="s">
        <v>81</v>
      </c>
      <c r="F24" s="10" t="s">
        <v>83</v>
      </c>
      <c r="G24" s="10" t="s">
        <v>84</v>
      </c>
      <c r="H24" s="11">
        <v>6061</v>
      </c>
      <c r="I24" s="11">
        <v>3024</v>
      </c>
      <c r="J24" s="11">
        <v>2948</v>
      </c>
      <c r="K24" s="11">
        <v>3175</v>
      </c>
      <c r="L24" s="11">
        <v>0.49895501044989499</v>
      </c>
      <c r="M24" s="11">
        <f t="shared" si="0"/>
        <v>49.892756970796896</v>
      </c>
      <c r="N24" s="11">
        <v>0.97486772486772499</v>
      </c>
      <c r="O24" s="11">
        <v>0.52386976130238705</v>
      </c>
      <c r="P24" s="11">
        <v>0.97972972972973005</v>
      </c>
      <c r="Q24" s="11">
        <v>1</v>
      </c>
      <c r="R24" s="11">
        <v>0.98062015503875999</v>
      </c>
      <c r="S24" s="10" t="s">
        <v>84</v>
      </c>
      <c r="T24" s="10" t="s">
        <v>84</v>
      </c>
      <c r="U24" s="10"/>
      <c r="V24" s="10"/>
      <c r="W24" s="10"/>
      <c r="X24" s="10"/>
      <c r="Y24" s="10"/>
      <c r="Z24" s="10"/>
      <c r="AA24" s="10"/>
    </row>
    <row r="25" spans="1:27" ht="12.5" x14ac:dyDescent="0.25">
      <c r="A25" s="10" t="s">
        <v>29</v>
      </c>
      <c r="B25" s="10" t="s">
        <v>227</v>
      </c>
      <c r="C25" s="10" t="s">
        <v>76</v>
      </c>
      <c r="D25" s="11">
        <v>2024</v>
      </c>
      <c r="E25" s="10" t="s">
        <v>124</v>
      </c>
      <c r="F25" s="10" t="s">
        <v>83</v>
      </c>
      <c r="G25" s="10" t="s">
        <v>84</v>
      </c>
      <c r="H25" s="11">
        <v>380286</v>
      </c>
      <c r="I25" s="11">
        <v>182151</v>
      </c>
      <c r="J25" s="11">
        <v>167370</v>
      </c>
      <c r="K25" s="11">
        <v>1107634</v>
      </c>
      <c r="L25" s="11">
        <v>0.47898402825591402</v>
      </c>
      <c r="M25" s="11">
        <f t="shared" si="0"/>
        <v>47.898423817863403</v>
      </c>
      <c r="N25" s="11">
        <v>0.91885303951117503</v>
      </c>
      <c r="O25" s="11">
        <v>2.9126328988213701</v>
      </c>
      <c r="P25" s="11">
        <v>0.97888513513513498</v>
      </c>
      <c r="Q25" s="11">
        <v>1</v>
      </c>
      <c r="R25" s="11">
        <v>0.970917225950783</v>
      </c>
      <c r="S25" s="10" t="s">
        <v>84</v>
      </c>
      <c r="T25" s="10" t="s">
        <v>84</v>
      </c>
      <c r="U25" s="10"/>
      <c r="V25" s="10"/>
      <c r="W25" s="10"/>
      <c r="X25" s="10"/>
      <c r="Y25" s="10"/>
      <c r="Z25" s="10"/>
      <c r="AA25" s="10"/>
    </row>
    <row r="26" spans="1:27" ht="12.5" x14ac:dyDescent="0.25">
      <c r="A26" s="10" t="s">
        <v>103</v>
      </c>
      <c r="B26" s="10" t="s">
        <v>231</v>
      </c>
      <c r="C26" s="10" t="s">
        <v>76</v>
      </c>
      <c r="D26" s="11">
        <v>2024</v>
      </c>
      <c r="E26" s="10" t="s">
        <v>124</v>
      </c>
      <c r="F26" s="10" t="s">
        <v>83</v>
      </c>
      <c r="G26" s="10" t="s">
        <v>84</v>
      </c>
      <c r="H26" s="11">
        <v>7395</v>
      </c>
      <c r="I26" s="11">
        <v>3532</v>
      </c>
      <c r="J26" s="11">
        <v>3518</v>
      </c>
      <c r="K26" s="11">
        <v>9491</v>
      </c>
      <c r="L26" s="11">
        <v>0.47763616078974902</v>
      </c>
      <c r="M26" s="11">
        <f t="shared" si="0"/>
        <v>47.762001352265045</v>
      </c>
      <c r="N26" s="11">
        <v>0.99603624009059999</v>
      </c>
      <c r="O26" s="11">
        <v>1.2834781432773299</v>
      </c>
      <c r="P26" s="11">
        <v>0.97804054054054101</v>
      </c>
      <c r="Q26" s="11">
        <v>1</v>
      </c>
      <c r="R26" s="11">
        <v>0.96868008948545903</v>
      </c>
      <c r="S26" s="10" t="s">
        <v>84</v>
      </c>
      <c r="T26" s="10" t="s">
        <v>84</v>
      </c>
      <c r="U26" s="10"/>
      <c r="V26" s="10"/>
      <c r="W26" s="10"/>
      <c r="X26" s="10"/>
      <c r="Y26" s="10"/>
      <c r="Z26" s="10"/>
      <c r="AA26" s="10"/>
    </row>
    <row r="27" spans="1:27" ht="12.5" x14ac:dyDescent="0.25">
      <c r="A27" s="10" t="s">
        <v>36</v>
      </c>
      <c r="B27" s="10" t="s">
        <v>234</v>
      </c>
      <c r="C27" s="10" t="s">
        <v>76</v>
      </c>
      <c r="D27" s="11">
        <v>2024</v>
      </c>
      <c r="E27" s="10" t="s">
        <v>124</v>
      </c>
      <c r="F27" s="10" t="s">
        <v>83</v>
      </c>
      <c r="G27" s="10" t="s">
        <v>84</v>
      </c>
      <c r="H27" s="11">
        <v>14443</v>
      </c>
      <c r="I27" s="11">
        <v>6887</v>
      </c>
      <c r="J27" s="11">
        <v>6733</v>
      </c>
      <c r="K27" s="11">
        <v>21472</v>
      </c>
      <c r="L27" s="11">
        <v>0.47683448920481403</v>
      </c>
      <c r="M27" s="11">
        <f t="shared" si="0"/>
        <v>47.683999169147683</v>
      </c>
      <c r="N27" s="11">
        <v>0.977639030056628</v>
      </c>
      <c r="O27" s="11">
        <v>1.4866545886751501</v>
      </c>
      <c r="P27" s="11">
        <v>0.97719594594594605</v>
      </c>
      <c r="Q27" s="11">
        <v>0.93617021276595702</v>
      </c>
      <c r="R27" s="11">
        <v>0.96644295302013405</v>
      </c>
      <c r="S27" s="10" t="s">
        <v>84</v>
      </c>
      <c r="T27" s="10" t="s">
        <v>84</v>
      </c>
      <c r="U27" s="10"/>
      <c r="V27" s="10"/>
      <c r="W27" s="10"/>
      <c r="X27" s="10"/>
      <c r="Y27" s="10"/>
      <c r="Z27" s="10"/>
      <c r="AA27" s="10"/>
    </row>
    <row r="28" spans="1:27" ht="12.5" x14ac:dyDescent="0.25">
      <c r="A28" s="10" t="s">
        <v>55</v>
      </c>
      <c r="B28" s="10" t="s">
        <v>238</v>
      </c>
      <c r="C28" s="10" t="s">
        <v>76</v>
      </c>
      <c r="D28" s="11">
        <v>2024</v>
      </c>
      <c r="E28" s="10" t="s">
        <v>124</v>
      </c>
      <c r="F28" s="10" t="s">
        <v>83</v>
      </c>
      <c r="G28" s="10" t="s">
        <v>84</v>
      </c>
      <c r="H28" s="11">
        <v>58383</v>
      </c>
      <c r="I28" s="11">
        <v>27716</v>
      </c>
      <c r="J28" s="11">
        <v>30165</v>
      </c>
      <c r="K28" s="11">
        <v>280773</v>
      </c>
      <c r="L28" s="11">
        <v>0.47472790984805802</v>
      </c>
      <c r="M28" s="11">
        <f t="shared" si="0"/>
        <v>47.472723224226229</v>
      </c>
      <c r="N28" s="11">
        <v>1.08836051378265</v>
      </c>
      <c r="O28" s="11">
        <v>4.8091636394778696</v>
      </c>
      <c r="P28" s="11">
        <v>0.97635135135135098</v>
      </c>
      <c r="Q28" s="11">
        <v>1</v>
      </c>
      <c r="R28" s="11">
        <v>0.96420581655480997</v>
      </c>
      <c r="S28" s="10" t="s">
        <v>84</v>
      </c>
      <c r="T28" s="10" t="s">
        <v>84</v>
      </c>
      <c r="U28" s="10"/>
      <c r="V28" s="10"/>
      <c r="W28" s="10"/>
      <c r="X28" s="10"/>
      <c r="Y28" s="10"/>
      <c r="Z28" s="10"/>
      <c r="AA28" s="10"/>
    </row>
    <row r="29" spans="1:27" ht="12.5" x14ac:dyDescent="0.25">
      <c r="A29" s="10" t="s">
        <v>29</v>
      </c>
      <c r="B29" s="10" t="s">
        <v>242</v>
      </c>
      <c r="C29" s="10" t="s">
        <v>76</v>
      </c>
      <c r="D29" s="11">
        <v>2024</v>
      </c>
      <c r="E29" s="10" t="s">
        <v>124</v>
      </c>
      <c r="F29" s="10" t="s">
        <v>83</v>
      </c>
      <c r="G29" s="10" t="s">
        <v>84</v>
      </c>
      <c r="H29" s="11">
        <v>1834</v>
      </c>
      <c r="I29" s="11">
        <v>845</v>
      </c>
      <c r="J29" s="11">
        <v>768</v>
      </c>
      <c r="K29" s="11">
        <v>3193</v>
      </c>
      <c r="L29" s="11">
        <v>0.46063689637941202</v>
      </c>
      <c r="M29" s="11">
        <f t="shared" si="0"/>
        <v>46.074154852780808</v>
      </c>
      <c r="N29" s="11">
        <v>0.90887573964497004</v>
      </c>
      <c r="O29" s="11">
        <v>1.7406078226502499</v>
      </c>
      <c r="P29" s="11">
        <v>0.97550675675675702</v>
      </c>
      <c r="Q29" s="11">
        <v>0.97959183673469397</v>
      </c>
      <c r="R29" s="11">
        <v>0.961968680089485</v>
      </c>
      <c r="S29" s="10" t="s">
        <v>84</v>
      </c>
      <c r="T29" s="10" t="s">
        <v>84</v>
      </c>
      <c r="U29" s="10"/>
      <c r="V29" s="10"/>
      <c r="W29" s="10"/>
      <c r="X29" s="10"/>
      <c r="Y29" s="10"/>
      <c r="Z29" s="10"/>
      <c r="AA29" s="10"/>
    </row>
    <row r="30" spans="1:27" ht="12.5" hidden="1" x14ac:dyDescent="0.25">
      <c r="A30" s="10" t="s">
        <v>29</v>
      </c>
      <c r="B30" s="10" t="s">
        <v>248</v>
      </c>
      <c r="C30" s="10" t="s">
        <v>191</v>
      </c>
      <c r="D30" s="11">
        <v>2024</v>
      </c>
      <c r="E30" s="10" t="s">
        <v>124</v>
      </c>
      <c r="F30" s="10" t="s">
        <v>125</v>
      </c>
      <c r="G30" s="10" t="s">
        <v>84</v>
      </c>
      <c r="H30" s="12">
        <v>1835</v>
      </c>
      <c r="I30" s="11">
        <v>845</v>
      </c>
      <c r="J30" s="11">
        <v>768</v>
      </c>
      <c r="K30" s="11">
        <v>1200</v>
      </c>
      <c r="L30" s="11">
        <v>0.46061597165440199</v>
      </c>
      <c r="M30" s="11">
        <f t="shared" si="0"/>
        <v>46.049046321525886</v>
      </c>
      <c r="N30" s="11">
        <v>0.90887573964497004</v>
      </c>
      <c r="O30" s="11">
        <v>0.65412919051512697</v>
      </c>
      <c r="P30" s="11">
        <v>0.99509803921568596</v>
      </c>
      <c r="Q30" s="11">
        <v>0.98591549295774605</v>
      </c>
      <c r="R30" s="11">
        <v>0.99224806201550397</v>
      </c>
      <c r="S30" s="10" t="s">
        <v>84</v>
      </c>
      <c r="T30" s="10" t="s">
        <v>84</v>
      </c>
      <c r="U30" s="10"/>
      <c r="V30" s="10"/>
      <c r="W30" s="10"/>
      <c r="X30" s="10"/>
      <c r="Y30" s="10"/>
      <c r="Z30" s="10"/>
      <c r="AA30" s="10"/>
    </row>
    <row r="31" spans="1:27" ht="12.5" x14ac:dyDescent="0.25">
      <c r="A31" s="10" t="s">
        <v>101</v>
      </c>
      <c r="B31" s="10" t="s">
        <v>256</v>
      </c>
      <c r="C31" s="10" t="s">
        <v>76</v>
      </c>
      <c r="D31" s="11">
        <v>2024</v>
      </c>
      <c r="E31" s="10" t="s">
        <v>257</v>
      </c>
      <c r="F31" s="10" t="s">
        <v>125</v>
      </c>
      <c r="G31" s="10" t="s">
        <v>84</v>
      </c>
      <c r="H31" s="11">
        <v>2651</v>
      </c>
      <c r="I31" s="11">
        <v>1213</v>
      </c>
      <c r="J31" s="11">
        <v>1213</v>
      </c>
      <c r="K31" s="11">
        <v>1226</v>
      </c>
      <c r="L31" s="11">
        <v>0.45749127824747798</v>
      </c>
      <c r="M31" s="11">
        <f t="shared" si="0"/>
        <v>45.75631837042625</v>
      </c>
      <c r="N31" s="11">
        <v>1</v>
      </c>
      <c r="O31" s="11">
        <v>0.46239431750322202</v>
      </c>
      <c r="P31" s="11">
        <v>0.97466216216216195</v>
      </c>
      <c r="Q31" s="11">
        <v>1</v>
      </c>
      <c r="R31" s="11">
        <v>1</v>
      </c>
      <c r="S31" s="10" t="s">
        <v>84</v>
      </c>
      <c r="T31" s="10" t="s">
        <v>84</v>
      </c>
      <c r="U31" s="10"/>
      <c r="V31" s="10"/>
      <c r="W31" s="10"/>
      <c r="X31" s="10"/>
      <c r="Y31" s="10"/>
      <c r="Z31" s="10"/>
      <c r="AA31" s="10"/>
    </row>
    <row r="32" spans="1:27" ht="12.5" x14ac:dyDescent="0.25">
      <c r="A32" s="10" t="s">
        <v>86</v>
      </c>
      <c r="B32" s="10" t="s">
        <v>262</v>
      </c>
      <c r="C32" s="10" t="s">
        <v>76</v>
      </c>
      <c r="D32" s="11">
        <v>2024</v>
      </c>
      <c r="E32" s="10" t="s">
        <v>124</v>
      </c>
      <c r="F32" s="10" t="s">
        <v>83</v>
      </c>
      <c r="G32" s="10" t="s">
        <v>84</v>
      </c>
      <c r="H32" s="11">
        <v>11973</v>
      </c>
      <c r="I32" s="11">
        <v>5391</v>
      </c>
      <c r="J32" s="11">
        <v>5209</v>
      </c>
      <c r="K32" s="11">
        <v>44200</v>
      </c>
      <c r="L32" s="11">
        <v>0.45024742311091898</v>
      </c>
      <c r="M32" s="11">
        <f t="shared" si="0"/>
        <v>45.026309195690303</v>
      </c>
      <c r="N32" s="11">
        <v>0.96624002967909495</v>
      </c>
      <c r="O32" s="11">
        <v>3.69151105574154</v>
      </c>
      <c r="P32" s="11">
        <v>0.97381756756756799</v>
      </c>
      <c r="Q32" s="11">
        <v>0.95652173913043503</v>
      </c>
      <c r="R32" s="11">
        <v>0.95973154362416102</v>
      </c>
      <c r="S32" s="10" t="s">
        <v>84</v>
      </c>
      <c r="T32" s="10" t="s">
        <v>84</v>
      </c>
      <c r="U32" s="10"/>
      <c r="V32" s="10"/>
      <c r="W32" s="10"/>
      <c r="X32" s="10"/>
      <c r="Y32" s="10"/>
      <c r="Z32" s="10"/>
      <c r="AA32" s="10"/>
    </row>
    <row r="33" spans="1:27" ht="12.5" x14ac:dyDescent="0.25">
      <c r="A33" s="10" t="s">
        <v>29</v>
      </c>
      <c r="B33" s="10" t="s">
        <v>169</v>
      </c>
      <c r="C33" s="10" t="s">
        <v>76</v>
      </c>
      <c r="D33" s="11">
        <v>2024</v>
      </c>
      <c r="E33" s="10" t="s">
        <v>124</v>
      </c>
      <c r="F33" s="10" t="s">
        <v>83</v>
      </c>
      <c r="G33" s="10" t="s">
        <v>84</v>
      </c>
      <c r="H33" s="11">
        <v>163693</v>
      </c>
      <c r="I33" s="11">
        <v>73540</v>
      </c>
      <c r="J33" s="11">
        <v>72063</v>
      </c>
      <c r="K33" s="11">
        <v>326710</v>
      </c>
      <c r="L33" s="11">
        <v>0.44925516133334797</v>
      </c>
      <c r="M33" s="11">
        <f t="shared" si="0"/>
        <v>44.925561874973276</v>
      </c>
      <c r="N33" s="11">
        <v>0.97991569214033203</v>
      </c>
      <c r="O33" s="11">
        <v>1.9958682860921699</v>
      </c>
      <c r="P33" s="11">
        <v>0.97297297297297303</v>
      </c>
      <c r="Q33" s="11">
        <v>0.95918367346938804</v>
      </c>
      <c r="R33" s="11">
        <v>0.95749440715883705</v>
      </c>
      <c r="S33" s="10" t="s">
        <v>84</v>
      </c>
      <c r="T33" s="10" t="s">
        <v>84</v>
      </c>
      <c r="U33" s="10"/>
      <c r="V33" s="10"/>
      <c r="W33" s="10"/>
      <c r="X33" s="10"/>
      <c r="Y33" s="10"/>
      <c r="Z33" s="10"/>
      <c r="AA33" s="10"/>
    </row>
    <row r="34" spans="1:27" ht="12.5" hidden="1" x14ac:dyDescent="0.25">
      <c r="A34" s="10" t="s">
        <v>36</v>
      </c>
      <c r="B34" s="10" t="s">
        <v>275</v>
      </c>
      <c r="C34" s="10" t="s">
        <v>191</v>
      </c>
      <c r="D34" s="11">
        <v>2024</v>
      </c>
      <c r="E34" s="10" t="s">
        <v>124</v>
      </c>
      <c r="F34" s="10" t="s">
        <v>125</v>
      </c>
      <c r="G34" s="10" t="s">
        <v>84</v>
      </c>
      <c r="H34" s="12">
        <v>798.16666666666697</v>
      </c>
      <c r="I34" s="11">
        <v>354</v>
      </c>
      <c r="J34" s="11">
        <v>92</v>
      </c>
      <c r="K34" s="11">
        <v>2551</v>
      </c>
      <c r="L34" s="11">
        <v>0.44351639173105001</v>
      </c>
      <c r="M34" s="11">
        <f t="shared" si="0"/>
        <v>44.351639173105021</v>
      </c>
      <c r="N34" s="11">
        <v>0.25988700564971801</v>
      </c>
      <c r="O34" s="11">
        <v>3.1960743370223401</v>
      </c>
      <c r="P34" s="11">
        <v>0.99387254901960798</v>
      </c>
      <c r="Q34" s="11">
        <v>1</v>
      </c>
      <c r="R34" s="11">
        <v>0.99031007751938005</v>
      </c>
      <c r="S34" s="10" t="s">
        <v>84</v>
      </c>
      <c r="T34" s="10" t="s">
        <v>84</v>
      </c>
      <c r="U34" s="10"/>
      <c r="V34" s="10"/>
      <c r="W34" s="10"/>
      <c r="X34" s="10"/>
      <c r="Y34" s="10"/>
      <c r="Z34" s="10"/>
      <c r="AA34" s="10"/>
    </row>
    <row r="35" spans="1:27" ht="12.5" x14ac:dyDescent="0.25">
      <c r="A35" s="10" t="s">
        <v>13</v>
      </c>
      <c r="B35" s="10" t="s">
        <v>281</v>
      </c>
      <c r="C35" s="10" t="s">
        <v>76</v>
      </c>
      <c r="D35" s="11">
        <v>2024</v>
      </c>
      <c r="E35" s="10" t="s">
        <v>124</v>
      </c>
      <c r="F35" s="10" t="s">
        <v>125</v>
      </c>
      <c r="G35" s="10" t="s">
        <v>84</v>
      </c>
      <c r="H35" s="11">
        <v>4217</v>
      </c>
      <c r="I35" s="11">
        <v>1840</v>
      </c>
      <c r="J35" s="11">
        <v>1242</v>
      </c>
      <c r="K35" s="11">
        <v>2271</v>
      </c>
      <c r="L35" s="11">
        <v>0.43630327820261999</v>
      </c>
      <c r="M35" s="11">
        <f t="shared" si="0"/>
        <v>43.632914394119041</v>
      </c>
      <c r="N35" s="11">
        <v>0.67500000000000004</v>
      </c>
      <c r="O35" s="11">
        <v>0.53850257869464702</v>
      </c>
      <c r="P35" s="11">
        <v>0.97212837837837796</v>
      </c>
      <c r="Q35" s="11">
        <v>0.85714285714285698</v>
      </c>
      <c r="R35" s="11">
        <v>0.95525727069351196</v>
      </c>
      <c r="S35" s="10" t="s">
        <v>84</v>
      </c>
      <c r="T35" s="10" t="s">
        <v>84</v>
      </c>
      <c r="U35" s="10"/>
      <c r="V35" s="10"/>
      <c r="W35" s="10"/>
      <c r="X35" s="10"/>
      <c r="Y35" s="10"/>
      <c r="Z35" s="10"/>
      <c r="AA35" s="10"/>
    </row>
    <row r="36" spans="1:27" ht="12.5" x14ac:dyDescent="0.25">
      <c r="A36" s="10" t="s">
        <v>52</v>
      </c>
      <c r="B36" s="10" t="s">
        <v>286</v>
      </c>
      <c r="C36" s="10" t="s">
        <v>76</v>
      </c>
      <c r="D36" s="11">
        <v>2024</v>
      </c>
      <c r="E36" s="10" t="s">
        <v>124</v>
      </c>
      <c r="F36" s="10" t="s">
        <v>125</v>
      </c>
      <c r="G36" s="10" t="s">
        <v>84</v>
      </c>
      <c r="H36" s="11">
        <v>2406</v>
      </c>
      <c r="I36" s="11">
        <v>1037</v>
      </c>
      <c r="J36" s="11">
        <v>990</v>
      </c>
      <c r="K36" s="11">
        <v>4529</v>
      </c>
      <c r="L36" s="11">
        <v>0.43093119091318399</v>
      </c>
      <c r="M36" s="11">
        <f t="shared" si="0"/>
        <v>43.100581878636739</v>
      </c>
      <c r="N36" s="11">
        <v>0.95467695274831199</v>
      </c>
      <c r="O36" s="11">
        <v>1.88205145963916</v>
      </c>
      <c r="P36" s="11">
        <v>0.97128378378378399</v>
      </c>
      <c r="Q36" s="11">
        <v>0.97872340425531901</v>
      </c>
      <c r="R36" s="11">
        <v>0.95302013422818799</v>
      </c>
      <c r="S36" s="10" t="s">
        <v>84</v>
      </c>
      <c r="T36" s="10" t="s">
        <v>84</v>
      </c>
      <c r="U36" s="10"/>
      <c r="V36" s="10"/>
      <c r="W36" s="10"/>
      <c r="X36" s="10"/>
      <c r="Y36" s="10"/>
      <c r="Z36" s="10"/>
      <c r="AA36" s="10"/>
    </row>
    <row r="37" spans="1:27" ht="12.5" x14ac:dyDescent="0.25">
      <c r="A37" s="10" t="s">
        <v>52</v>
      </c>
      <c r="B37" s="10" t="s">
        <v>261</v>
      </c>
      <c r="C37" s="10" t="s">
        <v>76</v>
      </c>
      <c r="D37" s="11">
        <v>2024</v>
      </c>
      <c r="E37" s="10" t="s">
        <v>81</v>
      </c>
      <c r="F37" s="10" t="s">
        <v>83</v>
      </c>
      <c r="G37" s="10" t="s">
        <v>84</v>
      </c>
      <c r="H37" s="11">
        <v>39216</v>
      </c>
      <c r="I37" s="11">
        <v>16772</v>
      </c>
      <c r="J37" s="11">
        <v>16259</v>
      </c>
      <c r="K37" s="11">
        <v>17259</v>
      </c>
      <c r="L37" s="11">
        <v>0.427678943297436</v>
      </c>
      <c r="M37" s="11">
        <f t="shared" si="0"/>
        <v>42.768257853937172</v>
      </c>
      <c r="N37" s="11">
        <v>0.96941330789410896</v>
      </c>
      <c r="O37" s="11">
        <v>0.44009723839556603</v>
      </c>
      <c r="P37" s="11">
        <v>0.97043918918918903</v>
      </c>
      <c r="Q37" s="11">
        <v>0.95744680851063801</v>
      </c>
      <c r="R37" s="11">
        <v>0.97868217054263595</v>
      </c>
      <c r="S37" s="10" t="s">
        <v>84</v>
      </c>
      <c r="T37" s="10" t="s">
        <v>84</v>
      </c>
      <c r="U37" s="10"/>
      <c r="V37" s="10"/>
      <c r="W37" s="10"/>
      <c r="X37" s="10"/>
      <c r="Y37" s="10"/>
      <c r="Z37" s="10"/>
      <c r="AA37" s="10"/>
    </row>
    <row r="38" spans="1:27" ht="12.5" hidden="1" x14ac:dyDescent="0.25">
      <c r="A38" s="10" t="s">
        <v>14</v>
      </c>
      <c r="B38" s="10" t="s">
        <v>294</v>
      </c>
      <c r="C38" s="10" t="s">
        <v>191</v>
      </c>
      <c r="D38" s="11">
        <v>2024</v>
      </c>
      <c r="E38" s="10" t="s">
        <v>124</v>
      </c>
      <c r="F38" s="10" t="s">
        <v>125</v>
      </c>
      <c r="G38" s="10" t="s">
        <v>84</v>
      </c>
      <c r="H38" s="12">
        <v>57618</v>
      </c>
      <c r="I38" s="11">
        <v>24501</v>
      </c>
      <c r="J38" s="11">
        <v>11569</v>
      </c>
      <c r="K38" s="11">
        <v>97773</v>
      </c>
      <c r="L38" s="11">
        <v>0.42523169842757502</v>
      </c>
      <c r="M38" s="11">
        <f t="shared" si="0"/>
        <v>42.523169842757468</v>
      </c>
      <c r="N38" s="11">
        <v>0.47218480878331498</v>
      </c>
      <c r="O38" s="11">
        <v>1.6969176299073201</v>
      </c>
      <c r="P38" s="11">
        <v>0.99264705882352999</v>
      </c>
      <c r="Q38" s="11">
        <v>1</v>
      </c>
      <c r="R38" s="11">
        <v>0.98837209302325602</v>
      </c>
      <c r="S38" s="10" t="s">
        <v>84</v>
      </c>
      <c r="T38" s="10" t="s">
        <v>84</v>
      </c>
      <c r="U38" s="10"/>
      <c r="V38" s="10"/>
      <c r="W38" s="10"/>
      <c r="X38" s="10"/>
      <c r="Y38" s="10"/>
      <c r="Z38" s="10"/>
      <c r="AA38" s="10"/>
    </row>
    <row r="39" spans="1:27" ht="12.5" hidden="1" x14ac:dyDescent="0.25">
      <c r="A39" s="10" t="s">
        <v>14</v>
      </c>
      <c r="B39" s="10" t="s">
        <v>304</v>
      </c>
      <c r="C39" s="10" t="s">
        <v>191</v>
      </c>
      <c r="D39" s="11">
        <v>2024</v>
      </c>
      <c r="E39" s="10" t="s">
        <v>124</v>
      </c>
      <c r="F39" s="10" t="s">
        <v>125</v>
      </c>
      <c r="G39" s="10" t="s">
        <v>84</v>
      </c>
      <c r="H39" s="12">
        <v>256.66666666666703</v>
      </c>
      <c r="I39" s="11">
        <v>108</v>
      </c>
      <c r="J39" s="11">
        <v>95</v>
      </c>
      <c r="K39" s="11">
        <v>0</v>
      </c>
      <c r="L39" s="11">
        <v>0.42077922077922097</v>
      </c>
      <c r="M39" s="11">
        <f t="shared" si="0"/>
        <v>42.077922077922018</v>
      </c>
      <c r="N39" s="11">
        <v>0.87962962962962998</v>
      </c>
      <c r="O39" s="11">
        <v>0</v>
      </c>
      <c r="P39" s="11">
        <v>0.99142156862745101</v>
      </c>
      <c r="Q39" s="11">
        <v>0.97872340425531901</v>
      </c>
      <c r="R39" s="11">
        <v>0.98643410852713198</v>
      </c>
      <c r="S39" s="10" t="s">
        <v>84</v>
      </c>
      <c r="T39" s="10" t="s">
        <v>84</v>
      </c>
      <c r="U39" s="10"/>
      <c r="V39" s="10"/>
      <c r="W39" s="10"/>
      <c r="X39" s="10"/>
      <c r="Y39" s="10"/>
      <c r="Z39" s="10"/>
      <c r="AA39" s="10"/>
    </row>
    <row r="40" spans="1:27" ht="12.5" hidden="1" x14ac:dyDescent="0.25">
      <c r="A40" s="10" t="s">
        <v>19</v>
      </c>
      <c r="B40" s="10" t="s">
        <v>309</v>
      </c>
      <c r="C40" s="10" t="s">
        <v>191</v>
      </c>
      <c r="D40" s="11">
        <v>2024</v>
      </c>
      <c r="E40" s="10" t="s">
        <v>124</v>
      </c>
      <c r="F40" s="10" t="s">
        <v>125</v>
      </c>
      <c r="G40" s="10" t="s">
        <v>84</v>
      </c>
      <c r="H40" s="12">
        <v>763</v>
      </c>
      <c r="I40" s="11">
        <v>321</v>
      </c>
      <c r="J40" s="11">
        <v>279</v>
      </c>
      <c r="K40" s="11">
        <v>461</v>
      </c>
      <c r="L40" s="11">
        <v>0.42070773263433803</v>
      </c>
      <c r="M40" s="11">
        <f t="shared" si="0"/>
        <v>42.070773263433814</v>
      </c>
      <c r="N40" s="11">
        <v>0.86915887850467299</v>
      </c>
      <c r="O40" s="11">
        <v>0.60419397116644802</v>
      </c>
      <c r="P40" s="11">
        <v>0.99019607843137303</v>
      </c>
      <c r="Q40" s="11">
        <v>1</v>
      </c>
      <c r="R40" s="11">
        <v>0.98449612403100795</v>
      </c>
      <c r="S40" s="10" t="s">
        <v>84</v>
      </c>
      <c r="T40" s="10" t="s">
        <v>84</v>
      </c>
      <c r="U40" s="10"/>
      <c r="V40" s="10"/>
      <c r="W40" s="10"/>
      <c r="X40" s="10"/>
      <c r="Y40" s="10"/>
      <c r="Z40" s="10"/>
      <c r="AA40" s="10"/>
    </row>
    <row r="41" spans="1:27" ht="12.5" hidden="1" x14ac:dyDescent="0.25">
      <c r="A41" s="10" t="s">
        <v>58</v>
      </c>
      <c r="B41" s="10" t="s">
        <v>317</v>
      </c>
      <c r="C41" s="10" t="s">
        <v>191</v>
      </c>
      <c r="D41" s="11">
        <v>2024</v>
      </c>
      <c r="E41" s="10" t="s">
        <v>124</v>
      </c>
      <c r="F41" s="10" t="s">
        <v>125</v>
      </c>
      <c r="G41" s="10" t="s">
        <v>84</v>
      </c>
      <c r="H41" s="12">
        <v>251</v>
      </c>
      <c r="I41" s="11">
        <v>105</v>
      </c>
      <c r="J41" s="11">
        <v>105</v>
      </c>
      <c r="K41" s="11">
        <v>213</v>
      </c>
      <c r="L41" s="11">
        <v>0.41832669322709198</v>
      </c>
      <c r="M41" s="11">
        <f t="shared" si="0"/>
        <v>41.832669322709165</v>
      </c>
      <c r="N41" s="11">
        <v>1</v>
      </c>
      <c r="O41" s="11">
        <v>0.84860557768924305</v>
      </c>
      <c r="P41" s="11">
        <v>0.98897058823529405</v>
      </c>
      <c r="Q41" s="11">
        <v>1</v>
      </c>
      <c r="R41" s="11">
        <v>0.98255813953488402</v>
      </c>
      <c r="S41" s="10" t="s">
        <v>84</v>
      </c>
      <c r="T41" s="10" t="s">
        <v>84</v>
      </c>
      <c r="U41" s="10"/>
      <c r="V41" s="10"/>
      <c r="W41" s="10"/>
      <c r="X41" s="10"/>
      <c r="Y41" s="10"/>
      <c r="Z41" s="10"/>
      <c r="AA41" s="10"/>
    </row>
    <row r="42" spans="1:27" ht="12.5" x14ac:dyDescent="0.25">
      <c r="A42" s="10" t="s">
        <v>86</v>
      </c>
      <c r="B42" s="10" t="s">
        <v>290</v>
      </c>
      <c r="C42" s="10" t="s">
        <v>76</v>
      </c>
      <c r="D42" s="11">
        <v>2024</v>
      </c>
      <c r="E42" s="10" t="s">
        <v>124</v>
      </c>
      <c r="F42" s="10" t="s">
        <v>83</v>
      </c>
      <c r="G42" s="10" t="s">
        <v>84</v>
      </c>
      <c r="H42" s="11">
        <v>75987</v>
      </c>
      <c r="I42" s="11">
        <v>31585</v>
      </c>
      <c r="J42" s="11">
        <v>27688</v>
      </c>
      <c r="K42" s="11">
        <v>40428</v>
      </c>
      <c r="L42" s="11">
        <v>0.415664573099915</v>
      </c>
      <c r="M42" s="11">
        <f t="shared" si="0"/>
        <v>41.566320554831748</v>
      </c>
      <c r="N42" s="11">
        <v>0.87661864809244905</v>
      </c>
      <c r="O42" s="11">
        <v>0.53204012541660195</v>
      </c>
      <c r="P42" s="11">
        <v>0.96959459459459496</v>
      </c>
      <c r="Q42" s="11">
        <v>0.934782608695652</v>
      </c>
      <c r="R42" s="11">
        <v>0.95078299776286401</v>
      </c>
      <c r="S42" s="10" t="s">
        <v>84</v>
      </c>
      <c r="T42" s="10" t="s">
        <v>84</v>
      </c>
      <c r="U42" s="10"/>
      <c r="V42" s="10"/>
      <c r="W42" s="10"/>
      <c r="X42" s="10"/>
      <c r="Y42" s="10"/>
      <c r="Z42" s="10"/>
      <c r="AA42" s="10"/>
    </row>
    <row r="43" spans="1:27" ht="12.5" x14ac:dyDescent="0.25">
      <c r="A43" s="10" t="s">
        <v>26</v>
      </c>
      <c r="B43" s="10" t="s">
        <v>295</v>
      </c>
      <c r="C43" s="10" t="s">
        <v>76</v>
      </c>
      <c r="D43" s="11">
        <v>2024</v>
      </c>
      <c r="E43" s="10" t="s">
        <v>124</v>
      </c>
      <c r="F43" s="10" t="s">
        <v>83</v>
      </c>
      <c r="G43" s="10" t="s">
        <v>84</v>
      </c>
      <c r="H43" s="11">
        <v>35587</v>
      </c>
      <c r="I43" s="11">
        <v>14584</v>
      </c>
      <c r="J43" s="11">
        <v>14171</v>
      </c>
      <c r="K43" s="11">
        <v>0</v>
      </c>
      <c r="L43" s="11">
        <v>0.40981353165840401</v>
      </c>
      <c r="M43" s="11">
        <f t="shared" si="0"/>
        <v>40.981257200663165</v>
      </c>
      <c r="N43" s="11">
        <v>0.97168129456939101</v>
      </c>
      <c r="O43" s="11">
        <v>0</v>
      </c>
      <c r="P43" s="11">
        <v>0.96875</v>
      </c>
      <c r="Q43" s="11">
        <v>0.96153846153846201</v>
      </c>
      <c r="R43" s="11">
        <v>0.94854586129753904</v>
      </c>
      <c r="S43" s="10" t="s">
        <v>84</v>
      </c>
      <c r="T43" s="10" t="s">
        <v>84</v>
      </c>
      <c r="U43" s="10"/>
      <c r="V43" s="10"/>
      <c r="W43" s="10"/>
      <c r="X43" s="10"/>
      <c r="Y43" s="10"/>
      <c r="Z43" s="10"/>
      <c r="AA43" s="10"/>
    </row>
    <row r="44" spans="1:27" ht="12.5" x14ac:dyDescent="0.25">
      <c r="A44" s="10" t="s">
        <v>36</v>
      </c>
      <c r="B44" s="10" t="s">
        <v>302</v>
      </c>
      <c r="C44" s="10" t="s">
        <v>76</v>
      </c>
      <c r="D44" s="11">
        <v>2024</v>
      </c>
      <c r="E44" s="10" t="s">
        <v>124</v>
      </c>
      <c r="F44" s="10" t="s">
        <v>83</v>
      </c>
      <c r="G44" s="10" t="s">
        <v>84</v>
      </c>
      <c r="H44" s="11">
        <v>13594</v>
      </c>
      <c r="I44" s="11">
        <v>5484</v>
      </c>
      <c r="J44" s="11">
        <v>3716</v>
      </c>
      <c r="K44" s="11">
        <v>44426</v>
      </c>
      <c r="L44" s="11">
        <v>0.40342068965517203</v>
      </c>
      <c r="M44" s="11">
        <f t="shared" si="0"/>
        <v>40.341327056054141</v>
      </c>
      <c r="N44" s="11">
        <v>0.67760758570386603</v>
      </c>
      <c r="O44" s="11">
        <v>3.2681195402298902</v>
      </c>
      <c r="P44" s="11">
        <v>0.96790540540540504</v>
      </c>
      <c r="Q44" s="11">
        <v>0.91489361702127703</v>
      </c>
      <c r="R44" s="11">
        <v>0.94630872483221495</v>
      </c>
      <c r="S44" s="10" t="s">
        <v>84</v>
      </c>
      <c r="T44" s="10" t="s">
        <v>84</v>
      </c>
      <c r="U44" s="10"/>
      <c r="V44" s="10"/>
      <c r="W44" s="10"/>
      <c r="X44" s="10"/>
      <c r="Y44" s="10"/>
      <c r="Z44" s="10"/>
      <c r="AA44" s="10"/>
    </row>
    <row r="45" spans="1:27" ht="12.5" hidden="1" x14ac:dyDescent="0.25">
      <c r="A45" s="10" t="s">
        <v>36</v>
      </c>
      <c r="B45" s="10" t="s">
        <v>341</v>
      </c>
      <c r="C45" s="10" t="s">
        <v>191</v>
      </c>
      <c r="D45" s="11">
        <v>2024</v>
      </c>
      <c r="E45" s="10" t="s">
        <v>124</v>
      </c>
      <c r="F45" s="10" t="s">
        <v>125</v>
      </c>
      <c r="G45" s="10" t="s">
        <v>84</v>
      </c>
      <c r="H45" s="12">
        <v>107</v>
      </c>
      <c r="I45" s="11">
        <v>43</v>
      </c>
      <c r="J45" s="11">
        <v>42</v>
      </c>
      <c r="K45" s="11">
        <v>43</v>
      </c>
      <c r="L45" s="11">
        <v>0.401869158878505</v>
      </c>
      <c r="M45" s="11">
        <f t="shared" si="0"/>
        <v>40.186915887850468</v>
      </c>
      <c r="N45" s="11">
        <v>0.97674418604651203</v>
      </c>
      <c r="O45" s="11">
        <v>0.401869158878505</v>
      </c>
      <c r="P45" s="11">
        <v>0.98774509803921595</v>
      </c>
      <c r="Q45" s="11">
        <v>0.97499999999999998</v>
      </c>
      <c r="R45" s="11">
        <v>0.98062015503875999</v>
      </c>
      <c r="S45" s="10" t="s">
        <v>84</v>
      </c>
      <c r="T45" s="10" t="s">
        <v>84</v>
      </c>
      <c r="U45" s="10"/>
      <c r="V45" s="10"/>
      <c r="W45" s="10"/>
      <c r="X45" s="10"/>
      <c r="Y45" s="10"/>
      <c r="Z45" s="10"/>
      <c r="AA45" s="10"/>
    </row>
    <row r="46" spans="1:27" ht="12.5" x14ac:dyDescent="0.25">
      <c r="A46" s="10" t="s">
        <v>13</v>
      </c>
      <c r="B46" s="10" t="s">
        <v>307</v>
      </c>
      <c r="C46" s="10" t="s">
        <v>76</v>
      </c>
      <c r="D46" s="11">
        <v>2024</v>
      </c>
      <c r="E46" s="10" t="s">
        <v>124</v>
      </c>
      <c r="F46" s="10" t="s">
        <v>83</v>
      </c>
      <c r="G46" s="10" t="s">
        <v>84</v>
      </c>
      <c r="H46" s="11">
        <v>21484</v>
      </c>
      <c r="I46" s="11">
        <v>8609</v>
      </c>
      <c r="J46" s="11">
        <v>7979</v>
      </c>
      <c r="K46" s="11">
        <v>0</v>
      </c>
      <c r="L46" s="11">
        <v>0.40072147553383403</v>
      </c>
      <c r="M46" s="11">
        <f t="shared" si="0"/>
        <v>40.071681251163653</v>
      </c>
      <c r="N46" s="11">
        <v>0.92682076896271304</v>
      </c>
      <c r="O46" s="11">
        <v>0</v>
      </c>
      <c r="P46" s="11">
        <v>0.96706081081081097</v>
      </c>
      <c r="Q46" s="11">
        <v>0.80952380952380998</v>
      </c>
      <c r="R46" s="11">
        <v>0.94407158836688998</v>
      </c>
      <c r="S46" s="10" t="s">
        <v>84</v>
      </c>
      <c r="T46" s="10" t="s">
        <v>84</v>
      </c>
      <c r="U46" s="10"/>
      <c r="V46" s="10"/>
      <c r="W46" s="10"/>
      <c r="X46" s="10"/>
      <c r="Y46" s="10"/>
      <c r="Z46" s="10"/>
      <c r="AA46" s="10"/>
    </row>
    <row r="47" spans="1:27" ht="12.5" x14ac:dyDescent="0.25">
      <c r="A47" s="10" t="s">
        <v>29</v>
      </c>
      <c r="B47" s="10" t="s">
        <v>267</v>
      </c>
      <c r="C47" s="10" t="s">
        <v>76</v>
      </c>
      <c r="D47" s="11">
        <v>2024</v>
      </c>
      <c r="E47" s="10" t="s">
        <v>81</v>
      </c>
      <c r="F47" s="10" t="s">
        <v>83</v>
      </c>
      <c r="G47" s="10" t="s">
        <v>84</v>
      </c>
      <c r="H47" s="11">
        <v>43954</v>
      </c>
      <c r="I47" s="11">
        <v>17597</v>
      </c>
      <c r="J47" s="11">
        <v>15116</v>
      </c>
      <c r="K47" s="11">
        <v>60042</v>
      </c>
      <c r="L47" s="11">
        <v>0.40034657116368699</v>
      </c>
      <c r="M47" s="11">
        <f t="shared" si="0"/>
        <v>40.035036629203255</v>
      </c>
      <c r="N47" s="11">
        <v>0.85901005853270396</v>
      </c>
      <c r="O47" s="11">
        <v>1.3660060706830801</v>
      </c>
      <c r="P47" s="11">
        <v>0.96621621621621601</v>
      </c>
      <c r="Q47" s="11">
        <v>0.93877551020408201</v>
      </c>
      <c r="R47" s="11">
        <v>0.97674418604651203</v>
      </c>
      <c r="S47" s="10" t="s">
        <v>84</v>
      </c>
      <c r="T47" s="10" t="s">
        <v>84</v>
      </c>
      <c r="U47" s="10"/>
      <c r="V47" s="10"/>
      <c r="W47" s="10"/>
      <c r="X47" s="10"/>
      <c r="Y47" s="10"/>
      <c r="Z47" s="10"/>
      <c r="AA47" s="10"/>
    </row>
    <row r="48" spans="1:27" ht="12.5" hidden="1" x14ac:dyDescent="0.25">
      <c r="A48" s="10" t="s">
        <v>13</v>
      </c>
      <c r="B48" s="10" t="s">
        <v>359</v>
      </c>
      <c r="C48" s="10" t="s">
        <v>191</v>
      </c>
      <c r="D48" s="11">
        <v>2024</v>
      </c>
      <c r="E48" s="10" t="s">
        <v>124</v>
      </c>
      <c r="F48" s="10" t="s">
        <v>125</v>
      </c>
      <c r="G48" s="10" t="s">
        <v>84</v>
      </c>
      <c r="H48" s="12">
        <v>400.91666666666703</v>
      </c>
      <c r="I48" s="11">
        <v>154</v>
      </c>
      <c r="J48" s="11">
        <v>154</v>
      </c>
      <c r="K48" s="11">
        <v>155</v>
      </c>
      <c r="L48" s="11">
        <v>0.38411972562876701</v>
      </c>
      <c r="M48" s="11">
        <f t="shared" si="0"/>
        <v>38.411972562876706</v>
      </c>
      <c r="N48" s="11">
        <v>1</v>
      </c>
      <c r="O48" s="11">
        <v>0.386614009561422</v>
      </c>
      <c r="P48" s="11">
        <v>0.98651960784313697</v>
      </c>
      <c r="Q48" s="11">
        <v>0.98275862068965503</v>
      </c>
      <c r="R48" s="11">
        <v>0.97868217054263595</v>
      </c>
      <c r="S48" s="10" t="s">
        <v>84</v>
      </c>
      <c r="T48" s="10" t="s">
        <v>84</v>
      </c>
      <c r="U48" s="10"/>
      <c r="V48" s="10"/>
      <c r="W48" s="10"/>
      <c r="X48" s="10"/>
      <c r="Y48" s="10"/>
      <c r="Z48" s="10"/>
      <c r="AA48" s="10"/>
    </row>
    <row r="49" spans="1:27" ht="12.5" hidden="1" x14ac:dyDescent="0.25">
      <c r="A49" s="10" t="s">
        <v>19</v>
      </c>
      <c r="B49" s="10" t="s">
        <v>363</v>
      </c>
      <c r="C49" s="10" t="s">
        <v>191</v>
      </c>
      <c r="D49" s="11">
        <v>2024</v>
      </c>
      <c r="E49" s="10" t="s">
        <v>124</v>
      </c>
      <c r="F49" s="10" t="s">
        <v>125</v>
      </c>
      <c r="G49" s="10" t="s">
        <v>84</v>
      </c>
      <c r="H49" s="12">
        <v>495.08333333333297</v>
      </c>
      <c r="I49" s="11">
        <v>186</v>
      </c>
      <c r="J49" s="11">
        <v>148</v>
      </c>
      <c r="K49" s="11">
        <v>635</v>
      </c>
      <c r="L49" s="11">
        <v>0.375694327554284</v>
      </c>
      <c r="M49" s="11">
        <f t="shared" si="0"/>
        <v>37.569432755428409</v>
      </c>
      <c r="N49" s="11">
        <v>0.79569892473118298</v>
      </c>
      <c r="O49" s="11">
        <v>1.28261235482242</v>
      </c>
      <c r="P49" s="11">
        <v>0.98529411764705899</v>
      </c>
      <c r="Q49" s="11">
        <v>0.90909090909090895</v>
      </c>
      <c r="R49" s="11">
        <v>0.97674418604651203</v>
      </c>
      <c r="S49" s="10" t="s">
        <v>84</v>
      </c>
      <c r="T49" s="10" t="s">
        <v>84</v>
      </c>
      <c r="U49" s="10"/>
      <c r="V49" s="10"/>
      <c r="W49" s="10"/>
      <c r="X49" s="10"/>
      <c r="Y49" s="10"/>
      <c r="Z49" s="10"/>
      <c r="AA49" s="10"/>
    </row>
    <row r="50" spans="1:27" ht="12.5" hidden="1" x14ac:dyDescent="0.25">
      <c r="A50" s="10" t="s">
        <v>52</v>
      </c>
      <c r="B50" s="10" t="s">
        <v>367</v>
      </c>
      <c r="C50" s="10" t="s">
        <v>191</v>
      </c>
      <c r="D50" s="11">
        <v>2024</v>
      </c>
      <c r="E50" s="10" t="s">
        <v>124</v>
      </c>
      <c r="F50" s="10" t="s">
        <v>125</v>
      </c>
      <c r="G50" s="10" t="s">
        <v>84</v>
      </c>
      <c r="H50" s="12">
        <v>696.58333333333303</v>
      </c>
      <c r="I50" s="11">
        <v>259</v>
      </c>
      <c r="J50" s="11">
        <v>251</v>
      </c>
      <c r="K50" s="11">
        <v>1030</v>
      </c>
      <c r="L50" s="11">
        <v>0.37181481038401698</v>
      </c>
      <c r="M50" s="11">
        <f t="shared" si="0"/>
        <v>37.181481038401735</v>
      </c>
      <c r="N50" s="11">
        <v>0.96911196911196895</v>
      </c>
      <c r="O50" s="11">
        <v>1.4786457710252401</v>
      </c>
      <c r="P50" s="11">
        <v>0.98406862745098</v>
      </c>
      <c r="Q50" s="11">
        <v>1</v>
      </c>
      <c r="R50" s="11">
        <v>0.974806201550388</v>
      </c>
      <c r="S50" s="10" t="s">
        <v>84</v>
      </c>
      <c r="T50" s="10" t="s">
        <v>84</v>
      </c>
      <c r="U50" s="10"/>
      <c r="V50" s="10"/>
      <c r="W50" s="10"/>
      <c r="X50" s="10"/>
      <c r="Y50" s="10"/>
      <c r="Z50" s="10"/>
      <c r="AA50" s="10"/>
    </row>
    <row r="51" spans="1:27" ht="12.5" x14ac:dyDescent="0.25">
      <c r="A51" s="10" t="s">
        <v>26</v>
      </c>
      <c r="B51" s="10" t="s">
        <v>313</v>
      </c>
      <c r="C51" s="10" t="s">
        <v>76</v>
      </c>
      <c r="D51" s="11">
        <v>2024</v>
      </c>
      <c r="E51" s="10" t="s">
        <v>124</v>
      </c>
      <c r="F51" s="10" t="s">
        <v>83</v>
      </c>
      <c r="G51" s="10" t="s">
        <v>84</v>
      </c>
      <c r="H51" s="11">
        <v>10199</v>
      </c>
      <c r="I51" s="11">
        <v>3750</v>
      </c>
      <c r="J51" s="11">
        <v>3520</v>
      </c>
      <c r="K51" s="11">
        <v>2618</v>
      </c>
      <c r="L51" s="11">
        <v>0.36770113251948799</v>
      </c>
      <c r="M51" s="11">
        <f t="shared" si="0"/>
        <v>36.768310618688105</v>
      </c>
      <c r="N51" s="11">
        <v>0.93866666666666698</v>
      </c>
      <c r="O51" s="11">
        <v>0.25670441731627203</v>
      </c>
      <c r="P51" s="11">
        <v>0.96452702702702697</v>
      </c>
      <c r="Q51" s="11">
        <v>0.92307692307692302</v>
      </c>
      <c r="R51" s="11">
        <v>0.94183445190156601</v>
      </c>
      <c r="S51" s="10" t="s">
        <v>84</v>
      </c>
      <c r="T51" s="10" t="s">
        <v>84</v>
      </c>
      <c r="U51" s="10"/>
      <c r="V51" s="10"/>
      <c r="W51" s="10"/>
      <c r="X51" s="10"/>
      <c r="Y51" s="10"/>
      <c r="Z51" s="10"/>
      <c r="AA51" s="10"/>
    </row>
    <row r="52" spans="1:27" ht="12.5" x14ac:dyDescent="0.25">
      <c r="A52" s="10" t="s">
        <v>36</v>
      </c>
      <c r="B52" s="10" t="s">
        <v>318</v>
      </c>
      <c r="C52" s="10" t="s">
        <v>76</v>
      </c>
      <c r="D52" s="11">
        <v>2024</v>
      </c>
      <c r="E52" s="10" t="s">
        <v>124</v>
      </c>
      <c r="F52" s="10" t="s">
        <v>83</v>
      </c>
      <c r="G52" s="10" t="s">
        <v>84</v>
      </c>
      <c r="H52" s="11">
        <v>19411</v>
      </c>
      <c r="I52" s="11">
        <v>7103</v>
      </c>
      <c r="J52" s="11">
        <v>6889</v>
      </c>
      <c r="K52" s="11">
        <v>20503</v>
      </c>
      <c r="L52" s="11">
        <v>0.36592967844416802</v>
      </c>
      <c r="M52" s="11">
        <f t="shared" si="0"/>
        <v>36.592653649992272</v>
      </c>
      <c r="N52" s="11">
        <v>0.96987188511896405</v>
      </c>
      <c r="O52" s="11">
        <v>1.05626583093633</v>
      </c>
      <c r="P52" s="11">
        <v>0.96368243243243201</v>
      </c>
      <c r="Q52" s="11">
        <v>0.89361702127659604</v>
      </c>
      <c r="R52" s="11">
        <v>0.93959731543624203</v>
      </c>
      <c r="S52" s="10" t="s">
        <v>84</v>
      </c>
      <c r="T52" s="10" t="s">
        <v>84</v>
      </c>
      <c r="U52" s="10"/>
      <c r="V52" s="10"/>
      <c r="W52" s="10"/>
      <c r="X52" s="10"/>
      <c r="Y52" s="10"/>
      <c r="Z52" s="10"/>
      <c r="AA52" s="10"/>
    </row>
    <row r="53" spans="1:27" ht="12.5" x14ac:dyDescent="0.25">
      <c r="A53" s="10" t="s">
        <v>16</v>
      </c>
      <c r="B53" s="10" t="s">
        <v>321</v>
      </c>
      <c r="C53" s="10" t="s">
        <v>76</v>
      </c>
      <c r="D53" s="11">
        <v>2024</v>
      </c>
      <c r="E53" s="10" t="s">
        <v>124</v>
      </c>
      <c r="F53" s="10" t="s">
        <v>83</v>
      </c>
      <c r="G53" s="10" t="s">
        <v>84</v>
      </c>
      <c r="H53" s="11">
        <v>11196</v>
      </c>
      <c r="I53" s="11">
        <v>4001</v>
      </c>
      <c r="J53" s="11">
        <v>3695</v>
      </c>
      <c r="K53" s="11">
        <v>4080</v>
      </c>
      <c r="L53" s="11">
        <v>0.357354451672447</v>
      </c>
      <c r="M53" s="11">
        <f t="shared" si="0"/>
        <v>35.735977134690962</v>
      </c>
      <c r="N53" s="11">
        <v>0.92351912021994498</v>
      </c>
      <c r="O53" s="11">
        <v>0.36441043809637202</v>
      </c>
      <c r="P53" s="11">
        <v>0.96283783783783805</v>
      </c>
      <c r="Q53" s="11">
        <v>0.96666666666666701</v>
      </c>
      <c r="R53" s="11">
        <v>0.93736017897091695</v>
      </c>
      <c r="S53" s="10" t="s">
        <v>84</v>
      </c>
      <c r="T53" s="10" t="s">
        <v>84</v>
      </c>
      <c r="U53" s="10"/>
      <c r="V53" s="10"/>
      <c r="W53" s="10"/>
      <c r="X53" s="10"/>
      <c r="Y53" s="10"/>
      <c r="Z53" s="10"/>
      <c r="AA53" s="10"/>
    </row>
    <row r="54" spans="1:27" ht="12.5" x14ac:dyDescent="0.25">
      <c r="A54" s="10" t="s">
        <v>86</v>
      </c>
      <c r="B54" s="10" t="s">
        <v>328</v>
      </c>
      <c r="C54" s="10" t="s">
        <v>76</v>
      </c>
      <c r="D54" s="11">
        <v>2024</v>
      </c>
      <c r="E54" s="10" t="s">
        <v>124</v>
      </c>
      <c r="F54" s="10" t="s">
        <v>83</v>
      </c>
      <c r="G54" s="10" t="s">
        <v>84</v>
      </c>
      <c r="H54" s="11">
        <v>27008</v>
      </c>
      <c r="I54" s="11">
        <v>9598</v>
      </c>
      <c r="J54" s="11">
        <v>9420</v>
      </c>
      <c r="K54" s="11">
        <v>144990</v>
      </c>
      <c r="L54" s="11">
        <v>0.35537947441012302</v>
      </c>
      <c r="M54" s="11">
        <f t="shared" si="0"/>
        <v>35.537618483412317</v>
      </c>
      <c r="N54" s="11">
        <v>0.98145446968118399</v>
      </c>
      <c r="O54" s="11">
        <v>5.3684590534198504</v>
      </c>
      <c r="P54" s="11">
        <v>0.96114864864864902</v>
      </c>
      <c r="Q54" s="11">
        <v>0.91304347826086996</v>
      </c>
      <c r="R54" s="11">
        <v>0.93512304250559297</v>
      </c>
      <c r="S54" s="10" t="s">
        <v>84</v>
      </c>
      <c r="T54" s="10" t="s">
        <v>84</v>
      </c>
      <c r="U54" s="10"/>
      <c r="V54" s="10"/>
      <c r="W54" s="10"/>
      <c r="X54" s="10"/>
      <c r="Y54" s="10"/>
      <c r="Z54" s="10"/>
      <c r="AA54" s="10"/>
    </row>
    <row r="55" spans="1:27" ht="12.5" x14ac:dyDescent="0.25">
      <c r="A55" s="10" t="s">
        <v>104</v>
      </c>
      <c r="B55" s="10" t="s">
        <v>332</v>
      </c>
      <c r="C55" s="10" t="s">
        <v>76</v>
      </c>
      <c r="D55" s="11">
        <v>2024</v>
      </c>
      <c r="E55" s="10" t="s">
        <v>124</v>
      </c>
      <c r="F55" s="10" t="s">
        <v>83</v>
      </c>
      <c r="G55" s="10" t="s">
        <v>84</v>
      </c>
      <c r="H55" s="11">
        <v>16970</v>
      </c>
      <c r="I55" s="11">
        <v>5906</v>
      </c>
      <c r="J55" s="11">
        <v>5690</v>
      </c>
      <c r="K55" s="11">
        <v>29103</v>
      </c>
      <c r="L55" s="11">
        <v>0.34802763714219798</v>
      </c>
      <c r="M55" s="11">
        <f t="shared" si="0"/>
        <v>34.802592810842661</v>
      </c>
      <c r="N55" s="11">
        <v>0.963427023366068</v>
      </c>
      <c r="O55" s="11">
        <v>1.71497601147128</v>
      </c>
      <c r="P55" s="11">
        <v>0.96030405405405395</v>
      </c>
      <c r="Q55" s="11">
        <v>1</v>
      </c>
      <c r="R55" s="11">
        <v>0.932885906040268</v>
      </c>
      <c r="S55" s="10" t="s">
        <v>84</v>
      </c>
      <c r="T55" s="10" t="s">
        <v>84</v>
      </c>
      <c r="U55" s="10"/>
      <c r="V55" s="10"/>
      <c r="W55" s="10"/>
      <c r="X55" s="10"/>
      <c r="Y55" s="10"/>
      <c r="Z55" s="10"/>
      <c r="AA55" s="10"/>
    </row>
    <row r="56" spans="1:27" ht="12.5" x14ac:dyDescent="0.25">
      <c r="A56" s="10" t="s">
        <v>19</v>
      </c>
      <c r="B56" s="10" t="s">
        <v>272</v>
      </c>
      <c r="C56" s="10" t="s">
        <v>76</v>
      </c>
      <c r="D56" s="11">
        <v>2024</v>
      </c>
      <c r="E56" s="10" t="s">
        <v>81</v>
      </c>
      <c r="F56" s="10" t="s">
        <v>83</v>
      </c>
      <c r="G56" s="10" t="s">
        <v>84</v>
      </c>
      <c r="H56" s="11">
        <v>21521</v>
      </c>
      <c r="I56" s="11">
        <v>7458</v>
      </c>
      <c r="J56" s="11">
        <v>6506</v>
      </c>
      <c r="K56" s="11">
        <v>40423</v>
      </c>
      <c r="L56" s="11">
        <v>0.346541209269908</v>
      </c>
      <c r="M56" s="11">
        <f t="shared" si="0"/>
        <v>34.65452348868547</v>
      </c>
      <c r="N56" s="11">
        <v>0.87235183695360696</v>
      </c>
      <c r="O56" s="11">
        <v>1.8782830922925</v>
      </c>
      <c r="P56" s="11">
        <v>0.95945945945945899</v>
      </c>
      <c r="Q56" s="11">
        <v>1</v>
      </c>
      <c r="R56" s="11">
        <v>0.974806201550388</v>
      </c>
      <c r="S56" s="10" t="s">
        <v>84</v>
      </c>
      <c r="T56" s="10" t="s">
        <v>84</v>
      </c>
      <c r="U56" s="10"/>
      <c r="V56" s="10"/>
      <c r="W56" s="10"/>
      <c r="X56" s="10"/>
      <c r="Y56" s="10"/>
      <c r="Z56" s="10"/>
      <c r="AA56" s="10"/>
    </row>
    <row r="57" spans="1:27" ht="12.5" x14ac:dyDescent="0.25">
      <c r="A57" s="10" t="s">
        <v>10</v>
      </c>
      <c r="B57" s="10" t="s">
        <v>279</v>
      </c>
      <c r="C57" s="10" t="s">
        <v>76</v>
      </c>
      <c r="D57" s="11">
        <v>2024</v>
      </c>
      <c r="E57" s="10" t="s">
        <v>81</v>
      </c>
      <c r="F57" s="10" t="s">
        <v>83</v>
      </c>
      <c r="G57" s="10" t="s">
        <v>84</v>
      </c>
      <c r="H57" s="11">
        <v>19552</v>
      </c>
      <c r="I57" s="11">
        <v>6737</v>
      </c>
      <c r="J57" s="11">
        <v>6435</v>
      </c>
      <c r="K57" s="11">
        <v>300</v>
      </c>
      <c r="L57" s="11">
        <v>0.344566862013852</v>
      </c>
      <c r="M57" s="11">
        <f t="shared" si="0"/>
        <v>34.456833060556463</v>
      </c>
      <c r="N57" s="11">
        <v>0.95517292563455503</v>
      </c>
      <c r="O57" s="11">
        <v>1.53436334576452E-2</v>
      </c>
      <c r="P57" s="11">
        <v>0.95861486486486502</v>
      </c>
      <c r="Q57" s="11">
        <v>0.93333333333333302</v>
      </c>
      <c r="R57" s="11">
        <v>0.97286821705426396</v>
      </c>
      <c r="S57" s="10" t="s">
        <v>84</v>
      </c>
      <c r="T57" s="10" t="s">
        <v>84</v>
      </c>
      <c r="U57" s="10"/>
      <c r="V57" s="10"/>
      <c r="W57" s="10"/>
      <c r="X57" s="10"/>
      <c r="Y57" s="10"/>
      <c r="Z57" s="10"/>
      <c r="AA57" s="10"/>
    </row>
    <row r="58" spans="1:27" ht="12.5" x14ac:dyDescent="0.25">
      <c r="A58" s="10" t="s">
        <v>6</v>
      </c>
      <c r="B58" s="10" t="s">
        <v>284</v>
      </c>
      <c r="C58" s="10" t="s">
        <v>76</v>
      </c>
      <c r="D58" s="11">
        <v>2024</v>
      </c>
      <c r="E58" s="10" t="s">
        <v>81</v>
      </c>
      <c r="F58" s="10" t="s">
        <v>83</v>
      </c>
      <c r="G58" s="10" t="s">
        <v>84</v>
      </c>
      <c r="H58" s="11">
        <v>44</v>
      </c>
      <c r="I58" s="11">
        <v>15</v>
      </c>
      <c r="J58" s="11">
        <v>14</v>
      </c>
      <c r="K58" s="11">
        <v>44</v>
      </c>
      <c r="L58" s="11">
        <v>0.34090909090909099</v>
      </c>
      <c r="M58" s="11">
        <f t="shared" si="0"/>
        <v>34.090909090909086</v>
      </c>
      <c r="N58" s="11">
        <v>0.93333333333333302</v>
      </c>
      <c r="O58" s="11">
        <v>1</v>
      </c>
      <c r="P58" s="11">
        <v>0.95692567567567599</v>
      </c>
      <c r="Q58" s="11">
        <v>1</v>
      </c>
      <c r="R58" s="11">
        <v>0.97093023255814004</v>
      </c>
      <c r="S58" s="10" t="s">
        <v>84</v>
      </c>
      <c r="T58" s="10" t="s">
        <v>84</v>
      </c>
      <c r="U58" s="10"/>
      <c r="V58" s="10"/>
      <c r="W58" s="10"/>
      <c r="X58" s="10"/>
      <c r="Y58" s="10"/>
      <c r="Z58" s="10"/>
      <c r="AA58" s="10"/>
    </row>
    <row r="59" spans="1:27" ht="12.5" x14ac:dyDescent="0.25">
      <c r="A59" s="10" t="s">
        <v>40</v>
      </c>
      <c r="B59" s="10" t="s">
        <v>337</v>
      </c>
      <c r="C59" s="10" t="s">
        <v>76</v>
      </c>
      <c r="D59" s="11">
        <v>2024</v>
      </c>
      <c r="E59" s="10" t="s">
        <v>124</v>
      </c>
      <c r="F59" s="10" t="s">
        <v>83</v>
      </c>
      <c r="G59" s="10" t="s">
        <v>84</v>
      </c>
      <c r="H59" s="11">
        <v>9071</v>
      </c>
      <c r="I59" s="11">
        <v>3089</v>
      </c>
      <c r="J59" s="11">
        <v>3069</v>
      </c>
      <c r="K59" s="11">
        <v>0</v>
      </c>
      <c r="L59" s="11">
        <v>0.34052013191618402</v>
      </c>
      <c r="M59" s="11">
        <f t="shared" si="0"/>
        <v>34.053577334362259</v>
      </c>
      <c r="N59" s="11">
        <v>0.993525412754937</v>
      </c>
      <c r="O59" s="11">
        <v>0</v>
      </c>
      <c r="P59" s="11">
        <v>0.95608108108108103</v>
      </c>
      <c r="Q59" s="11">
        <v>1</v>
      </c>
      <c r="R59" s="11">
        <v>0.93064876957494402</v>
      </c>
      <c r="S59" s="10" t="s">
        <v>84</v>
      </c>
      <c r="T59" s="10" t="s">
        <v>84</v>
      </c>
      <c r="U59" s="10"/>
      <c r="V59" s="10"/>
      <c r="W59" s="10"/>
      <c r="X59" s="10"/>
      <c r="Y59" s="10"/>
      <c r="Z59" s="10"/>
      <c r="AA59" s="10"/>
    </row>
    <row r="60" spans="1:27" ht="12.5" x14ac:dyDescent="0.25">
      <c r="A60" s="10" t="s">
        <v>16</v>
      </c>
      <c r="B60" s="10" t="s">
        <v>342</v>
      </c>
      <c r="C60" s="10" t="s">
        <v>76</v>
      </c>
      <c r="D60" s="11">
        <v>2024</v>
      </c>
      <c r="E60" s="10" t="s">
        <v>124</v>
      </c>
      <c r="F60" s="10" t="s">
        <v>83</v>
      </c>
      <c r="G60" s="10" t="s">
        <v>84</v>
      </c>
      <c r="H60" s="11">
        <v>80032</v>
      </c>
      <c r="I60" s="11">
        <v>26907</v>
      </c>
      <c r="J60" s="11">
        <v>25619</v>
      </c>
      <c r="K60" s="11">
        <v>232113</v>
      </c>
      <c r="L60" s="11">
        <v>0.33620511923430202</v>
      </c>
      <c r="M60" s="11">
        <f t="shared" si="0"/>
        <v>33.620301879248302</v>
      </c>
      <c r="N60" s="11">
        <v>0.95213141561675396</v>
      </c>
      <c r="O60" s="11">
        <v>2.9002705184833499</v>
      </c>
      <c r="P60" s="11">
        <v>0.95523648648648696</v>
      </c>
      <c r="Q60" s="11">
        <v>0.93333333333333302</v>
      </c>
      <c r="R60" s="11">
        <v>0.92841163310962005</v>
      </c>
      <c r="S60" s="10" t="s">
        <v>84</v>
      </c>
      <c r="T60" s="10" t="s">
        <v>84</v>
      </c>
      <c r="U60" s="10"/>
      <c r="V60" s="10"/>
      <c r="W60" s="10"/>
      <c r="X60" s="10"/>
      <c r="Y60" s="10"/>
      <c r="Z60" s="10"/>
      <c r="AA60" s="10"/>
    </row>
    <row r="61" spans="1:27" ht="12.5" hidden="1" x14ac:dyDescent="0.25">
      <c r="A61" s="10" t="s">
        <v>58</v>
      </c>
      <c r="B61" s="10" t="s">
        <v>432</v>
      </c>
      <c r="C61" s="10" t="s">
        <v>191</v>
      </c>
      <c r="D61" s="11">
        <v>2024</v>
      </c>
      <c r="E61" s="10" t="s">
        <v>124</v>
      </c>
      <c r="F61" s="10" t="s">
        <v>125</v>
      </c>
      <c r="G61" s="10" t="s">
        <v>84</v>
      </c>
      <c r="H61" s="12">
        <v>460.58333333333297</v>
      </c>
      <c r="I61" s="11">
        <v>154</v>
      </c>
      <c r="J61" s="11">
        <v>152</v>
      </c>
      <c r="K61" s="11">
        <v>3071</v>
      </c>
      <c r="L61" s="11">
        <v>0.334358603220554</v>
      </c>
      <c r="M61" s="11">
        <f t="shared" si="0"/>
        <v>33.43586032205539</v>
      </c>
      <c r="N61" s="11">
        <v>0.98701298701298701</v>
      </c>
      <c r="O61" s="11">
        <v>6.66763162656052</v>
      </c>
      <c r="P61" s="11">
        <v>0.98284313725490202</v>
      </c>
      <c r="Q61" s="11">
        <v>0.98113207547169801</v>
      </c>
      <c r="R61" s="11">
        <v>0.97286821705426396</v>
      </c>
      <c r="S61" s="10" t="s">
        <v>84</v>
      </c>
      <c r="T61" s="10" t="s">
        <v>84</v>
      </c>
      <c r="U61" s="10"/>
      <c r="V61" s="10"/>
      <c r="W61" s="10"/>
      <c r="X61" s="10"/>
      <c r="Y61" s="10"/>
      <c r="Z61" s="10"/>
      <c r="AA61" s="10"/>
    </row>
    <row r="62" spans="1:27" ht="12.5" x14ac:dyDescent="0.25">
      <c r="A62" s="10" t="s">
        <v>10</v>
      </c>
      <c r="B62" s="10" t="s">
        <v>345</v>
      </c>
      <c r="C62" s="10" t="s">
        <v>76</v>
      </c>
      <c r="D62" s="11">
        <v>2024</v>
      </c>
      <c r="E62" s="10" t="s">
        <v>124</v>
      </c>
      <c r="F62" s="10" t="s">
        <v>125</v>
      </c>
      <c r="G62" s="10" t="s">
        <v>84</v>
      </c>
      <c r="H62" s="11">
        <v>378</v>
      </c>
      <c r="I62" s="11">
        <v>126</v>
      </c>
      <c r="J62" s="11">
        <v>83</v>
      </c>
      <c r="K62" s="11">
        <v>142</v>
      </c>
      <c r="L62" s="11">
        <v>0.333186425738211</v>
      </c>
      <c r="M62" s="11">
        <f t="shared" si="0"/>
        <v>33.333333333333329</v>
      </c>
      <c r="N62" s="11">
        <v>0.65873015873015905</v>
      </c>
      <c r="O62" s="11">
        <v>0.37549581313353902</v>
      </c>
      <c r="P62" s="11">
        <v>0.954391891891892</v>
      </c>
      <c r="Q62" s="11">
        <v>0.9</v>
      </c>
      <c r="R62" s="11">
        <v>0.92617449664429496</v>
      </c>
      <c r="S62" s="10" t="s">
        <v>84</v>
      </c>
      <c r="T62" s="10" t="s">
        <v>84</v>
      </c>
      <c r="U62" s="10"/>
      <c r="V62" s="10"/>
      <c r="W62" s="10"/>
      <c r="X62" s="10"/>
      <c r="Y62" s="10"/>
      <c r="Z62" s="10"/>
      <c r="AA62" s="10"/>
    </row>
    <row r="63" spans="1:27" ht="12.5" x14ac:dyDescent="0.25">
      <c r="A63" s="10" t="s">
        <v>36</v>
      </c>
      <c r="B63" s="10" t="s">
        <v>288</v>
      </c>
      <c r="C63" s="10" t="s">
        <v>76</v>
      </c>
      <c r="D63" s="11">
        <v>2024</v>
      </c>
      <c r="E63" s="10" t="s">
        <v>81</v>
      </c>
      <c r="F63" s="10" t="s">
        <v>83</v>
      </c>
      <c r="G63" s="10" t="s">
        <v>84</v>
      </c>
      <c r="H63" s="11">
        <v>16869</v>
      </c>
      <c r="I63" s="11">
        <v>5610</v>
      </c>
      <c r="J63" s="11">
        <v>4155</v>
      </c>
      <c r="K63" s="11">
        <v>0</v>
      </c>
      <c r="L63" s="11">
        <v>0.33256268895607299</v>
      </c>
      <c r="M63" s="11">
        <f t="shared" si="0"/>
        <v>33.256268895607327</v>
      </c>
      <c r="N63" s="11">
        <v>0.74064171122994604</v>
      </c>
      <c r="O63" s="11">
        <v>0</v>
      </c>
      <c r="P63" s="11">
        <v>0.95354729729729704</v>
      </c>
      <c r="Q63" s="11">
        <v>0.87234042553191504</v>
      </c>
      <c r="R63" s="11">
        <v>0.968992248062015</v>
      </c>
      <c r="S63" s="10" t="s">
        <v>84</v>
      </c>
      <c r="T63" s="10" t="s">
        <v>84</v>
      </c>
      <c r="U63" s="10"/>
      <c r="V63" s="10"/>
      <c r="W63" s="10"/>
      <c r="X63" s="10"/>
      <c r="Y63" s="10"/>
      <c r="Z63" s="10"/>
      <c r="AA63" s="10"/>
    </row>
    <row r="64" spans="1:27" ht="12.5" hidden="1" x14ac:dyDescent="0.25">
      <c r="A64" s="10" t="s">
        <v>13</v>
      </c>
      <c r="B64" s="10" t="s">
        <v>443</v>
      </c>
      <c r="C64" s="10" t="s">
        <v>191</v>
      </c>
      <c r="D64" s="11">
        <v>2024</v>
      </c>
      <c r="E64" s="10" t="s">
        <v>124</v>
      </c>
      <c r="F64" s="10" t="s">
        <v>83</v>
      </c>
      <c r="G64" s="10" t="s">
        <v>84</v>
      </c>
      <c r="H64" s="12">
        <v>14079</v>
      </c>
      <c r="I64" s="11">
        <v>4640</v>
      </c>
      <c r="J64" s="11">
        <v>58</v>
      </c>
      <c r="K64" s="11">
        <v>0</v>
      </c>
      <c r="L64" s="11">
        <v>0.32957471366420998</v>
      </c>
      <c r="M64" s="11">
        <f t="shared" si="0"/>
        <v>32.956886142481714</v>
      </c>
      <c r="N64" s="11">
        <v>1.2500000000000001E-2</v>
      </c>
      <c r="O64" s="11">
        <v>0</v>
      </c>
      <c r="P64" s="11">
        <v>0.98161764705882304</v>
      </c>
      <c r="Q64" s="11">
        <v>0.96551724137931005</v>
      </c>
      <c r="R64" s="11">
        <v>0.97093023255814004</v>
      </c>
      <c r="S64" s="10" t="s">
        <v>84</v>
      </c>
      <c r="T64" s="10" t="s">
        <v>84</v>
      </c>
      <c r="U64" s="10"/>
      <c r="V64" s="10"/>
      <c r="W64" s="10"/>
      <c r="X64" s="10"/>
      <c r="Y64" s="10"/>
      <c r="Z64" s="10"/>
      <c r="AA64" s="10"/>
    </row>
    <row r="65" spans="1:27" ht="12.5" x14ac:dyDescent="0.25">
      <c r="A65" s="10" t="s">
        <v>19</v>
      </c>
      <c r="B65" s="10" t="s">
        <v>292</v>
      </c>
      <c r="C65" s="10" t="s">
        <v>76</v>
      </c>
      <c r="D65" s="11">
        <v>2024</v>
      </c>
      <c r="E65" s="10" t="s">
        <v>81</v>
      </c>
      <c r="F65" s="10" t="s">
        <v>83</v>
      </c>
      <c r="G65" s="10" t="s">
        <v>84</v>
      </c>
      <c r="H65" s="11">
        <v>77513</v>
      </c>
      <c r="I65" s="11">
        <v>25202</v>
      </c>
      <c r="J65" s="11">
        <v>23577</v>
      </c>
      <c r="K65" s="11">
        <v>96936</v>
      </c>
      <c r="L65" s="11">
        <v>0.32513185931852401</v>
      </c>
      <c r="M65" s="11">
        <f t="shared" si="0"/>
        <v>32.513255840955715</v>
      </c>
      <c r="N65" s="11">
        <v>0.93552099039758796</v>
      </c>
      <c r="O65" s="11">
        <v>1.2505746335568799</v>
      </c>
      <c r="P65" s="11">
        <v>0.95270270270270296</v>
      </c>
      <c r="Q65" s="11">
        <v>0.94444444444444398</v>
      </c>
      <c r="R65" s="11">
        <v>0.96705426356589197</v>
      </c>
      <c r="S65" s="10" t="s">
        <v>84</v>
      </c>
      <c r="T65" s="10" t="s">
        <v>84</v>
      </c>
      <c r="U65" s="10"/>
      <c r="V65" s="10"/>
      <c r="W65" s="10"/>
      <c r="X65" s="10"/>
      <c r="Y65" s="10"/>
      <c r="Z65" s="10"/>
      <c r="AA65" s="10"/>
    </row>
    <row r="66" spans="1:27" ht="12.5" hidden="1" x14ac:dyDescent="0.25">
      <c r="A66" s="10" t="s">
        <v>19</v>
      </c>
      <c r="B66" s="10" t="s">
        <v>452</v>
      </c>
      <c r="C66" s="10" t="s">
        <v>191</v>
      </c>
      <c r="D66" s="11">
        <v>2024</v>
      </c>
      <c r="E66" s="10" t="s">
        <v>124</v>
      </c>
      <c r="F66" s="10" t="s">
        <v>125</v>
      </c>
      <c r="G66" s="10" t="s">
        <v>84</v>
      </c>
      <c r="H66" s="12">
        <v>695</v>
      </c>
      <c r="I66" s="11">
        <v>223</v>
      </c>
      <c r="J66" s="11">
        <v>223</v>
      </c>
      <c r="K66" s="11">
        <v>0</v>
      </c>
      <c r="L66" s="11">
        <v>0.320863309352518</v>
      </c>
      <c r="M66" s="11">
        <f t="shared" si="0"/>
        <v>32.086330935251802</v>
      </c>
      <c r="N66" s="11">
        <v>1</v>
      </c>
      <c r="O66" s="11">
        <v>0</v>
      </c>
      <c r="P66" s="11">
        <v>0.98039215686274495</v>
      </c>
      <c r="Q66" s="11">
        <v>0.81818181818181801</v>
      </c>
      <c r="R66" s="11">
        <v>0.968992248062015</v>
      </c>
      <c r="S66" s="10" t="s">
        <v>84</v>
      </c>
      <c r="T66" s="10" t="s">
        <v>84</v>
      </c>
      <c r="U66" s="10"/>
      <c r="V66" s="10"/>
      <c r="W66" s="10"/>
      <c r="X66" s="10"/>
      <c r="Y66" s="10"/>
      <c r="Z66" s="10"/>
      <c r="AA66" s="10"/>
    </row>
    <row r="67" spans="1:27" ht="12.5" x14ac:dyDescent="0.25">
      <c r="A67" s="10" t="s">
        <v>55</v>
      </c>
      <c r="B67" s="10" t="s">
        <v>350</v>
      </c>
      <c r="C67" s="10" t="s">
        <v>76</v>
      </c>
      <c r="D67" s="11">
        <v>2024</v>
      </c>
      <c r="E67" s="10" t="s">
        <v>124</v>
      </c>
      <c r="F67" s="10" t="s">
        <v>83</v>
      </c>
      <c r="G67" s="10" t="s">
        <v>84</v>
      </c>
      <c r="H67" s="11">
        <v>10422</v>
      </c>
      <c r="I67" s="11">
        <v>3314</v>
      </c>
      <c r="J67" s="11">
        <v>3118</v>
      </c>
      <c r="K67" s="11">
        <v>24340</v>
      </c>
      <c r="L67" s="11">
        <v>0.31797610861465098</v>
      </c>
      <c r="M67" s="11">
        <f t="shared" si="0"/>
        <v>31.798119362886201</v>
      </c>
      <c r="N67" s="11">
        <v>0.94085697042848504</v>
      </c>
      <c r="O67" s="11">
        <v>2.33540690515408</v>
      </c>
      <c r="P67" s="11">
        <v>0.951858108108108</v>
      </c>
      <c r="Q67" s="11">
        <v>0.95454545454545503</v>
      </c>
      <c r="R67" s="11">
        <v>0.92393736017897099</v>
      </c>
      <c r="S67" s="10" t="s">
        <v>84</v>
      </c>
      <c r="T67" s="10" t="s">
        <v>84</v>
      </c>
      <c r="U67" s="10"/>
      <c r="V67" s="10"/>
      <c r="W67" s="10"/>
      <c r="X67" s="10"/>
      <c r="Y67" s="10"/>
      <c r="Z67" s="10"/>
      <c r="AA67" s="10"/>
    </row>
    <row r="68" spans="1:27" ht="12.5" x14ac:dyDescent="0.25">
      <c r="A68" s="10" t="s">
        <v>14</v>
      </c>
      <c r="B68" s="10" t="s">
        <v>354</v>
      </c>
      <c r="C68" s="10" t="s">
        <v>76</v>
      </c>
      <c r="D68" s="11">
        <v>2024</v>
      </c>
      <c r="E68" s="10" t="s">
        <v>124</v>
      </c>
      <c r="F68" s="10" t="s">
        <v>83</v>
      </c>
      <c r="G68" s="10" t="s">
        <v>84</v>
      </c>
      <c r="H68" s="11">
        <v>26722</v>
      </c>
      <c r="I68" s="11">
        <v>8497</v>
      </c>
      <c r="J68" s="11">
        <v>7466</v>
      </c>
      <c r="K68" s="11">
        <v>63695</v>
      </c>
      <c r="L68" s="11">
        <v>0.31797372983896099</v>
      </c>
      <c r="M68" s="11">
        <f t="shared" si="0"/>
        <v>31.797769628021854</v>
      </c>
      <c r="N68" s="11">
        <v>0.87866305754972296</v>
      </c>
      <c r="O68" s="11">
        <v>2.3835867626330001</v>
      </c>
      <c r="P68" s="11">
        <v>0.95101351351351304</v>
      </c>
      <c r="Q68" s="11">
        <v>0.92857142857142905</v>
      </c>
      <c r="R68" s="11">
        <v>0.92170022371364702</v>
      </c>
      <c r="S68" s="10" t="s">
        <v>84</v>
      </c>
      <c r="T68" s="10" t="s">
        <v>84</v>
      </c>
      <c r="U68" s="10"/>
      <c r="V68" s="10"/>
      <c r="W68" s="10"/>
      <c r="X68" s="10"/>
      <c r="Y68" s="10"/>
      <c r="Z68" s="10"/>
      <c r="AA68" s="10"/>
    </row>
    <row r="69" spans="1:27" ht="12.5" x14ac:dyDescent="0.25">
      <c r="A69" s="10" t="s">
        <v>86</v>
      </c>
      <c r="B69" s="10" t="s">
        <v>358</v>
      </c>
      <c r="C69" s="10" t="s">
        <v>76</v>
      </c>
      <c r="D69" s="11">
        <v>2024</v>
      </c>
      <c r="E69" s="10" t="s">
        <v>124</v>
      </c>
      <c r="F69" s="10" t="s">
        <v>83</v>
      </c>
      <c r="G69" s="10" t="s">
        <v>84</v>
      </c>
      <c r="H69" s="11">
        <v>32077</v>
      </c>
      <c r="I69" s="11">
        <v>10078</v>
      </c>
      <c r="J69" s="11">
        <v>7379</v>
      </c>
      <c r="K69" s="11">
        <v>86405</v>
      </c>
      <c r="L69" s="11">
        <v>0.31418639814194199</v>
      </c>
      <c r="M69" s="11">
        <f t="shared" si="0"/>
        <v>31.418150076378716</v>
      </c>
      <c r="N69" s="11">
        <v>0.73218892637428101</v>
      </c>
      <c r="O69" s="11">
        <v>2.6937165837918702</v>
      </c>
      <c r="P69" s="11">
        <v>0.95016891891891897</v>
      </c>
      <c r="Q69" s="11">
        <v>0.89130434782608703</v>
      </c>
      <c r="R69" s="11">
        <v>0.91946308724832204</v>
      </c>
      <c r="S69" s="10" t="s">
        <v>84</v>
      </c>
      <c r="T69" s="10" t="s">
        <v>84</v>
      </c>
      <c r="U69" s="10"/>
      <c r="V69" s="10"/>
      <c r="W69" s="10"/>
      <c r="X69" s="10"/>
      <c r="Y69" s="10"/>
      <c r="Z69" s="10"/>
      <c r="AA69" s="10"/>
    </row>
    <row r="70" spans="1:27" ht="12.5" hidden="1" x14ac:dyDescent="0.25">
      <c r="A70" s="10" t="s">
        <v>29</v>
      </c>
      <c r="B70" s="10" t="s">
        <v>466</v>
      </c>
      <c r="C70" s="10" t="s">
        <v>191</v>
      </c>
      <c r="D70" s="11">
        <v>2024</v>
      </c>
      <c r="E70" s="10" t="s">
        <v>124</v>
      </c>
      <c r="F70" s="10" t="s">
        <v>125</v>
      </c>
      <c r="G70" s="10" t="s">
        <v>84</v>
      </c>
      <c r="H70" s="12">
        <v>768.41666666666697</v>
      </c>
      <c r="I70" s="11">
        <v>241</v>
      </c>
      <c r="J70" s="11">
        <v>186</v>
      </c>
      <c r="K70" s="11">
        <v>305</v>
      </c>
      <c r="L70" s="11">
        <v>0.31363192712287202</v>
      </c>
      <c r="M70" s="11">
        <f t="shared" si="0"/>
        <v>31.363192712287159</v>
      </c>
      <c r="N70" s="11">
        <v>0.77178423236514504</v>
      </c>
      <c r="O70" s="11">
        <v>0.396920073744713</v>
      </c>
      <c r="P70" s="11">
        <v>0.97916666666666696</v>
      </c>
      <c r="Q70" s="11">
        <v>0.971830985915493</v>
      </c>
      <c r="R70" s="11">
        <v>0.96705426356589197</v>
      </c>
      <c r="S70" s="10" t="s">
        <v>84</v>
      </c>
      <c r="T70" s="10" t="s">
        <v>84</v>
      </c>
      <c r="U70" s="10"/>
      <c r="V70" s="10"/>
      <c r="W70" s="10"/>
      <c r="X70" s="10"/>
      <c r="Y70" s="10"/>
      <c r="Z70" s="10"/>
      <c r="AA70" s="10"/>
    </row>
    <row r="71" spans="1:27" ht="12.5" x14ac:dyDescent="0.25">
      <c r="A71" s="10" t="s">
        <v>49</v>
      </c>
      <c r="B71" s="10" t="s">
        <v>362</v>
      </c>
      <c r="C71" s="10" t="s">
        <v>76</v>
      </c>
      <c r="D71" s="11">
        <v>2024</v>
      </c>
      <c r="E71" s="10" t="s">
        <v>124</v>
      </c>
      <c r="F71" s="10" t="s">
        <v>83</v>
      </c>
      <c r="G71" s="10" t="s">
        <v>84</v>
      </c>
      <c r="H71" s="11">
        <v>87404</v>
      </c>
      <c r="I71" s="11">
        <v>27372</v>
      </c>
      <c r="J71" s="11">
        <v>24199</v>
      </c>
      <c r="K71" s="11">
        <v>111873</v>
      </c>
      <c r="L71" s="11">
        <v>0.313164952572</v>
      </c>
      <c r="M71" s="11">
        <f t="shared" si="0"/>
        <v>31.316644547160312</v>
      </c>
      <c r="N71" s="11">
        <v>0.88407862048809005</v>
      </c>
      <c r="O71" s="11">
        <v>1.27994676089023</v>
      </c>
      <c r="P71" s="11">
        <v>0.94932432432432401</v>
      </c>
      <c r="Q71" s="11">
        <v>0.96153846153846201</v>
      </c>
      <c r="R71" s="11">
        <v>0.91722595078299796</v>
      </c>
      <c r="S71" s="10" t="s">
        <v>84</v>
      </c>
      <c r="T71" s="10" t="s">
        <v>84</v>
      </c>
      <c r="U71" s="10"/>
      <c r="V71" s="10"/>
      <c r="W71" s="10"/>
      <c r="X71" s="10"/>
      <c r="Y71" s="10"/>
      <c r="Z71" s="10"/>
      <c r="AA71" s="10"/>
    </row>
    <row r="72" spans="1:27" ht="12.5" x14ac:dyDescent="0.25">
      <c r="A72" s="10" t="s">
        <v>16</v>
      </c>
      <c r="B72" s="10" t="s">
        <v>366</v>
      </c>
      <c r="C72" s="10" t="s">
        <v>76</v>
      </c>
      <c r="D72" s="11">
        <v>2024</v>
      </c>
      <c r="E72" s="10" t="s">
        <v>124</v>
      </c>
      <c r="F72" s="10" t="s">
        <v>83</v>
      </c>
      <c r="G72" s="10" t="s">
        <v>84</v>
      </c>
      <c r="H72" s="11">
        <v>24309</v>
      </c>
      <c r="I72" s="11">
        <v>7592</v>
      </c>
      <c r="J72" s="11">
        <v>6233</v>
      </c>
      <c r="K72" s="11">
        <v>89573</v>
      </c>
      <c r="L72" s="11">
        <v>0.31231766557080298</v>
      </c>
      <c r="M72" s="11">
        <f t="shared" si="0"/>
        <v>31.231231231231231</v>
      </c>
      <c r="N72" s="11">
        <v>0.82099578503688098</v>
      </c>
      <c r="O72" s="11">
        <v>3.6848301183052601</v>
      </c>
      <c r="P72" s="11">
        <v>0.94847972972973005</v>
      </c>
      <c r="Q72" s="11">
        <v>0.9</v>
      </c>
      <c r="R72" s="11">
        <v>0.91498881431767298</v>
      </c>
      <c r="S72" s="10" t="s">
        <v>84</v>
      </c>
      <c r="T72" s="10" t="s">
        <v>84</v>
      </c>
      <c r="U72" s="10"/>
      <c r="V72" s="10"/>
      <c r="W72" s="10"/>
      <c r="X72" s="10"/>
      <c r="Y72" s="10"/>
      <c r="Z72" s="10"/>
      <c r="AA72" s="10"/>
    </row>
    <row r="73" spans="1:27" ht="12.5" hidden="1" x14ac:dyDescent="0.25">
      <c r="A73" s="10" t="s">
        <v>58</v>
      </c>
      <c r="B73" s="10" t="s">
        <v>482</v>
      </c>
      <c r="C73" s="10" t="s">
        <v>191</v>
      </c>
      <c r="D73" s="11">
        <v>2024</v>
      </c>
      <c r="E73" s="10" t="s">
        <v>124</v>
      </c>
      <c r="F73" s="10" t="s">
        <v>83</v>
      </c>
      <c r="G73" s="10" t="s">
        <v>84</v>
      </c>
      <c r="H73" s="12">
        <v>550.83333333333303</v>
      </c>
      <c r="I73" s="11">
        <v>172</v>
      </c>
      <c r="J73" s="11">
        <v>86</v>
      </c>
      <c r="K73" s="11">
        <v>59</v>
      </c>
      <c r="L73" s="11">
        <v>0.31225416036308601</v>
      </c>
      <c r="M73" s="11">
        <f t="shared" si="0"/>
        <v>31.225416036308641</v>
      </c>
      <c r="N73" s="11">
        <v>0.5</v>
      </c>
      <c r="O73" s="11">
        <v>0.107110438729198</v>
      </c>
      <c r="P73" s="11">
        <v>0.97794117647058798</v>
      </c>
      <c r="Q73" s="11">
        <v>0.96226415094339601</v>
      </c>
      <c r="R73" s="11">
        <v>0.96511627906976705</v>
      </c>
      <c r="S73" s="10" t="s">
        <v>84</v>
      </c>
      <c r="T73" s="10" t="s">
        <v>84</v>
      </c>
      <c r="U73" s="10"/>
      <c r="V73" s="10"/>
      <c r="W73" s="10"/>
      <c r="X73" s="10"/>
      <c r="Y73" s="10"/>
      <c r="Z73" s="10"/>
      <c r="AA73" s="10"/>
    </row>
    <row r="74" spans="1:27" ht="12.5" x14ac:dyDescent="0.25">
      <c r="A74" s="10" t="s">
        <v>26</v>
      </c>
      <c r="B74" s="10" t="s">
        <v>370</v>
      </c>
      <c r="C74" s="10" t="s">
        <v>76</v>
      </c>
      <c r="D74" s="11">
        <v>2024</v>
      </c>
      <c r="E74" s="10" t="s">
        <v>124</v>
      </c>
      <c r="F74" s="10" t="s">
        <v>83</v>
      </c>
      <c r="G74" s="10" t="s">
        <v>84</v>
      </c>
      <c r="H74" s="11">
        <v>9787</v>
      </c>
      <c r="I74" s="11">
        <v>3038</v>
      </c>
      <c r="J74" s="11">
        <v>601</v>
      </c>
      <c r="K74" s="11">
        <v>21153</v>
      </c>
      <c r="L74" s="11">
        <v>0.31041705693022897</v>
      </c>
      <c r="M74" s="11">
        <f t="shared" si="0"/>
        <v>31.041177071625626</v>
      </c>
      <c r="N74" s="11">
        <v>0.197827518104016</v>
      </c>
      <c r="O74" s="11">
        <v>2.1613732736159101</v>
      </c>
      <c r="P74" s="11">
        <v>0.94763513513513498</v>
      </c>
      <c r="Q74" s="11">
        <v>0.88461538461538503</v>
      </c>
      <c r="R74" s="11">
        <v>0.91275167785234901</v>
      </c>
      <c r="S74" s="10" t="s">
        <v>84</v>
      </c>
      <c r="T74" s="10" t="s">
        <v>84</v>
      </c>
      <c r="U74" s="10"/>
      <c r="V74" s="10"/>
      <c r="W74" s="10"/>
      <c r="X74" s="10"/>
      <c r="Y74" s="10"/>
      <c r="Z74" s="10"/>
      <c r="AA74" s="10"/>
    </row>
    <row r="75" spans="1:27" ht="12.5" x14ac:dyDescent="0.25">
      <c r="A75" s="10" t="s">
        <v>16</v>
      </c>
      <c r="B75" s="10" t="s">
        <v>372</v>
      </c>
      <c r="C75" s="10" t="s">
        <v>76</v>
      </c>
      <c r="D75" s="11">
        <v>2024</v>
      </c>
      <c r="E75" s="10" t="s">
        <v>124</v>
      </c>
      <c r="F75" s="10" t="s">
        <v>83</v>
      </c>
      <c r="G75" s="10" t="s">
        <v>84</v>
      </c>
      <c r="H75" s="11">
        <v>108476</v>
      </c>
      <c r="I75" s="11">
        <v>33605</v>
      </c>
      <c r="J75" s="11">
        <v>32622</v>
      </c>
      <c r="K75" s="11">
        <v>64033</v>
      </c>
      <c r="L75" s="11">
        <v>0.30979155175407203</v>
      </c>
      <c r="M75" s="11">
        <f t="shared" si="0"/>
        <v>30.979202772963603</v>
      </c>
      <c r="N75" s="11">
        <v>0.97074840053563505</v>
      </c>
      <c r="O75" s="11">
        <v>0.59029556415618201</v>
      </c>
      <c r="P75" s="11">
        <v>0.94679054054054101</v>
      </c>
      <c r="Q75" s="11">
        <v>0.86666666666666703</v>
      </c>
      <c r="R75" s="11">
        <v>0.91051454138702503</v>
      </c>
      <c r="S75" s="10" t="s">
        <v>84</v>
      </c>
      <c r="T75" s="10" t="s">
        <v>84</v>
      </c>
      <c r="U75" s="10"/>
      <c r="V75" s="10"/>
      <c r="W75" s="10"/>
      <c r="X75" s="10"/>
      <c r="Y75" s="10"/>
      <c r="Z75" s="10"/>
      <c r="AA75" s="10"/>
    </row>
    <row r="76" spans="1:27" ht="12.5" hidden="1" x14ac:dyDescent="0.25">
      <c r="A76" s="10" t="s">
        <v>29</v>
      </c>
      <c r="B76" s="10" t="s">
        <v>493</v>
      </c>
      <c r="C76" s="10" t="s">
        <v>191</v>
      </c>
      <c r="D76" s="11">
        <v>2024</v>
      </c>
      <c r="E76" s="10" t="s">
        <v>124</v>
      </c>
      <c r="F76" s="10" t="s">
        <v>125</v>
      </c>
      <c r="G76" s="10" t="s">
        <v>84</v>
      </c>
      <c r="H76" s="12">
        <v>31596</v>
      </c>
      <c r="I76" s="11">
        <v>9774</v>
      </c>
      <c r="J76" s="11">
        <v>8583</v>
      </c>
      <c r="K76" s="11">
        <v>125356</v>
      </c>
      <c r="L76" s="11">
        <v>0.309344586575234</v>
      </c>
      <c r="M76" s="11">
        <f t="shared" si="0"/>
        <v>30.934295480440561</v>
      </c>
      <c r="N76" s="11">
        <v>0.87814610190300801</v>
      </c>
      <c r="O76" s="11">
        <v>3.96748516418304</v>
      </c>
      <c r="P76" s="11">
        <v>0.97671568627451</v>
      </c>
      <c r="Q76" s="11">
        <v>0.95774647887323905</v>
      </c>
      <c r="R76" s="11">
        <v>0.96317829457364301</v>
      </c>
      <c r="S76" s="10" t="s">
        <v>84</v>
      </c>
      <c r="T76" s="10" t="s">
        <v>84</v>
      </c>
      <c r="U76" s="10"/>
      <c r="V76" s="10"/>
      <c r="W76" s="10"/>
      <c r="X76" s="10"/>
      <c r="Y76" s="10"/>
      <c r="Z76" s="10"/>
      <c r="AA76" s="10"/>
    </row>
    <row r="77" spans="1:27" ht="12.5" hidden="1" x14ac:dyDescent="0.25">
      <c r="A77" s="10" t="s">
        <v>13</v>
      </c>
      <c r="B77" s="10" t="s">
        <v>498</v>
      </c>
      <c r="C77" s="10" t="s">
        <v>191</v>
      </c>
      <c r="D77" s="11">
        <v>2024</v>
      </c>
      <c r="E77" s="10" t="s">
        <v>124</v>
      </c>
      <c r="F77" s="10" t="s">
        <v>125</v>
      </c>
      <c r="G77" s="10" t="s">
        <v>84</v>
      </c>
      <c r="H77" s="12">
        <v>365.58333333333297</v>
      </c>
      <c r="I77" s="11">
        <v>113</v>
      </c>
      <c r="J77" s="11">
        <v>95</v>
      </c>
      <c r="K77" s="11">
        <v>113</v>
      </c>
      <c r="L77" s="11">
        <v>0.309095053567358</v>
      </c>
      <c r="M77" s="11">
        <f t="shared" si="0"/>
        <v>30.909505356735838</v>
      </c>
      <c r="N77" s="11">
        <v>0.84070796460177</v>
      </c>
      <c r="O77" s="11">
        <v>0.309095053567358</v>
      </c>
      <c r="P77" s="11">
        <v>0.97549019607843102</v>
      </c>
      <c r="Q77" s="11">
        <v>0.94827586206896597</v>
      </c>
      <c r="R77" s="11">
        <v>0.96124031007751898</v>
      </c>
      <c r="S77" s="10" t="s">
        <v>84</v>
      </c>
      <c r="T77" s="10" t="s">
        <v>84</v>
      </c>
      <c r="U77" s="10"/>
      <c r="V77" s="10"/>
      <c r="W77" s="10"/>
      <c r="X77" s="10"/>
      <c r="Y77" s="10"/>
      <c r="Z77" s="10"/>
      <c r="AA77" s="10"/>
    </row>
    <row r="78" spans="1:27" ht="12.5" hidden="1" x14ac:dyDescent="0.25">
      <c r="A78" s="10" t="s">
        <v>12</v>
      </c>
      <c r="B78" s="10" t="s">
        <v>502</v>
      </c>
      <c r="C78" s="10" t="s">
        <v>191</v>
      </c>
      <c r="D78" s="11">
        <v>2024</v>
      </c>
      <c r="E78" s="10" t="s">
        <v>124</v>
      </c>
      <c r="F78" s="10" t="s">
        <v>125</v>
      </c>
      <c r="G78" s="10" t="s">
        <v>84</v>
      </c>
      <c r="H78" s="12">
        <v>515.75</v>
      </c>
      <c r="I78" s="11">
        <v>158</v>
      </c>
      <c r="J78" s="11">
        <v>150</v>
      </c>
      <c r="K78" s="11">
        <v>243</v>
      </c>
      <c r="L78" s="11">
        <v>0.30634997576345102</v>
      </c>
      <c r="M78" s="11">
        <f t="shared" si="0"/>
        <v>30.634997576345128</v>
      </c>
      <c r="N78" s="11">
        <v>0.949367088607595</v>
      </c>
      <c r="O78" s="11">
        <v>0.47115850702859902</v>
      </c>
      <c r="P78" s="11">
        <v>0.97426470588235303</v>
      </c>
      <c r="Q78" s="11">
        <v>0.98412698412698396</v>
      </c>
      <c r="R78" s="11">
        <v>0.95930232558139505</v>
      </c>
      <c r="S78" s="10" t="s">
        <v>84</v>
      </c>
      <c r="T78" s="10" t="s">
        <v>84</v>
      </c>
      <c r="U78" s="10"/>
      <c r="V78" s="10"/>
      <c r="W78" s="10"/>
      <c r="X78" s="10"/>
      <c r="Y78" s="10"/>
      <c r="Z78" s="10"/>
      <c r="AA78" s="10"/>
    </row>
    <row r="79" spans="1:27" ht="12.5" x14ac:dyDescent="0.25">
      <c r="A79" s="10" t="s">
        <v>29</v>
      </c>
      <c r="B79" s="10" t="s">
        <v>375</v>
      </c>
      <c r="C79" s="10" t="s">
        <v>76</v>
      </c>
      <c r="D79" s="11">
        <v>2024</v>
      </c>
      <c r="E79" s="10" t="s">
        <v>124</v>
      </c>
      <c r="F79" s="10" t="s">
        <v>83</v>
      </c>
      <c r="G79" s="10" t="s">
        <v>84</v>
      </c>
      <c r="H79" s="11">
        <v>31149</v>
      </c>
      <c r="I79" s="11">
        <v>9518</v>
      </c>
      <c r="J79" s="11">
        <v>6736</v>
      </c>
      <c r="K79" s="11">
        <v>9847</v>
      </c>
      <c r="L79" s="11">
        <v>0.30556521646075602</v>
      </c>
      <c r="M79" s="11">
        <f t="shared" si="0"/>
        <v>30.55635814953931</v>
      </c>
      <c r="N79" s="11">
        <v>0.707711704139525</v>
      </c>
      <c r="O79" s="11">
        <v>0.31612740980132997</v>
      </c>
      <c r="P79" s="11">
        <v>0.94594594594594605</v>
      </c>
      <c r="Q79" s="11">
        <v>0.91836734693877597</v>
      </c>
      <c r="R79" s="11">
        <v>0.90827740492169995</v>
      </c>
      <c r="S79" s="10" t="s">
        <v>84</v>
      </c>
      <c r="T79" s="10" t="s">
        <v>84</v>
      </c>
      <c r="U79" s="10"/>
      <c r="V79" s="10"/>
      <c r="W79" s="10"/>
      <c r="X79" s="10"/>
      <c r="Y79" s="10"/>
      <c r="Z79" s="10"/>
      <c r="AA79" s="10"/>
    </row>
    <row r="80" spans="1:27" ht="12.5" hidden="1" x14ac:dyDescent="0.25">
      <c r="A80" s="10" t="s">
        <v>12</v>
      </c>
      <c r="B80" s="10" t="s">
        <v>510</v>
      </c>
      <c r="C80" s="10" t="s">
        <v>191</v>
      </c>
      <c r="D80" s="11">
        <v>2024</v>
      </c>
      <c r="E80" s="10" t="s">
        <v>124</v>
      </c>
      <c r="F80" s="10" t="s">
        <v>125</v>
      </c>
      <c r="G80" s="10" t="s">
        <v>84</v>
      </c>
      <c r="H80" s="12">
        <v>1592</v>
      </c>
      <c r="I80" s="11">
        <v>486</v>
      </c>
      <c r="J80" s="11">
        <v>416</v>
      </c>
      <c r="K80" s="11">
        <v>2202</v>
      </c>
      <c r="L80" s="11">
        <v>0.30532432856918501</v>
      </c>
      <c r="M80" s="11">
        <f t="shared" si="0"/>
        <v>30.527638190954775</v>
      </c>
      <c r="N80" s="11">
        <v>0.85596707818929996</v>
      </c>
      <c r="O80" s="11">
        <v>1.3833830689492701</v>
      </c>
      <c r="P80" s="11">
        <v>0.97303921568627405</v>
      </c>
      <c r="Q80" s="11">
        <v>0.96825396825396803</v>
      </c>
      <c r="R80" s="11">
        <v>0.95736434108527102</v>
      </c>
      <c r="S80" s="10" t="s">
        <v>84</v>
      </c>
      <c r="T80" s="10" t="s">
        <v>84</v>
      </c>
      <c r="U80" s="10"/>
      <c r="V80" s="10"/>
      <c r="W80" s="10"/>
      <c r="X80" s="10"/>
      <c r="Y80" s="10"/>
      <c r="Z80" s="10"/>
      <c r="AA80" s="10"/>
    </row>
    <row r="81" spans="1:27" ht="12.5" x14ac:dyDescent="0.25">
      <c r="A81" s="10" t="s">
        <v>109</v>
      </c>
      <c r="B81" s="10" t="s">
        <v>514</v>
      </c>
      <c r="C81" s="10" t="s">
        <v>76</v>
      </c>
      <c r="D81" s="11">
        <v>2024</v>
      </c>
      <c r="E81" s="10" t="s">
        <v>257</v>
      </c>
      <c r="F81" s="10" t="s">
        <v>83</v>
      </c>
      <c r="G81" s="10" t="s">
        <v>84</v>
      </c>
      <c r="H81" s="11">
        <v>1042</v>
      </c>
      <c r="I81" s="11">
        <v>316</v>
      </c>
      <c r="J81" s="11">
        <v>283</v>
      </c>
      <c r="K81" s="11">
        <v>2003</v>
      </c>
      <c r="L81" s="11">
        <v>0.30333573314134898</v>
      </c>
      <c r="M81" s="11">
        <f t="shared" si="0"/>
        <v>30.326295585412666</v>
      </c>
      <c r="N81" s="11">
        <v>0.895569620253165</v>
      </c>
      <c r="O81" s="11">
        <v>1.92272618190545</v>
      </c>
      <c r="P81" s="11">
        <v>0.94510135135135098</v>
      </c>
      <c r="Q81" s="11">
        <v>1</v>
      </c>
      <c r="R81" s="11">
        <v>0.97727272727272696</v>
      </c>
      <c r="S81" s="10" t="s">
        <v>84</v>
      </c>
      <c r="T81" s="10" t="s">
        <v>84</v>
      </c>
      <c r="U81" s="10"/>
      <c r="V81" s="10"/>
      <c r="W81" s="10"/>
      <c r="X81" s="10"/>
      <c r="Y81" s="10"/>
      <c r="Z81" s="10"/>
      <c r="AA81" s="10"/>
    </row>
    <row r="82" spans="1:27" ht="12.5" x14ac:dyDescent="0.25">
      <c r="A82" s="10" t="s">
        <v>29</v>
      </c>
      <c r="B82" s="10" t="s">
        <v>382</v>
      </c>
      <c r="C82" s="10" t="s">
        <v>76</v>
      </c>
      <c r="D82" s="11">
        <v>2024</v>
      </c>
      <c r="E82" s="10" t="s">
        <v>124</v>
      </c>
      <c r="F82" s="10" t="s">
        <v>83</v>
      </c>
      <c r="G82" s="10" t="s">
        <v>84</v>
      </c>
      <c r="H82" s="11">
        <v>7559</v>
      </c>
      <c r="I82" s="11">
        <v>2277</v>
      </c>
      <c r="J82" s="11">
        <v>1590</v>
      </c>
      <c r="K82" s="11">
        <v>0</v>
      </c>
      <c r="L82" s="11">
        <v>0.30123364238702599</v>
      </c>
      <c r="M82" s="11">
        <f t="shared" si="0"/>
        <v>30.123032147109406</v>
      </c>
      <c r="N82" s="11">
        <v>0.69828722002635002</v>
      </c>
      <c r="O82" s="11">
        <v>0</v>
      </c>
      <c r="P82" s="11">
        <v>0.94425675675675702</v>
      </c>
      <c r="Q82" s="11">
        <v>0.89795918367346905</v>
      </c>
      <c r="R82" s="11">
        <v>0.90604026845637597</v>
      </c>
      <c r="S82" s="10" t="s">
        <v>84</v>
      </c>
      <c r="T82" s="10" t="s">
        <v>84</v>
      </c>
      <c r="U82" s="10"/>
      <c r="V82" s="10"/>
      <c r="W82" s="10"/>
      <c r="X82" s="10"/>
      <c r="Y82" s="10"/>
      <c r="Z82" s="10"/>
      <c r="AA82" s="10"/>
    </row>
    <row r="83" spans="1:27" ht="12.5" x14ac:dyDescent="0.25">
      <c r="A83" s="10" t="s">
        <v>32</v>
      </c>
      <c r="B83" s="10" t="s">
        <v>385</v>
      </c>
      <c r="C83" s="10" t="s">
        <v>76</v>
      </c>
      <c r="D83" s="11">
        <v>2024</v>
      </c>
      <c r="E83" s="10" t="s">
        <v>124</v>
      </c>
      <c r="F83" s="10" t="s">
        <v>125</v>
      </c>
      <c r="G83" s="10" t="s">
        <v>84</v>
      </c>
      <c r="H83" s="11">
        <v>1440</v>
      </c>
      <c r="I83" s="11">
        <v>431</v>
      </c>
      <c r="J83" s="11">
        <v>409</v>
      </c>
      <c r="K83" s="11">
        <v>5373</v>
      </c>
      <c r="L83" s="11">
        <v>0.29928823563451201</v>
      </c>
      <c r="M83" s="11">
        <f t="shared" si="0"/>
        <v>29.930555555555554</v>
      </c>
      <c r="N83" s="11">
        <v>0.94895591647331801</v>
      </c>
      <c r="O83" s="11">
        <v>3.7310340836757101</v>
      </c>
      <c r="P83" s="11">
        <v>0.94341216216216195</v>
      </c>
      <c r="Q83" s="11">
        <v>0.86206896551724099</v>
      </c>
      <c r="R83" s="11">
        <v>0.903803131991051</v>
      </c>
      <c r="S83" s="10" t="s">
        <v>84</v>
      </c>
      <c r="T83" s="10" t="s">
        <v>84</v>
      </c>
      <c r="U83" s="10"/>
      <c r="V83" s="10"/>
      <c r="W83" s="10"/>
      <c r="X83" s="10"/>
      <c r="Y83" s="10"/>
      <c r="Z83" s="10"/>
      <c r="AA83" s="10"/>
    </row>
    <row r="84" spans="1:27" ht="12.5" x14ac:dyDescent="0.25">
      <c r="A84" s="10" t="s">
        <v>29</v>
      </c>
      <c r="B84" s="10" t="s">
        <v>296</v>
      </c>
      <c r="C84" s="10" t="s">
        <v>76</v>
      </c>
      <c r="D84" s="11">
        <v>2024</v>
      </c>
      <c r="E84" s="10" t="s">
        <v>81</v>
      </c>
      <c r="F84" s="10" t="s">
        <v>83</v>
      </c>
      <c r="G84" s="10" t="s">
        <v>84</v>
      </c>
      <c r="H84" s="11">
        <v>43662</v>
      </c>
      <c r="I84" s="11">
        <v>13030</v>
      </c>
      <c r="J84" s="11">
        <v>12142</v>
      </c>
      <c r="K84" s="11">
        <v>58104</v>
      </c>
      <c r="L84" s="11">
        <v>0.29842997889079298</v>
      </c>
      <c r="M84" s="11">
        <f t="shared" si="0"/>
        <v>29.842883972332924</v>
      </c>
      <c r="N84" s="11">
        <v>0.93184957789716005</v>
      </c>
      <c r="O84" s="11">
        <v>1.3307732535280601</v>
      </c>
      <c r="P84" s="11">
        <v>0.94256756756756799</v>
      </c>
      <c r="Q84" s="11">
        <v>0.87755102040816302</v>
      </c>
      <c r="R84" s="11">
        <v>0.96511627906976705</v>
      </c>
      <c r="S84" s="10" t="s">
        <v>84</v>
      </c>
      <c r="T84" s="10" t="s">
        <v>84</v>
      </c>
      <c r="U84" s="10"/>
      <c r="V84" s="10"/>
      <c r="W84" s="10"/>
      <c r="X84" s="10"/>
      <c r="Y84" s="10"/>
      <c r="Z84" s="10"/>
      <c r="AA84" s="10"/>
    </row>
    <row r="85" spans="1:27" ht="12.5" x14ac:dyDescent="0.25">
      <c r="A85" s="10" t="s">
        <v>12</v>
      </c>
      <c r="B85" s="10" t="s">
        <v>389</v>
      </c>
      <c r="C85" s="10" t="s">
        <v>76</v>
      </c>
      <c r="D85" s="11">
        <v>2024</v>
      </c>
      <c r="E85" s="10" t="s">
        <v>124</v>
      </c>
      <c r="F85" s="10" t="s">
        <v>83</v>
      </c>
      <c r="G85" s="10" t="s">
        <v>84</v>
      </c>
      <c r="H85" s="11">
        <v>17123</v>
      </c>
      <c r="I85" s="11">
        <v>5104</v>
      </c>
      <c r="J85" s="11">
        <v>3391</v>
      </c>
      <c r="K85" s="11">
        <v>38188</v>
      </c>
      <c r="L85" s="11">
        <v>0.298077157054074</v>
      </c>
      <c r="M85" s="11">
        <f t="shared" si="0"/>
        <v>29.807860772060973</v>
      </c>
      <c r="N85" s="11">
        <v>0.66438087774294696</v>
      </c>
      <c r="O85" s="11">
        <v>2.2302058137893801</v>
      </c>
      <c r="P85" s="11">
        <v>0.94172297297297303</v>
      </c>
      <c r="Q85" s="11">
        <v>0.97222222222222199</v>
      </c>
      <c r="R85" s="11">
        <v>0.90156599552572703</v>
      </c>
      <c r="S85" s="10" t="s">
        <v>84</v>
      </c>
      <c r="T85" s="10" t="s">
        <v>84</v>
      </c>
      <c r="U85" s="10"/>
      <c r="V85" s="10"/>
      <c r="W85" s="10"/>
      <c r="X85" s="10"/>
      <c r="Y85" s="10"/>
      <c r="Z85" s="10"/>
      <c r="AA85" s="10"/>
    </row>
    <row r="86" spans="1:27" ht="12.5" x14ac:dyDescent="0.25">
      <c r="A86" s="10" t="s">
        <v>36</v>
      </c>
      <c r="B86" s="10" t="s">
        <v>392</v>
      </c>
      <c r="C86" s="10" t="s">
        <v>76</v>
      </c>
      <c r="D86" s="11">
        <v>2024</v>
      </c>
      <c r="E86" s="10" t="s">
        <v>124</v>
      </c>
      <c r="F86" s="10" t="s">
        <v>83</v>
      </c>
      <c r="G86" s="10" t="s">
        <v>84</v>
      </c>
      <c r="H86" s="11">
        <v>5794</v>
      </c>
      <c r="I86" s="11">
        <v>1716</v>
      </c>
      <c r="J86" s="11">
        <v>1689</v>
      </c>
      <c r="K86" s="11">
        <v>1716</v>
      </c>
      <c r="L86" s="11">
        <v>0.29615141229937297</v>
      </c>
      <c r="M86" s="11">
        <f t="shared" si="0"/>
        <v>29.616845012081463</v>
      </c>
      <c r="N86" s="11">
        <v>0.98426573426573405</v>
      </c>
      <c r="O86" s="11">
        <v>0.29615141229937297</v>
      </c>
      <c r="P86" s="11">
        <v>0.94087837837837796</v>
      </c>
      <c r="Q86" s="11">
        <v>0.85106382978723405</v>
      </c>
      <c r="R86" s="11">
        <v>0.89932885906040305</v>
      </c>
      <c r="S86" s="10" t="s">
        <v>84</v>
      </c>
      <c r="T86" s="10" t="s">
        <v>84</v>
      </c>
      <c r="U86" s="10"/>
      <c r="V86" s="10"/>
      <c r="W86" s="10"/>
      <c r="X86" s="10"/>
      <c r="Y86" s="10"/>
      <c r="Z86" s="10"/>
      <c r="AA86" s="10"/>
    </row>
    <row r="87" spans="1:27" ht="12.5" hidden="1" x14ac:dyDescent="0.25">
      <c r="A87" s="10" t="s">
        <v>55</v>
      </c>
      <c r="B87" s="10" t="s">
        <v>532</v>
      </c>
      <c r="C87" s="10" t="s">
        <v>191</v>
      </c>
      <c r="D87" s="11">
        <v>2024</v>
      </c>
      <c r="E87" s="10" t="s">
        <v>124</v>
      </c>
      <c r="F87" s="10" t="s">
        <v>83</v>
      </c>
      <c r="G87" s="10" t="s">
        <v>84</v>
      </c>
      <c r="H87" s="12">
        <v>4506</v>
      </c>
      <c r="I87" s="11">
        <v>1334</v>
      </c>
      <c r="J87" s="11">
        <v>1174</v>
      </c>
      <c r="K87" s="11">
        <v>17407</v>
      </c>
      <c r="L87" s="11">
        <v>0.29607708953705603</v>
      </c>
      <c r="M87" s="11">
        <f t="shared" si="0"/>
        <v>29.60497114957834</v>
      </c>
      <c r="N87" s="11">
        <v>0.88005997001499203</v>
      </c>
      <c r="O87" s="11">
        <v>3.8634287088242401</v>
      </c>
      <c r="P87" s="11">
        <v>0.97181372549019596</v>
      </c>
      <c r="Q87" s="11">
        <v>0.96296296296296302</v>
      </c>
      <c r="R87" s="11">
        <v>0.95542635658914699</v>
      </c>
      <c r="S87" s="10" t="s">
        <v>84</v>
      </c>
      <c r="T87" s="10" t="s">
        <v>84</v>
      </c>
      <c r="U87" s="10"/>
      <c r="V87" s="10"/>
      <c r="W87" s="10"/>
      <c r="X87" s="10"/>
      <c r="Y87" s="10"/>
      <c r="Z87" s="10"/>
      <c r="AA87" s="10"/>
    </row>
    <row r="88" spans="1:27" ht="12.5" hidden="1" x14ac:dyDescent="0.25">
      <c r="A88" s="10" t="s">
        <v>36</v>
      </c>
      <c r="B88" s="10" t="s">
        <v>536</v>
      </c>
      <c r="C88" s="10" t="s">
        <v>191</v>
      </c>
      <c r="D88" s="11">
        <v>2024</v>
      </c>
      <c r="E88" s="10" t="s">
        <v>124</v>
      </c>
      <c r="F88" s="10" t="s">
        <v>125</v>
      </c>
      <c r="G88" s="10" t="s">
        <v>84</v>
      </c>
      <c r="H88" s="12">
        <v>656.33333333333303</v>
      </c>
      <c r="I88" s="11">
        <v>194</v>
      </c>
      <c r="J88" s="11">
        <v>171</v>
      </c>
      <c r="K88" s="11">
        <v>372</v>
      </c>
      <c r="L88" s="11">
        <v>0.295581513458608</v>
      </c>
      <c r="M88" s="11">
        <f t="shared" si="0"/>
        <v>29.558151345860857</v>
      </c>
      <c r="N88" s="11">
        <v>0.88144329896907203</v>
      </c>
      <c r="O88" s="11">
        <v>0.56678517013712504</v>
      </c>
      <c r="P88" s="11">
        <v>0.97058823529411797</v>
      </c>
      <c r="Q88" s="11">
        <v>0.95</v>
      </c>
      <c r="R88" s="11">
        <v>0.95348837209302295</v>
      </c>
      <c r="S88" s="10" t="s">
        <v>84</v>
      </c>
      <c r="T88" s="10" t="s">
        <v>84</v>
      </c>
      <c r="U88" s="10"/>
      <c r="V88" s="10"/>
      <c r="W88" s="10"/>
      <c r="X88" s="10"/>
      <c r="Y88" s="10"/>
      <c r="Z88" s="10"/>
      <c r="AA88" s="10"/>
    </row>
    <row r="89" spans="1:27" ht="12.5" x14ac:dyDescent="0.25">
      <c r="A89" s="10" t="s">
        <v>32</v>
      </c>
      <c r="B89" s="10" t="s">
        <v>394</v>
      </c>
      <c r="C89" s="10" t="s">
        <v>76</v>
      </c>
      <c r="D89" s="11">
        <v>2024</v>
      </c>
      <c r="E89" s="10" t="s">
        <v>124</v>
      </c>
      <c r="F89" s="10" t="s">
        <v>83</v>
      </c>
      <c r="G89" s="10" t="s">
        <v>84</v>
      </c>
      <c r="H89" s="11">
        <v>34699</v>
      </c>
      <c r="I89" s="11">
        <v>10249</v>
      </c>
      <c r="J89" s="11">
        <v>10181</v>
      </c>
      <c r="K89" s="11">
        <v>55321</v>
      </c>
      <c r="L89" s="11">
        <v>0.29536590520471101</v>
      </c>
      <c r="M89" s="11">
        <f t="shared" si="0"/>
        <v>29.536874261506096</v>
      </c>
      <c r="N89" s="11">
        <v>0.99336520636159598</v>
      </c>
      <c r="O89" s="11">
        <v>1.5942957597648399</v>
      </c>
      <c r="P89" s="11">
        <v>0.94003378378378399</v>
      </c>
      <c r="Q89" s="11">
        <v>0.82758620689655205</v>
      </c>
      <c r="R89" s="11">
        <v>0.89709172259507797</v>
      </c>
      <c r="S89" s="10" t="s">
        <v>84</v>
      </c>
      <c r="T89" s="10" t="s">
        <v>84</v>
      </c>
      <c r="U89" s="10"/>
      <c r="V89" s="10"/>
      <c r="W89" s="10"/>
      <c r="X89" s="10"/>
      <c r="Y89" s="10"/>
      <c r="Z89" s="10"/>
      <c r="AA89" s="10"/>
    </row>
    <row r="90" spans="1:27" ht="12.5" x14ac:dyDescent="0.25">
      <c r="A90" s="10" t="s">
        <v>42</v>
      </c>
      <c r="B90" s="10" t="s">
        <v>303</v>
      </c>
      <c r="C90" s="10" t="s">
        <v>76</v>
      </c>
      <c r="D90" s="11">
        <v>2024</v>
      </c>
      <c r="E90" s="10" t="s">
        <v>81</v>
      </c>
      <c r="F90" s="10" t="s">
        <v>83</v>
      </c>
      <c r="G90" s="10" t="s">
        <v>84</v>
      </c>
      <c r="H90" s="11">
        <v>8145</v>
      </c>
      <c r="I90" s="11">
        <v>2384</v>
      </c>
      <c r="J90" s="11">
        <v>2323</v>
      </c>
      <c r="K90" s="11">
        <v>6440</v>
      </c>
      <c r="L90" s="11">
        <v>0.292682926829268</v>
      </c>
      <c r="M90" s="11">
        <f t="shared" si="0"/>
        <v>29.269490484960098</v>
      </c>
      <c r="N90" s="11">
        <v>0.97441275167785202</v>
      </c>
      <c r="O90" s="11">
        <v>0.79063676542805705</v>
      </c>
      <c r="P90" s="11">
        <v>0.93918918918918903</v>
      </c>
      <c r="Q90" s="11">
        <v>0.97619047619047605</v>
      </c>
      <c r="R90" s="11">
        <v>0.96317829457364301</v>
      </c>
      <c r="S90" s="10" t="s">
        <v>84</v>
      </c>
      <c r="T90" s="10" t="s">
        <v>84</v>
      </c>
      <c r="U90" s="10"/>
      <c r="V90" s="10"/>
      <c r="W90" s="10"/>
      <c r="X90" s="10"/>
      <c r="Y90" s="10"/>
      <c r="Z90" s="10"/>
      <c r="AA90" s="10"/>
    </row>
    <row r="91" spans="1:27" ht="12.5" x14ac:dyDescent="0.25">
      <c r="A91" s="10" t="s">
        <v>12</v>
      </c>
      <c r="B91" s="10" t="s">
        <v>396</v>
      </c>
      <c r="C91" s="10" t="s">
        <v>76</v>
      </c>
      <c r="D91" s="11">
        <v>2024</v>
      </c>
      <c r="E91" s="10" t="s">
        <v>124</v>
      </c>
      <c r="F91" s="10" t="s">
        <v>83</v>
      </c>
      <c r="G91" s="10" t="s">
        <v>84</v>
      </c>
      <c r="H91" s="11">
        <v>90179</v>
      </c>
      <c r="I91" s="11">
        <v>26140</v>
      </c>
      <c r="J91" s="11">
        <v>21762</v>
      </c>
      <c r="K91" s="11">
        <v>122026</v>
      </c>
      <c r="L91" s="11">
        <v>0.28986792934053401</v>
      </c>
      <c r="M91" s="11">
        <f t="shared" si="0"/>
        <v>28.986792934053383</v>
      </c>
      <c r="N91" s="11">
        <v>0.83251721499617404</v>
      </c>
      <c r="O91" s="11">
        <v>1.3531531731334301</v>
      </c>
      <c r="P91" s="11">
        <v>0.93834459459459496</v>
      </c>
      <c r="Q91" s="11">
        <v>0.95833333333333304</v>
      </c>
      <c r="R91" s="11">
        <v>0.89485458612975399</v>
      </c>
      <c r="S91" s="10" t="s">
        <v>84</v>
      </c>
      <c r="T91" s="10" t="s">
        <v>84</v>
      </c>
      <c r="U91" s="10"/>
      <c r="V91" s="10"/>
      <c r="W91" s="10"/>
      <c r="X91" s="10"/>
      <c r="Y91" s="10"/>
      <c r="Z91" s="10"/>
      <c r="AA91" s="10"/>
    </row>
    <row r="92" spans="1:27" ht="12.5" x14ac:dyDescent="0.25">
      <c r="A92" s="10" t="s">
        <v>12</v>
      </c>
      <c r="B92" s="10" t="s">
        <v>398</v>
      </c>
      <c r="C92" s="10" t="s">
        <v>76</v>
      </c>
      <c r="D92" s="11">
        <v>2024</v>
      </c>
      <c r="E92" s="10" t="s">
        <v>124</v>
      </c>
      <c r="F92" s="10" t="s">
        <v>125</v>
      </c>
      <c r="G92" s="10" t="s">
        <v>84</v>
      </c>
      <c r="H92" s="11">
        <v>1282</v>
      </c>
      <c r="I92" s="11">
        <v>370</v>
      </c>
      <c r="J92" s="11">
        <v>370</v>
      </c>
      <c r="K92" s="11">
        <v>2365</v>
      </c>
      <c r="L92" s="11">
        <v>0.28853652196516799</v>
      </c>
      <c r="M92" s="11">
        <f t="shared" si="0"/>
        <v>28.861154446177846</v>
      </c>
      <c r="N92" s="11">
        <v>1</v>
      </c>
      <c r="O92" s="11">
        <v>1.8442942552638399</v>
      </c>
      <c r="P92" s="11">
        <v>0.9375</v>
      </c>
      <c r="Q92" s="11">
        <v>0.94444444444444398</v>
      </c>
      <c r="R92" s="11">
        <v>0.89261744966443002</v>
      </c>
      <c r="S92" s="10" t="s">
        <v>84</v>
      </c>
      <c r="T92" s="10" t="s">
        <v>84</v>
      </c>
      <c r="U92" s="10"/>
      <c r="V92" s="10"/>
      <c r="W92" s="10"/>
      <c r="X92" s="10"/>
      <c r="Y92" s="10"/>
      <c r="Z92" s="10"/>
      <c r="AA92" s="10"/>
    </row>
    <row r="93" spans="1:27" ht="12.5" hidden="1" x14ac:dyDescent="0.25">
      <c r="A93" s="10" t="s">
        <v>29</v>
      </c>
      <c r="B93" s="10" t="s">
        <v>551</v>
      </c>
      <c r="C93" s="10" t="s">
        <v>191</v>
      </c>
      <c r="D93" s="11">
        <v>2024</v>
      </c>
      <c r="E93" s="10" t="s">
        <v>124</v>
      </c>
      <c r="F93" s="10" t="s">
        <v>125</v>
      </c>
      <c r="G93" s="10" t="s">
        <v>84</v>
      </c>
      <c r="H93" s="12">
        <v>4600</v>
      </c>
      <c r="I93" s="11">
        <v>1327</v>
      </c>
      <c r="J93" s="11">
        <v>996</v>
      </c>
      <c r="K93" s="11">
        <v>14722</v>
      </c>
      <c r="L93" s="11">
        <v>0.28845213295897099</v>
      </c>
      <c r="M93" s="11">
        <f t="shared" si="0"/>
        <v>28.847826086956523</v>
      </c>
      <c r="N93" s="11">
        <v>0.75056518462697797</v>
      </c>
      <c r="O93" s="11">
        <v>3.2001449144099299</v>
      </c>
      <c r="P93" s="11">
        <v>0.96813725490196101</v>
      </c>
      <c r="Q93" s="11">
        <v>0.94366197183098599</v>
      </c>
      <c r="R93" s="11">
        <v>0.95155038759689903</v>
      </c>
      <c r="S93" s="10" t="s">
        <v>84</v>
      </c>
      <c r="T93" s="10" t="s">
        <v>84</v>
      </c>
      <c r="U93" s="10"/>
      <c r="V93" s="10"/>
      <c r="W93" s="10"/>
      <c r="X93" s="10"/>
      <c r="Y93" s="10"/>
      <c r="Z93" s="10"/>
      <c r="AA93" s="10"/>
    </row>
    <row r="94" spans="1:27" ht="12.5" hidden="1" x14ac:dyDescent="0.25">
      <c r="A94" s="10" t="s">
        <v>29</v>
      </c>
      <c r="B94" s="10" t="s">
        <v>555</v>
      </c>
      <c r="C94" s="10" t="s">
        <v>191</v>
      </c>
      <c r="D94" s="11">
        <v>2024</v>
      </c>
      <c r="E94" s="10" t="s">
        <v>124</v>
      </c>
      <c r="F94" s="10" t="s">
        <v>125</v>
      </c>
      <c r="G94" s="10" t="s">
        <v>84</v>
      </c>
      <c r="H94" s="12">
        <v>1671</v>
      </c>
      <c r="I94" s="11">
        <v>476</v>
      </c>
      <c r="J94" s="11">
        <v>231</v>
      </c>
      <c r="K94" s="11">
        <v>0</v>
      </c>
      <c r="L94" s="11">
        <v>0.28488778054862801</v>
      </c>
      <c r="M94" s="11">
        <f t="shared" si="0"/>
        <v>28.48593656493118</v>
      </c>
      <c r="N94" s="11">
        <v>0.48529411764705899</v>
      </c>
      <c r="O94" s="11">
        <v>0</v>
      </c>
      <c r="P94" s="11">
        <v>0.96691176470588203</v>
      </c>
      <c r="Q94" s="11">
        <v>0.92957746478873204</v>
      </c>
      <c r="R94" s="11">
        <v>0.94961240310077499</v>
      </c>
      <c r="S94" s="10" t="s">
        <v>84</v>
      </c>
      <c r="T94" s="10" t="s">
        <v>84</v>
      </c>
      <c r="U94" s="10"/>
      <c r="V94" s="10"/>
      <c r="W94" s="10"/>
      <c r="X94" s="10"/>
      <c r="Y94" s="10"/>
      <c r="Z94" s="10"/>
      <c r="AA94" s="10"/>
    </row>
    <row r="95" spans="1:27" ht="12.5" x14ac:dyDescent="0.25">
      <c r="A95" s="10" t="s">
        <v>86</v>
      </c>
      <c r="B95" s="10" t="s">
        <v>308</v>
      </c>
      <c r="C95" s="10" t="s">
        <v>76</v>
      </c>
      <c r="D95" s="11">
        <v>2024</v>
      </c>
      <c r="E95" s="10" t="s">
        <v>81</v>
      </c>
      <c r="F95" s="10" t="s">
        <v>83</v>
      </c>
      <c r="G95" s="10" t="s">
        <v>84</v>
      </c>
      <c r="H95" s="11">
        <v>19480</v>
      </c>
      <c r="I95" s="11">
        <v>5536</v>
      </c>
      <c r="J95" s="11">
        <v>2221</v>
      </c>
      <c r="K95" s="11">
        <v>26797</v>
      </c>
      <c r="L95" s="11">
        <v>0.28419134318397699</v>
      </c>
      <c r="M95" s="11">
        <f t="shared" si="0"/>
        <v>28.418891170431209</v>
      </c>
      <c r="N95" s="11">
        <v>0.401192196531792</v>
      </c>
      <c r="O95" s="11">
        <v>1.3756277860009101</v>
      </c>
      <c r="P95" s="11">
        <v>0.93665540540540504</v>
      </c>
      <c r="Q95" s="11">
        <v>0.86956521739130399</v>
      </c>
      <c r="R95" s="11">
        <v>0.96124031007751898</v>
      </c>
      <c r="S95" s="10" t="s">
        <v>84</v>
      </c>
      <c r="T95" s="10" t="s">
        <v>84</v>
      </c>
      <c r="U95" s="10"/>
      <c r="V95" s="10"/>
      <c r="W95" s="10"/>
      <c r="X95" s="10"/>
      <c r="Y95" s="10"/>
      <c r="Z95" s="10"/>
      <c r="AA95" s="10"/>
    </row>
    <row r="96" spans="1:27" ht="12.5" x14ac:dyDescent="0.25">
      <c r="A96" s="10" t="s">
        <v>86</v>
      </c>
      <c r="B96" s="10" t="s">
        <v>399</v>
      </c>
      <c r="C96" s="10" t="s">
        <v>76</v>
      </c>
      <c r="D96" s="11">
        <v>2024</v>
      </c>
      <c r="E96" s="10" t="s">
        <v>124</v>
      </c>
      <c r="F96" s="10" t="s">
        <v>83</v>
      </c>
      <c r="G96" s="10" t="s">
        <v>84</v>
      </c>
      <c r="H96" s="11">
        <v>9902</v>
      </c>
      <c r="I96" s="11">
        <v>2806</v>
      </c>
      <c r="J96" s="11">
        <v>2386</v>
      </c>
      <c r="K96" s="11">
        <v>40502</v>
      </c>
      <c r="L96" s="11">
        <v>0.28338663524659202</v>
      </c>
      <c r="M96" s="11">
        <f t="shared" si="0"/>
        <v>28.33770955362553</v>
      </c>
      <c r="N96" s="11">
        <v>0.85032074126871005</v>
      </c>
      <c r="O96" s="11">
        <v>4.0904224877966699</v>
      </c>
      <c r="P96" s="11">
        <v>0.93581081081081097</v>
      </c>
      <c r="Q96" s="11">
        <v>0.84782608695652195</v>
      </c>
      <c r="R96" s="11">
        <v>0.89038031319910504</v>
      </c>
      <c r="S96" s="10" t="s">
        <v>84</v>
      </c>
      <c r="T96" s="10" t="s">
        <v>84</v>
      </c>
      <c r="U96" s="10"/>
      <c r="V96" s="10"/>
      <c r="W96" s="10"/>
      <c r="X96" s="10"/>
      <c r="Y96" s="10"/>
      <c r="Z96" s="10"/>
      <c r="AA96" s="10"/>
    </row>
    <row r="97" spans="1:27" ht="12.5" x14ac:dyDescent="0.25">
      <c r="A97" s="10" t="s">
        <v>16</v>
      </c>
      <c r="B97" s="10" t="s">
        <v>401</v>
      </c>
      <c r="C97" s="10" t="s">
        <v>76</v>
      </c>
      <c r="D97" s="11">
        <v>2024</v>
      </c>
      <c r="E97" s="10" t="s">
        <v>124</v>
      </c>
      <c r="F97" s="10" t="s">
        <v>83</v>
      </c>
      <c r="G97" s="10" t="s">
        <v>84</v>
      </c>
      <c r="H97" s="11">
        <v>24498</v>
      </c>
      <c r="I97" s="11">
        <v>6929</v>
      </c>
      <c r="J97" s="11">
        <v>5632</v>
      </c>
      <c r="K97" s="11">
        <v>42366</v>
      </c>
      <c r="L97" s="11">
        <v>0.28283845334839097</v>
      </c>
      <c r="M97" s="11">
        <f t="shared" si="0"/>
        <v>28.283941546248677</v>
      </c>
      <c r="N97" s="11">
        <v>0.81281570212151799</v>
      </c>
      <c r="O97" s="11">
        <v>1.72935977984672</v>
      </c>
      <c r="P97" s="11">
        <v>0.93496621621621601</v>
      </c>
      <c r="Q97" s="11">
        <v>0.83333333333333304</v>
      </c>
      <c r="R97" s="11">
        <v>0.88814317673378096</v>
      </c>
      <c r="S97" s="10" t="s">
        <v>84</v>
      </c>
      <c r="T97" s="10" t="s">
        <v>84</v>
      </c>
      <c r="U97" s="10"/>
      <c r="V97" s="10"/>
      <c r="W97" s="10"/>
      <c r="X97" s="10"/>
      <c r="Y97" s="10"/>
      <c r="Z97" s="10"/>
      <c r="AA97" s="10"/>
    </row>
    <row r="98" spans="1:27" ht="12.5" hidden="1" x14ac:dyDescent="0.25">
      <c r="A98" s="10" t="s">
        <v>10</v>
      </c>
      <c r="B98" s="10" t="s">
        <v>567</v>
      </c>
      <c r="C98" s="10" t="s">
        <v>191</v>
      </c>
      <c r="D98" s="11">
        <v>2024</v>
      </c>
      <c r="E98" s="10" t="s">
        <v>124</v>
      </c>
      <c r="F98" s="10" t="s">
        <v>125</v>
      </c>
      <c r="G98" s="10" t="s">
        <v>84</v>
      </c>
      <c r="H98" s="12">
        <v>3147</v>
      </c>
      <c r="I98" s="11">
        <v>887</v>
      </c>
      <c r="J98" s="11">
        <v>747</v>
      </c>
      <c r="K98" s="11">
        <v>7352</v>
      </c>
      <c r="L98" s="11">
        <v>0.28181842251582001</v>
      </c>
      <c r="M98" s="11">
        <f t="shared" si="0"/>
        <v>28.185573562122656</v>
      </c>
      <c r="N98" s="11">
        <v>0.84216459977452096</v>
      </c>
      <c r="O98" s="11">
        <v>2.33588392597103</v>
      </c>
      <c r="P98" s="11">
        <v>0.96568627450980404</v>
      </c>
      <c r="Q98" s="11">
        <v>1</v>
      </c>
      <c r="R98" s="11">
        <v>0.94767441860465096</v>
      </c>
      <c r="S98" s="10" t="s">
        <v>84</v>
      </c>
      <c r="T98" s="10" t="s">
        <v>84</v>
      </c>
      <c r="U98" s="10"/>
      <c r="V98" s="10"/>
      <c r="W98" s="10"/>
      <c r="X98" s="10"/>
      <c r="Y98" s="10"/>
      <c r="Z98" s="10"/>
      <c r="AA98" s="10"/>
    </row>
    <row r="99" spans="1:27" ht="12.5" x14ac:dyDescent="0.25">
      <c r="A99" s="10" t="s">
        <v>86</v>
      </c>
      <c r="B99" s="10" t="s">
        <v>403</v>
      </c>
      <c r="C99" s="10" t="s">
        <v>76</v>
      </c>
      <c r="D99" s="11">
        <v>2024</v>
      </c>
      <c r="E99" s="10" t="s">
        <v>124</v>
      </c>
      <c r="F99" s="10" t="s">
        <v>83</v>
      </c>
      <c r="G99" s="10" t="s">
        <v>84</v>
      </c>
      <c r="H99" s="11">
        <v>38789</v>
      </c>
      <c r="I99" s="11">
        <v>10903</v>
      </c>
      <c r="J99" s="11">
        <v>8809</v>
      </c>
      <c r="K99" s="11">
        <v>198304</v>
      </c>
      <c r="L99" s="11">
        <v>0.28108303202562601</v>
      </c>
      <c r="M99" s="11">
        <f t="shared" si="0"/>
        <v>28.108484364123846</v>
      </c>
      <c r="N99" s="11">
        <v>0.80794276804549203</v>
      </c>
      <c r="O99" s="11">
        <v>5.1123442706419997</v>
      </c>
      <c r="P99" s="11">
        <v>0.93412162162162204</v>
      </c>
      <c r="Q99" s="11">
        <v>0.82608695652173902</v>
      </c>
      <c r="R99" s="11">
        <v>0.88590604026845599</v>
      </c>
      <c r="S99" s="10" t="s">
        <v>84</v>
      </c>
      <c r="T99" s="10" t="s">
        <v>84</v>
      </c>
      <c r="U99" s="10"/>
      <c r="V99" s="10"/>
      <c r="W99" s="10"/>
      <c r="X99" s="10"/>
      <c r="Y99" s="10"/>
      <c r="Z99" s="10"/>
      <c r="AA99" s="10"/>
    </row>
    <row r="100" spans="1:27" ht="12.5" hidden="1" x14ac:dyDescent="0.25">
      <c r="A100" s="10" t="s">
        <v>10</v>
      </c>
      <c r="B100" s="10" t="s">
        <v>573</v>
      </c>
      <c r="C100" s="10" t="s">
        <v>191</v>
      </c>
      <c r="D100" s="11">
        <v>2024</v>
      </c>
      <c r="E100" s="10" t="s">
        <v>124</v>
      </c>
      <c r="F100" s="10" t="s">
        <v>125</v>
      </c>
      <c r="G100" s="10" t="s">
        <v>84</v>
      </c>
      <c r="H100" s="12">
        <v>423.41666666666703</v>
      </c>
      <c r="I100" s="11">
        <v>119</v>
      </c>
      <c r="J100" s="11">
        <v>115</v>
      </c>
      <c r="K100" s="11">
        <v>1504</v>
      </c>
      <c r="L100" s="11">
        <v>0.28104703798464897</v>
      </c>
      <c r="M100" s="11">
        <f t="shared" si="0"/>
        <v>28.104703798464847</v>
      </c>
      <c r="N100" s="11">
        <v>0.96638655462184897</v>
      </c>
      <c r="O100" s="11">
        <v>3.5520566817555599</v>
      </c>
      <c r="P100" s="11">
        <v>0.96446078431372595</v>
      </c>
      <c r="Q100" s="11">
        <v>0.96551724137931005</v>
      </c>
      <c r="R100" s="11">
        <v>0.94573643410852704</v>
      </c>
      <c r="S100" s="10" t="s">
        <v>84</v>
      </c>
      <c r="T100" s="10" t="s">
        <v>84</v>
      </c>
      <c r="U100" s="10"/>
      <c r="V100" s="10"/>
      <c r="W100" s="10"/>
      <c r="X100" s="10"/>
      <c r="Y100" s="10"/>
      <c r="Z100" s="10"/>
      <c r="AA100" s="10"/>
    </row>
    <row r="101" spans="1:27" ht="12.5" x14ac:dyDescent="0.25">
      <c r="A101" s="10" t="s">
        <v>52</v>
      </c>
      <c r="B101" s="10" t="s">
        <v>314</v>
      </c>
      <c r="C101" s="10" t="s">
        <v>76</v>
      </c>
      <c r="D101" s="11">
        <v>2024</v>
      </c>
      <c r="E101" s="10" t="s">
        <v>81</v>
      </c>
      <c r="F101" s="10" t="s">
        <v>83</v>
      </c>
      <c r="G101" s="10" t="s">
        <v>84</v>
      </c>
      <c r="H101" s="11">
        <v>15145</v>
      </c>
      <c r="I101" s="11">
        <v>4256</v>
      </c>
      <c r="J101" s="11">
        <v>4132</v>
      </c>
      <c r="K101" s="11">
        <v>7655</v>
      </c>
      <c r="L101" s="11">
        <v>0.28102147608907402</v>
      </c>
      <c r="M101" s="11">
        <f t="shared" si="0"/>
        <v>28.101683724001319</v>
      </c>
      <c r="N101" s="11">
        <v>0.97086466165413499</v>
      </c>
      <c r="O101" s="11">
        <v>0.50545568596378299</v>
      </c>
      <c r="P101" s="11">
        <v>0.93327702702702697</v>
      </c>
      <c r="Q101" s="11">
        <v>0.93617021276595702</v>
      </c>
      <c r="R101" s="11">
        <v>0.95930232558139505</v>
      </c>
      <c r="S101" s="10" t="s">
        <v>84</v>
      </c>
      <c r="T101" s="10" t="s">
        <v>84</v>
      </c>
      <c r="U101" s="10"/>
      <c r="V101" s="10"/>
      <c r="W101" s="10"/>
      <c r="X101" s="10"/>
      <c r="Y101" s="10"/>
      <c r="Z101" s="10"/>
      <c r="AA101" s="10"/>
    </row>
    <row r="102" spans="1:27" ht="12.5" x14ac:dyDescent="0.25">
      <c r="A102" s="10" t="s">
        <v>86</v>
      </c>
      <c r="B102" s="10" t="s">
        <v>404</v>
      </c>
      <c r="C102" s="10" t="s">
        <v>76</v>
      </c>
      <c r="D102" s="11">
        <v>2024</v>
      </c>
      <c r="E102" s="10" t="s">
        <v>124</v>
      </c>
      <c r="F102" s="10" t="s">
        <v>83</v>
      </c>
      <c r="G102" s="10" t="s">
        <v>84</v>
      </c>
      <c r="H102" s="11">
        <v>10542</v>
      </c>
      <c r="I102" s="11">
        <v>2959</v>
      </c>
      <c r="J102" s="11">
        <v>2705</v>
      </c>
      <c r="K102" s="11">
        <v>0</v>
      </c>
      <c r="L102" s="11">
        <v>0.280682339177588</v>
      </c>
      <c r="M102" s="11">
        <f t="shared" si="0"/>
        <v>28.068677670271295</v>
      </c>
      <c r="N102" s="11">
        <v>0.91416018925312603</v>
      </c>
      <c r="O102" s="11">
        <v>0</v>
      </c>
      <c r="P102" s="11">
        <v>0.93243243243243201</v>
      </c>
      <c r="Q102" s="11">
        <v>0.80434782608695699</v>
      </c>
      <c r="R102" s="11">
        <v>0.88366890380313201</v>
      </c>
      <c r="S102" s="10" t="s">
        <v>84</v>
      </c>
      <c r="T102" s="10" t="s">
        <v>84</v>
      </c>
      <c r="U102" s="10"/>
      <c r="V102" s="10"/>
      <c r="W102" s="10"/>
      <c r="X102" s="10"/>
      <c r="Y102" s="10"/>
      <c r="Z102" s="10"/>
      <c r="AA102" s="10"/>
    </row>
    <row r="103" spans="1:27" ht="12.5" hidden="1" x14ac:dyDescent="0.25">
      <c r="A103" s="10" t="s">
        <v>10</v>
      </c>
      <c r="B103" s="10" t="s">
        <v>583</v>
      </c>
      <c r="C103" s="10" t="s">
        <v>191</v>
      </c>
      <c r="D103" s="11">
        <v>2024</v>
      </c>
      <c r="E103" s="10" t="s">
        <v>124</v>
      </c>
      <c r="F103" s="10" t="s">
        <v>125</v>
      </c>
      <c r="G103" s="10" t="s">
        <v>84</v>
      </c>
      <c r="H103" s="12">
        <v>709.91666666666697</v>
      </c>
      <c r="I103" s="11">
        <v>199</v>
      </c>
      <c r="J103" s="11">
        <v>162</v>
      </c>
      <c r="K103" s="11">
        <v>2777</v>
      </c>
      <c r="L103" s="11">
        <v>0.28031459091442701</v>
      </c>
      <c r="M103" s="11">
        <f t="shared" si="0"/>
        <v>28.031459091442645</v>
      </c>
      <c r="N103" s="11">
        <v>0.81407035175879405</v>
      </c>
      <c r="O103" s="11">
        <v>3.9117267284892598</v>
      </c>
      <c r="P103" s="11">
        <v>0.96323529411764697</v>
      </c>
      <c r="Q103" s="11">
        <v>0.931034482758621</v>
      </c>
      <c r="R103" s="11">
        <v>0.943798449612403</v>
      </c>
      <c r="S103" s="10" t="s">
        <v>84</v>
      </c>
      <c r="T103" s="10" t="s">
        <v>84</v>
      </c>
      <c r="U103" s="10"/>
      <c r="V103" s="10"/>
      <c r="W103" s="10"/>
      <c r="X103" s="10"/>
      <c r="Y103" s="10"/>
      <c r="Z103" s="10"/>
      <c r="AA103" s="10"/>
    </row>
    <row r="104" spans="1:27" ht="12.5" x14ac:dyDescent="0.25">
      <c r="A104" s="10" t="s">
        <v>36</v>
      </c>
      <c r="B104" s="10" t="s">
        <v>587</v>
      </c>
      <c r="C104" s="10" t="s">
        <v>76</v>
      </c>
      <c r="D104" s="11">
        <v>2024</v>
      </c>
      <c r="E104" s="10" t="s">
        <v>257</v>
      </c>
      <c r="F104" s="10" t="s">
        <v>83</v>
      </c>
      <c r="G104" s="10" t="s">
        <v>84</v>
      </c>
      <c r="H104" s="11">
        <v>9232</v>
      </c>
      <c r="I104" s="11">
        <v>2573</v>
      </c>
      <c r="J104" s="11">
        <v>2253</v>
      </c>
      <c r="K104" s="11">
        <v>9210</v>
      </c>
      <c r="L104" s="11">
        <v>0.278704506065858</v>
      </c>
      <c r="M104" s="11">
        <f t="shared" si="0"/>
        <v>27.870450606585788</v>
      </c>
      <c r="N104" s="11">
        <v>0.875631558492033</v>
      </c>
      <c r="O104" s="11">
        <v>0.99761698440208002</v>
      </c>
      <c r="P104" s="11">
        <v>0.93158783783783805</v>
      </c>
      <c r="Q104" s="11">
        <v>0.82978723404255295</v>
      </c>
      <c r="R104" s="11">
        <v>0.95454545454545503</v>
      </c>
      <c r="S104" s="10" t="s">
        <v>84</v>
      </c>
      <c r="T104" s="10" t="s">
        <v>84</v>
      </c>
      <c r="U104" s="10"/>
      <c r="V104" s="10"/>
      <c r="W104" s="10"/>
      <c r="X104" s="10"/>
      <c r="Y104" s="10"/>
      <c r="Z104" s="10"/>
      <c r="AA104" s="10"/>
    </row>
    <row r="105" spans="1:27" ht="12.5" x14ac:dyDescent="0.25">
      <c r="A105" s="10" t="s">
        <v>10</v>
      </c>
      <c r="B105" s="10" t="s">
        <v>319</v>
      </c>
      <c r="C105" s="10" t="s">
        <v>76</v>
      </c>
      <c r="D105" s="11">
        <v>2024</v>
      </c>
      <c r="E105" s="10" t="s">
        <v>81</v>
      </c>
      <c r="F105" s="10" t="s">
        <v>83</v>
      </c>
      <c r="G105" s="10" t="s">
        <v>84</v>
      </c>
      <c r="H105" s="11">
        <v>33049</v>
      </c>
      <c r="I105" s="11">
        <v>9180</v>
      </c>
      <c r="J105" s="11">
        <v>9183</v>
      </c>
      <c r="K105" s="11">
        <v>13763</v>
      </c>
      <c r="L105" s="11">
        <v>0.27776587080457799</v>
      </c>
      <c r="M105" s="11">
        <f t="shared" si="0"/>
        <v>27.776937274955372</v>
      </c>
      <c r="N105" s="11">
        <v>1.00032679738562</v>
      </c>
      <c r="O105" s="11">
        <v>0.41643700216594798</v>
      </c>
      <c r="P105" s="11">
        <v>0.93074324324324298</v>
      </c>
      <c r="Q105" s="11">
        <v>0.86666666666666703</v>
      </c>
      <c r="R105" s="11">
        <v>0.95736434108527102</v>
      </c>
      <c r="S105" s="10" t="s">
        <v>84</v>
      </c>
      <c r="T105" s="10" t="s">
        <v>84</v>
      </c>
      <c r="U105" s="10"/>
      <c r="V105" s="10"/>
      <c r="W105" s="10"/>
      <c r="X105" s="10"/>
      <c r="Y105" s="10"/>
      <c r="Z105" s="10"/>
      <c r="AA105" s="10"/>
    </row>
    <row r="106" spans="1:27" ht="12.5" x14ac:dyDescent="0.25">
      <c r="A106" s="10" t="s">
        <v>16</v>
      </c>
      <c r="B106" s="10" t="s">
        <v>325</v>
      </c>
      <c r="C106" s="10" t="s">
        <v>76</v>
      </c>
      <c r="D106" s="11">
        <v>2024</v>
      </c>
      <c r="E106" s="10" t="s">
        <v>81</v>
      </c>
      <c r="F106" s="10" t="s">
        <v>83</v>
      </c>
      <c r="G106" s="10" t="s">
        <v>84</v>
      </c>
      <c r="H106" s="11">
        <v>247295</v>
      </c>
      <c r="I106" s="11">
        <v>68617</v>
      </c>
      <c r="J106" s="11">
        <v>68333</v>
      </c>
      <c r="K106" s="11">
        <v>209490</v>
      </c>
      <c r="L106" s="11">
        <v>0.27747078887722898</v>
      </c>
      <c r="M106" s="11">
        <f t="shared" si="0"/>
        <v>27.747022786550474</v>
      </c>
      <c r="N106" s="11">
        <v>0.99586108398793305</v>
      </c>
      <c r="O106" s="11">
        <v>0.84712761505007195</v>
      </c>
      <c r="P106" s="11">
        <v>0.92989864864864902</v>
      </c>
      <c r="Q106" s="11">
        <v>0.8</v>
      </c>
      <c r="R106" s="11">
        <v>0.95542635658914699</v>
      </c>
      <c r="S106" s="10" t="s">
        <v>84</v>
      </c>
      <c r="T106" s="10" t="s">
        <v>84</v>
      </c>
      <c r="U106" s="10"/>
      <c r="V106" s="10"/>
      <c r="W106" s="10"/>
      <c r="X106" s="10"/>
      <c r="Y106" s="10"/>
      <c r="Z106" s="10"/>
      <c r="AA106" s="10"/>
    </row>
    <row r="107" spans="1:27" ht="12.5" x14ac:dyDescent="0.25">
      <c r="A107" s="10" t="s">
        <v>16</v>
      </c>
      <c r="B107" s="10" t="s">
        <v>330</v>
      </c>
      <c r="C107" s="10" t="s">
        <v>76</v>
      </c>
      <c r="D107" s="11">
        <v>2024</v>
      </c>
      <c r="E107" s="10" t="s">
        <v>81</v>
      </c>
      <c r="F107" s="10" t="s">
        <v>83</v>
      </c>
      <c r="G107" s="10" t="s">
        <v>84</v>
      </c>
      <c r="H107" s="11">
        <v>171257</v>
      </c>
      <c r="I107" s="11">
        <v>47325</v>
      </c>
      <c r="J107" s="11">
        <v>43723</v>
      </c>
      <c r="K107" s="11">
        <v>241557</v>
      </c>
      <c r="L107" s="11">
        <v>0.27633974168389602</v>
      </c>
      <c r="M107" s="11">
        <f t="shared" si="0"/>
        <v>27.633906935190971</v>
      </c>
      <c r="N107" s="11">
        <v>0.92388800845219199</v>
      </c>
      <c r="O107" s="11">
        <v>1.41049760130876</v>
      </c>
      <c r="P107" s="11">
        <v>0.92820945945945899</v>
      </c>
      <c r="Q107" s="11">
        <v>0.76666666666666705</v>
      </c>
      <c r="R107" s="11">
        <v>0.95348837209302295</v>
      </c>
      <c r="S107" s="10" t="s">
        <v>84</v>
      </c>
      <c r="T107" s="10" t="s">
        <v>84</v>
      </c>
      <c r="U107" s="10"/>
      <c r="V107" s="10"/>
      <c r="W107" s="10"/>
      <c r="X107" s="10"/>
      <c r="Y107" s="10"/>
      <c r="Z107" s="10"/>
      <c r="AA107" s="10"/>
    </row>
    <row r="108" spans="1:27" ht="12.5" x14ac:dyDescent="0.25">
      <c r="A108" s="10" t="s">
        <v>14</v>
      </c>
      <c r="B108" s="10" t="s">
        <v>406</v>
      </c>
      <c r="C108" s="10" t="s">
        <v>76</v>
      </c>
      <c r="D108" s="11">
        <v>2024</v>
      </c>
      <c r="E108" s="10" t="s">
        <v>124</v>
      </c>
      <c r="F108" s="10" t="s">
        <v>83</v>
      </c>
      <c r="G108" s="10" t="s">
        <v>84</v>
      </c>
      <c r="H108" s="11">
        <v>7858</v>
      </c>
      <c r="I108" s="11">
        <v>2155</v>
      </c>
      <c r="J108" s="11">
        <v>1922</v>
      </c>
      <c r="K108" s="11">
        <v>20249</v>
      </c>
      <c r="L108" s="11">
        <v>0.27422826905335002</v>
      </c>
      <c r="M108" s="11">
        <f t="shared" si="0"/>
        <v>27.424280987528633</v>
      </c>
      <c r="N108" s="11">
        <v>0.89187935034802801</v>
      </c>
      <c r="O108" s="11">
        <v>2.5767277123254302</v>
      </c>
      <c r="P108" s="11">
        <v>0.92736486486486502</v>
      </c>
      <c r="Q108" s="11">
        <v>0.89285714285714302</v>
      </c>
      <c r="R108" s="11">
        <v>0.88143176733780804</v>
      </c>
      <c r="S108" s="10" t="s">
        <v>84</v>
      </c>
      <c r="T108" s="10" t="s">
        <v>84</v>
      </c>
      <c r="U108" s="10"/>
      <c r="V108" s="10"/>
      <c r="W108" s="10"/>
      <c r="X108" s="10"/>
      <c r="Y108" s="10"/>
      <c r="Z108" s="10"/>
      <c r="AA108" s="10"/>
    </row>
    <row r="109" spans="1:27" ht="12.5" x14ac:dyDescent="0.25">
      <c r="A109" s="10" t="s">
        <v>52</v>
      </c>
      <c r="B109" s="10" t="s">
        <v>407</v>
      </c>
      <c r="C109" s="10" t="s">
        <v>76</v>
      </c>
      <c r="D109" s="11">
        <v>2024</v>
      </c>
      <c r="E109" s="10" t="s">
        <v>124</v>
      </c>
      <c r="F109" s="10" t="s">
        <v>83</v>
      </c>
      <c r="G109" s="10" t="s">
        <v>84</v>
      </c>
      <c r="H109" s="11">
        <v>8718</v>
      </c>
      <c r="I109" s="11">
        <v>2386</v>
      </c>
      <c r="J109" s="11">
        <v>2207</v>
      </c>
      <c r="K109" s="11">
        <v>16024</v>
      </c>
      <c r="L109" s="11">
        <v>0.27367616134582301</v>
      </c>
      <c r="M109" s="11">
        <f t="shared" si="0"/>
        <v>27.368662537279192</v>
      </c>
      <c r="N109" s="11">
        <v>0.92497904442581702</v>
      </c>
      <c r="O109" s="11">
        <v>1.8379659720894701</v>
      </c>
      <c r="P109" s="11">
        <v>0.92652027027026995</v>
      </c>
      <c r="Q109" s="11">
        <v>0.91489361702127703</v>
      </c>
      <c r="R109" s="11">
        <v>0.87919463087248295</v>
      </c>
      <c r="S109" s="10" t="s">
        <v>84</v>
      </c>
      <c r="T109" s="10" t="s">
        <v>84</v>
      </c>
      <c r="U109" s="10"/>
      <c r="V109" s="10"/>
      <c r="W109" s="10"/>
      <c r="X109" s="10"/>
      <c r="Y109" s="10"/>
      <c r="Z109" s="10"/>
      <c r="AA109" s="10"/>
    </row>
    <row r="110" spans="1:27" ht="12.5" x14ac:dyDescent="0.25">
      <c r="A110" s="10" t="s">
        <v>86</v>
      </c>
      <c r="B110" s="10" t="s">
        <v>409</v>
      </c>
      <c r="C110" s="10" t="s">
        <v>76</v>
      </c>
      <c r="D110" s="11">
        <v>2024</v>
      </c>
      <c r="E110" s="10" t="s">
        <v>124</v>
      </c>
      <c r="F110" s="10" t="s">
        <v>83</v>
      </c>
      <c r="G110" s="10" t="s">
        <v>84</v>
      </c>
      <c r="H110" s="11">
        <v>10720</v>
      </c>
      <c r="I110" s="11">
        <v>2929</v>
      </c>
      <c r="J110" s="11">
        <v>2767</v>
      </c>
      <c r="K110" s="11">
        <v>18898</v>
      </c>
      <c r="L110" s="11">
        <v>0.27322336406461301</v>
      </c>
      <c r="M110" s="11">
        <f t="shared" si="0"/>
        <v>27.322761194029848</v>
      </c>
      <c r="N110" s="11">
        <v>0.94469102082622103</v>
      </c>
      <c r="O110" s="11">
        <v>1.76284572690101</v>
      </c>
      <c r="P110" s="11">
        <v>0.92567567567567599</v>
      </c>
      <c r="Q110" s="11">
        <v>0.78260869565217395</v>
      </c>
      <c r="R110" s="11">
        <v>0.87695749440715898</v>
      </c>
      <c r="S110" s="10" t="s">
        <v>84</v>
      </c>
      <c r="T110" s="10" t="s">
        <v>84</v>
      </c>
      <c r="U110" s="10"/>
      <c r="V110" s="10"/>
      <c r="W110" s="10"/>
      <c r="X110" s="10"/>
      <c r="Y110" s="10"/>
      <c r="Z110" s="10"/>
      <c r="AA110" s="10"/>
    </row>
    <row r="111" spans="1:27" ht="12.5" hidden="1" x14ac:dyDescent="0.25">
      <c r="A111" s="10" t="s">
        <v>13</v>
      </c>
      <c r="B111" s="10" t="s">
        <v>609</v>
      </c>
      <c r="C111" s="10" t="s">
        <v>191</v>
      </c>
      <c r="D111" s="11">
        <v>2024</v>
      </c>
      <c r="E111" s="10" t="s">
        <v>124</v>
      </c>
      <c r="F111" s="10" t="s">
        <v>125</v>
      </c>
      <c r="G111" s="10" t="s">
        <v>84</v>
      </c>
      <c r="H111" s="12">
        <v>945.08333333333303</v>
      </c>
      <c r="I111" s="11">
        <v>256</v>
      </c>
      <c r="J111" s="11">
        <v>256</v>
      </c>
      <c r="K111" s="11">
        <v>1021</v>
      </c>
      <c r="L111" s="11">
        <v>0.27087558416365398</v>
      </c>
      <c r="M111" s="11">
        <f t="shared" si="0"/>
        <v>27.087558416365411</v>
      </c>
      <c r="N111" s="11">
        <v>1</v>
      </c>
      <c r="O111" s="11">
        <v>1.0803280134027</v>
      </c>
      <c r="P111" s="11">
        <v>0.96200980392156898</v>
      </c>
      <c r="Q111" s="11">
        <v>0.931034482758621</v>
      </c>
      <c r="R111" s="11">
        <v>0.94186046511627897</v>
      </c>
      <c r="S111" s="10" t="s">
        <v>84</v>
      </c>
      <c r="T111" s="10" t="s">
        <v>84</v>
      </c>
      <c r="U111" s="10"/>
      <c r="V111" s="10"/>
      <c r="W111" s="10"/>
      <c r="X111" s="10"/>
      <c r="Y111" s="10"/>
      <c r="Z111" s="10"/>
      <c r="AA111" s="10"/>
    </row>
    <row r="112" spans="1:27" ht="12.5" x14ac:dyDescent="0.25">
      <c r="A112" s="10" t="s">
        <v>14</v>
      </c>
      <c r="B112" s="10" t="s">
        <v>411</v>
      </c>
      <c r="C112" s="10" t="s">
        <v>76</v>
      </c>
      <c r="D112" s="11">
        <v>2024</v>
      </c>
      <c r="E112" s="10" t="s">
        <v>124</v>
      </c>
      <c r="F112" s="10" t="s">
        <v>125</v>
      </c>
      <c r="G112" s="10" t="s">
        <v>84</v>
      </c>
      <c r="H112" s="11">
        <v>1806</v>
      </c>
      <c r="I112" s="11">
        <v>483</v>
      </c>
      <c r="J112" s="11">
        <v>336</v>
      </c>
      <c r="K112" s="11">
        <v>0</v>
      </c>
      <c r="L112" s="11">
        <v>0.26738017253309998</v>
      </c>
      <c r="M112" s="11">
        <f t="shared" si="0"/>
        <v>26.744186046511626</v>
      </c>
      <c r="N112" s="11">
        <v>0.69565217391304301</v>
      </c>
      <c r="O112" s="11">
        <v>0</v>
      </c>
      <c r="P112" s="11">
        <v>0.92398648648648696</v>
      </c>
      <c r="Q112" s="11">
        <v>0.85714285714285698</v>
      </c>
      <c r="R112" s="11">
        <v>0.874720357941834</v>
      </c>
      <c r="S112" s="10" t="s">
        <v>84</v>
      </c>
      <c r="T112" s="10" t="s">
        <v>84</v>
      </c>
      <c r="U112" s="10"/>
      <c r="V112" s="10"/>
      <c r="W112" s="10"/>
      <c r="X112" s="10"/>
      <c r="Y112" s="10"/>
      <c r="Z112" s="10"/>
      <c r="AA112" s="10"/>
    </row>
    <row r="113" spans="1:27" ht="12.5" hidden="1" x14ac:dyDescent="0.25">
      <c r="A113" s="10" t="s">
        <v>58</v>
      </c>
      <c r="B113" s="10" t="s">
        <v>616</v>
      </c>
      <c r="C113" s="10" t="s">
        <v>191</v>
      </c>
      <c r="D113" s="11">
        <v>2024</v>
      </c>
      <c r="E113" s="10" t="s">
        <v>124</v>
      </c>
      <c r="F113" s="10" t="s">
        <v>125</v>
      </c>
      <c r="G113" s="10" t="s">
        <v>84</v>
      </c>
      <c r="H113" s="12">
        <v>455.66666666666703</v>
      </c>
      <c r="I113" s="11">
        <v>121</v>
      </c>
      <c r="J113" s="11">
        <v>77</v>
      </c>
      <c r="K113" s="11">
        <v>989</v>
      </c>
      <c r="L113" s="11">
        <v>0.26554498902706702</v>
      </c>
      <c r="M113" s="11">
        <f t="shared" si="0"/>
        <v>26.554498902706637</v>
      </c>
      <c r="N113" s="11">
        <v>0.63636363636363602</v>
      </c>
      <c r="O113" s="11">
        <v>2.17044623262619</v>
      </c>
      <c r="P113" s="11">
        <v>0.96078431372549</v>
      </c>
      <c r="Q113" s="11">
        <v>0.92452830188679203</v>
      </c>
      <c r="R113" s="11">
        <v>0.93992248062015504</v>
      </c>
      <c r="S113" s="10" t="s">
        <v>84</v>
      </c>
      <c r="T113" s="10" t="s">
        <v>84</v>
      </c>
      <c r="U113" s="10"/>
      <c r="V113" s="10"/>
      <c r="W113" s="10"/>
      <c r="X113" s="10"/>
      <c r="Y113" s="10"/>
      <c r="Z113" s="10"/>
      <c r="AA113" s="10"/>
    </row>
    <row r="114" spans="1:27" ht="12.5" hidden="1" x14ac:dyDescent="0.25">
      <c r="A114" s="10" t="s">
        <v>10</v>
      </c>
      <c r="B114" s="10" t="s">
        <v>620</v>
      </c>
      <c r="C114" s="10" t="s">
        <v>191</v>
      </c>
      <c r="D114" s="11">
        <v>2024</v>
      </c>
      <c r="E114" s="10" t="s">
        <v>124</v>
      </c>
      <c r="F114" s="10" t="s">
        <v>125</v>
      </c>
      <c r="G114" s="10" t="s">
        <v>84</v>
      </c>
      <c r="H114" s="12">
        <v>354.25</v>
      </c>
      <c r="I114" s="11">
        <v>94</v>
      </c>
      <c r="J114" s="11">
        <v>73</v>
      </c>
      <c r="K114" s="11">
        <v>118</v>
      </c>
      <c r="L114" s="11">
        <v>0.26534932956951301</v>
      </c>
      <c r="M114" s="11">
        <f t="shared" si="0"/>
        <v>26.534932956951309</v>
      </c>
      <c r="N114" s="11">
        <v>0.77659574468085102</v>
      </c>
      <c r="O114" s="11">
        <v>0.33309809456598399</v>
      </c>
      <c r="P114" s="11">
        <v>0.95955882352941202</v>
      </c>
      <c r="Q114" s="11">
        <v>0.89655172413793105</v>
      </c>
      <c r="R114" s="11">
        <v>0.93798449612403101</v>
      </c>
      <c r="S114" s="10" t="s">
        <v>84</v>
      </c>
      <c r="T114" s="10" t="s">
        <v>84</v>
      </c>
      <c r="U114" s="10"/>
      <c r="V114" s="10"/>
      <c r="W114" s="10"/>
      <c r="X114" s="10"/>
      <c r="Y114" s="10"/>
      <c r="Z114" s="10"/>
      <c r="AA114" s="10"/>
    </row>
    <row r="115" spans="1:27" ht="12.5" hidden="1" x14ac:dyDescent="0.25">
      <c r="A115" s="10" t="s">
        <v>13</v>
      </c>
      <c r="B115" s="10" t="s">
        <v>623</v>
      </c>
      <c r="C115" s="10" t="s">
        <v>191</v>
      </c>
      <c r="D115" s="11">
        <v>2024</v>
      </c>
      <c r="E115" s="10" t="s">
        <v>124</v>
      </c>
      <c r="F115" s="10" t="s">
        <v>125</v>
      </c>
      <c r="G115" s="10" t="s">
        <v>84</v>
      </c>
      <c r="H115" s="12">
        <v>330.08333333333297</v>
      </c>
      <c r="I115" s="11">
        <v>87</v>
      </c>
      <c r="J115" s="11">
        <v>85</v>
      </c>
      <c r="K115" s="11">
        <v>564</v>
      </c>
      <c r="L115" s="11">
        <v>0.26356980560464499</v>
      </c>
      <c r="M115" s="11">
        <f t="shared" si="0"/>
        <v>26.35698056046456</v>
      </c>
      <c r="N115" s="11">
        <v>0.97701149425287404</v>
      </c>
      <c r="O115" s="11">
        <v>1.7086594294370101</v>
      </c>
      <c r="P115" s="11">
        <v>0.95833333333333304</v>
      </c>
      <c r="Q115" s="11">
        <v>0.91379310344827602</v>
      </c>
      <c r="R115" s="11">
        <v>0.93604651162790697</v>
      </c>
      <c r="S115" s="10" t="s">
        <v>84</v>
      </c>
      <c r="T115" s="10" t="s">
        <v>84</v>
      </c>
      <c r="U115" s="10"/>
      <c r="V115" s="10"/>
      <c r="W115" s="10"/>
      <c r="X115" s="10"/>
      <c r="Y115" s="10"/>
      <c r="Z115" s="10"/>
      <c r="AA115" s="10"/>
    </row>
    <row r="116" spans="1:27" ht="12.5" x14ac:dyDescent="0.25">
      <c r="A116" s="10" t="s">
        <v>36</v>
      </c>
      <c r="B116" s="10" t="s">
        <v>413</v>
      </c>
      <c r="C116" s="10" t="s">
        <v>76</v>
      </c>
      <c r="D116" s="11">
        <v>2024</v>
      </c>
      <c r="E116" s="10" t="s">
        <v>124</v>
      </c>
      <c r="F116" s="10" t="s">
        <v>83</v>
      </c>
      <c r="G116" s="10" t="s">
        <v>84</v>
      </c>
      <c r="H116" s="11">
        <v>1726</v>
      </c>
      <c r="I116" s="11">
        <v>445</v>
      </c>
      <c r="J116" s="11">
        <v>292</v>
      </c>
      <c r="K116" s="11">
        <v>0</v>
      </c>
      <c r="L116" s="11">
        <v>0.25784645098985998</v>
      </c>
      <c r="M116" s="11">
        <f t="shared" si="0"/>
        <v>25.782155272305911</v>
      </c>
      <c r="N116" s="11">
        <v>0.65617977528089899</v>
      </c>
      <c r="O116" s="11">
        <v>0</v>
      </c>
      <c r="P116" s="11">
        <v>0.923141891891892</v>
      </c>
      <c r="Q116" s="11">
        <v>0.80851063829787195</v>
      </c>
      <c r="R116" s="11">
        <v>0.87248322147651003</v>
      </c>
      <c r="S116" s="10" t="s">
        <v>84</v>
      </c>
      <c r="T116" s="10" t="s">
        <v>84</v>
      </c>
      <c r="U116" s="10"/>
      <c r="V116" s="10"/>
      <c r="W116" s="10"/>
      <c r="X116" s="10"/>
      <c r="Y116" s="10"/>
      <c r="Z116" s="10"/>
      <c r="AA116" s="10"/>
    </row>
    <row r="117" spans="1:27" ht="12.5" hidden="1" x14ac:dyDescent="0.25">
      <c r="A117" s="10" t="s">
        <v>13</v>
      </c>
      <c r="B117" s="10" t="s">
        <v>629</v>
      </c>
      <c r="C117" s="10" t="s">
        <v>191</v>
      </c>
      <c r="D117" s="11">
        <v>2024</v>
      </c>
      <c r="E117" s="10" t="s">
        <v>124</v>
      </c>
      <c r="F117" s="10" t="s">
        <v>125</v>
      </c>
      <c r="G117" s="10" t="s">
        <v>84</v>
      </c>
      <c r="H117" s="12">
        <v>1757</v>
      </c>
      <c r="I117" s="11">
        <v>452</v>
      </c>
      <c r="J117" s="11">
        <v>315</v>
      </c>
      <c r="K117" s="11">
        <v>0</v>
      </c>
      <c r="L117" s="11">
        <v>0.25725668753557202</v>
      </c>
      <c r="M117" s="11">
        <f t="shared" si="0"/>
        <v>25.725668753557201</v>
      </c>
      <c r="N117" s="11">
        <v>0.696902654867257</v>
      </c>
      <c r="O117" s="11">
        <v>0</v>
      </c>
      <c r="P117" s="11">
        <v>0.95710784313725505</v>
      </c>
      <c r="Q117" s="11">
        <v>0.89655172413793105</v>
      </c>
      <c r="R117" s="11">
        <v>0.93410852713178305</v>
      </c>
      <c r="S117" s="10" t="s">
        <v>84</v>
      </c>
      <c r="T117" s="10" t="s">
        <v>84</v>
      </c>
      <c r="U117" s="10"/>
      <c r="V117" s="10"/>
      <c r="W117" s="10"/>
      <c r="X117" s="10"/>
      <c r="Y117" s="10"/>
      <c r="Z117" s="10"/>
      <c r="AA117" s="10"/>
    </row>
    <row r="118" spans="1:27" ht="12.5" hidden="1" x14ac:dyDescent="0.25">
      <c r="A118" s="10" t="s">
        <v>58</v>
      </c>
      <c r="B118" s="10" t="s">
        <v>633</v>
      </c>
      <c r="C118" s="10" t="s">
        <v>191</v>
      </c>
      <c r="D118" s="11">
        <v>2024</v>
      </c>
      <c r="E118" s="10" t="s">
        <v>124</v>
      </c>
      <c r="F118" s="10" t="s">
        <v>125</v>
      </c>
      <c r="G118" s="10" t="s">
        <v>84</v>
      </c>
      <c r="H118" s="12">
        <v>1493</v>
      </c>
      <c r="I118" s="11">
        <v>384</v>
      </c>
      <c r="J118" s="11">
        <v>338</v>
      </c>
      <c r="K118" s="11">
        <v>898</v>
      </c>
      <c r="L118" s="11">
        <v>0.257157207433451</v>
      </c>
      <c r="M118" s="11">
        <f t="shared" si="0"/>
        <v>25.720026791694572</v>
      </c>
      <c r="N118" s="11">
        <v>0.88020833333333304</v>
      </c>
      <c r="O118" s="11">
        <v>0.60137284446676698</v>
      </c>
      <c r="P118" s="11">
        <v>0.95588235294117696</v>
      </c>
      <c r="Q118" s="11">
        <v>0.90566037735849103</v>
      </c>
      <c r="R118" s="11">
        <v>0.93217054263565902</v>
      </c>
      <c r="S118" s="10" t="s">
        <v>84</v>
      </c>
      <c r="T118" s="10" t="s">
        <v>84</v>
      </c>
      <c r="U118" s="10"/>
      <c r="V118" s="10"/>
      <c r="W118" s="10"/>
      <c r="X118" s="10"/>
      <c r="Y118" s="10"/>
      <c r="Z118" s="10"/>
      <c r="AA118" s="10"/>
    </row>
    <row r="119" spans="1:27" ht="12.5" x14ac:dyDescent="0.25">
      <c r="A119" s="10" t="s">
        <v>110</v>
      </c>
      <c r="B119" s="10" t="s">
        <v>335</v>
      </c>
      <c r="C119" s="10" t="s">
        <v>76</v>
      </c>
      <c r="D119" s="11">
        <v>2024</v>
      </c>
      <c r="E119" s="10" t="s">
        <v>81</v>
      </c>
      <c r="F119" s="10" t="s">
        <v>83</v>
      </c>
      <c r="G119" s="10" t="s">
        <v>84</v>
      </c>
      <c r="H119" s="11">
        <v>10457</v>
      </c>
      <c r="I119" s="11">
        <v>2684</v>
      </c>
      <c r="J119" s="11">
        <v>2437</v>
      </c>
      <c r="K119" s="11">
        <v>9775</v>
      </c>
      <c r="L119" s="11">
        <v>0.25667221854753203</v>
      </c>
      <c r="M119" s="11">
        <f t="shared" si="0"/>
        <v>25.667017308979627</v>
      </c>
      <c r="N119" s="11">
        <v>0.90797317436661695</v>
      </c>
      <c r="O119" s="11">
        <v>0.93478797924818502</v>
      </c>
      <c r="P119" s="11">
        <v>0.92229729729729704</v>
      </c>
      <c r="Q119" s="11">
        <v>1</v>
      </c>
      <c r="R119" s="11">
        <v>0.95155038759689903</v>
      </c>
      <c r="S119" s="10" t="s">
        <v>84</v>
      </c>
      <c r="T119" s="10" t="s">
        <v>84</v>
      </c>
      <c r="U119" s="10"/>
      <c r="V119" s="10"/>
      <c r="W119" s="10"/>
      <c r="X119" s="10"/>
      <c r="Y119" s="10"/>
      <c r="Z119" s="10"/>
      <c r="AA119" s="10"/>
    </row>
    <row r="120" spans="1:27" ht="12.5" x14ac:dyDescent="0.25">
      <c r="A120" s="10" t="s">
        <v>29</v>
      </c>
      <c r="B120" s="10" t="s">
        <v>415</v>
      </c>
      <c r="C120" s="10" t="s">
        <v>76</v>
      </c>
      <c r="D120" s="11">
        <v>2024</v>
      </c>
      <c r="E120" s="10" t="s">
        <v>124</v>
      </c>
      <c r="F120" s="10" t="s">
        <v>83</v>
      </c>
      <c r="G120" s="10" t="s">
        <v>84</v>
      </c>
      <c r="H120" s="11">
        <v>38095</v>
      </c>
      <c r="I120" s="11">
        <v>9774</v>
      </c>
      <c r="J120" s="11">
        <v>8583</v>
      </c>
      <c r="K120" s="11">
        <v>125356</v>
      </c>
      <c r="L120" s="11">
        <v>0.25656966480654703</v>
      </c>
      <c r="M120" s="11">
        <f t="shared" si="0"/>
        <v>25.656910355689721</v>
      </c>
      <c r="N120" s="11">
        <v>0.87814610190300801</v>
      </c>
      <c r="O120" s="11">
        <v>3.29062276462958</v>
      </c>
      <c r="P120" s="11">
        <v>0.92145270270270296</v>
      </c>
      <c r="Q120" s="11">
        <v>0.85714285714285698</v>
      </c>
      <c r="R120" s="11">
        <v>0.87024608501118605</v>
      </c>
      <c r="S120" s="10" t="s">
        <v>84</v>
      </c>
      <c r="T120" s="10" t="s">
        <v>84</v>
      </c>
      <c r="U120" s="10"/>
      <c r="V120" s="10"/>
      <c r="W120" s="10"/>
      <c r="X120" s="10"/>
      <c r="Y120" s="10"/>
      <c r="Z120" s="10"/>
      <c r="AA120" s="10"/>
    </row>
    <row r="121" spans="1:27" ht="12.5" x14ac:dyDescent="0.25">
      <c r="A121" s="10" t="s">
        <v>16</v>
      </c>
      <c r="B121" s="10" t="s">
        <v>340</v>
      </c>
      <c r="C121" s="10" t="s">
        <v>76</v>
      </c>
      <c r="D121" s="11">
        <v>2024</v>
      </c>
      <c r="E121" s="10" t="s">
        <v>81</v>
      </c>
      <c r="F121" s="10" t="s">
        <v>83</v>
      </c>
      <c r="G121" s="10" t="s">
        <v>84</v>
      </c>
      <c r="H121" s="11">
        <v>57278</v>
      </c>
      <c r="I121" s="11">
        <v>14633</v>
      </c>
      <c r="J121" s="11">
        <v>13582</v>
      </c>
      <c r="K121" s="11">
        <v>106564</v>
      </c>
      <c r="L121" s="11">
        <v>0.25547553576884502</v>
      </c>
      <c r="M121" s="11">
        <f t="shared" si="0"/>
        <v>25.54733056321799</v>
      </c>
      <c r="N121" s="11">
        <v>0.92817604045650204</v>
      </c>
      <c r="O121" s="11">
        <v>1.86048622932216</v>
      </c>
      <c r="P121" s="11">
        <v>0.920608108108108</v>
      </c>
      <c r="Q121" s="11">
        <v>0.73333333333333295</v>
      </c>
      <c r="R121" s="11">
        <v>0.94961240310077499</v>
      </c>
      <c r="S121" s="10" t="s">
        <v>84</v>
      </c>
      <c r="T121" s="10" t="s">
        <v>84</v>
      </c>
      <c r="U121" s="10"/>
      <c r="V121" s="10"/>
      <c r="W121" s="10"/>
      <c r="X121" s="10"/>
      <c r="Y121" s="10"/>
      <c r="Z121" s="10"/>
      <c r="AA121" s="10"/>
    </row>
    <row r="122" spans="1:27" ht="12.5" hidden="1" x14ac:dyDescent="0.25">
      <c r="A122" s="10" t="s">
        <v>13</v>
      </c>
      <c r="B122" s="10" t="s">
        <v>644</v>
      </c>
      <c r="C122" s="10" t="s">
        <v>191</v>
      </c>
      <c r="D122" s="11">
        <v>2024</v>
      </c>
      <c r="E122" s="10" t="s">
        <v>124</v>
      </c>
      <c r="F122" s="10" t="s">
        <v>125</v>
      </c>
      <c r="G122" s="10" t="s">
        <v>84</v>
      </c>
      <c r="H122" s="12">
        <v>200.583333333333</v>
      </c>
      <c r="I122" s="11">
        <v>51</v>
      </c>
      <c r="J122" s="11">
        <v>45</v>
      </c>
      <c r="K122" s="11">
        <v>0</v>
      </c>
      <c r="L122" s="11">
        <v>0.25425841296219398</v>
      </c>
      <c r="M122" s="11">
        <f t="shared" si="0"/>
        <v>25.425841296219403</v>
      </c>
      <c r="N122" s="11">
        <v>0.88235294117647001</v>
      </c>
      <c r="O122" s="11">
        <v>0</v>
      </c>
      <c r="P122" s="11">
        <v>0.95465686274509798</v>
      </c>
      <c r="Q122" s="11">
        <v>0.87931034482758597</v>
      </c>
      <c r="R122" s="11">
        <v>0.93023255813953498</v>
      </c>
      <c r="S122" s="10" t="s">
        <v>84</v>
      </c>
      <c r="T122" s="10" t="s">
        <v>84</v>
      </c>
      <c r="U122" s="10"/>
      <c r="V122" s="10"/>
      <c r="W122" s="10"/>
      <c r="X122" s="10"/>
      <c r="Y122" s="10"/>
      <c r="Z122" s="10"/>
      <c r="AA122" s="10"/>
    </row>
    <row r="123" spans="1:27" ht="12.5" x14ac:dyDescent="0.25">
      <c r="A123" s="10" t="s">
        <v>12</v>
      </c>
      <c r="B123" s="10" t="s">
        <v>348</v>
      </c>
      <c r="C123" s="10" t="s">
        <v>76</v>
      </c>
      <c r="D123" s="11">
        <v>2024</v>
      </c>
      <c r="E123" s="10" t="s">
        <v>81</v>
      </c>
      <c r="F123" s="10" t="s">
        <v>83</v>
      </c>
      <c r="G123" s="10" t="s">
        <v>84</v>
      </c>
      <c r="H123" s="11">
        <v>124074</v>
      </c>
      <c r="I123" s="11">
        <v>31381</v>
      </c>
      <c r="J123" s="11">
        <v>2833</v>
      </c>
      <c r="K123" s="11">
        <v>426800</v>
      </c>
      <c r="L123" s="11">
        <v>0.252922662776499</v>
      </c>
      <c r="M123" s="11">
        <f t="shared" si="0"/>
        <v>25.292164353530953</v>
      </c>
      <c r="N123" s="11">
        <v>9.0277556483222304E-2</v>
      </c>
      <c r="O123" s="11">
        <v>3.4398965129540202</v>
      </c>
      <c r="P123" s="11">
        <v>0.91976351351351304</v>
      </c>
      <c r="Q123" s="11">
        <v>0.91666666666666696</v>
      </c>
      <c r="R123" s="11">
        <v>0.94767441860465096</v>
      </c>
      <c r="S123" s="10" t="s">
        <v>84</v>
      </c>
      <c r="T123" s="10" t="s">
        <v>84</v>
      </c>
      <c r="U123" s="10"/>
      <c r="V123" s="10"/>
      <c r="W123" s="10"/>
      <c r="X123" s="10"/>
      <c r="Y123" s="10"/>
      <c r="Z123" s="10"/>
      <c r="AA123" s="10"/>
    </row>
    <row r="124" spans="1:27" ht="12.5" hidden="1" x14ac:dyDescent="0.25">
      <c r="A124" s="10" t="s">
        <v>29</v>
      </c>
      <c r="B124" s="10" t="s">
        <v>651</v>
      </c>
      <c r="C124" s="10" t="s">
        <v>191</v>
      </c>
      <c r="D124" s="11">
        <v>2024</v>
      </c>
      <c r="E124" s="10" t="s">
        <v>124</v>
      </c>
      <c r="F124" s="10" t="s">
        <v>125</v>
      </c>
      <c r="G124" s="10" t="s">
        <v>84</v>
      </c>
      <c r="H124" s="12">
        <v>124.5</v>
      </c>
      <c r="I124" s="11">
        <v>31</v>
      </c>
      <c r="J124" s="11">
        <v>31</v>
      </c>
      <c r="K124" s="11">
        <v>236</v>
      </c>
      <c r="L124" s="11">
        <v>0.24899598393574299</v>
      </c>
      <c r="M124" s="11">
        <f t="shared" si="0"/>
        <v>24.899598393574294</v>
      </c>
      <c r="N124" s="11">
        <v>1</v>
      </c>
      <c r="O124" s="11">
        <v>1.89558232931727</v>
      </c>
      <c r="P124" s="11">
        <v>0.95343137254902</v>
      </c>
      <c r="Q124" s="11">
        <v>0.91549295774647899</v>
      </c>
      <c r="R124" s="11">
        <v>0.92829457364341095</v>
      </c>
      <c r="S124" s="10" t="s">
        <v>84</v>
      </c>
      <c r="T124" s="10" t="s">
        <v>84</v>
      </c>
      <c r="U124" s="10"/>
      <c r="V124" s="10"/>
      <c r="W124" s="10"/>
      <c r="X124" s="10"/>
      <c r="Y124" s="10"/>
      <c r="Z124" s="10"/>
      <c r="AA124" s="10"/>
    </row>
    <row r="125" spans="1:27" ht="12.5" x14ac:dyDescent="0.25">
      <c r="A125" s="10" t="s">
        <v>55</v>
      </c>
      <c r="B125" s="10" t="s">
        <v>417</v>
      </c>
      <c r="C125" s="10" t="s">
        <v>76</v>
      </c>
      <c r="D125" s="11">
        <v>2024</v>
      </c>
      <c r="E125" s="10" t="s">
        <v>124</v>
      </c>
      <c r="F125" s="10" t="s">
        <v>83</v>
      </c>
      <c r="G125" s="10" t="s">
        <v>84</v>
      </c>
      <c r="H125" s="11">
        <v>6335</v>
      </c>
      <c r="I125" s="11">
        <v>1564</v>
      </c>
      <c r="J125" s="11">
        <v>1390</v>
      </c>
      <c r="K125" s="11">
        <v>20407</v>
      </c>
      <c r="L125" s="11">
        <v>0.24686616244656401</v>
      </c>
      <c r="M125" s="11">
        <f t="shared" si="0"/>
        <v>24.688239936858722</v>
      </c>
      <c r="N125" s="11">
        <v>0.88874680306905396</v>
      </c>
      <c r="O125" s="11">
        <v>3.2210983229200898</v>
      </c>
      <c r="P125" s="11">
        <v>0.91891891891891897</v>
      </c>
      <c r="Q125" s="11">
        <v>0.90909090909090895</v>
      </c>
      <c r="R125" s="11">
        <v>0.86800894854586097</v>
      </c>
      <c r="S125" s="10" t="s">
        <v>84</v>
      </c>
      <c r="T125" s="10" t="s">
        <v>84</v>
      </c>
      <c r="U125" s="10"/>
      <c r="V125" s="10"/>
      <c r="W125" s="10"/>
      <c r="X125" s="10"/>
      <c r="Y125" s="10"/>
      <c r="Z125" s="10"/>
      <c r="AA125" s="10"/>
    </row>
    <row r="126" spans="1:27" ht="12.5" x14ac:dyDescent="0.25">
      <c r="A126" s="10" t="s">
        <v>14</v>
      </c>
      <c r="B126" s="10" t="s">
        <v>419</v>
      </c>
      <c r="C126" s="10" t="s">
        <v>76</v>
      </c>
      <c r="D126" s="11">
        <v>2024</v>
      </c>
      <c r="E126" s="10" t="s">
        <v>124</v>
      </c>
      <c r="F126" s="10" t="s">
        <v>83</v>
      </c>
      <c r="G126" s="10" t="s">
        <v>84</v>
      </c>
      <c r="H126" s="11">
        <v>13319</v>
      </c>
      <c r="I126" s="11">
        <v>3272</v>
      </c>
      <c r="J126" s="11">
        <v>2959</v>
      </c>
      <c r="K126" s="11">
        <v>13914</v>
      </c>
      <c r="L126" s="11">
        <v>0.24567331155911001</v>
      </c>
      <c r="M126" s="11">
        <f t="shared" si="0"/>
        <v>24.566408889556275</v>
      </c>
      <c r="N126" s="11">
        <v>0.90433985330073396</v>
      </c>
      <c r="O126" s="11">
        <v>1.04471224236964</v>
      </c>
      <c r="P126" s="11">
        <v>0.91807432432432401</v>
      </c>
      <c r="Q126" s="11">
        <v>0.82142857142857095</v>
      </c>
      <c r="R126" s="11">
        <v>0.865771812080537</v>
      </c>
      <c r="S126" s="10" t="s">
        <v>84</v>
      </c>
      <c r="T126" s="10" t="s">
        <v>84</v>
      </c>
      <c r="U126" s="10"/>
      <c r="V126" s="10"/>
      <c r="W126" s="10"/>
      <c r="X126" s="10"/>
      <c r="Y126" s="10"/>
      <c r="Z126" s="10"/>
      <c r="AA126" s="10"/>
    </row>
    <row r="127" spans="1:27" ht="12.5" x14ac:dyDescent="0.25">
      <c r="A127" s="10" t="s">
        <v>86</v>
      </c>
      <c r="B127" s="10" t="s">
        <v>420</v>
      </c>
      <c r="C127" s="10" t="s">
        <v>76</v>
      </c>
      <c r="D127" s="11">
        <v>2024</v>
      </c>
      <c r="E127" s="10" t="s">
        <v>124</v>
      </c>
      <c r="F127" s="10" t="s">
        <v>83</v>
      </c>
      <c r="G127" s="10" t="s">
        <v>84</v>
      </c>
      <c r="H127" s="11">
        <v>65823</v>
      </c>
      <c r="I127" s="11">
        <v>16066</v>
      </c>
      <c r="J127" s="11">
        <v>14952</v>
      </c>
      <c r="K127" s="11">
        <v>174933</v>
      </c>
      <c r="L127" s="11">
        <v>0.244079435454262</v>
      </c>
      <c r="M127" s="11">
        <f t="shared" si="0"/>
        <v>24.40788174346353</v>
      </c>
      <c r="N127" s="11">
        <v>0.93066102327897404</v>
      </c>
      <c r="O127" s="11">
        <v>2.6576340023851901</v>
      </c>
      <c r="P127" s="11">
        <v>0.91722972972973005</v>
      </c>
      <c r="Q127" s="11">
        <v>0.76086956521739102</v>
      </c>
      <c r="R127" s="11">
        <v>0.86353467561521302</v>
      </c>
      <c r="S127" s="10" t="s">
        <v>84</v>
      </c>
      <c r="T127" s="10" t="s">
        <v>84</v>
      </c>
      <c r="U127" s="10"/>
      <c r="V127" s="10"/>
      <c r="W127" s="10"/>
      <c r="X127" s="10"/>
      <c r="Y127" s="10"/>
      <c r="Z127" s="10"/>
      <c r="AA127" s="10"/>
    </row>
    <row r="128" spans="1:27" ht="12.5" x14ac:dyDescent="0.25">
      <c r="A128" s="10" t="s">
        <v>86</v>
      </c>
      <c r="B128" s="10" t="s">
        <v>422</v>
      </c>
      <c r="C128" s="10" t="s">
        <v>76</v>
      </c>
      <c r="D128" s="11">
        <v>2024</v>
      </c>
      <c r="E128" s="10" t="s">
        <v>124</v>
      </c>
      <c r="F128" s="10" t="s">
        <v>83</v>
      </c>
      <c r="G128" s="10" t="s">
        <v>84</v>
      </c>
      <c r="H128" s="11">
        <v>25667</v>
      </c>
      <c r="I128" s="11">
        <v>6260</v>
      </c>
      <c r="J128" s="11">
        <v>5475</v>
      </c>
      <c r="K128" s="11">
        <v>5493</v>
      </c>
      <c r="L128" s="11">
        <v>0.243897687647322</v>
      </c>
      <c r="M128" s="11">
        <f t="shared" si="0"/>
        <v>24.389293645537073</v>
      </c>
      <c r="N128" s="11">
        <v>0.87460063897763596</v>
      </c>
      <c r="O128" s="11">
        <v>0.21401437671673201</v>
      </c>
      <c r="P128" s="11">
        <v>0.91638513513513498</v>
      </c>
      <c r="Q128" s="11">
        <v>0.73913043478260898</v>
      </c>
      <c r="R128" s="11">
        <v>0.86129753914988805</v>
      </c>
      <c r="S128" s="10" t="s">
        <v>84</v>
      </c>
      <c r="T128" s="10" t="s">
        <v>84</v>
      </c>
      <c r="U128" s="10"/>
      <c r="V128" s="10"/>
      <c r="W128" s="10"/>
      <c r="X128" s="10"/>
      <c r="Y128" s="10"/>
      <c r="Z128" s="10"/>
      <c r="AA128" s="10"/>
    </row>
    <row r="129" spans="1:27" ht="12.5" hidden="1" x14ac:dyDescent="0.25">
      <c r="A129" s="10" t="s">
        <v>29</v>
      </c>
      <c r="B129" s="10" t="s">
        <v>666</v>
      </c>
      <c r="C129" s="10" t="s">
        <v>191</v>
      </c>
      <c r="D129" s="11">
        <v>2024</v>
      </c>
      <c r="E129" s="10" t="s">
        <v>124</v>
      </c>
      <c r="F129" s="10" t="s">
        <v>125</v>
      </c>
      <c r="G129" s="10" t="s">
        <v>84</v>
      </c>
      <c r="H129" s="12">
        <v>2593</v>
      </c>
      <c r="I129" s="11">
        <v>625</v>
      </c>
      <c r="J129" s="11">
        <v>518</v>
      </c>
      <c r="K129" s="11">
        <v>3631</v>
      </c>
      <c r="L129" s="11">
        <v>0.24108003857280599</v>
      </c>
      <c r="M129" s="11">
        <f t="shared" si="0"/>
        <v>24.103355187042037</v>
      </c>
      <c r="N129" s="11">
        <v>0.82879999999999998</v>
      </c>
      <c r="O129" s="11">
        <v>1.40057859209257</v>
      </c>
      <c r="P129" s="11">
        <v>0.95220588235294101</v>
      </c>
      <c r="Q129" s="11">
        <v>0.90140845070422504</v>
      </c>
      <c r="R129" s="11">
        <v>0.92635658914728702</v>
      </c>
      <c r="S129" s="10" t="s">
        <v>84</v>
      </c>
      <c r="T129" s="10" t="s">
        <v>84</v>
      </c>
      <c r="U129" s="10"/>
      <c r="V129" s="10"/>
      <c r="W129" s="10"/>
      <c r="X129" s="10"/>
      <c r="Y129" s="10"/>
      <c r="Z129" s="10"/>
      <c r="AA129" s="10"/>
    </row>
    <row r="130" spans="1:27" ht="12.5" hidden="1" x14ac:dyDescent="0.25">
      <c r="A130" s="10" t="s">
        <v>12</v>
      </c>
      <c r="B130" s="10" t="s">
        <v>670</v>
      </c>
      <c r="C130" s="10" t="s">
        <v>191</v>
      </c>
      <c r="D130" s="11">
        <v>2024</v>
      </c>
      <c r="E130" s="10" t="s">
        <v>124</v>
      </c>
      <c r="F130" s="10" t="s">
        <v>125</v>
      </c>
      <c r="G130" s="10" t="s">
        <v>84</v>
      </c>
      <c r="H130" s="12">
        <v>1389</v>
      </c>
      <c r="I130" s="11">
        <v>332</v>
      </c>
      <c r="J130" s="11">
        <v>274</v>
      </c>
      <c r="K130" s="11">
        <v>2099</v>
      </c>
      <c r="L130" s="11">
        <v>0.238963531669866</v>
      </c>
      <c r="M130" s="11">
        <f t="shared" si="0"/>
        <v>23.902087832973361</v>
      </c>
      <c r="N130" s="11">
        <v>0.82530120481927705</v>
      </c>
      <c r="O130" s="11">
        <v>1.51079654510557</v>
      </c>
      <c r="P130" s="11">
        <v>0.95098039215686303</v>
      </c>
      <c r="Q130" s="11">
        <v>0.952380952380952</v>
      </c>
      <c r="R130" s="11">
        <v>0.92441860465116299</v>
      </c>
      <c r="S130" s="10" t="s">
        <v>84</v>
      </c>
      <c r="T130" s="10" t="s">
        <v>84</v>
      </c>
      <c r="U130" s="10"/>
      <c r="V130" s="10"/>
      <c r="W130" s="10"/>
      <c r="X130" s="10"/>
      <c r="Y130" s="10"/>
      <c r="Z130" s="10"/>
      <c r="AA130" s="10"/>
    </row>
    <row r="131" spans="1:27" ht="12.5" x14ac:dyDescent="0.25">
      <c r="A131" s="10" t="s">
        <v>6</v>
      </c>
      <c r="B131" s="10" t="s">
        <v>424</v>
      </c>
      <c r="C131" s="10" t="s">
        <v>76</v>
      </c>
      <c r="D131" s="11">
        <v>2024</v>
      </c>
      <c r="E131" s="10" t="s">
        <v>124</v>
      </c>
      <c r="F131" s="10" t="s">
        <v>83</v>
      </c>
      <c r="G131" s="10" t="s">
        <v>84</v>
      </c>
      <c r="H131" s="11">
        <v>6326</v>
      </c>
      <c r="I131" s="11">
        <v>1508</v>
      </c>
      <c r="J131" s="11">
        <v>1549</v>
      </c>
      <c r="K131" s="11">
        <v>20691</v>
      </c>
      <c r="L131" s="11">
        <v>0.238384423864789</v>
      </c>
      <c r="M131" s="11">
        <f t="shared" si="0"/>
        <v>23.838128359152702</v>
      </c>
      <c r="N131" s="11">
        <v>1.0271883289124699</v>
      </c>
      <c r="O131" s="11">
        <v>3.27083031444718</v>
      </c>
      <c r="P131" s="11">
        <v>0.91554054054054101</v>
      </c>
      <c r="Q131" s="11">
        <v>0.967741935483871</v>
      </c>
      <c r="R131" s="11">
        <v>0.85906040268456396</v>
      </c>
      <c r="S131" s="10" t="s">
        <v>84</v>
      </c>
      <c r="T131" s="10" t="s">
        <v>84</v>
      </c>
      <c r="U131" s="10"/>
      <c r="V131" s="10"/>
      <c r="W131" s="10"/>
      <c r="X131" s="10"/>
      <c r="Y131" s="10"/>
      <c r="Z131" s="10"/>
      <c r="AA131" s="10"/>
    </row>
    <row r="132" spans="1:27" ht="12.5" x14ac:dyDescent="0.25">
      <c r="A132" s="10" t="s">
        <v>42</v>
      </c>
      <c r="B132" s="10" t="s">
        <v>353</v>
      </c>
      <c r="C132" s="10" t="s">
        <v>76</v>
      </c>
      <c r="D132" s="11">
        <v>2024</v>
      </c>
      <c r="E132" s="10" t="s">
        <v>81</v>
      </c>
      <c r="F132" s="10" t="s">
        <v>83</v>
      </c>
      <c r="G132" s="10" t="s">
        <v>84</v>
      </c>
      <c r="H132" s="11">
        <v>27113</v>
      </c>
      <c r="I132" s="11">
        <v>6463</v>
      </c>
      <c r="J132" s="11">
        <v>5955</v>
      </c>
      <c r="K132" s="11">
        <v>41875</v>
      </c>
      <c r="L132" s="11">
        <v>0.23837566696992801</v>
      </c>
      <c r="M132" s="11">
        <f t="shared" si="0"/>
        <v>23.837273632574778</v>
      </c>
      <c r="N132" s="11">
        <v>0.921398731239363</v>
      </c>
      <c r="O132" s="11">
        <v>1.5444810543657299</v>
      </c>
      <c r="P132" s="11">
        <v>0.91469594594594605</v>
      </c>
      <c r="Q132" s="11">
        <v>0.952380952380952</v>
      </c>
      <c r="R132" s="11">
        <v>0.94573643410852704</v>
      </c>
      <c r="S132" s="10" t="s">
        <v>84</v>
      </c>
      <c r="T132" s="10" t="s">
        <v>84</v>
      </c>
      <c r="U132" s="10"/>
      <c r="V132" s="10"/>
      <c r="W132" s="10"/>
      <c r="X132" s="10"/>
      <c r="Y132" s="10"/>
      <c r="Z132" s="10"/>
      <c r="AA132" s="10"/>
    </row>
    <row r="133" spans="1:27" ht="12.5" x14ac:dyDescent="0.25">
      <c r="A133" s="10" t="s">
        <v>104</v>
      </c>
      <c r="B133" s="10" t="s">
        <v>284</v>
      </c>
      <c r="C133" s="10" t="s">
        <v>76</v>
      </c>
      <c r="D133" s="11">
        <v>2024</v>
      </c>
      <c r="E133" s="10" t="s">
        <v>81</v>
      </c>
      <c r="F133" s="10" t="s">
        <v>83</v>
      </c>
      <c r="G133" s="10" t="s">
        <v>84</v>
      </c>
      <c r="H133" s="11">
        <v>21</v>
      </c>
      <c r="I133" s="11">
        <v>5</v>
      </c>
      <c r="J133" s="11">
        <v>6</v>
      </c>
      <c r="K133" s="11">
        <v>27</v>
      </c>
      <c r="L133" s="11">
        <v>0.238095238095238</v>
      </c>
      <c r="M133" s="11">
        <f t="shared" si="0"/>
        <v>23.809523809523807</v>
      </c>
      <c r="N133" s="11">
        <v>1.2</v>
      </c>
      <c r="O133" s="11">
        <v>1.28571428571429</v>
      </c>
      <c r="P133" s="11">
        <v>0.91385135135135098</v>
      </c>
      <c r="Q133" s="11">
        <v>0.96551724137931005</v>
      </c>
      <c r="R133" s="11">
        <v>0.943798449612403</v>
      </c>
      <c r="S133" s="10" t="s">
        <v>84</v>
      </c>
      <c r="T133" s="10" t="s">
        <v>84</v>
      </c>
      <c r="U133" s="10"/>
      <c r="V133" s="10"/>
      <c r="W133" s="10"/>
      <c r="X133" s="10"/>
      <c r="Y133" s="10"/>
      <c r="Z133" s="10"/>
      <c r="AA133" s="10"/>
    </row>
    <row r="134" spans="1:27" ht="12.5" x14ac:dyDescent="0.25">
      <c r="A134" s="10" t="s">
        <v>29</v>
      </c>
      <c r="B134" s="10" t="s">
        <v>426</v>
      </c>
      <c r="C134" s="10" t="s">
        <v>76</v>
      </c>
      <c r="D134" s="11">
        <v>2024</v>
      </c>
      <c r="E134" s="10" t="s">
        <v>124</v>
      </c>
      <c r="F134" s="10" t="s">
        <v>83</v>
      </c>
      <c r="G134" s="10" t="s">
        <v>84</v>
      </c>
      <c r="H134" s="11">
        <v>12742</v>
      </c>
      <c r="I134" s="11">
        <v>3013</v>
      </c>
      <c r="J134" s="11">
        <v>2707</v>
      </c>
      <c r="K134" s="11">
        <v>4588</v>
      </c>
      <c r="L134" s="11">
        <v>0.236457454531186</v>
      </c>
      <c r="M134" s="11">
        <f t="shared" si="0"/>
        <v>23.646209386281587</v>
      </c>
      <c r="N134" s="11">
        <v>0.89844009293063398</v>
      </c>
      <c r="O134" s="11">
        <v>0.36006199846965797</v>
      </c>
      <c r="P134" s="11">
        <v>0.91300675675675702</v>
      </c>
      <c r="Q134" s="11">
        <v>0.83673469387755095</v>
      </c>
      <c r="R134" s="11">
        <v>0.85682326621923899</v>
      </c>
      <c r="S134" s="10" t="s">
        <v>84</v>
      </c>
      <c r="T134" s="10" t="s">
        <v>84</v>
      </c>
      <c r="U134" s="10"/>
      <c r="V134" s="10"/>
      <c r="W134" s="10"/>
      <c r="X134" s="10"/>
      <c r="Y134" s="10"/>
      <c r="Z134" s="10"/>
      <c r="AA134" s="10"/>
    </row>
    <row r="135" spans="1:27" ht="12.5" x14ac:dyDescent="0.25">
      <c r="A135" s="10" t="s">
        <v>29</v>
      </c>
      <c r="B135" s="10" t="s">
        <v>427</v>
      </c>
      <c r="C135" s="10" t="s">
        <v>76</v>
      </c>
      <c r="D135" s="11">
        <v>2024</v>
      </c>
      <c r="E135" s="10" t="s">
        <v>124</v>
      </c>
      <c r="F135" s="10" t="s">
        <v>83</v>
      </c>
      <c r="G135" s="10" t="s">
        <v>84</v>
      </c>
      <c r="H135" s="11">
        <v>29046</v>
      </c>
      <c r="I135" s="11">
        <v>6855</v>
      </c>
      <c r="J135" s="11">
        <v>4173</v>
      </c>
      <c r="K135" s="11">
        <v>60486</v>
      </c>
      <c r="L135" s="11">
        <v>0.23600495765337701</v>
      </c>
      <c r="M135" s="11">
        <f t="shared" si="0"/>
        <v>23.60049576533774</v>
      </c>
      <c r="N135" s="11">
        <v>0.60875273522975903</v>
      </c>
      <c r="O135" s="11">
        <v>2.0824209873993</v>
      </c>
      <c r="P135" s="11">
        <v>0.91216216216216195</v>
      </c>
      <c r="Q135" s="11">
        <v>0.81632653061224503</v>
      </c>
      <c r="R135" s="11">
        <v>0.85458612975391501</v>
      </c>
      <c r="S135" s="10" t="s">
        <v>84</v>
      </c>
      <c r="T135" s="10" t="s">
        <v>84</v>
      </c>
      <c r="U135" s="10"/>
      <c r="V135" s="10"/>
      <c r="W135" s="10"/>
      <c r="X135" s="10"/>
      <c r="Y135" s="10"/>
      <c r="Z135" s="10"/>
      <c r="AA135" s="10"/>
    </row>
    <row r="136" spans="1:27" ht="12.5" x14ac:dyDescent="0.25">
      <c r="A136" s="10" t="s">
        <v>109</v>
      </c>
      <c r="B136" s="10" t="s">
        <v>365</v>
      </c>
      <c r="C136" s="10" t="s">
        <v>76</v>
      </c>
      <c r="D136" s="11">
        <v>2024</v>
      </c>
      <c r="E136" s="10" t="s">
        <v>81</v>
      </c>
      <c r="F136" s="10" t="s">
        <v>83</v>
      </c>
      <c r="G136" s="10" t="s">
        <v>84</v>
      </c>
      <c r="H136" s="11">
        <v>14420</v>
      </c>
      <c r="I136" s="11">
        <v>3387</v>
      </c>
      <c r="J136" s="11">
        <v>3186</v>
      </c>
      <c r="K136" s="11">
        <v>18881</v>
      </c>
      <c r="L136" s="11">
        <v>0.23488889531019699</v>
      </c>
      <c r="M136" s="11">
        <f t="shared" si="0"/>
        <v>23.488210818307905</v>
      </c>
      <c r="N136" s="11">
        <v>0.94065544729849404</v>
      </c>
      <c r="O136" s="11">
        <v>1.3093998324038501</v>
      </c>
      <c r="P136" s="11">
        <v>0.91047297297297303</v>
      </c>
      <c r="Q136" s="11">
        <v>0.94444444444444398</v>
      </c>
      <c r="R136" s="11">
        <v>0.94186046511627897</v>
      </c>
      <c r="S136" s="10" t="s">
        <v>84</v>
      </c>
      <c r="T136" s="10" t="s">
        <v>84</v>
      </c>
      <c r="U136" s="10"/>
      <c r="V136" s="10"/>
      <c r="W136" s="10"/>
      <c r="X136" s="10"/>
      <c r="Y136" s="10"/>
      <c r="Z136" s="10"/>
      <c r="AA136" s="10"/>
    </row>
    <row r="137" spans="1:27" ht="12.5" x14ac:dyDescent="0.25">
      <c r="A137" s="10" t="s">
        <v>86</v>
      </c>
      <c r="B137" s="10" t="s">
        <v>429</v>
      </c>
      <c r="C137" s="10" t="s">
        <v>76</v>
      </c>
      <c r="D137" s="11">
        <v>2024</v>
      </c>
      <c r="E137" s="10" t="s">
        <v>124</v>
      </c>
      <c r="F137" s="10" t="s">
        <v>83</v>
      </c>
      <c r="G137" s="10" t="s">
        <v>84</v>
      </c>
      <c r="H137" s="11">
        <v>7051</v>
      </c>
      <c r="I137" s="11">
        <v>1654</v>
      </c>
      <c r="J137" s="11">
        <v>1610</v>
      </c>
      <c r="K137" s="11">
        <v>1654</v>
      </c>
      <c r="L137" s="11">
        <v>0.234579428206734</v>
      </c>
      <c r="M137" s="11">
        <f t="shared" si="0"/>
        <v>23.457665579350447</v>
      </c>
      <c r="N137" s="11">
        <v>0.97339782345828296</v>
      </c>
      <c r="O137" s="11">
        <v>0.234579428206734</v>
      </c>
      <c r="P137" s="11">
        <v>0.90962837837837796</v>
      </c>
      <c r="Q137" s="11">
        <v>0.71739130434782605</v>
      </c>
      <c r="R137" s="11">
        <v>0.85234899328859104</v>
      </c>
      <c r="S137" s="10" t="s">
        <v>84</v>
      </c>
      <c r="T137" s="10" t="s">
        <v>84</v>
      </c>
      <c r="U137" s="10"/>
      <c r="V137" s="10"/>
      <c r="W137" s="10"/>
      <c r="X137" s="10"/>
      <c r="Y137" s="10"/>
      <c r="Z137" s="10"/>
      <c r="AA137" s="10"/>
    </row>
    <row r="138" spans="1:27" ht="12.5" hidden="1" x14ac:dyDescent="0.25">
      <c r="A138" s="10" t="s">
        <v>58</v>
      </c>
      <c r="B138" s="10" t="s">
        <v>694</v>
      </c>
      <c r="C138" s="10" t="s">
        <v>191</v>
      </c>
      <c r="D138" s="11">
        <v>2024</v>
      </c>
      <c r="E138" s="10" t="s">
        <v>124</v>
      </c>
      <c r="F138" s="10" t="s">
        <v>125</v>
      </c>
      <c r="G138" s="10" t="s">
        <v>84</v>
      </c>
      <c r="H138" s="12">
        <v>303.33333333333297</v>
      </c>
      <c r="I138" s="11">
        <v>71</v>
      </c>
      <c r="J138" s="11">
        <v>55</v>
      </c>
      <c r="K138" s="11">
        <v>756</v>
      </c>
      <c r="L138" s="11">
        <v>0.23406593406593401</v>
      </c>
      <c r="M138" s="11">
        <f t="shared" si="0"/>
        <v>23.406593406593434</v>
      </c>
      <c r="N138" s="11">
        <v>0.77464788732394396</v>
      </c>
      <c r="O138" s="11">
        <v>2.4923076923076901</v>
      </c>
      <c r="P138" s="11">
        <v>0.94975490196078405</v>
      </c>
      <c r="Q138" s="11">
        <v>0.88679245283018904</v>
      </c>
      <c r="R138" s="11">
        <v>0.92248062015503896</v>
      </c>
      <c r="S138" s="10" t="s">
        <v>84</v>
      </c>
      <c r="T138" s="10" t="s">
        <v>84</v>
      </c>
      <c r="U138" s="10"/>
      <c r="V138" s="10"/>
      <c r="W138" s="10"/>
      <c r="X138" s="10"/>
      <c r="Y138" s="10"/>
      <c r="Z138" s="10"/>
      <c r="AA138" s="10"/>
    </row>
    <row r="139" spans="1:27" ht="12.5" hidden="1" x14ac:dyDescent="0.25">
      <c r="A139" s="10" t="s">
        <v>14</v>
      </c>
      <c r="B139" s="10" t="s">
        <v>698</v>
      </c>
      <c r="C139" s="10" t="s">
        <v>191</v>
      </c>
      <c r="D139" s="11">
        <v>2024</v>
      </c>
      <c r="E139" s="10" t="s">
        <v>124</v>
      </c>
      <c r="F139" s="10" t="s">
        <v>125</v>
      </c>
      <c r="G139" s="10" t="s">
        <v>84</v>
      </c>
      <c r="H139" s="12">
        <v>2624</v>
      </c>
      <c r="I139" s="11">
        <v>614</v>
      </c>
      <c r="J139" s="11">
        <v>624</v>
      </c>
      <c r="K139" s="11">
        <v>6944</v>
      </c>
      <c r="L139" s="11">
        <v>0.23397904096538599</v>
      </c>
      <c r="M139" s="11">
        <f t="shared" si="0"/>
        <v>23.399390243902442</v>
      </c>
      <c r="N139" s="11">
        <v>1.0162866449511401</v>
      </c>
      <c r="O139" s="11">
        <v>2.6461733883772598</v>
      </c>
      <c r="P139" s="11">
        <v>0.94852941176470595</v>
      </c>
      <c r="Q139" s="11">
        <v>0.95744680851063801</v>
      </c>
      <c r="R139" s="11">
        <v>0.92054263565891503</v>
      </c>
      <c r="S139" s="10" t="s">
        <v>84</v>
      </c>
      <c r="T139" s="10" t="s">
        <v>84</v>
      </c>
      <c r="U139" s="10"/>
      <c r="V139" s="10"/>
      <c r="W139" s="10"/>
      <c r="X139" s="10"/>
      <c r="Y139" s="10"/>
      <c r="Z139" s="10"/>
      <c r="AA139" s="10"/>
    </row>
    <row r="140" spans="1:27" ht="12.5" x14ac:dyDescent="0.25">
      <c r="A140" s="10" t="s">
        <v>58</v>
      </c>
      <c r="B140" s="10" t="s">
        <v>368</v>
      </c>
      <c r="C140" s="10" t="s">
        <v>76</v>
      </c>
      <c r="D140" s="11">
        <v>2024</v>
      </c>
      <c r="E140" s="10" t="s">
        <v>81</v>
      </c>
      <c r="F140" s="10" t="s">
        <v>83</v>
      </c>
      <c r="G140" s="10" t="s">
        <v>84</v>
      </c>
      <c r="H140" s="11">
        <v>60839</v>
      </c>
      <c r="I140" s="11">
        <v>14153</v>
      </c>
      <c r="J140" s="11">
        <v>13167</v>
      </c>
      <c r="K140" s="11">
        <v>103065</v>
      </c>
      <c r="L140" s="11">
        <v>0.23263038511481099</v>
      </c>
      <c r="M140" s="11">
        <f t="shared" si="0"/>
        <v>23.26303851148112</v>
      </c>
      <c r="N140" s="11">
        <v>0.93033279163428295</v>
      </c>
      <c r="O140" s="11">
        <v>1.6940613751047799</v>
      </c>
      <c r="P140" s="11">
        <v>0.90878378378378399</v>
      </c>
      <c r="Q140" s="11">
        <v>0.97297297297297303</v>
      </c>
      <c r="R140" s="11">
        <v>0.93992248062015504</v>
      </c>
      <c r="S140" s="10" t="s">
        <v>84</v>
      </c>
      <c r="T140" s="10" t="s">
        <v>84</v>
      </c>
      <c r="U140" s="10"/>
      <c r="V140" s="10"/>
      <c r="W140" s="10"/>
      <c r="X140" s="10"/>
      <c r="Y140" s="10"/>
      <c r="Z140" s="10"/>
      <c r="AA140" s="10"/>
    </row>
    <row r="141" spans="1:27" ht="12.5" hidden="1" x14ac:dyDescent="0.25">
      <c r="A141" s="10" t="s">
        <v>104</v>
      </c>
      <c r="B141" s="10" t="s">
        <v>703</v>
      </c>
      <c r="C141" s="10" t="s">
        <v>191</v>
      </c>
      <c r="D141" s="11">
        <v>2024</v>
      </c>
      <c r="E141" s="10" t="s">
        <v>124</v>
      </c>
      <c r="F141" s="10" t="s">
        <v>125</v>
      </c>
      <c r="G141" s="10" t="s">
        <v>84</v>
      </c>
      <c r="H141" s="12">
        <v>452.58333333333297</v>
      </c>
      <c r="I141" s="11">
        <v>105</v>
      </c>
      <c r="J141" s="11">
        <v>105</v>
      </c>
      <c r="K141" s="11">
        <v>1335</v>
      </c>
      <c r="L141" s="11">
        <v>0.232001473025226</v>
      </c>
      <c r="M141" s="11">
        <f t="shared" si="0"/>
        <v>23.200147302522574</v>
      </c>
      <c r="N141" s="11">
        <v>1</v>
      </c>
      <c r="O141" s="11">
        <v>2.9497330141778701</v>
      </c>
      <c r="P141" s="11">
        <v>0.94730392156862697</v>
      </c>
      <c r="Q141" s="11">
        <v>1</v>
      </c>
      <c r="R141" s="11">
        <v>0.918604651162791</v>
      </c>
      <c r="S141" s="10" t="s">
        <v>84</v>
      </c>
      <c r="T141" s="10" t="s">
        <v>84</v>
      </c>
      <c r="U141" s="10"/>
      <c r="V141" s="10"/>
      <c r="W141" s="10"/>
      <c r="X141" s="10"/>
      <c r="Y141" s="10"/>
      <c r="Z141" s="10"/>
      <c r="AA141" s="10"/>
    </row>
    <row r="142" spans="1:27" ht="12.5" x14ac:dyDescent="0.25">
      <c r="A142" s="10" t="s">
        <v>12</v>
      </c>
      <c r="B142" s="10" t="s">
        <v>371</v>
      </c>
      <c r="C142" s="10" t="s">
        <v>76</v>
      </c>
      <c r="D142" s="11">
        <v>2024</v>
      </c>
      <c r="E142" s="10" t="s">
        <v>81</v>
      </c>
      <c r="F142" s="10" t="s">
        <v>83</v>
      </c>
      <c r="G142" s="10" t="s">
        <v>84</v>
      </c>
      <c r="H142" s="11">
        <v>91576</v>
      </c>
      <c r="I142" s="11">
        <v>21200</v>
      </c>
      <c r="J142" s="11">
        <v>19634</v>
      </c>
      <c r="K142" s="11">
        <v>199243</v>
      </c>
      <c r="L142" s="11">
        <v>0.23150254616401</v>
      </c>
      <c r="M142" s="11">
        <f t="shared" si="0"/>
        <v>23.150170350310127</v>
      </c>
      <c r="N142" s="11">
        <v>0.92613207547169796</v>
      </c>
      <c r="O142" s="11">
        <v>2.1757198964790501</v>
      </c>
      <c r="P142" s="11">
        <v>0.90709459459459496</v>
      </c>
      <c r="Q142" s="11">
        <v>0.90277777777777801</v>
      </c>
      <c r="R142" s="11">
        <v>0.93798449612403101</v>
      </c>
      <c r="S142" s="10" t="s">
        <v>84</v>
      </c>
      <c r="T142" s="10" t="s">
        <v>84</v>
      </c>
      <c r="U142" s="10"/>
      <c r="V142" s="10"/>
      <c r="W142" s="10"/>
      <c r="X142" s="10"/>
      <c r="Y142" s="10"/>
      <c r="Z142" s="10"/>
      <c r="AA142" s="10"/>
    </row>
    <row r="143" spans="1:27" ht="12.5" x14ac:dyDescent="0.25">
      <c r="A143" s="10" t="s">
        <v>12</v>
      </c>
      <c r="B143" s="10" t="s">
        <v>377</v>
      </c>
      <c r="C143" s="10" t="s">
        <v>76</v>
      </c>
      <c r="D143" s="11">
        <v>2024</v>
      </c>
      <c r="E143" s="10" t="s">
        <v>81</v>
      </c>
      <c r="F143" s="10" t="s">
        <v>83</v>
      </c>
      <c r="G143" s="10" t="s">
        <v>84</v>
      </c>
      <c r="H143" s="11">
        <v>78792</v>
      </c>
      <c r="I143" s="11">
        <v>17865</v>
      </c>
      <c r="J143" s="11">
        <v>23986</v>
      </c>
      <c r="K143" s="11">
        <v>159364</v>
      </c>
      <c r="L143" s="11">
        <v>0.22673597707045401</v>
      </c>
      <c r="M143" s="11">
        <f t="shared" si="0"/>
        <v>22.673621687480964</v>
      </c>
      <c r="N143" s="11">
        <v>1.34262524489225</v>
      </c>
      <c r="O143" s="11">
        <v>2.0225889868377198</v>
      </c>
      <c r="P143" s="11">
        <v>0.90625</v>
      </c>
      <c r="Q143" s="11">
        <v>0.88888888888888895</v>
      </c>
      <c r="R143" s="11">
        <v>0.93604651162790697</v>
      </c>
      <c r="S143" s="10" t="s">
        <v>84</v>
      </c>
      <c r="T143" s="10" t="s">
        <v>84</v>
      </c>
      <c r="U143" s="10"/>
      <c r="V143" s="10"/>
      <c r="W143" s="10"/>
      <c r="X143" s="10"/>
      <c r="Y143" s="10"/>
      <c r="Z143" s="10"/>
      <c r="AA143" s="10"/>
    </row>
    <row r="144" spans="1:27" ht="12.5" x14ac:dyDescent="0.25">
      <c r="A144" s="10" t="s">
        <v>32</v>
      </c>
      <c r="B144" s="10" t="s">
        <v>431</v>
      </c>
      <c r="C144" s="10" t="s">
        <v>76</v>
      </c>
      <c r="D144" s="11">
        <v>2024</v>
      </c>
      <c r="E144" s="10" t="s">
        <v>124</v>
      </c>
      <c r="F144" s="10" t="s">
        <v>83</v>
      </c>
      <c r="G144" s="10" t="s">
        <v>84</v>
      </c>
      <c r="H144" s="11">
        <v>17128</v>
      </c>
      <c r="I144" s="11">
        <v>3875</v>
      </c>
      <c r="J144" s="11">
        <v>3579</v>
      </c>
      <c r="K144" s="11">
        <v>31070</v>
      </c>
      <c r="L144" s="11">
        <v>0.22623443726008199</v>
      </c>
      <c r="M144" s="11">
        <f t="shared" si="0"/>
        <v>22.623773937412427</v>
      </c>
      <c r="N144" s="11">
        <v>0.92361290322580603</v>
      </c>
      <c r="O144" s="11">
        <v>1.81396231372148</v>
      </c>
      <c r="P144" s="11">
        <v>0.90456081081081097</v>
      </c>
      <c r="Q144" s="11">
        <v>0.79310344827586199</v>
      </c>
      <c r="R144" s="11">
        <v>0.85011185682326595</v>
      </c>
      <c r="S144" s="10" t="s">
        <v>84</v>
      </c>
      <c r="T144" s="10" t="s">
        <v>84</v>
      </c>
      <c r="U144" s="10"/>
      <c r="V144" s="10"/>
      <c r="W144" s="10"/>
      <c r="X144" s="10"/>
      <c r="Y144" s="10"/>
      <c r="Z144" s="10"/>
      <c r="AA144" s="10"/>
    </row>
    <row r="145" spans="1:27" ht="12.5" x14ac:dyDescent="0.25">
      <c r="A145" s="10" t="s">
        <v>52</v>
      </c>
      <c r="B145" s="10" t="s">
        <v>434</v>
      </c>
      <c r="C145" s="10" t="s">
        <v>76</v>
      </c>
      <c r="D145" s="11">
        <v>2024</v>
      </c>
      <c r="E145" s="10" t="s">
        <v>124</v>
      </c>
      <c r="F145" s="10" t="s">
        <v>83</v>
      </c>
      <c r="G145" s="10" t="s">
        <v>84</v>
      </c>
      <c r="H145" s="11">
        <v>9931</v>
      </c>
      <c r="I145" s="11">
        <v>2241</v>
      </c>
      <c r="J145" s="11">
        <v>1922</v>
      </c>
      <c r="K145" s="11">
        <v>25641</v>
      </c>
      <c r="L145" s="11">
        <v>0.225662714296503</v>
      </c>
      <c r="M145" s="11">
        <f t="shared" si="0"/>
        <v>22.565703353136644</v>
      </c>
      <c r="N145" s="11">
        <v>0.85765283355644795</v>
      </c>
      <c r="O145" s="11">
        <v>2.5819802129748499</v>
      </c>
      <c r="P145" s="11">
        <v>0.90371621621621601</v>
      </c>
      <c r="Q145" s="11">
        <v>0.89361702127659604</v>
      </c>
      <c r="R145" s="11">
        <v>0.84787472035794198</v>
      </c>
      <c r="S145" s="10" t="s">
        <v>84</v>
      </c>
      <c r="T145" s="10" t="s">
        <v>84</v>
      </c>
      <c r="U145" s="10"/>
      <c r="V145" s="10"/>
      <c r="W145" s="10"/>
      <c r="X145" s="10"/>
      <c r="Y145" s="10"/>
      <c r="Z145" s="10"/>
      <c r="AA145" s="10"/>
    </row>
    <row r="146" spans="1:27" ht="12.5" x14ac:dyDescent="0.25">
      <c r="A146" s="10" t="s">
        <v>32</v>
      </c>
      <c r="B146" s="10" t="s">
        <v>436</v>
      </c>
      <c r="C146" s="10" t="s">
        <v>76</v>
      </c>
      <c r="D146" s="11">
        <v>2024</v>
      </c>
      <c r="E146" s="10" t="s">
        <v>124</v>
      </c>
      <c r="F146" s="10" t="s">
        <v>83</v>
      </c>
      <c r="G146" s="10" t="s">
        <v>84</v>
      </c>
      <c r="H146" s="11">
        <v>22412</v>
      </c>
      <c r="I146" s="11">
        <v>5009</v>
      </c>
      <c r="J146" s="11">
        <v>4484</v>
      </c>
      <c r="K146" s="11">
        <v>10845</v>
      </c>
      <c r="L146" s="11">
        <v>0.22349218625092501</v>
      </c>
      <c r="M146" s="11">
        <f t="shared" si="0"/>
        <v>22.34963412457612</v>
      </c>
      <c r="N146" s="11">
        <v>0.89518866041126</v>
      </c>
      <c r="O146" s="11">
        <v>0.48388356156743501</v>
      </c>
      <c r="P146" s="11">
        <v>0.90287162162162204</v>
      </c>
      <c r="Q146" s="11">
        <v>0.75862068965517204</v>
      </c>
      <c r="R146" s="11">
        <v>0.84563758389261701</v>
      </c>
      <c r="S146" s="10" t="s">
        <v>84</v>
      </c>
      <c r="T146" s="10" t="s">
        <v>84</v>
      </c>
      <c r="U146" s="10"/>
      <c r="V146" s="10"/>
      <c r="W146" s="10"/>
      <c r="X146" s="10"/>
      <c r="Y146" s="10"/>
      <c r="Z146" s="10"/>
      <c r="AA146" s="10"/>
    </row>
    <row r="147" spans="1:27" ht="12.5" x14ac:dyDescent="0.25">
      <c r="A147" s="10" t="s">
        <v>52</v>
      </c>
      <c r="B147" s="10" t="s">
        <v>438</v>
      </c>
      <c r="C147" s="10" t="s">
        <v>76</v>
      </c>
      <c r="D147" s="11">
        <v>2024</v>
      </c>
      <c r="E147" s="10" t="s">
        <v>124</v>
      </c>
      <c r="F147" s="10" t="s">
        <v>83</v>
      </c>
      <c r="G147" s="10" t="s">
        <v>84</v>
      </c>
      <c r="H147" s="11">
        <v>8798</v>
      </c>
      <c r="I147" s="11">
        <v>1936</v>
      </c>
      <c r="J147" s="11">
        <v>1751</v>
      </c>
      <c r="K147" s="11">
        <v>19762</v>
      </c>
      <c r="L147" s="11">
        <v>0.22006251776072699</v>
      </c>
      <c r="M147" s="11">
        <f t="shared" si="0"/>
        <v>22.00500113662196</v>
      </c>
      <c r="N147" s="11">
        <v>0.90444214876033102</v>
      </c>
      <c r="O147" s="11">
        <v>2.2463199772662699</v>
      </c>
      <c r="P147" s="11">
        <v>0.90118243243243201</v>
      </c>
      <c r="Q147" s="11">
        <v>0.87234042553191504</v>
      </c>
      <c r="R147" s="11">
        <v>0.84340044742729303</v>
      </c>
      <c r="S147" s="10" t="s">
        <v>84</v>
      </c>
      <c r="T147" s="10" t="s">
        <v>84</v>
      </c>
      <c r="U147" s="10"/>
      <c r="V147" s="10"/>
      <c r="W147" s="10"/>
      <c r="X147" s="10"/>
      <c r="Y147" s="10"/>
      <c r="Z147" s="10"/>
      <c r="AA147" s="10"/>
    </row>
    <row r="148" spans="1:27" ht="12.5" x14ac:dyDescent="0.25">
      <c r="A148" s="10" t="s">
        <v>14</v>
      </c>
      <c r="B148" s="10" t="s">
        <v>383</v>
      </c>
      <c r="C148" s="10" t="s">
        <v>76</v>
      </c>
      <c r="D148" s="11">
        <v>2024</v>
      </c>
      <c r="E148" s="10" t="s">
        <v>81</v>
      </c>
      <c r="F148" s="10" t="s">
        <v>83</v>
      </c>
      <c r="G148" s="10" t="s">
        <v>84</v>
      </c>
      <c r="H148" s="11">
        <v>14937</v>
      </c>
      <c r="I148" s="11">
        <v>3284</v>
      </c>
      <c r="J148" s="11">
        <v>2805</v>
      </c>
      <c r="K148" s="11">
        <v>43706</v>
      </c>
      <c r="L148" s="11">
        <v>0.21985918478927899</v>
      </c>
      <c r="M148" s="11">
        <f t="shared" si="0"/>
        <v>21.985673160607885</v>
      </c>
      <c r="N148" s="11">
        <v>0.85414129110840398</v>
      </c>
      <c r="O148" s="11">
        <v>2.9260552772229702</v>
      </c>
      <c r="P148" s="11">
        <v>0.90033783783783805</v>
      </c>
      <c r="Q148" s="11">
        <v>0.78571428571428603</v>
      </c>
      <c r="R148" s="11">
        <v>0.93410852713178305</v>
      </c>
      <c r="S148" s="10" t="s">
        <v>84</v>
      </c>
      <c r="T148" s="10" t="s">
        <v>84</v>
      </c>
      <c r="U148" s="10"/>
      <c r="V148" s="10"/>
      <c r="W148" s="10"/>
      <c r="X148" s="10"/>
      <c r="Y148" s="10"/>
      <c r="Z148" s="10"/>
      <c r="AA148" s="10"/>
    </row>
    <row r="149" spans="1:27" ht="12.5" x14ac:dyDescent="0.25">
      <c r="A149" s="10" t="s">
        <v>16</v>
      </c>
      <c r="B149" s="10" t="s">
        <v>387</v>
      </c>
      <c r="C149" s="10" t="s">
        <v>76</v>
      </c>
      <c r="D149" s="11">
        <v>2024</v>
      </c>
      <c r="E149" s="10" t="s">
        <v>81</v>
      </c>
      <c r="F149" s="10" t="s">
        <v>83</v>
      </c>
      <c r="G149" s="10" t="s">
        <v>84</v>
      </c>
      <c r="H149" s="11">
        <v>56764</v>
      </c>
      <c r="I149" s="11">
        <v>12473</v>
      </c>
      <c r="J149" s="11">
        <v>12103</v>
      </c>
      <c r="K149" s="11">
        <v>80593</v>
      </c>
      <c r="L149" s="11">
        <v>0.219734983836539</v>
      </c>
      <c r="M149" s="11">
        <f t="shared" si="0"/>
        <v>21.973433866535128</v>
      </c>
      <c r="N149" s="11">
        <v>0.97033592559929405</v>
      </c>
      <c r="O149" s="11">
        <v>1.4197948811303001</v>
      </c>
      <c r="P149" s="11">
        <v>0.89949324324324298</v>
      </c>
      <c r="Q149" s="11">
        <v>0.63333333333333297</v>
      </c>
      <c r="R149" s="11">
        <v>0.93217054263565902</v>
      </c>
      <c r="S149" s="10" t="s">
        <v>84</v>
      </c>
      <c r="T149" s="10" t="s">
        <v>84</v>
      </c>
      <c r="U149" s="10"/>
      <c r="V149" s="10"/>
      <c r="W149" s="10"/>
      <c r="X149" s="10"/>
      <c r="Y149" s="10"/>
      <c r="Z149" s="10"/>
      <c r="AA149" s="10"/>
    </row>
    <row r="150" spans="1:27" ht="12.5" x14ac:dyDescent="0.25">
      <c r="A150" s="10" t="s">
        <v>12</v>
      </c>
      <c r="B150" s="10" t="s">
        <v>391</v>
      </c>
      <c r="C150" s="10" t="s">
        <v>76</v>
      </c>
      <c r="D150" s="11">
        <v>2024</v>
      </c>
      <c r="E150" s="10" t="s">
        <v>81</v>
      </c>
      <c r="F150" s="10" t="s">
        <v>83</v>
      </c>
      <c r="G150" s="10" t="s">
        <v>84</v>
      </c>
      <c r="H150" s="11">
        <v>44151</v>
      </c>
      <c r="I150" s="11">
        <v>9701</v>
      </c>
      <c r="J150" s="11">
        <v>8892</v>
      </c>
      <c r="K150" s="11">
        <v>46582</v>
      </c>
      <c r="L150" s="11">
        <v>0.219723222577065</v>
      </c>
      <c r="M150" s="11">
        <f t="shared" si="0"/>
        <v>21.972322257706509</v>
      </c>
      <c r="N150" s="11">
        <v>0.91660653540872095</v>
      </c>
      <c r="O150" s="11">
        <v>1.05506104052003</v>
      </c>
      <c r="P150" s="11">
        <v>0.89864864864864902</v>
      </c>
      <c r="Q150" s="11">
        <v>0.875</v>
      </c>
      <c r="R150" s="11">
        <v>0.93023255813953498</v>
      </c>
      <c r="S150" s="10" t="s">
        <v>84</v>
      </c>
      <c r="T150" s="10" t="s">
        <v>84</v>
      </c>
      <c r="U150" s="10"/>
      <c r="V150" s="10"/>
      <c r="W150" s="10"/>
      <c r="X150" s="10"/>
      <c r="Y150" s="10"/>
      <c r="Z150" s="10"/>
      <c r="AA150" s="10"/>
    </row>
    <row r="151" spans="1:27" ht="12.5" x14ac:dyDescent="0.25">
      <c r="A151" s="10" t="s">
        <v>26</v>
      </c>
      <c r="B151" s="10" t="s">
        <v>439</v>
      </c>
      <c r="C151" s="10" t="s">
        <v>76</v>
      </c>
      <c r="D151" s="11">
        <v>2024</v>
      </c>
      <c r="E151" s="10" t="s">
        <v>124</v>
      </c>
      <c r="F151" s="10" t="s">
        <v>83</v>
      </c>
      <c r="G151" s="10" t="s">
        <v>84</v>
      </c>
      <c r="H151" s="11">
        <v>3812</v>
      </c>
      <c r="I151" s="11">
        <v>833</v>
      </c>
      <c r="J151" s="11">
        <v>669</v>
      </c>
      <c r="K151" s="11">
        <v>7166</v>
      </c>
      <c r="L151" s="11">
        <v>0.21849657916019999</v>
      </c>
      <c r="M151" s="11">
        <f t="shared" si="0"/>
        <v>21.852046169989507</v>
      </c>
      <c r="N151" s="11">
        <v>0.80312124849940003</v>
      </c>
      <c r="O151" s="11">
        <v>1.8796476425714199</v>
      </c>
      <c r="P151" s="11">
        <v>0.89780405405405395</v>
      </c>
      <c r="Q151" s="11">
        <v>0.80769230769230804</v>
      </c>
      <c r="R151" s="11">
        <v>0.84116331096196895</v>
      </c>
      <c r="S151" s="10" t="s">
        <v>84</v>
      </c>
      <c r="T151" s="10" t="s">
        <v>84</v>
      </c>
      <c r="U151" s="10"/>
      <c r="V151" s="10"/>
      <c r="W151" s="10"/>
      <c r="X151" s="10"/>
      <c r="Y151" s="10"/>
      <c r="Z151" s="10"/>
      <c r="AA151" s="10"/>
    </row>
    <row r="152" spans="1:27" ht="12.5" hidden="1" x14ac:dyDescent="0.25">
      <c r="A152" s="10" t="s">
        <v>13</v>
      </c>
      <c r="B152" s="10" t="s">
        <v>732</v>
      </c>
      <c r="C152" s="10" t="s">
        <v>191</v>
      </c>
      <c r="D152" s="11">
        <v>2024</v>
      </c>
      <c r="E152" s="10" t="s">
        <v>124</v>
      </c>
      <c r="F152" s="10" t="s">
        <v>125</v>
      </c>
      <c r="G152" s="10" t="s">
        <v>84</v>
      </c>
      <c r="H152" s="12">
        <v>330.25</v>
      </c>
      <c r="I152" s="11">
        <v>72</v>
      </c>
      <c r="J152" s="11">
        <v>64</v>
      </c>
      <c r="K152" s="11">
        <v>1440</v>
      </c>
      <c r="L152" s="11">
        <v>0.21801665404996201</v>
      </c>
      <c r="M152" s="11">
        <f t="shared" si="0"/>
        <v>21.801665404996214</v>
      </c>
      <c r="N152" s="11">
        <v>0.88888888888888895</v>
      </c>
      <c r="O152" s="11">
        <v>4.36033308099924</v>
      </c>
      <c r="P152" s="11">
        <v>0.94607843137254899</v>
      </c>
      <c r="Q152" s="11">
        <v>0.86206896551724099</v>
      </c>
      <c r="R152" s="11">
        <v>0.91666666666666696</v>
      </c>
      <c r="S152" s="10" t="s">
        <v>84</v>
      </c>
      <c r="T152" s="10" t="s">
        <v>84</v>
      </c>
      <c r="U152" s="10"/>
      <c r="V152" s="10"/>
      <c r="W152" s="10"/>
      <c r="X152" s="10"/>
      <c r="Y152" s="10"/>
      <c r="Z152" s="10"/>
      <c r="AA152" s="10"/>
    </row>
    <row r="153" spans="1:27" ht="12.5" hidden="1" x14ac:dyDescent="0.25">
      <c r="A153" s="10" t="s">
        <v>10</v>
      </c>
      <c r="B153" s="10" t="s">
        <v>735</v>
      </c>
      <c r="C153" s="10" t="s">
        <v>191</v>
      </c>
      <c r="D153" s="11">
        <v>2024</v>
      </c>
      <c r="E153" s="10" t="s">
        <v>124</v>
      </c>
      <c r="F153" s="10" t="s">
        <v>125</v>
      </c>
      <c r="G153" s="10" t="s">
        <v>84</v>
      </c>
      <c r="H153" s="12">
        <v>59.6666666666667</v>
      </c>
      <c r="I153" s="11">
        <v>13</v>
      </c>
      <c r="J153" s="11">
        <v>12</v>
      </c>
      <c r="K153" s="11">
        <v>46</v>
      </c>
      <c r="L153" s="11">
        <v>0.217877094972067</v>
      </c>
      <c r="M153" s="11">
        <f t="shared" si="0"/>
        <v>21.787709497206691</v>
      </c>
      <c r="N153" s="11">
        <v>0.92307692307692302</v>
      </c>
      <c r="O153" s="11">
        <v>0.77094972067039103</v>
      </c>
      <c r="P153" s="11">
        <v>0.94485294117647001</v>
      </c>
      <c r="Q153" s="11">
        <v>0.86206896551724099</v>
      </c>
      <c r="R153" s="11">
        <v>0.91472868217054304</v>
      </c>
      <c r="S153" s="10" t="s">
        <v>84</v>
      </c>
      <c r="T153" s="10" t="s">
        <v>84</v>
      </c>
      <c r="U153" s="10"/>
      <c r="V153" s="10"/>
      <c r="W153" s="10"/>
      <c r="X153" s="10"/>
      <c r="Y153" s="10"/>
      <c r="Z153" s="10"/>
      <c r="AA153" s="10"/>
    </row>
    <row r="154" spans="1:27" ht="12.5" hidden="1" x14ac:dyDescent="0.25">
      <c r="A154" s="10" t="s">
        <v>58</v>
      </c>
      <c r="B154" s="10" t="s">
        <v>739</v>
      </c>
      <c r="C154" s="10" t="s">
        <v>191</v>
      </c>
      <c r="D154" s="11">
        <v>2024</v>
      </c>
      <c r="E154" s="10" t="s">
        <v>124</v>
      </c>
      <c r="F154" s="10" t="s">
        <v>125</v>
      </c>
      <c r="G154" s="10" t="s">
        <v>84</v>
      </c>
      <c r="H154" s="12">
        <v>549.75</v>
      </c>
      <c r="I154" s="11">
        <v>119</v>
      </c>
      <c r="J154" s="11">
        <v>87</v>
      </c>
      <c r="K154" s="11">
        <v>857</v>
      </c>
      <c r="L154" s="11">
        <v>0.216462028194634</v>
      </c>
      <c r="M154" s="11">
        <f t="shared" si="0"/>
        <v>21.646202819463394</v>
      </c>
      <c r="N154" s="11">
        <v>0.73109243697478998</v>
      </c>
      <c r="O154" s="11">
        <v>1.5588904047294201</v>
      </c>
      <c r="P154" s="11">
        <v>0.94362745098039202</v>
      </c>
      <c r="Q154" s="11">
        <v>0.86792452830188704</v>
      </c>
      <c r="R154" s="11">
        <v>0.912790697674419</v>
      </c>
      <c r="S154" s="10" t="s">
        <v>84</v>
      </c>
      <c r="T154" s="10" t="s">
        <v>84</v>
      </c>
      <c r="U154" s="10"/>
      <c r="V154" s="10"/>
      <c r="W154" s="10"/>
      <c r="X154" s="10"/>
      <c r="Y154" s="10"/>
      <c r="Z154" s="10"/>
      <c r="AA154" s="10"/>
    </row>
    <row r="155" spans="1:27" ht="12.5" x14ac:dyDescent="0.25">
      <c r="A155" s="10" t="s">
        <v>110</v>
      </c>
      <c r="B155" s="10" t="s">
        <v>441</v>
      </c>
      <c r="C155" s="10" t="s">
        <v>76</v>
      </c>
      <c r="D155" s="11">
        <v>2024</v>
      </c>
      <c r="E155" s="10" t="s">
        <v>124</v>
      </c>
      <c r="F155" s="10" t="s">
        <v>83</v>
      </c>
      <c r="G155" s="10" t="s">
        <v>84</v>
      </c>
      <c r="H155" s="11">
        <v>175582</v>
      </c>
      <c r="I155" s="11">
        <v>37882</v>
      </c>
      <c r="J155" s="11">
        <v>37640</v>
      </c>
      <c r="K155" s="11">
        <v>156975</v>
      </c>
      <c r="L155" s="11">
        <v>0.215751659485766</v>
      </c>
      <c r="M155" s="11">
        <f t="shared" si="0"/>
        <v>21.575104509573876</v>
      </c>
      <c r="N155" s="11">
        <v>0.993611741724302</v>
      </c>
      <c r="O155" s="11">
        <v>0.89402926845937603</v>
      </c>
      <c r="P155" s="11">
        <v>0.89695945945945899</v>
      </c>
      <c r="Q155" s="11">
        <v>0.96969696969696995</v>
      </c>
      <c r="R155" s="11">
        <v>0.83892617449664397</v>
      </c>
      <c r="S155" s="10" t="s">
        <v>84</v>
      </c>
      <c r="T155" s="10" t="s">
        <v>84</v>
      </c>
      <c r="U155" s="10"/>
      <c r="V155" s="10"/>
      <c r="W155" s="10"/>
      <c r="X155" s="10"/>
      <c r="Y155" s="10"/>
      <c r="Z155" s="10"/>
      <c r="AA155" s="10"/>
    </row>
    <row r="156" spans="1:27" ht="12.5" x14ac:dyDescent="0.25">
      <c r="A156" s="10" t="s">
        <v>65</v>
      </c>
      <c r="B156" s="10" t="s">
        <v>393</v>
      </c>
      <c r="C156" s="10" t="s">
        <v>76</v>
      </c>
      <c r="D156" s="11">
        <v>2024</v>
      </c>
      <c r="E156" s="10" t="s">
        <v>81</v>
      </c>
      <c r="F156" s="10" t="s">
        <v>83</v>
      </c>
      <c r="G156" s="10" t="s">
        <v>84</v>
      </c>
      <c r="H156" s="11">
        <v>5027</v>
      </c>
      <c r="I156" s="11">
        <v>1084</v>
      </c>
      <c r="J156" s="11">
        <v>967</v>
      </c>
      <c r="K156" s="11">
        <v>7478</v>
      </c>
      <c r="L156" s="11">
        <v>0.21564986737400499</v>
      </c>
      <c r="M156" s="11">
        <f t="shared" si="0"/>
        <v>21.563556793316092</v>
      </c>
      <c r="N156" s="11">
        <v>0.89206642066420705</v>
      </c>
      <c r="O156" s="11">
        <v>1.4876657824933699</v>
      </c>
      <c r="P156" s="11">
        <v>0.89611486486486502</v>
      </c>
      <c r="Q156" s="11">
        <v>0.92307692307692302</v>
      </c>
      <c r="R156" s="11">
        <v>0.92829457364341095</v>
      </c>
      <c r="S156" s="10" t="s">
        <v>84</v>
      </c>
      <c r="T156" s="10" t="s">
        <v>84</v>
      </c>
      <c r="U156" s="10"/>
      <c r="V156" s="10"/>
      <c r="W156" s="10"/>
      <c r="X156" s="10"/>
      <c r="Y156" s="10"/>
      <c r="Z156" s="10"/>
      <c r="AA156" s="10"/>
    </row>
    <row r="157" spans="1:27" ht="12.5" x14ac:dyDescent="0.25">
      <c r="A157" s="10" t="s">
        <v>86</v>
      </c>
      <c r="B157" s="10" t="s">
        <v>444</v>
      </c>
      <c r="C157" s="10" t="s">
        <v>76</v>
      </c>
      <c r="D157" s="11">
        <v>2024</v>
      </c>
      <c r="E157" s="10" t="s">
        <v>124</v>
      </c>
      <c r="F157" s="10" t="s">
        <v>83</v>
      </c>
      <c r="G157" s="10" t="s">
        <v>84</v>
      </c>
      <c r="H157" s="11">
        <v>13492</v>
      </c>
      <c r="I157" s="11">
        <v>2906</v>
      </c>
      <c r="J157" s="11">
        <v>6833</v>
      </c>
      <c r="K157" s="11">
        <v>19872</v>
      </c>
      <c r="L157" s="11">
        <v>0.215380244458307</v>
      </c>
      <c r="M157" s="11">
        <f t="shared" si="0"/>
        <v>21.538689593833382</v>
      </c>
      <c r="N157" s="11">
        <v>2.3513420509291101</v>
      </c>
      <c r="O157" s="11">
        <v>1.47282732893168</v>
      </c>
      <c r="P157" s="11">
        <v>0.89527027027026995</v>
      </c>
      <c r="Q157" s="11">
        <v>0.69565217391304301</v>
      </c>
      <c r="R157" s="11">
        <v>0.83668903803132</v>
      </c>
      <c r="S157" s="10" t="s">
        <v>84</v>
      </c>
      <c r="T157" s="10" t="s">
        <v>84</v>
      </c>
      <c r="U157" s="10"/>
      <c r="V157" s="10"/>
      <c r="W157" s="10"/>
      <c r="X157" s="10"/>
      <c r="Y157" s="10"/>
      <c r="Z157" s="10"/>
      <c r="AA157" s="10"/>
    </row>
    <row r="158" spans="1:27" ht="12.5" x14ac:dyDescent="0.25">
      <c r="A158" s="10" t="s">
        <v>36</v>
      </c>
      <c r="B158" s="10" t="s">
        <v>446</v>
      </c>
      <c r="C158" s="10" t="s">
        <v>76</v>
      </c>
      <c r="D158" s="11">
        <v>2024</v>
      </c>
      <c r="E158" s="10" t="s">
        <v>124</v>
      </c>
      <c r="F158" s="10" t="s">
        <v>83</v>
      </c>
      <c r="G158" s="10" t="s">
        <v>84</v>
      </c>
      <c r="H158" s="11">
        <v>8933</v>
      </c>
      <c r="I158" s="11">
        <v>1922</v>
      </c>
      <c r="J158" s="11">
        <v>1197</v>
      </c>
      <c r="K158" s="11">
        <v>13185</v>
      </c>
      <c r="L158" s="11">
        <v>0.215161296341213</v>
      </c>
      <c r="M158" s="11">
        <f t="shared" si="0"/>
        <v>21.515728198813388</v>
      </c>
      <c r="N158" s="11">
        <v>0.62278876170655595</v>
      </c>
      <c r="O158" s="11">
        <v>1.4760154486258601</v>
      </c>
      <c r="P158" s="11">
        <v>0.89442567567567599</v>
      </c>
      <c r="Q158" s="11">
        <v>0.78723404255319196</v>
      </c>
      <c r="R158" s="11">
        <v>0.83445190156599602</v>
      </c>
      <c r="S158" s="10" t="s">
        <v>84</v>
      </c>
      <c r="T158" s="10" t="s">
        <v>84</v>
      </c>
      <c r="U158" s="10"/>
      <c r="V158" s="10"/>
      <c r="W158" s="10"/>
      <c r="X158" s="10"/>
      <c r="Y158" s="10"/>
      <c r="Z158" s="10"/>
      <c r="AA158" s="10"/>
    </row>
    <row r="159" spans="1:27" ht="12.5" x14ac:dyDescent="0.25">
      <c r="A159" s="10" t="s">
        <v>25</v>
      </c>
      <c r="B159" s="10" t="s">
        <v>448</v>
      </c>
      <c r="C159" s="10" t="s">
        <v>76</v>
      </c>
      <c r="D159" s="11">
        <v>2024</v>
      </c>
      <c r="E159" s="10" t="s">
        <v>124</v>
      </c>
      <c r="F159" s="10" t="s">
        <v>83</v>
      </c>
      <c r="G159" s="10" t="s">
        <v>84</v>
      </c>
      <c r="H159" s="11">
        <v>13621</v>
      </c>
      <c r="I159" s="11">
        <v>2897</v>
      </c>
      <c r="J159" s="11">
        <v>2647</v>
      </c>
      <c r="K159" s="11">
        <v>25850</v>
      </c>
      <c r="L159" s="11">
        <v>0.21268369082433</v>
      </c>
      <c r="M159" s="11">
        <f t="shared" si="0"/>
        <v>21.268629322369868</v>
      </c>
      <c r="N159" s="11">
        <v>0.913703831549879</v>
      </c>
      <c r="O159" s="11">
        <v>1.8977816388708799</v>
      </c>
      <c r="P159" s="11">
        <v>0.89358108108108103</v>
      </c>
      <c r="Q159" s="11">
        <v>1</v>
      </c>
      <c r="R159" s="11">
        <v>0.83221476510067105</v>
      </c>
      <c r="S159" s="10" t="s">
        <v>84</v>
      </c>
      <c r="T159" s="10" t="s">
        <v>84</v>
      </c>
      <c r="U159" s="10"/>
      <c r="V159" s="10"/>
      <c r="W159" s="10"/>
      <c r="X159" s="10"/>
      <c r="Y159" s="10"/>
      <c r="Z159" s="10"/>
      <c r="AA159" s="10"/>
    </row>
    <row r="160" spans="1:27" ht="12.5" x14ac:dyDescent="0.25">
      <c r="A160" s="10" t="s">
        <v>10</v>
      </c>
      <c r="B160" s="10" t="s">
        <v>450</v>
      </c>
      <c r="C160" s="10" t="s">
        <v>76</v>
      </c>
      <c r="D160" s="11">
        <v>2024</v>
      </c>
      <c r="E160" s="10" t="s">
        <v>124</v>
      </c>
      <c r="F160" s="10" t="s">
        <v>83</v>
      </c>
      <c r="G160" s="10" t="s">
        <v>84</v>
      </c>
      <c r="H160" s="11">
        <v>15574</v>
      </c>
      <c r="I160" s="11">
        <v>3302</v>
      </c>
      <c r="J160" s="11">
        <v>815</v>
      </c>
      <c r="K160" s="11">
        <v>15515</v>
      </c>
      <c r="L160" s="11">
        <v>0.212022302366148</v>
      </c>
      <c r="M160" s="11">
        <f t="shared" si="0"/>
        <v>21.202003338898166</v>
      </c>
      <c r="N160" s="11">
        <v>0.24682010902483301</v>
      </c>
      <c r="O160" s="11">
        <v>0.99622229594512202</v>
      </c>
      <c r="P160" s="11">
        <v>0.89273648648648696</v>
      </c>
      <c r="Q160" s="11">
        <v>0.8</v>
      </c>
      <c r="R160" s="11">
        <v>0.82997762863534696</v>
      </c>
      <c r="S160" s="10" t="s">
        <v>84</v>
      </c>
      <c r="T160" s="10" t="s">
        <v>84</v>
      </c>
      <c r="U160" s="10"/>
      <c r="V160" s="10"/>
      <c r="W160" s="10"/>
      <c r="X160" s="10"/>
      <c r="Y160" s="10"/>
      <c r="Z160" s="10"/>
      <c r="AA160" s="10"/>
    </row>
    <row r="161" spans="1:27" ht="12.5" x14ac:dyDescent="0.25">
      <c r="A161" s="10" t="s">
        <v>36</v>
      </c>
      <c r="B161" s="10" t="s">
        <v>395</v>
      </c>
      <c r="C161" s="10" t="s">
        <v>76</v>
      </c>
      <c r="D161" s="11">
        <v>2024</v>
      </c>
      <c r="E161" s="10" t="s">
        <v>81</v>
      </c>
      <c r="F161" s="10" t="s">
        <v>83</v>
      </c>
      <c r="G161" s="10" t="s">
        <v>84</v>
      </c>
      <c r="H161" s="11">
        <v>203592</v>
      </c>
      <c r="I161" s="11">
        <v>42893</v>
      </c>
      <c r="J161" s="11">
        <v>25546</v>
      </c>
      <c r="K161" s="11">
        <v>279098</v>
      </c>
      <c r="L161" s="11">
        <v>0.21068133872429401</v>
      </c>
      <c r="M161" s="11">
        <f t="shared" si="0"/>
        <v>21.068116625407679</v>
      </c>
      <c r="N161" s="11">
        <v>0.59557503555358704</v>
      </c>
      <c r="O161" s="11">
        <v>1.37087031159567</v>
      </c>
      <c r="P161" s="11">
        <v>0.891891891891892</v>
      </c>
      <c r="Q161" s="11">
        <v>0.76595744680851097</v>
      </c>
      <c r="R161" s="11">
        <v>0.92635658914728702</v>
      </c>
      <c r="S161" s="10" t="s">
        <v>84</v>
      </c>
      <c r="T161" s="10" t="s">
        <v>84</v>
      </c>
      <c r="U161" s="10"/>
      <c r="V161" s="10"/>
      <c r="W161" s="10"/>
      <c r="X161" s="10"/>
      <c r="Y161" s="10"/>
      <c r="Z161" s="10"/>
      <c r="AA161" s="10"/>
    </row>
    <row r="162" spans="1:27" ht="12.5" x14ac:dyDescent="0.25">
      <c r="A162" s="10" t="s">
        <v>29</v>
      </c>
      <c r="B162" s="10" t="s">
        <v>397</v>
      </c>
      <c r="C162" s="10" t="s">
        <v>76</v>
      </c>
      <c r="D162" s="11">
        <v>2024</v>
      </c>
      <c r="E162" s="10" t="s">
        <v>81</v>
      </c>
      <c r="F162" s="10" t="s">
        <v>83</v>
      </c>
      <c r="G162" s="10" t="s">
        <v>84</v>
      </c>
      <c r="H162" s="11">
        <v>100597</v>
      </c>
      <c r="I162" s="11">
        <v>21120</v>
      </c>
      <c r="J162" s="11">
        <v>13680</v>
      </c>
      <c r="K162" s="11">
        <v>105600</v>
      </c>
      <c r="L162" s="11">
        <v>0.20994661868644199</v>
      </c>
      <c r="M162" s="11">
        <f t="shared" si="0"/>
        <v>20.994661868644194</v>
      </c>
      <c r="N162" s="11">
        <v>0.64772727272727304</v>
      </c>
      <c r="O162" s="11">
        <v>1.04973309343221</v>
      </c>
      <c r="P162" s="11">
        <v>0.89104729729729704</v>
      </c>
      <c r="Q162" s="11">
        <v>0.79591836734693899</v>
      </c>
      <c r="R162" s="11">
        <v>0.92441860465116299</v>
      </c>
      <c r="S162" s="10" t="s">
        <v>84</v>
      </c>
      <c r="T162" s="10" t="s">
        <v>84</v>
      </c>
      <c r="U162" s="10"/>
      <c r="V162" s="10"/>
      <c r="W162" s="10"/>
      <c r="X162" s="10"/>
      <c r="Y162" s="10"/>
      <c r="Z162" s="10"/>
      <c r="AA162" s="10"/>
    </row>
    <row r="163" spans="1:27" ht="12.5" x14ac:dyDescent="0.25">
      <c r="A163" s="10" t="s">
        <v>22</v>
      </c>
      <c r="B163" s="10" t="s">
        <v>400</v>
      </c>
      <c r="C163" s="10" t="s">
        <v>76</v>
      </c>
      <c r="D163" s="11">
        <v>2024</v>
      </c>
      <c r="E163" s="10" t="s">
        <v>81</v>
      </c>
      <c r="F163" s="10" t="s">
        <v>83</v>
      </c>
      <c r="G163" s="10" t="s">
        <v>84</v>
      </c>
      <c r="H163" s="11">
        <v>22368</v>
      </c>
      <c r="I163" s="11">
        <v>4688</v>
      </c>
      <c r="J163" s="11">
        <v>4045</v>
      </c>
      <c r="K163" s="11">
        <v>5509</v>
      </c>
      <c r="L163" s="11">
        <v>0.20958277916242901</v>
      </c>
      <c r="M163" s="11">
        <f t="shared" si="0"/>
        <v>20.958512160228899</v>
      </c>
      <c r="N163" s="11">
        <v>0.86284129692832801</v>
      </c>
      <c r="O163" s="11">
        <v>0.24628658925038799</v>
      </c>
      <c r="P163" s="11">
        <v>0.89020270270270296</v>
      </c>
      <c r="Q163" s="11">
        <v>1</v>
      </c>
      <c r="R163" s="11">
        <v>0.92248062015503896</v>
      </c>
      <c r="S163" s="10" t="s">
        <v>84</v>
      </c>
      <c r="T163" s="10" t="s">
        <v>84</v>
      </c>
      <c r="U163" s="10"/>
      <c r="V163" s="10"/>
      <c r="W163" s="10"/>
      <c r="X163" s="10"/>
      <c r="Y163" s="10"/>
      <c r="Z163" s="10"/>
      <c r="AA163" s="10"/>
    </row>
    <row r="164" spans="1:27" ht="12.5" hidden="1" x14ac:dyDescent="0.25">
      <c r="A164" s="10" t="s">
        <v>32</v>
      </c>
      <c r="B164" s="10" t="s">
        <v>767</v>
      </c>
      <c r="C164" s="10" t="s">
        <v>191</v>
      </c>
      <c r="D164" s="11">
        <v>2024</v>
      </c>
      <c r="E164" s="10" t="s">
        <v>124</v>
      </c>
      <c r="F164" s="10" t="s">
        <v>125</v>
      </c>
      <c r="G164" s="10" t="s">
        <v>84</v>
      </c>
      <c r="H164" s="12">
        <v>2683</v>
      </c>
      <c r="I164" s="11">
        <v>562</v>
      </c>
      <c r="J164" s="11">
        <v>123</v>
      </c>
      <c r="K164" s="11">
        <v>562</v>
      </c>
      <c r="L164" s="11">
        <v>0.20947352073303299</v>
      </c>
      <c r="M164" s="11">
        <f t="shared" si="0"/>
        <v>20.94670145359672</v>
      </c>
      <c r="N164" s="11">
        <v>0.21886120996441299</v>
      </c>
      <c r="O164" s="11">
        <v>0.20947352073303299</v>
      </c>
      <c r="P164" s="11">
        <v>0.94240196078431404</v>
      </c>
      <c r="Q164" s="11">
        <v>1</v>
      </c>
      <c r="R164" s="11">
        <v>0.91085271317829497</v>
      </c>
      <c r="S164" s="10" t="s">
        <v>84</v>
      </c>
      <c r="T164" s="10" t="s">
        <v>84</v>
      </c>
      <c r="U164" s="10"/>
      <c r="V164" s="10"/>
      <c r="W164" s="10"/>
      <c r="X164" s="10"/>
      <c r="Y164" s="10"/>
      <c r="Z164" s="10"/>
      <c r="AA164" s="10"/>
    </row>
    <row r="165" spans="1:27" ht="12.5" hidden="1" x14ac:dyDescent="0.25">
      <c r="A165" s="10" t="s">
        <v>58</v>
      </c>
      <c r="B165" s="10" t="s">
        <v>773</v>
      </c>
      <c r="C165" s="10" t="s">
        <v>191</v>
      </c>
      <c r="D165" s="11">
        <v>2024</v>
      </c>
      <c r="E165" s="10" t="s">
        <v>124</v>
      </c>
      <c r="F165" s="10" t="s">
        <v>125</v>
      </c>
      <c r="G165" s="10" t="s">
        <v>84</v>
      </c>
      <c r="H165" s="12">
        <v>2459</v>
      </c>
      <c r="I165" s="11">
        <v>513</v>
      </c>
      <c r="J165" s="11">
        <v>426</v>
      </c>
      <c r="K165" s="11">
        <v>3028</v>
      </c>
      <c r="L165" s="11">
        <v>0.20860725177905801</v>
      </c>
      <c r="M165" s="11">
        <f t="shared" si="0"/>
        <v>20.862139080927207</v>
      </c>
      <c r="N165" s="11">
        <v>0.83040935672514604</v>
      </c>
      <c r="O165" s="11">
        <v>1.23131141985768</v>
      </c>
      <c r="P165" s="11">
        <v>0.94117647058823495</v>
      </c>
      <c r="Q165" s="11">
        <v>0.84905660377358505</v>
      </c>
      <c r="R165" s="11">
        <v>0.90891472868217005</v>
      </c>
      <c r="S165" s="10" t="s">
        <v>84</v>
      </c>
      <c r="T165" s="10" t="s">
        <v>84</v>
      </c>
      <c r="U165" s="10"/>
      <c r="V165" s="10"/>
      <c r="W165" s="10"/>
      <c r="X165" s="10"/>
      <c r="Y165" s="10"/>
      <c r="Z165" s="10"/>
      <c r="AA165" s="10"/>
    </row>
    <row r="166" spans="1:27" ht="12.5" hidden="1" x14ac:dyDescent="0.25">
      <c r="A166" s="10" t="s">
        <v>58</v>
      </c>
      <c r="B166" s="10" t="s">
        <v>779</v>
      </c>
      <c r="C166" s="10" t="s">
        <v>191</v>
      </c>
      <c r="D166" s="11">
        <v>2024</v>
      </c>
      <c r="E166" s="10" t="s">
        <v>124</v>
      </c>
      <c r="F166" s="10" t="s">
        <v>125</v>
      </c>
      <c r="G166" s="10" t="s">
        <v>84</v>
      </c>
      <c r="H166" s="12">
        <v>470</v>
      </c>
      <c r="I166" s="11">
        <v>98</v>
      </c>
      <c r="J166" s="11">
        <v>61</v>
      </c>
      <c r="K166" s="11">
        <v>672</v>
      </c>
      <c r="L166" s="11">
        <v>0.208510638297872</v>
      </c>
      <c r="M166" s="11">
        <f t="shared" si="0"/>
        <v>20.851063829787233</v>
      </c>
      <c r="N166" s="11">
        <v>0.62244897959183698</v>
      </c>
      <c r="O166" s="11">
        <v>1.4297872340425499</v>
      </c>
      <c r="P166" s="11">
        <v>0.93995098039215697</v>
      </c>
      <c r="Q166" s="11">
        <v>0.83018867924528295</v>
      </c>
      <c r="R166" s="11">
        <v>0.90697674418604601</v>
      </c>
      <c r="S166" s="10" t="s">
        <v>84</v>
      </c>
      <c r="T166" s="10" t="s">
        <v>84</v>
      </c>
      <c r="U166" s="10"/>
      <c r="V166" s="10"/>
      <c r="W166" s="10"/>
      <c r="X166" s="10"/>
      <c r="Y166" s="10"/>
      <c r="Z166" s="10"/>
      <c r="AA166" s="10"/>
    </row>
    <row r="167" spans="1:27" ht="12.5" x14ac:dyDescent="0.25">
      <c r="A167" s="10" t="s">
        <v>13</v>
      </c>
      <c r="B167" s="10" t="s">
        <v>402</v>
      </c>
      <c r="C167" s="10" t="s">
        <v>76</v>
      </c>
      <c r="D167" s="11">
        <v>2024</v>
      </c>
      <c r="E167" s="10" t="s">
        <v>81</v>
      </c>
      <c r="F167" s="10" t="s">
        <v>83</v>
      </c>
      <c r="G167" s="10" t="s">
        <v>84</v>
      </c>
      <c r="H167" s="11">
        <v>108368</v>
      </c>
      <c r="I167" s="11">
        <v>22374</v>
      </c>
      <c r="J167" s="11">
        <v>19447</v>
      </c>
      <c r="K167" s="11">
        <v>218949</v>
      </c>
      <c r="L167" s="11">
        <v>0.206463321324346</v>
      </c>
      <c r="M167" s="11">
        <f t="shared" si="0"/>
        <v>20.646316255721246</v>
      </c>
      <c r="N167" s="11">
        <v>0.86917851077143105</v>
      </c>
      <c r="O167" s="11">
        <v>2.0204227112114199</v>
      </c>
      <c r="P167" s="11">
        <v>0.889358108108108</v>
      </c>
      <c r="Q167" s="11">
        <v>0.71428571428571397</v>
      </c>
      <c r="R167" s="11">
        <v>0.92054263565891503</v>
      </c>
      <c r="S167" s="10" t="s">
        <v>84</v>
      </c>
      <c r="T167" s="10" t="s">
        <v>84</v>
      </c>
      <c r="U167" s="10"/>
      <c r="V167" s="10"/>
      <c r="W167" s="10"/>
      <c r="X167" s="10"/>
      <c r="Y167" s="10"/>
      <c r="Z167" s="10"/>
      <c r="AA167" s="10"/>
    </row>
    <row r="168" spans="1:27" ht="12.5" x14ac:dyDescent="0.25">
      <c r="A168" s="10" t="s">
        <v>42</v>
      </c>
      <c r="B168" s="10" t="s">
        <v>211</v>
      </c>
      <c r="C168" s="10" t="s">
        <v>76</v>
      </c>
      <c r="D168" s="11">
        <v>2024</v>
      </c>
      <c r="E168" s="10" t="s">
        <v>81</v>
      </c>
      <c r="F168" s="10" t="s">
        <v>83</v>
      </c>
      <c r="G168" s="10" t="s">
        <v>84</v>
      </c>
      <c r="H168" s="11">
        <v>306</v>
      </c>
      <c r="I168" s="11">
        <v>63</v>
      </c>
      <c r="J168" s="11">
        <v>62</v>
      </c>
      <c r="K168" s="11">
        <v>517</v>
      </c>
      <c r="L168" s="11">
        <v>0.206106870229008</v>
      </c>
      <c r="M168" s="11">
        <f t="shared" si="0"/>
        <v>20.588235294117645</v>
      </c>
      <c r="N168" s="11">
        <v>0.98412698412698396</v>
      </c>
      <c r="O168" s="11">
        <v>1.6913849509269401</v>
      </c>
      <c r="P168" s="11">
        <v>0.88851351351351304</v>
      </c>
      <c r="Q168" s="11">
        <v>0.92857142857142905</v>
      </c>
      <c r="R168" s="11">
        <v>0.918604651162791</v>
      </c>
      <c r="S168" s="10" t="s">
        <v>84</v>
      </c>
      <c r="T168" s="10" t="s">
        <v>84</v>
      </c>
      <c r="U168" s="10"/>
      <c r="V168" s="10"/>
      <c r="W168" s="10"/>
      <c r="X168" s="10"/>
      <c r="Y168" s="10"/>
      <c r="Z168" s="10"/>
      <c r="AA168" s="10"/>
    </row>
    <row r="169" spans="1:27" ht="12.5" x14ac:dyDescent="0.25">
      <c r="A169" s="10" t="s">
        <v>36</v>
      </c>
      <c r="B169" s="10" t="s">
        <v>405</v>
      </c>
      <c r="C169" s="10" t="s">
        <v>76</v>
      </c>
      <c r="D169" s="11">
        <v>2024</v>
      </c>
      <c r="E169" s="10" t="s">
        <v>81</v>
      </c>
      <c r="F169" s="10" t="s">
        <v>83</v>
      </c>
      <c r="G169" s="10" t="s">
        <v>84</v>
      </c>
      <c r="H169" s="11">
        <v>32234</v>
      </c>
      <c r="I169" s="11">
        <v>6630</v>
      </c>
      <c r="J169" s="11">
        <v>2996</v>
      </c>
      <c r="K169" s="11">
        <v>3502</v>
      </c>
      <c r="L169" s="11">
        <v>0.20568131288584601</v>
      </c>
      <c r="M169" s="11">
        <f t="shared" si="0"/>
        <v>20.568343984612522</v>
      </c>
      <c r="N169" s="11">
        <v>0.45188536953242803</v>
      </c>
      <c r="O169" s="11">
        <v>0.108641924242268</v>
      </c>
      <c r="P169" s="11">
        <v>0.88766891891891897</v>
      </c>
      <c r="Q169" s="11">
        <v>0.74468085106382997</v>
      </c>
      <c r="R169" s="11">
        <v>0.91666666666666696</v>
      </c>
      <c r="S169" s="10" t="s">
        <v>84</v>
      </c>
      <c r="T169" s="10" t="s">
        <v>84</v>
      </c>
      <c r="U169" s="10"/>
      <c r="V169" s="10"/>
      <c r="W169" s="10"/>
      <c r="X169" s="10"/>
      <c r="Y169" s="10"/>
      <c r="Z169" s="10"/>
      <c r="AA169" s="10"/>
    </row>
    <row r="170" spans="1:27" ht="12.5" hidden="1" x14ac:dyDescent="0.25">
      <c r="A170" s="10" t="s">
        <v>13</v>
      </c>
      <c r="B170" s="10" t="s">
        <v>791</v>
      </c>
      <c r="C170" s="10" t="s">
        <v>191</v>
      </c>
      <c r="D170" s="11">
        <v>2024</v>
      </c>
      <c r="E170" s="10" t="s">
        <v>124</v>
      </c>
      <c r="F170" s="10" t="s">
        <v>125</v>
      </c>
      <c r="G170" s="10" t="s">
        <v>84</v>
      </c>
      <c r="H170" s="12">
        <v>2753</v>
      </c>
      <c r="I170" s="11">
        <v>563</v>
      </c>
      <c r="J170" s="11">
        <v>521</v>
      </c>
      <c r="K170" s="11">
        <v>5845</v>
      </c>
      <c r="L170" s="11">
        <v>0.20448560791791501</v>
      </c>
      <c r="M170" s="11">
        <f t="shared" si="0"/>
        <v>20.450417726116964</v>
      </c>
      <c r="N170" s="11">
        <v>0.92539964476021297</v>
      </c>
      <c r="O170" s="11">
        <v>2.1229456097339501</v>
      </c>
      <c r="P170" s="11">
        <v>0.93872549019607798</v>
      </c>
      <c r="Q170" s="11">
        <v>0.84482758620689702</v>
      </c>
      <c r="R170" s="11">
        <v>0.90503875968992298</v>
      </c>
      <c r="S170" s="10" t="s">
        <v>84</v>
      </c>
      <c r="T170" s="10" t="s">
        <v>84</v>
      </c>
      <c r="U170" s="10"/>
      <c r="V170" s="10"/>
      <c r="W170" s="10"/>
      <c r="X170" s="10"/>
      <c r="Y170" s="10"/>
      <c r="Z170" s="10"/>
      <c r="AA170" s="10"/>
    </row>
    <row r="171" spans="1:27" ht="12.5" x14ac:dyDescent="0.25">
      <c r="A171" s="10" t="s">
        <v>29</v>
      </c>
      <c r="B171" s="10" t="s">
        <v>408</v>
      </c>
      <c r="C171" s="10" t="s">
        <v>76</v>
      </c>
      <c r="D171" s="11">
        <v>2024</v>
      </c>
      <c r="E171" s="10" t="s">
        <v>81</v>
      </c>
      <c r="F171" s="10" t="s">
        <v>83</v>
      </c>
      <c r="G171" s="10" t="s">
        <v>84</v>
      </c>
      <c r="H171" s="11">
        <v>16333</v>
      </c>
      <c r="I171" s="11">
        <v>3339</v>
      </c>
      <c r="J171" s="11">
        <v>2986</v>
      </c>
      <c r="K171" s="11">
        <v>6531</v>
      </c>
      <c r="L171" s="11">
        <v>0.20443274352537799</v>
      </c>
      <c r="M171" s="11">
        <f t="shared" si="0"/>
        <v>20.443274352537806</v>
      </c>
      <c r="N171" s="11">
        <v>0.89427972446840398</v>
      </c>
      <c r="O171" s="11">
        <v>0.39986530337353798</v>
      </c>
      <c r="P171" s="11">
        <v>0.88682432432432401</v>
      </c>
      <c r="Q171" s="11">
        <v>0.77551020408163296</v>
      </c>
      <c r="R171" s="11">
        <v>0.91472868217054304</v>
      </c>
      <c r="S171" s="10" t="s">
        <v>84</v>
      </c>
      <c r="T171" s="10" t="s">
        <v>84</v>
      </c>
      <c r="U171" s="10"/>
      <c r="V171" s="10"/>
      <c r="W171" s="10"/>
      <c r="X171" s="10"/>
      <c r="Y171" s="10"/>
      <c r="Z171" s="10"/>
      <c r="AA171" s="10"/>
    </row>
    <row r="172" spans="1:27" ht="12.5" hidden="1" x14ac:dyDescent="0.25">
      <c r="A172" s="10" t="s">
        <v>10</v>
      </c>
      <c r="B172" s="10" t="s">
        <v>797</v>
      </c>
      <c r="C172" s="10" t="s">
        <v>191</v>
      </c>
      <c r="D172" s="11">
        <v>2024</v>
      </c>
      <c r="E172" s="10" t="s">
        <v>257</v>
      </c>
      <c r="F172" s="10" t="s">
        <v>125</v>
      </c>
      <c r="G172" s="10" t="s">
        <v>84</v>
      </c>
      <c r="H172" s="12">
        <v>12539</v>
      </c>
      <c r="I172" s="11">
        <v>2563</v>
      </c>
      <c r="J172" s="11">
        <v>911</v>
      </c>
      <c r="K172" s="11">
        <v>18917</v>
      </c>
      <c r="L172" s="11">
        <v>0.20440769885155299</v>
      </c>
      <c r="M172" s="11">
        <f t="shared" si="0"/>
        <v>20.440226493340777</v>
      </c>
      <c r="N172" s="11">
        <v>0.35544284042138102</v>
      </c>
      <c r="O172" s="11">
        <v>1.5086931093151901</v>
      </c>
      <c r="P172" s="11">
        <v>0.9375</v>
      </c>
      <c r="Q172" s="11">
        <v>0.82758620689655205</v>
      </c>
      <c r="R172" s="11">
        <v>1</v>
      </c>
      <c r="S172" s="10" t="s">
        <v>84</v>
      </c>
      <c r="T172" s="10" t="s">
        <v>84</v>
      </c>
      <c r="U172" s="10"/>
      <c r="V172" s="10"/>
      <c r="W172" s="10"/>
      <c r="X172" s="10"/>
      <c r="Y172" s="10"/>
      <c r="Z172" s="10"/>
      <c r="AA172" s="10"/>
    </row>
    <row r="173" spans="1:27" ht="12.5" hidden="1" x14ac:dyDescent="0.25">
      <c r="A173" s="10" t="s">
        <v>58</v>
      </c>
      <c r="B173" s="10" t="s">
        <v>800</v>
      </c>
      <c r="C173" s="10" t="s">
        <v>191</v>
      </c>
      <c r="D173" s="11">
        <v>2024</v>
      </c>
      <c r="E173" s="10" t="s">
        <v>124</v>
      </c>
      <c r="F173" s="10" t="s">
        <v>125</v>
      </c>
      <c r="G173" s="10" t="s">
        <v>84</v>
      </c>
      <c r="H173" s="12">
        <v>283.41666666666703</v>
      </c>
      <c r="I173" s="11">
        <v>57</v>
      </c>
      <c r="J173" s="11">
        <v>38</v>
      </c>
      <c r="K173" s="11">
        <v>736</v>
      </c>
      <c r="L173" s="11">
        <v>0.20111731843575401</v>
      </c>
      <c r="M173" s="11">
        <f t="shared" si="0"/>
        <v>20.111731843575392</v>
      </c>
      <c r="N173" s="11">
        <v>0.66666666666666696</v>
      </c>
      <c r="O173" s="11">
        <v>2.5968832696265798</v>
      </c>
      <c r="P173" s="11">
        <v>0.93627450980392202</v>
      </c>
      <c r="Q173" s="11">
        <v>0.81132075471698095</v>
      </c>
      <c r="R173" s="11">
        <v>0.90310077519379806</v>
      </c>
      <c r="S173" s="10" t="s">
        <v>84</v>
      </c>
      <c r="T173" s="10" t="s">
        <v>84</v>
      </c>
      <c r="U173" s="10"/>
      <c r="V173" s="10"/>
      <c r="W173" s="10"/>
      <c r="X173" s="10"/>
      <c r="Y173" s="10"/>
      <c r="Z173" s="10"/>
      <c r="AA173" s="10"/>
    </row>
    <row r="174" spans="1:27" ht="12.5" hidden="1" x14ac:dyDescent="0.25">
      <c r="A174" s="10" t="s">
        <v>13</v>
      </c>
      <c r="B174" s="10" t="s">
        <v>803</v>
      </c>
      <c r="C174" s="10" t="s">
        <v>191</v>
      </c>
      <c r="D174" s="11">
        <v>2024</v>
      </c>
      <c r="E174" s="10" t="s">
        <v>124</v>
      </c>
      <c r="F174" s="10" t="s">
        <v>125</v>
      </c>
      <c r="G174" s="10" t="s">
        <v>84</v>
      </c>
      <c r="H174" s="12">
        <v>882</v>
      </c>
      <c r="I174" s="11">
        <v>177</v>
      </c>
      <c r="J174" s="11">
        <v>166</v>
      </c>
      <c r="K174" s="11">
        <v>769</v>
      </c>
      <c r="L174" s="11">
        <v>0.20068027210884401</v>
      </c>
      <c r="M174" s="11">
        <f t="shared" si="0"/>
        <v>20.068027210884352</v>
      </c>
      <c r="N174" s="11">
        <v>0.93785310734463301</v>
      </c>
      <c r="O174" s="11">
        <v>0.87188208616780005</v>
      </c>
      <c r="P174" s="11">
        <v>0.93504901960784303</v>
      </c>
      <c r="Q174" s="11">
        <v>0.82758620689655205</v>
      </c>
      <c r="R174" s="11">
        <v>0.90116279069767402</v>
      </c>
      <c r="S174" s="10" t="s">
        <v>84</v>
      </c>
      <c r="T174" s="10" t="s">
        <v>84</v>
      </c>
      <c r="U174" s="10"/>
      <c r="V174" s="10"/>
      <c r="W174" s="10"/>
      <c r="X174" s="10"/>
      <c r="Y174" s="10"/>
      <c r="Z174" s="10"/>
      <c r="AA174" s="10"/>
    </row>
    <row r="175" spans="1:27" ht="12.5" x14ac:dyDescent="0.25">
      <c r="A175" s="10" t="s">
        <v>14</v>
      </c>
      <c r="B175" s="10" t="s">
        <v>453</v>
      </c>
      <c r="C175" s="10" t="s">
        <v>76</v>
      </c>
      <c r="D175" s="11">
        <v>2024</v>
      </c>
      <c r="E175" s="10" t="s">
        <v>124</v>
      </c>
      <c r="F175" s="10" t="s">
        <v>83</v>
      </c>
      <c r="G175" s="10" t="s">
        <v>84</v>
      </c>
      <c r="H175" s="11">
        <v>15635</v>
      </c>
      <c r="I175" s="11">
        <v>3133</v>
      </c>
      <c r="J175" s="11">
        <v>2700</v>
      </c>
      <c r="K175" s="11">
        <v>42679</v>
      </c>
      <c r="L175" s="11">
        <v>0.200383754397186</v>
      </c>
      <c r="M175" s="11">
        <f t="shared" si="0"/>
        <v>20.038375439718582</v>
      </c>
      <c r="N175" s="11">
        <v>0.86179380785189896</v>
      </c>
      <c r="O175" s="11">
        <v>2.7297089862488</v>
      </c>
      <c r="P175" s="11">
        <v>0.88597972972973005</v>
      </c>
      <c r="Q175" s="11">
        <v>0.75</v>
      </c>
      <c r="R175" s="11">
        <v>0.82774049217002199</v>
      </c>
      <c r="S175" s="10" t="s">
        <v>84</v>
      </c>
      <c r="T175" s="10" t="s">
        <v>84</v>
      </c>
      <c r="U175" s="10"/>
      <c r="V175" s="10"/>
      <c r="W175" s="10"/>
      <c r="X175" s="10"/>
      <c r="Y175" s="10"/>
      <c r="Z175" s="10"/>
      <c r="AA175" s="10"/>
    </row>
    <row r="176" spans="1:27" ht="12.5" x14ac:dyDescent="0.25">
      <c r="A176" s="10" t="s">
        <v>101</v>
      </c>
      <c r="B176" s="10" t="s">
        <v>410</v>
      </c>
      <c r="C176" s="10" t="s">
        <v>76</v>
      </c>
      <c r="D176" s="11">
        <v>2024</v>
      </c>
      <c r="E176" s="10" t="s">
        <v>81</v>
      </c>
      <c r="F176" s="10" t="s">
        <v>83</v>
      </c>
      <c r="G176" s="10" t="s">
        <v>84</v>
      </c>
      <c r="H176" s="11">
        <v>40606</v>
      </c>
      <c r="I176" s="11">
        <v>8054</v>
      </c>
      <c r="J176" s="11">
        <v>7502</v>
      </c>
      <c r="K176" s="11">
        <v>42158</v>
      </c>
      <c r="L176" s="11">
        <v>0.19834385100815799</v>
      </c>
      <c r="M176" s="11">
        <f t="shared" si="0"/>
        <v>19.834507215682411</v>
      </c>
      <c r="N176" s="11">
        <v>0.93146262726595497</v>
      </c>
      <c r="O176" s="11">
        <v>1.0382145605664199</v>
      </c>
      <c r="P176" s="11">
        <v>0.88513513513513498</v>
      </c>
      <c r="Q176" s="11">
        <v>0.92857142857142905</v>
      </c>
      <c r="R176" s="11">
        <v>0.912790697674419</v>
      </c>
      <c r="S176" s="10" t="s">
        <v>84</v>
      </c>
      <c r="T176" s="10" t="s">
        <v>84</v>
      </c>
      <c r="U176" s="10"/>
      <c r="V176" s="10"/>
      <c r="W176" s="10"/>
      <c r="X176" s="10"/>
      <c r="Y176" s="10"/>
      <c r="Z176" s="10"/>
      <c r="AA176" s="10"/>
    </row>
    <row r="177" spans="1:27" ht="12.5" hidden="1" x14ac:dyDescent="0.25">
      <c r="A177" s="10" t="s">
        <v>13</v>
      </c>
      <c r="B177" s="10" t="s">
        <v>811</v>
      </c>
      <c r="C177" s="10" t="s">
        <v>191</v>
      </c>
      <c r="D177" s="11">
        <v>2024</v>
      </c>
      <c r="E177" s="10" t="s">
        <v>124</v>
      </c>
      <c r="F177" s="10" t="s">
        <v>125</v>
      </c>
      <c r="G177" s="10" t="s">
        <v>84</v>
      </c>
      <c r="H177" s="12">
        <v>637.41666666666697</v>
      </c>
      <c r="I177" s="11">
        <v>126</v>
      </c>
      <c r="J177" s="11">
        <v>112</v>
      </c>
      <c r="K177" s="11">
        <v>126</v>
      </c>
      <c r="L177" s="11">
        <v>0.19767289841809399</v>
      </c>
      <c r="M177" s="11">
        <f t="shared" si="0"/>
        <v>19.767289841809376</v>
      </c>
      <c r="N177" s="11">
        <v>0.88888888888888895</v>
      </c>
      <c r="O177" s="11">
        <v>0.19767289841809399</v>
      </c>
      <c r="P177" s="11">
        <v>0.93382352941176505</v>
      </c>
      <c r="Q177" s="11">
        <v>0.81034482758620696</v>
      </c>
      <c r="R177" s="11">
        <v>0.89922480620154999</v>
      </c>
      <c r="S177" s="10" t="s">
        <v>84</v>
      </c>
      <c r="T177" s="10" t="s">
        <v>84</v>
      </c>
      <c r="U177" s="10"/>
      <c r="V177" s="10"/>
      <c r="W177" s="10"/>
      <c r="X177" s="10"/>
      <c r="Y177" s="10"/>
      <c r="Z177" s="10"/>
      <c r="AA177" s="10"/>
    </row>
    <row r="178" spans="1:27" ht="12.5" hidden="1" x14ac:dyDescent="0.25">
      <c r="A178" s="10" t="s">
        <v>12</v>
      </c>
      <c r="B178" s="10" t="s">
        <v>814</v>
      </c>
      <c r="C178" s="10" t="s">
        <v>191</v>
      </c>
      <c r="D178" s="11">
        <v>2024</v>
      </c>
      <c r="E178" s="10" t="s">
        <v>257</v>
      </c>
      <c r="F178" s="10" t="s">
        <v>125</v>
      </c>
      <c r="G178" s="10" t="s">
        <v>84</v>
      </c>
      <c r="H178" s="12">
        <v>1215</v>
      </c>
      <c r="I178" s="11">
        <v>240</v>
      </c>
      <c r="J178" s="11">
        <v>210</v>
      </c>
      <c r="K178" s="11">
        <v>240</v>
      </c>
      <c r="L178" s="11">
        <v>0.19750377177341899</v>
      </c>
      <c r="M178" s="11">
        <f t="shared" si="0"/>
        <v>19.753086419753085</v>
      </c>
      <c r="N178" s="11">
        <v>0.875</v>
      </c>
      <c r="O178" s="11">
        <v>0.19750377177341899</v>
      </c>
      <c r="P178" s="11">
        <v>0.93259803921568596</v>
      </c>
      <c r="Q178" s="11">
        <v>0.93650793650793696</v>
      </c>
      <c r="R178" s="11">
        <v>0.97222222222222199</v>
      </c>
      <c r="S178" s="10" t="s">
        <v>84</v>
      </c>
      <c r="T178" s="10" t="s">
        <v>84</v>
      </c>
      <c r="U178" s="10"/>
      <c r="V178" s="10"/>
      <c r="W178" s="10"/>
      <c r="X178" s="10"/>
      <c r="Y178" s="10"/>
      <c r="Z178" s="10"/>
      <c r="AA178" s="10"/>
    </row>
    <row r="179" spans="1:27" ht="12.5" x14ac:dyDescent="0.25">
      <c r="A179" s="10" t="s">
        <v>26</v>
      </c>
      <c r="B179" s="10" t="s">
        <v>455</v>
      </c>
      <c r="C179" s="10" t="s">
        <v>76</v>
      </c>
      <c r="D179" s="11">
        <v>2024</v>
      </c>
      <c r="E179" s="10" t="s">
        <v>124</v>
      </c>
      <c r="F179" s="10" t="s">
        <v>83</v>
      </c>
      <c r="G179" s="10" t="s">
        <v>84</v>
      </c>
      <c r="H179" s="11">
        <v>5620</v>
      </c>
      <c r="I179" s="11">
        <v>1109</v>
      </c>
      <c r="J179" s="11">
        <v>1022</v>
      </c>
      <c r="K179" s="11">
        <v>18162</v>
      </c>
      <c r="L179" s="11">
        <v>0.19734851855147301</v>
      </c>
      <c r="M179" s="11">
        <f t="shared" si="0"/>
        <v>19.733096085409251</v>
      </c>
      <c r="N179" s="11">
        <v>0.92155094679891802</v>
      </c>
      <c r="O179" s="11">
        <v>3.2319601388023802</v>
      </c>
      <c r="P179" s="11">
        <v>0.88429054054054101</v>
      </c>
      <c r="Q179" s="11">
        <v>0.76923076923076905</v>
      </c>
      <c r="R179" s="11">
        <v>0.82550335570469802</v>
      </c>
      <c r="S179" s="10" t="s">
        <v>84</v>
      </c>
      <c r="T179" s="10" t="s">
        <v>84</v>
      </c>
      <c r="U179" s="10"/>
      <c r="V179" s="10"/>
      <c r="W179" s="10"/>
      <c r="X179" s="10"/>
      <c r="Y179" s="10"/>
      <c r="Z179" s="10"/>
      <c r="AA179" s="10"/>
    </row>
    <row r="180" spans="1:27" ht="12.5" x14ac:dyDescent="0.25">
      <c r="A180" s="10" t="s">
        <v>26</v>
      </c>
      <c r="B180" s="10" t="s">
        <v>412</v>
      </c>
      <c r="C180" s="10" t="s">
        <v>76</v>
      </c>
      <c r="D180" s="11">
        <v>2024</v>
      </c>
      <c r="E180" s="10" t="s">
        <v>81</v>
      </c>
      <c r="F180" s="10" t="s">
        <v>83</v>
      </c>
      <c r="G180" s="10" t="s">
        <v>84</v>
      </c>
      <c r="H180" s="11">
        <v>102477</v>
      </c>
      <c r="I180" s="11">
        <v>20217</v>
      </c>
      <c r="J180" s="11">
        <v>18454</v>
      </c>
      <c r="K180" s="11">
        <v>122386</v>
      </c>
      <c r="L180" s="11">
        <v>0.19728345326549099</v>
      </c>
      <c r="M180" s="11">
        <f t="shared" si="0"/>
        <v>19.728329283644136</v>
      </c>
      <c r="N180" s="11">
        <v>0.91279616164613897</v>
      </c>
      <c r="O180" s="11">
        <v>1.19427871154723</v>
      </c>
      <c r="P180" s="11">
        <v>0.88344594594594605</v>
      </c>
      <c r="Q180" s="11">
        <v>0.73076923076923095</v>
      </c>
      <c r="R180" s="11">
        <v>0.91085271317829497</v>
      </c>
      <c r="S180" s="10" t="s">
        <v>84</v>
      </c>
      <c r="T180" s="10" t="s">
        <v>84</v>
      </c>
      <c r="U180" s="10"/>
      <c r="V180" s="10"/>
      <c r="W180" s="10"/>
      <c r="X180" s="10"/>
      <c r="Y180" s="10"/>
      <c r="Z180" s="10"/>
      <c r="AA180" s="10"/>
    </row>
    <row r="181" spans="1:27" ht="12.5" x14ac:dyDescent="0.25">
      <c r="A181" s="10" t="s">
        <v>32</v>
      </c>
      <c r="B181" s="10" t="s">
        <v>457</v>
      </c>
      <c r="C181" s="10" t="s">
        <v>76</v>
      </c>
      <c r="D181" s="11">
        <v>2024</v>
      </c>
      <c r="E181" s="10" t="s">
        <v>124</v>
      </c>
      <c r="F181" s="10" t="s">
        <v>83</v>
      </c>
      <c r="G181" s="10" t="s">
        <v>84</v>
      </c>
      <c r="H181" s="11">
        <v>11950</v>
      </c>
      <c r="I181" s="11">
        <v>2340</v>
      </c>
      <c r="J181" s="11">
        <v>1523</v>
      </c>
      <c r="K181" s="11">
        <v>10217</v>
      </c>
      <c r="L181" s="11">
        <v>0.19582136182320301</v>
      </c>
      <c r="M181" s="11">
        <f t="shared" si="0"/>
        <v>19.581589958158997</v>
      </c>
      <c r="N181" s="11">
        <v>0.65085470085470098</v>
      </c>
      <c r="O181" s="11">
        <v>0.85500292895199304</v>
      </c>
      <c r="P181" s="11">
        <v>0.88260135135135098</v>
      </c>
      <c r="Q181" s="11">
        <v>0.72413793103448298</v>
      </c>
      <c r="R181" s="11">
        <v>0.82326621923937404</v>
      </c>
      <c r="S181" s="10" t="s">
        <v>84</v>
      </c>
      <c r="T181" s="10" t="s">
        <v>84</v>
      </c>
      <c r="U181" s="10"/>
      <c r="V181" s="10"/>
      <c r="W181" s="10"/>
      <c r="X181" s="10"/>
      <c r="Y181" s="10"/>
      <c r="Z181" s="10"/>
      <c r="AA181" s="10"/>
    </row>
    <row r="182" spans="1:27" ht="12.5" hidden="1" x14ac:dyDescent="0.25">
      <c r="A182" s="10" t="s">
        <v>29</v>
      </c>
      <c r="B182" s="10" t="s">
        <v>823</v>
      </c>
      <c r="C182" s="10" t="s">
        <v>191</v>
      </c>
      <c r="D182" s="11">
        <v>2024</v>
      </c>
      <c r="E182" s="10" t="s">
        <v>124</v>
      </c>
      <c r="F182" s="10" t="s">
        <v>125</v>
      </c>
      <c r="G182" s="10" t="s">
        <v>84</v>
      </c>
      <c r="H182" s="12">
        <v>7635</v>
      </c>
      <c r="I182" s="11">
        <v>1493</v>
      </c>
      <c r="J182" s="11">
        <v>1493</v>
      </c>
      <c r="K182" s="11">
        <v>7396</v>
      </c>
      <c r="L182" s="11">
        <v>0.19555109258006101</v>
      </c>
      <c r="M182" s="11">
        <f t="shared" si="0"/>
        <v>19.554682383759005</v>
      </c>
      <c r="N182" s="11">
        <v>1</v>
      </c>
      <c r="O182" s="11">
        <v>0.96871793752319402</v>
      </c>
      <c r="P182" s="11">
        <v>0.93137254901960798</v>
      </c>
      <c r="Q182" s="11">
        <v>0.88732394366197198</v>
      </c>
      <c r="R182" s="11">
        <v>0.89728682170542595</v>
      </c>
      <c r="S182" s="10" t="s">
        <v>84</v>
      </c>
      <c r="T182" s="10" t="s">
        <v>84</v>
      </c>
      <c r="U182" s="10"/>
      <c r="V182" s="10"/>
      <c r="W182" s="10"/>
      <c r="X182" s="10"/>
      <c r="Y182" s="10"/>
      <c r="Z182" s="10"/>
      <c r="AA182" s="10"/>
    </row>
    <row r="183" spans="1:27" ht="12.5" x14ac:dyDescent="0.25">
      <c r="A183" s="10" t="s">
        <v>14</v>
      </c>
      <c r="B183" s="10" t="s">
        <v>459</v>
      </c>
      <c r="C183" s="10" t="s">
        <v>76</v>
      </c>
      <c r="D183" s="11">
        <v>2024</v>
      </c>
      <c r="E183" s="10" t="s">
        <v>124</v>
      </c>
      <c r="F183" s="10" t="s">
        <v>125</v>
      </c>
      <c r="G183" s="10" t="s">
        <v>84</v>
      </c>
      <c r="H183" s="11">
        <v>2950</v>
      </c>
      <c r="I183" s="11">
        <v>576</v>
      </c>
      <c r="J183" s="11">
        <v>536</v>
      </c>
      <c r="K183" s="11">
        <v>1678</v>
      </c>
      <c r="L183" s="11">
        <v>0.19525423728813601</v>
      </c>
      <c r="M183" s="11">
        <f t="shared" si="0"/>
        <v>19.525423728813561</v>
      </c>
      <c r="N183" s="11">
        <v>0.93055555555555602</v>
      </c>
      <c r="O183" s="11">
        <v>0.56881355932203403</v>
      </c>
      <c r="P183" s="11">
        <v>0.88175675675675702</v>
      </c>
      <c r="Q183" s="11">
        <v>0.71428571428571397</v>
      </c>
      <c r="R183" s="11">
        <v>0.82102908277404896</v>
      </c>
      <c r="S183" s="10" t="s">
        <v>84</v>
      </c>
      <c r="T183" s="10" t="s">
        <v>84</v>
      </c>
      <c r="U183" s="10"/>
      <c r="V183" s="10"/>
      <c r="W183" s="10"/>
      <c r="X183" s="10"/>
      <c r="Y183" s="10"/>
      <c r="Z183" s="10"/>
      <c r="AA183" s="10"/>
    </row>
    <row r="184" spans="1:27" ht="12.5" x14ac:dyDescent="0.25">
      <c r="A184" s="10" t="s">
        <v>29</v>
      </c>
      <c r="B184" s="10" t="s">
        <v>461</v>
      </c>
      <c r="C184" s="10" t="s">
        <v>76</v>
      </c>
      <c r="D184" s="11">
        <v>2024</v>
      </c>
      <c r="E184" s="10" t="s">
        <v>124</v>
      </c>
      <c r="F184" s="10" t="s">
        <v>83</v>
      </c>
      <c r="G184" s="10" t="s">
        <v>84</v>
      </c>
      <c r="H184" s="11">
        <v>15194</v>
      </c>
      <c r="I184" s="11">
        <v>2963</v>
      </c>
      <c r="J184" s="11">
        <v>2636</v>
      </c>
      <c r="K184" s="11">
        <v>30847</v>
      </c>
      <c r="L184" s="11">
        <v>0.19500584096131801</v>
      </c>
      <c r="M184" s="11">
        <f t="shared" si="0"/>
        <v>19.501118862708964</v>
      </c>
      <c r="N184" s="11">
        <v>0.889638879514006</v>
      </c>
      <c r="O184" s="11">
        <v>2.0301536200249002</v>
      </c>
      <c r="P184" s="11">
        <v>0.88091216216216195</v>
      </c>
      <c r="Q184" s="11">
        <v>0.75510204081632604</v>
      </c>
      <c r="R184" s="11">
        <v>0.81879194630872498</v>
      </c>
      <c r="S184" s="10" t="s">
        <v>84</v>
      </c>
      <c r="T184" s="10" t="s">
        <v>84</v>
      </c>
      <c r="U184" s="10"/>
      <c r="V184" s="10"/>
      <c r="W184" s="10"/>
      <c r="X184" s="10"/>
      <c r="Y184" s="10"/>
      <c r="Z184" s="10"/>
      <c r="AA184" s="10"/>
    </row>
    <row r="185" spans="1:27" ht="12.5" x14ac:dyDescent="0.25">
      <c r="A185" s="10" t="s">
        <v>55</v>
      </c>
      <c r="B185" s="10" t="s">
        <v>414</v>
      </c>
      <c r="C185" s="10" t="s">
        <v>76</v>
      </c>
      <c r="D185" s="11">
        <v>2024</v>
      </c>
      <c r="E185" s="10" t="s">
        <v>81</v>
      </c>
      <c r="F185" s="10" t="s">
        <v>83</v>
      </c>
      <c r="G185" s="10" t="s">
        <v>84</v>
      </c>
      <c r="H185" s="11">
        <v>12797</v>
      </c>
      <c r="I185" s="11">
        <v>2495</v>
      </c>
      <c r="J185" s="11">
        <v>2253</v>
      </c>
      <c r="K185" s="11">
        <v>34485</v>
      </c>
      <c r="L185" s="11">
        <v>0.19497391881947701</v>
      </c>
      <c r="M185" s="11">
        <f t="shared" si="0"/>
        <v>19.496757052434162</v>
      </c>
      <c r="N185" s="11">
        <v>0.90300601202404795</v>
      </c>
      <c r="O185" s="11">
        <v>2.6948599561080799</v>
      </c>
      <c r="P185" s="11">
        <v>0.88006756756756799</v>
      </c>
      <c r="Q185" s="11">
        <v>0.86363636363636398</v>
      </c>
      <c r="R185" s="11">
        <v>0.90891472868217005</v>
      </c>
      <c r="S185" s="10" t="s">
        <v>84</v>
      </c>
      <c r="T185" s="10" t="s">
        <v>84</v>
      </c>
      <c r="U185" s="10"/>
      <c r="V185" s="10"/>
      <c r="W185" s="10"/>
      <c r="X185" s="10"/>
      <c r="Y185" s="10"/>
      <c r="Z185" s="10"/>
      <c r="AA185" s="10"/>
    </row>
    <row r="186" spans="1:27" ht="12.5" x14ac:dyDescent="0.25">
      <c r="A186" s="10" t="s">
        <v>52</v>
      </c>
      <c r="B186" s="10" t="s">
        <v>416</v>
      </c>
      <c r="C186" s="10" t="s">
        <v>76</v>
      </c>
      <c r="D186" s="11">
        <v>2024</v>
      </c>
      <c r="E186" s="10" t="s">
        <v>81</v>
      </c>
      <c r="F186" s="10" t="s">
        <v>83</v>
      </c>
      <c r="G186" s="10" t="s">
        <v>84</v>
      </c>
      <c r="H186" s="11">
        <v>27999</v>
      </c>
      <c r="I186" s="11">
        <v>5456</v>
      </c>
      <c r="J186" s="11">
        <v>4802</v>
      </c>
      <c r="K186" s="11">
        <v>48543</v>
      </c>
      <c r="L186" s="11">
        <v>0.194864682264492</v>
      </c>
      <c r="M186" s="11">
        <f t="shared" si="0"/>
        <v>19.486410228936748</v>
      </c>
      <c r="N186" s="11">
        <v>0.88013196480938405</v>
      </c>
      <c r="O186" s="11">
        <v>1.7337456508733999</v>
      </c>
      <c r="P186" s="11">
        <v>0.87922297297297303</v>
      </c>
      <c r="Q186" s="11">
        <v>0.85106382978723405</v>
      </c>
      <c r="R186" s="11">
        <v>0.90697674418604601</v>
      </c>
      <c r="S186" s="10" t="s">
        <v>84</v>
      </c>
      <c r="T186" s="10" t="s">
        <v>84</v>
      </c>
      <c r="U186" s="10"/>
      <c r="V186" s="10"/>
      <c r="W186" s="10"/>
      <c r="X186" s="10"/>
      <c r="Y186" s="10"/>
      <c r="Z186" s="10"/>
      <c r="AA186" s="10"/>
    </row>
    <row r="187" spans="1:27" ht="12.5" x14ac:dyDescent="0.25">
      <c r="A187" s="10" t="s">
        <v>110</v>
      </c>
      <c r="B187" s="10" t="s">
        <v>418</v>
      </c>
      <c r="C187" s="10" t="s">
        <v>76</v>
      </c>
      <c r="D187" s="11">
        <v>2024</v>
      </c>
      <c r="E187" s="10" t="s">
        <v>81</v>
      </c>
      <c r="F187" s="10" t="s">
        <v>83</v>
      </c>
      <c r="G187" s="10" t="s">
        <v>84</v>
      </c>
      <c r="H187" s="11">
        <v>9036</v>
      </c>
      <c r="I187" s="11">
        <v>1756</v>
      </c>
      <c r="J187" s="11">
        <v>1740</v>
      </c>
      <c r="K187" s="11">
        <v>9220</v>
      </c>
      <c r="L187" s="11">
        <v>0.194330191637309</v>
      </c>
      <c r="M187" s="11">
        <f t="shared" si="0"/>
        <v>19.43337760070828</v>
      </c>
      <c r="N187" s="11">
        <v>0.99088838268792701</v>
      </c>
      <c r="O187" s="11">
        <v>1.0203441724920199</v>
      </c>
      <c r="P187" s="11">
        <v>0.87837837837837796</v>
      </c>
      <c r="Q187" s="11">
        <v>0.93939393939394</v>
      </c>
      <c r="R187" s="11">
        <v>0.90503875968992298</v>
      </c>
      <c r="S187" s="10" t="s">
        <v>84</v>
      </c>
      <c r="T187" s="10" t="s">
        <v>84</v>
      </c>
      <c r="U187" s="10"/>
      <c r="V187" s="10"/>
      <c r="W187" s="10"/>
      <c r="X187" s="10"/>
      <c r="Y187" s="10"/>
      <c r="Z187" s="10"/>
      <c r="AA187" s="10"/>
    </row>
    <row r="188" spans="1:27" ht="12.5" x14ac:dyDescent="0.25">
      <c r="A188" s="10" t="s">
        <v>19</v>
      </c>
      <c r="B188" s="10" t="s">
        <v>463</v>
      </c>
      <c r="C188" s="10" t="s">
        <v>76</v>
      </c>
      <c r="D188" s="11">
        <v>2024</v>
      </c>
      <c r="E188" s="10" t="s">
        <v>124</v>
      </c>
      <c r="F188" s="10" t="s">
        <v>83</v>
      </c>
      <c r="G188" s="10" t="s">
        <v>84</v>
      </c>
      <c r="H188" s="11">
        <v>8919</v>
      </c>
      <c r="I188" s="11">
        <v>1733</v>
      </c>
      <c r="J188" s="11">
        <v>1432</v>
      </c>
      <c r="K188" s="11">
        <v>20476</v>
      </c>
      <c r="L188" s="11">
        <v>0.194297032663129</v>
      </c>
      <c r="M188" s="11">
        <f t="shared" si="0"/>
        <v>19.430429420338601</v>
      </c>
      <c r="N188" s="11">
        <v>0.82631275245239499</v>
      </c>
      <c r="O188" s="11">
        <v>2.2956872710964902</v>
      </c>
      <c r="P188" s="11">
        <v>0.87753378378378399</v>
      </c>
      <c r="Q188" s="11">
        <v>0.83333333333333304</v>
      </c>
      <c r="R188" s="11">
        <v>0.81655480984340001</v>
      </c>
      <c r="S188" s="10" t="s">
        <v>84</v>
      </c>
      <c r="T188" s="10" t="s">
        <v>84</v>
      </c>
      <c r="U188" s="10"/>
      <c r="V188" s="10"/>
      <c r="W188" s="10"/>
      <c r="X188" s="10"/>
      <c r="Y188" s="10"/>
      <c r="Z188" s="10"/>
      <c r="AA188" s="10"/>
    </row>
    <row r="189" spans="1:27" ht="12.5" x14ac:dyDescent="0.25">
      <c r="A189" s="10" t="s">
        <v>101</v>
      </c>
      <c r="B189" s="10" t="s">
        <v>421</v>
      </c>
      <c r="C189" s="10" t="s">
        <v>76</v>
      </c>
      <c r="D189" s="11">
        <v>2024</v>
      </c>
      <c r="E189" s="10" t="s">
        <v>81</v>
      </c>
      <c r="F189" s="10" t="s">
        <v>125</v>
      </c>
      <c r="G189" s="10" t="s">
        <v>84</v>
      </c>
      <c r="H189" s="11">
        <v>7247</v>
      </c>
      <c r="I189" s="11">
        <v>1405</v>
      </c>
      <c r="J189" s="11">
        <v>1355</v>
      </c>
      <c r="K189" s="11">
        <v>11399</v>
      </c>
      <c r="L189" s="11">
        <v>0.193864409897893</v>
      </c>
      <c r="M189" s="11">
        <f t="shared" si="0"/>
        <v>19.38733268938871</v>
      </c>
      <c r="N189" s="11">
        <v>0.96441281138790003</v>
      </c>
      <c r="O189" s="11">
        <v>1.5728543832214099</v>
      </c>
      <c r="P189" s="11">
        <v>0.87668918918918903</v>
      </c>
      <c r="Q189" s="11">
        <v>0.85714285714285698</v>
      </c>
      <c r="R189" s="11">
        <v>0.90310077519379806</v>
      </c>
      <c r="S189" s="10" t="s">
        <v>84</v>
      </c>
      <c r="T189" s="10" t="s">
        <v>84</v>
      </c>
      <c r="U189" s="10"/>
      <c r="V189" s="10"/>
      <c r="W189" s="10"/>
      <c r="X189" s="10"/>
      <c r="Y189" s="10"/>
      <c r="Z189" s="10"/>
      <c r="AA189" s="10"/>
    </row>
    <row r="190" spans="1:27" ht="12.5" x14ac:dyDescent="0.25">
      <c r="A190" s="10" t="s">
        <v>12</v>
      </c>
      <c r="B190" s="10" t="s">
        <v>465</v>
      </c>
      <c r="C190" s="10" t="s">
        <v>76</v>
      </c>
      <c r="D190" s="11">
        <v>2024</v>
      </c>
      <c r="E190" s="10" t="s">
        <v>124</v>
      </c>
      <c r="F190" s="10" t="s">
        <v>83</v>
      </c>
      <c r="G190" s="10" t="s">
        <v>84</v>
      </c>
      <c r="H190" s="11">
        <v>22832</v>
      </c>
      <c r="I190" s="11">
        <v>4421</v>
      </c>
      <c r="J190" s="11">
        <v>3648</v>
      </c>
      <c r="K190" s="11">
        <v>43778</v>
      </c>
      <c r="L190" s="11">
        <v>0.19363174491941099</v>
      </c>
      <c r="M190" s="11">
        <f t="shared" si="0"/>
        <v>19.363174491941134</v>
      </c>
      <c r="N190" s="11">
        <v>0.82515268038905198</v>
      </c>
      <c r="O190" s="11">
        <v>1.91739663629993</v>
      </c>
      <c r="P190" s="11">
        <v>0.87584459459459496</v>
      </c>
      <c r="Q190" s="11">
        <v>0.86111111111111105</v>
      </c>
      <c r="R190" s="11">
        <v>0.81431767337807603</v>
      </c>
      <c r="S190" s="10" t="s">
        <v>84</v>
      </c>
      <c r="T190" s="10" t="s">
        <v>84</v>
      </c>
      <c r="U190" s="10"/>
      <c r="V190" s="10"/>
      <c r="W190" s="10"/>
      <c r="X190" s="10"/>
      <c r="Y190" s="10"/>
      <c r="Z190" s="10"/>
      <c r="AA190" s="10"/>
    </row>
    <row r="191" spans="1:27" ht="12.5" x14ac:dyDescent="0.25">
      <c r="A191" s="10" t="s">
        <v>77</v>
      </c>
      <c r="B191" s="10" t="s">
        <v>468</v>
      </c>
      <c r="C191" s="10" t="s">
        <v>76</v>
      </c>
      <c r="D191" s="11">
        <v>2024</v>
      </c>
      <c r="E191" s="10" t="s">
        <v>124</v>
      </c>
      <c r="F191" s="10" t="s">
        <v>125</v>
      </c>
      <c r="G191" s="10" t="s">
        <v>84</v>
      </c>
      <c r="H191" s="11">
        <v>1756</v>
      </c>
      <c r="I191" s="11">
        <v>338</v>
      </c>
      <c r="J191" s="11">
        <v>338</v>
      </c>
      <c r="K191" s="11">
        <v>1787</v>
      </c>
      <c r="L191" s="11">
        <v>0.19248291571754</v>
      </c>
      <c r="M191" s="11">
        <f t="shared" si="0"/>
        <v>19.248291571753988</v>
      </c>
      <c r="N191" s="11">
        <v>1</v>
      </c>
      <c r="O191" s="11">
        <v>1.0176537585421399</v>
      </c>
      <c r="P191" s="11">
        <v>0.875</v>
      </c>
      <c r="Q191" s="11">
        <v>1</v>
      </c>
      <c r="R191" s="11">
        <v>0.81208053691275195</v>
      </c>
      <c r="S191" s="10" t="s">
        <v>84</v>
      </c>
      <c r="T191" s="10" t="s">
        <v>84</v>
      </c>
      <c r="U191" s="10"/>
      <c r="V191" s="10"/>
      <c r="W191" s="10"/>
      <c r="X191" s="10"/>
      <c r="Y191" s="10"/>
      <c r="Z191" s="10"/>
      <c r="AA191" s="10"/>
    </row>
    <row r="192" spans="1:27" ht="12.5" x14ac:dyDescent="0.25">
      <c r="A192" s="10" t="s">
        <v>29</v>
      </c>
      <c r="B192" s="10" t="s">
        <v>423</v>
      </c>
      <c r="C192" s="10" t="s">
        <v>76</v>
      </c>
      <c r="D192" s="11">
        <v>2024</v>
      </c>
      <c r="E192" s="10" t="s">
        <v>81</v>
      </c>
      <c r="F192" s="10" t="s">
        <v>83</v>
      </c>
      <c r="G192" s="10" t="s">
        <v>84</v>
      </c>
      <c r="H192" s="11">
        <v>113000</v>
      </c>
      <c r="I192" s="11">
        <v>21720</v>
      </c>
      <c r="J192" s="11">
        <v>14160</v>
      </c>
      <c r="K192" s="11">
        <v>108480</v>
      </c>
      <c r="L192" s="11">
        <v>0.19221238938053101</v>
      </c>
      <c r="M192" s="11">
        <f t="shared" si="0"/>
        <v>19.221238938053098</v>
      </c>
      <c r="N192" s="11">
        <v>0.65193370165745901</v>
      </c>
      <c r="O192" s="11">
        <v>0.96</v>
      </c>
      <c r="P192" s="11">
        <v>0.87415540540540504</v>
      </c>
      <c r="Q192" s="11">
        <v>0.73469387755102</v>
      </c>
      <c r="R192" s="11">
        <v>0.90116279069767402</v>
      </c>
      <c r="S192" s="10" t="s">
        <v>84</v>
      </c>
      <c r="T192" s="10" t="s">
        <v>84</v>
      </c>
      <c r="U192" s="10"/>
      <c r="V192" s="10"/>
      <c r="W192" s="10"/>
      <c r="X192" s="10"/>
      <c r="Y192" s="10"/>
      <c r="Z192" s="10"/>
      <c r="AA192" s="10"/>
    </row>
    <row r="193" spans="1:27" ht="12.5" x14ac:dyDescent="0.25">
      <c r="A193" s="10" t="s">
        <v>52</v>
      </c>
      <c r="B193" s="10" t="s">
        <v>470</v>
      </c>
      <c r="C193" s="10" t="s">
        <v>76</v>
      </c>
      <c r="D193" s="11">
        <v>2024</v>
      </c>
      <c r="E193" s="10" t="s">
        <v>124</v>
      </c>
      <c r="F193" s="10" t="s">
        <v>83</v>
      </c>
      <c r="G193" s="10" t="s">
        <v>84</v>
      </c>
      <c r="H193" s="11">
        <v>53806</v>
      </c>
      <c r="I193" s="11">
        <v>10295</v>
      </c>
      <c r="J193" s="11">
        <v>6921</v>
      </c>
      <c r="K193" s="11">
        <v>97731</v>
      </c>
      <c r="L193" s="11">
        <v>0.19133553878749601</v>
      </c>
      <c r="M193" s="11">
        <f t="shared" si="0"/>
        <v>19.133553878749581</v>
      </c>
      <c r="N193" s="11">
        <v>0.67226809130646004</v>
      </c>
      <c r="O193" s="11">
        <v>1.8163587703973501</v>
      </c>
      <c r="P193" s="11">
        <v>0.87331081081081097</v>
      </c>
      <c r="Q193" s="11">
        <v>0.82978723404255295</v>
      </c>
      <c r="R193" s="11">
        <v>0.80984340044742698</v>
      </c>
      <c r="S193" s="10" t="s">
        <v>84</v>
      </c>
      <c r="T193" s="10" t="s">
        <v>84</v>
      </c>
      <c r="U193" s="10"/>
      <c r="V193" s="10"/>
      <c r="W193" s="10"/>
      <c r="X193" s="10"/>
      <c r="Y193" s="10"/>
      <c r="Z193" s="10"/>
      <c r="AA193" s="10"/>
    </row>
    <row r="194" spans="1:27" ht="12.5" x14ac:dyDescent="0.25">
      <c r="A194" s="10" t="s">
        <v>52</v>
      </c>
      <c r="B194" s="10" t="s">
        <v>472</v>
      </c>
      <c r="C194" s="10" t="s">
        <v>76</v>
      </c>
      <c r="D194" s="11">
        <v>2024</v>
      </c>
      <c r="E194" s="10" t="s">
        <v>124</v>
      </c>
      <c r="F194" s="10" t="s">
        <v>83</v>
      </c>
      <c r="G194" s="10" t="s">
        <v>84</v>
      </c>
      <c r="H194" s="11">
        <v>5969</v>
      </c>
      <c r="I194" s="11">
        <v>1141</v>
      </c>
      <c r="J194" s="11">
        <v>966</v>
      </c>
      <c r="K194" s="11">
        <v>11452</v>
      </c>
      <c r="L194" s="11">
        <v>0.19116764167934899</v>
      </c>
      <c r="M194" s="11">
        <f t="shared" si="0"/>
        <v>19.11542972022114</v>
      </c>
      <c r="N194" s="11">
        <v>0.84662576687116597</v>
      </c>
      <c r="O194" s="11">
        <v>1.91871326249948</v>
      </c>
      <c r="P194" s="11">
        <v>0.87246621621621601</v>
      </c>
      <c r="Q194" s="11">
        <v>0.80851063829787195</v>
      </c>
      <c r="R194" s="11">
        <v>0.807606263982103</v>
      </c>
      <c r="S194" s="10" t="s">
        <v>84</v>
      </c>
      <c r="T194" s="10" t="s">
        <v>84</v>
      </c>
      <c r="U194" s="10"/>
      <c r="V194" s="10"/>
      <c r="W194" s="10"/>
      <c r="X194" s="10"/>
      <c r="Y194" s="10"/>
      <c r="Z194" s="10"/>
      <c r="AA194" s="10"/>
    </row>
    <row r="195" spans="1:27" ht="12.5" x14ac:dyDescent="0.25">
      <c r="A195" s="10" t="s">
        <v>86</v>
      </c>
      <c r="B195" s="10" t="s">
        <v>474</v>
      </c>
      <c r="C195" s="10" t="s">
        <v>76</v>
      </c>
      <c r="D195" s="11">
        <v>2024</v>
      </c>
      <c r="E195" s="10" t="s">
        <v>124</v>
      </c>
      <c r="F195" s="10" t="s">
        <v>125</v>
      </c>
      <c r="G195" s="10" t="s">
        <v>84</v>
      </c>
      <c r="H195" s="11">
        <v>5154</v>
      </c>
      <c r="I195" s="11">
        <v>985</v>
      </c>
      <c r="J195" s="11">
        <v>878</v>
      </c>
      <c r="K195" s="11">
        <v>15763</v>
      </c>
      <c r="L195" s="11">
        <v>0.19112296871210299</v>
      </c>
      <c r="M195" s="11">
        <f t="shared" si="0"/>
        <v>19.11136980985642</v>
      </c>
      <c r="N195" s="11">
        <v>0.89137055837563495</v>
      </c>
      <c r="O195" s="11">
        <v>3.05854959980597</v>
      </c>
      <c r="P195" s="11">
        <v>0.87162162162162204</v>
      </c>
      <c r="Q195" s="11">
        <v>0.67391304347826098</v>
      </c>
      <c r="R195" s="11">
        <v>0.80536912751677803</v>
      </c>
      <c r="S195" s="10" t="s">
        <v>84</v>
      </c>
      <c r="T195" s="10" t="s">
        <v>84</v>
      </c>
      <c r="U195" s="10"/>
      <c r="V195" s="10"/>
      <c r="W195" s="10"/>
      <c r="X195" s="10"/>
      <c r="Y195" s="10"/>
      <c r="Z195" s="10"/>
      <c r="AA195" s="10"/>
    </row>
    <row r="196" spans="1:27" ht="12.5" hidden="1" x14ac:dyDescent="0.25">
      <c r="A196" s="10" t="s">
        <v>52</v>
      </c>
      <c r="B196" s="10" t="s">
        <v>855</v>
      </c>
      <c r="C196" s="10" t="s">
        <v>191</v>
      </c>
      <c r="D196" s="11">
        <v>2024</v>
      </c>
      <c r="E196" s="10" t="s">
        <v>124</v>
      </c>
      <c r="F196" s="10" t="s">
        <v>125</v>
      </c>
      <c r="G196" s="10" t="s">
        <v>84</v>
      </c>
      <c r="H196" s="12">
        <v>618.58333333333303</v>
      </c>
      <c r="I196" s="11">
        <v>118</v>
      </c>
      <c r="J196" s="11">
        <v>84</v>
      </c>
      <c r="K196" s="11">
        <v>460</v>
      </c>
      <c r="L196" s="11">
        <v>0.19075845345547601</v>
      </c>
      <c r="M196" s="11">
        <f t="shared" si="0"/>
        <v>19.075845345547631</v>
      </c>
      <c r="N196" s="11">
        <v>0.71186440677966101</v>
      </c>
      <c r="O196" s="11">
        <v>0.74363464906372101</v>
      </c>
      <c r="P196" s="11">
        <v>0.93014705882352999</v>
      </c>
      <c r="Q196" s="11">
        <v>0.96428571428571397</v>
      </c>
      <c r="R196" s="11">
        <v>0.89534883720930203</v>
      </c>
      <c r="S196" s="10" t="s">
        <v>84</v>
      </c>
      <c r="T196" s="10" t="s">
        <v>84</v>
      </c>
      <c r="U196" s="10"/>
      <c r="V196" s="10"/>
      <c r="W196" s="10"/>
      <c r="X196" s="10"/>
      <c r="Y196" s="10"/>
      <c r="Z196" s="10"/>
      <c r="AA196" s="10"/>
    </row>
    <row r="197" spans="1:27" ht="12.5" x14ac:dyDescent="0.25">
      <c r="A197" s="10" t="s">
        <v>36</v>
      </c>
      <c r="B197" s="10" t="s">
        <v>476</v>
      </c>
      <c r="C197" s="10" t="s">
        <v>76</v>
      </c>
      <c r="D197" s="11">
        <v>2024</v>
      </c>
      <c r="E197" s="10" t="s">
        <v>124</v>
      </c>
      <c r="F197" s="10" t="s">
        <v>125</v>
      </c>
      <c r="G197" s="10" t="s">
        <v>84</v>
      </c>
      <c r="H197" s="11">
        <v>3488</v>
      </c>
      <c r="I197" s="11">
        <v>664</v>
      </c>
      <c r="J197" s="11">
        <v>540</v>
      </c>
      <c r="K197" s="11">
        <v>0</v>
      </c>
      <c r="L197" s="11">
        <v>0.19038061787685501</v>
      </c>
      <c r="M197" s="11">
        <f t="shared" si="0"/>
        <v>19.036697247706421</v>
      </c>
      <c r="N197" s="11">
        <v>0.813253012048193</v>
      </c>
      <c r="O197" s="11">
        <v>0</v>
      </c>
      <c r="P197" s="11">
        <v>0.87077702702702697</v>
      </c>
      <c r="Q197" s="11">
        <v>0.72340425531914898</v>
      </c>
      <c r="R197" s="11">
        <v>0.80313199105145405</v>
      </c>
      <c r="S197" s="10" t="s">
        <v>84</v>
      </c>
      <c r="T197" s="10" t="s">
        <v>84</v>
      </c>
      <c r="U197" s="10"/>
      <c r="V197" s="10"/>
      <c r="W197" s="10"/>
      <c r="X197" s="10"/>
      <c r="Y197" s="10"/>
      <c r="Z197" s="10"/>
      <c r="AA197" s="10"/>
    </row>
    <row r="198" spans="1:27" ht="12.5" hidden="1" x14ac:dyDescent="0.25">
      <c r="A198" s="10" t="s">
        <v>13</v>
      </c>
      <c r="B198" s="10" t="s">
        <v>862</v>
      </c>
      <c r="C198" s="10" t="s">
        <v>191</v>
      </c>
      <c r="D198" s="11">
        <v>2024</v>
      </c>
      <c r="E198" s="10" t="s">
        <v>124</v>
      </c>
      <c r="F198" s="10" t="s">
        <v>125</v>
      </c>
      <c r="G198" s="10" t="s">
        <v>84</v>
      </c>
      <c r="H198" s="12">
        <v>322</v>
      </c>
      <c r="I198" s="11">
        <v>61</v>
      </c>
      <c r="J198" s="11">
        <v>61</v>
      </c>
      <c r="K198" s="11">
        <v>0</v>
      </c>
      <c r="L198" s="11">
        <v>0.18944099378882001</v>
      </c>
      <c r="M198" s="11">
        <f t="shared" si="0"/>
        <v>18.944099378881987</v>
      </c>
      <c r="N198" s="11">
        <v>1</v>
      </c>
      <c r="O198" s="11">
        <v>0</v>
      </c>
      <c r="P198" s="11">
        <v>0.92892156862745101</v>
      </c>
      <c r="Q198" s="11">
        <v>0.79310344827586199</v>
      </c>
      <c r="R198" s="11">
        <v>0.89341085271317799</v>
      </c>
      <c r="S198" s="10" t="s">
        <v>84</v>
      </c>
      <c r="T198" s="10" t="s">
        <v>84</v>
      </c>
      <c r="U198" s="10"/>
      <c r="V198" s="10"/>
      <c r="W198" s="10"/>
      <c r="X198" s="10"/>
      <c r="Y198" s="10"/>
      <c r="Z198" s="10"/>
      <c r="AA198" s="10"/>
    </row>
    <row r="199" spans="1:27" ht="12.5" x14ac:dyDescent="0.25">
      <c r="A199" s="10" t="s">
        <v>86</v>
      </c>
      <c r="B199" s="10" t="s">
        <v>425</v>
      </c>
      <c r="C199" s="10" t="s">
        <v>76</v>
      </c>
      <c r="D199" s="11">
        <v>2024</v>
      </c>
      <c r="E199" s="10" t="s">
        <v>81</v>
      </c>
      <c r="F199" s="10" t="s">
        <v>83</v>
      </c>
      <c r="G199" s="10" t="s">
        <v>84</v>
      </c>
      <c r="H199" s="11">
        <v>30112</v>
      </c>
      <c r="I199" s="11">
        <v>5686</v>
      </c>
      <c r="J199" s="11">
        <v>5381</v>
      </c>
      <c r="K199" s="11">
        <v>823</v>
      </c>
      <c r="L199" s="11">
        <v>0.18882994180012799</v>
      </c>
      <c r="M199" s="11">
        <f t="shared" si="0"/>
        <v>18.882837407013813</v>
      </c>
      <c r="N199" s="11">
        <v>0.94635947942314502</v>
      </c>
      <c r="O199" s="11">
        <v>2.7331523408636201E-2</v>
      </c>
      <c r="P199" s="11">
        <v>0.86908783783783805</v>
      </c>
      <c r="Q199" s="11">
        <v>0.65217391304347805</v>
      </c>
      <c r="R199" s="11">
        <v>0.89922480620154999</v>
      </c>
      <c r="S199" s="10" t="s">
        <v>84</v>
      </c>
      <c r="T199" s="10" t="s">
        <v>84</v>
      </c>
      <c r="U199" s="10"/>
      <c r="V199" s="10"/>
      <c r="W199" s="10"/>
      <c r="X199" s="10"/>
      <c r="Y199" s="10"/>
      <c r="Z199" s="10"/>
      <c r="AA199" s="10"/>
    </row>
    <row r="200" spans="1:27" ht="12.5" x14ac:dyDescent="0.25">
      <c r="A200" s="10" t="s">
        <v>12</v>
      </c>
      <c r="B200" s="10" t="s">
        <v>478</v>
      </c>
      <c r="C200" s="10" t="s">
        <v>76</v>
      </c>
      <c r="D200" s="11">
        <v>2024</v>
      </c>
      <c r="E200" s="10" t="s">
        <v>124</v>
      </c>
      <c r="F200" s="10" t="s">
        <v>83</v>
      </c>
      <c r="G200" s="10" t="s">
        <v>84</v>
      </c>
      <c r="H200" s="11">
        <v>69031</v>
      </c>
      <c r="I200" s="11">
        <v>12922</v>
      </c>
      <c r="J200" s="11">
        <v>12760</v>
      </c>
      <c r="K200" s="11">
        <v>90587</v>
      </c>
      <c r="L200" s="11">
        <v>0.187192617755919</v>
      </c>
      <c r="M200" s="11">
        <f t="shared" si="0"/>
        <v>18.719126189682896</v>
      </c>
      <c r="N200" s="11">
        <v>0.987463240984368</v>
      </c>
      <c r="O200" s="11">
        <v>1.3122750088728901</v>
      </c>
      <c r="P200" s="11">
        <v>0.86824324324324298</v>
      </c>
      <c r="Q200" s="11">
        <v>0.83333333333333304</v>
      </c>
      <c r="R200" s="11">
        <v>0.80089485458612997</v>
      </c>
      <c r="S200" s="10" t="s">
        <v>84</v>
      </c>
      <c r="T200" s="10" t="s">
        <v>84</v>
      </c>
      <c r="U200" s="10"/>
      <c r="V200" s="10"/>
      <c r="W200" s="10"/>
      <c r="X200" s="10"/>
      <c r="Y200" s="10"/>
      <c r="Z200" s="10"/>
      <c r="AA200" s="10"/>
    </row>
    <row r="201" spans="1:27" ht="12.5" x14ac:dyDescent="0.25">
      <c r="A201" s="10" t="s">
        <v>80</v>
      </c>
      <c r="B201" s="10" t="s">
        <v>479</v>
      </c>
      <c r="C201" s="10" t="s">
        <v>76</v>
      </c>
      <c r="D201" s="11">
        <v>2024</v>
      </c>
      <c r="E201" s="10" t="s">
        <v>124</v>
      </c>
      <c r="F201" s="10" t="s">
        <v>83</v>
      </c>
      <c r="G201" s="10" t="s">
        <v>84</v>
      </c>
      <c r="H201" s="11">
        <v>32315</v>
      </c>
      <c r="I201" s="11">
        <v>6045</v>
      </c>
      <c r="J201" s="11">
        <v>5554</v>
      </c>
      <c r="K201" s="11">
        <v>32973</v>
      </c>
      <c r="L201" s="11">
        <v>0.18706579537776799</v>
      </c>
      <c r="M201" s="11">
        <f t="shared" si="0"/>
        <v>18.706483057403684</v>
      </c>
      <c r="N201" s="11">
        <v>0.91877584780810595</v>
      </c>
      <c r="O201" s="11">
        <v>1.0203673235717301</v>
      </c>
      <c r="P201" s="11">
        <v>0.86739864864864902</v>
      </c>
      <c r="Q201" s="11">
        <v>1</v>
      </c>
      <c r="R201" s="11">
        <v>0.79865771812080499</v>
      </c>
      <c r="S201" s="10" t="s">
        <v>84</v>
      </c>
      <c r="T201" s="10" t="s">
        <v>84</v>
      </c>
      <c r="U201" s="10"/>
      <c r="V201" s="10"/>
      <c r="W201" s="10"/>
      <c r="X201" s="10"/>
      <c r="Y201" s="10"/>
      <c r="Z201" s="10"/>
      <c r="AA201" s="10"/>
    </row>
    <row r="202" spans="1:27" ht="12.5" x14ac:dyDescent="0.25">
      <c r="A202" s="10" t="s">
        <v>36</v>
      </c>
      <c r="B202" s="10" t="s">
        <v>481</v>
      </c>
      <c r="C202" s="10" t="s">
        <v>76</v>
      </c>
      <c r="D202" s="11">
        <v>2024</v>
      </c>
      <c r="E202" s="10" t="s">
        <v>124</v>
      </c>
      <c r="F202" s="10" t="s">
        <v>83</v>
      </c>
      <c r="G202" s="10" t="s">
        <v>84</v>
      </c>
      <c r="H202" s="11">
        <v>13957</v>
      </c>
      <c r="I202" s="11">
        <v>2602</v>
      </c>
      <c r="J202" s="11">
        <v>2031</v>
      </c>
      <c r="K202" s="11">
        <v>2857</v>
      </c>
      <c r="L202" s="11">
        <v>0.18642752230037099</v>
      </c>
      <c r="M202" s="11">
        <f t="shared" si="0"/>
        <v>18.642974851329082</v>
      </c>
      <c r="N202" s="11">
        <v>0.780553420445811</v>
      </c>
      <c r="O202" s="11">
        <v>0.204697706076926</v>
      </c>
      <c r="P202" s="11">
        <v>0.86655405405405395</v>
      </c>
      <c r="Q202" s="11">
        <v>0.70212765957446799</v>
      </c>
      <c r="R202" s="11">
        <v>0.79642058165548102</v>
      </c>
      <c r="S202" s="10" t="s">
        <v>84</v>
      </c>
      <c r="T202" s="10" t="s">
        <v>84</v>
      </c>
      <c r="U202" s="10"/>
      <c r="V202" s="10"/>
      <c r="W202" s="10"/>
      <c r="X202" s="10"/>
      <c r="Y202" s="10"/>
      <c r="Z202" s="10"/>
      <c r="AA202" s="10"/>
    </row>
    <row r="203" spans="1:27" ht="12.5" x14ac:dyDescent="0.25">
      <c r="A203" s="10" t="s">
        <v>62</v>
      </c>
      <c r="B203" s="10" t="s">
        <v>211</v>
      </c>
      <c r="C203" s="10" t="s">
        <v>76</v>
      </c>
      <c r="D203" s="11">
        <v>2024</v>
      </c>
      <c r="E203" s="10" t="s">
        <v>81</v>
      </c>
      <c r="F203" s="10" t="s">
        <v>83</v>
      </c>
      <c r="G203" s="10" t="s">
        <v>84</v>
      </c>
      <c r="H203" s="11">
        <v>865</v>
      </c>
      <c r="I203" s="11">
        <v>161</v>
      </c>
      <c r="J203" s="11">
        <v>159</v>
      </c>
      <c r="K203" s="11">
        <v>1178</v>
      </c>
      <c r="L203" s="11">
        <v>0.186055469953775</v>
      </c>
      <c r="M203" s="11">
        <f t="shared" si="0"/>
        <v>18.612716763005778</v>
      </c>
      <c r="N203" s="11">
        <v>0.98757763975155299</v>
      </c>
      <c r="O203" s="11">
        <v>1.3613251155624</v>
      </c>
      <c r="P203" s="11">
        <v>0.86570945945945899</v>
      </c>
      <c r="Q203" s="11">
        <v>1</v>
      </c>
      <c r="R203" s="11">
        <v>0.89728682170542595</v>
      </c>
      <c r="S203" s="10" t="s">
        <v>84</v>
      </c>
      <c r="T203" s="10" t="s">
        <v>84</v>
      </c>
      <c r="U203" s="10"/>
      <c r="V203" s="10"/>
      <c r="W203" s="10"/>
      <c r="X203" s="10"/>
      <c r="Y203" s="10"/>
      <c r="Z203" s="10"/>
      <c r="AA203" s="10"/>
    </row>
    <row r="204" spans="1:27" ht="12.5" x14ac:dyDescent="0.25">
      <c r="A204" s="10" t="s">
        <v>36</v>
      </c>
      <c r="B204" s="10" t="s">
        <v>483</v>
      </c>
      <c r="C204" s="10" t="s">
        <v>76</v>
      </c>
      <c r="D204" s="11">
        <v>2024</v>
      </c>
      <c r="E204" s="10" t="s">
        <v>124</v>
      </c>
      <c r="F204" s="10" t="s">
        <v>83</v>
      </c>
      <c r="G204" s="10" t="s">
        <v>84</v>
      </c>
      <c r="H204" s="11">
        <v>9427</v>
      </c>
      <c r="I204" s="11">
        <v>1727</v>
      </c>
      <c r="J204" s="11">
        <v>1553</v>
      </c>
      <c r="K204" s="11">
        <v>2870</v>
      </c>
      <c r="L204" s="11">
        <v>0.18319234135087101</v>
      </c>
      <c r="M204" s="11">
        <f t="shared" si="0"/>
        <v>18.319719953325556</v>
      </c>
      <c r="N204" s="11">
        <v>0.899247249565721</v>
      </c>
      <c r="O204" s="11">
        <v>0.30443660664562799</v>
      </c>
      <c r="P204" s="11">
        <v>0.86317567567567599</v>
      </c>
      <c r="Q204" s="11">
        <v>0.680851063829787</v>
      </c>
      <c r="R204" s="11">
        <v>0.79418344519015704</v>
      </c>
      <c r="S204" s="10" t="s">
        <v>84</v>
      </c>
      <c r="T204" s="10" t="s">
        <v>84</v>
      </c>
      <c r="U204" s="10"/>
      <c r="V204" s="10"/>
      <c r="W204" s="10"/>
      <c r="X204" s="10"/>
      <c r="Y204" s="10"/>
      <c r="Z204" s="10"/>
      <c r="AA204" s="10"/>
    </row>
    <row r="205" spans="1:27" ht="12.5" x14ac:dyDescent="0.25">
      <c r="A205" s="10" t="s">
        <v>16</v>
      </c>
      <c r="B205" s="10" t="s">
        <v>485</v>
      </c>
      <c r="C205" s="10" t="s">
        <v>76</v>
      </c>
      <c r="D205" s="11">
        <v>2024</v>
      </c>
      <c r="E205" s="10" t="s">
        <v>124</v>
      </c>
      <c r="F205" s="10" t="s">
        <v>125</v>
      </c>
      <c r="G205" s="10" t="s">
        <v>84</v>
      </c>
      <c r="H205" s="11">
        <v>968</v>
      </c>
      <c r="I205" s="11">
        <v>177</v>
      </c>
      <c r="J205" s="11">
        <v>98</v>
      </c>
      <c r="K205" s="11">
        <v>189</v>
      </c>
      <c r="L205" s="11">
        <v>0.18292998019119799</v>
      </c>
      <c r="M205" s="11">
        <f t="shared" si="0"/>
        <v>18.285123966942148</v>
      </c>
      <c r="N205" s="11">
        <v>0.55367231638418102</v>
      </c>
      <c r="O205" s="11">
        <v>0.195332012746533</v>
      </c>
      <c r="P205" s="11">
        <v>0.86233108108108103</v>
      </c>
      <c r="Q205" s="11">
        <v>0.6</v>
      </c>
      <c r="R205" s="11">
        <v>0.79194630872483196</v>
      </c>
      <c r="S205" s="10" t="s">
        <v>84</v>
      </c>
      <c r="T205" s="10" t="s">
        <v>84</v>
      </c>
      <c r="U205" s="10"/>
      <c r="V205" s="10"/>
      <c r="W205" s="10"/>
      <c r="X205" s="10"/>
      <c r="Y205" s="10"/>
      <c r="Z205" s="10"/>
      <c r="AA205" s="10"/>
    </row>
    <row r="206" spans="1:27" ht="12.5" hidden="1" x14ac:dyDescent="0.25">
      <c r="A206" s="10" t="s">
        <v>36</v>
      </c>
      <c r="B206" s="10" t="s">
        <v>883</v>
      </c>
      <c r="C206" s="10" t="s">
        <v>191</v>
      </c>
      <c r="D206" s="11">
        <v>2024</v>
      </c>
      <c r="E206" s="10" t="s">
        <v>124</v>
      </c>
      <c r="F206" s="10" t="s">
        <v>125</v>
      </c>
      <c r="G206" s="10" t="s">
        <v>84</v>
      </c>
      <c r="H206" s="12">
        <v>1724</v>
      </c>
      <c r="I206" s="11">
        <v>315</v>
      </c>
      <c r="J206" s="11">
        <v>243</v>
      </c>
      <c r="K206" s="11">
        <v>4247</v>
      </c>
      <c r="L206" s="11">
        <v>0.18271461716937401</v>
      </c>
      <c r="M206" s="11">
        <f t="shared" si="0"/>
        <v>18.271461716937353</v>
      </c>
      <c r="N206" s="11">
        <v>0.77142857142857102</v>
      </c>
      <c r="O206" s="11">
        <v>2.4634570765661299</v>
      </c>
      <c r="P206" s="11">
        <v>0.92769607843137303</v>
      </c>
      <c r="Q206" s="11">
        <v>0.92500000000000004</v>
      </c>
      <c r="R206" s="11">
        <v>0.89147286821705396</v>
      </c>
      <c r="S206" s="10" t="s">
        <v>84</v>
      </c>
      <c r="T206" s="10" t="s">
        <v>84</v>
      </c>
      <c r="U206" s="10"/>
      <c r="V206" s="10"/>
      <c r="W206" s="10"/>
      <c r="X206" s="10"/>
      <c r="Y206" s="10"/>
      <c r="Z206" s="10"/>
      <c r="AA206" s="10"/>
    </row>
    <row r="207" spans="1:27" ht="12.5" x14ac:dyDescent="0.25">
      <c r="A207" s="10" t="s">
        <v>104</v>
      </c>
      <c r="B207" s="10" t="s">
        <v>487</v>
      </c>
      <c r="C207" s="10" t="s">
        <v>76</v>
      </c>
      <c r="D207" s="11">
        <v>2024</v>
      </c>
      <c r="E207" s="10" t="s">
        <v>124</v>
      </c>
      <c r="F207" s="10" t="s">
        <v>83</v>
      </c>
      <c r="G207" s="10" t="s">
        <v>84</v>
      </c>
      <c r="H207" s="11">
        <v>36769</v>
      </c>
      <c r="I207" s="11">
        <v>6671</v>
      </c>
      <c r="J207" s="11">
        <v>4306</v>
      </c>
      <c r="K207" s="11">
        <v>18804</v>
      </c>
      <c r="L207" s="11">
        <v>0.181430831365332</v>
      </c>
      <c r="M207" s="11">
        <f t="shared" si="0"/>
        <v>18.143000897495174</v>
      </c>
      <c r="N207" s="11">
        <v>0.64548043771548502</v>
      </c>
      <c r="O207" s="11">
        <v>0.511411385548449</v>
      </c>
      <c r="P207" s="11">
        <v>0.86148648648648696</v>
      </c>
      <c r="Q207" s="11">
        <v>0.931034482758621</v>
      </c>
      <c r="R207" s="11">
        <v>0.78970917225950799</v>
      </c>
      <c r="S207" s="10" t="s">
        <v>84</v>
      </c>
      <c r="T207" s="10" t="s">
        <v>84</v>
      </c>
      <c r="U207" s="10"/>
      <c r="V207" s="10"/>
      <c r="W207" s="10"/>
      <c r="X207" s="10"/>
      <c r="Y207" s="10"/>
      <c r="Z207" s="10"/>
      <c r="AA207" s="10"/>
    </row>
    <row r="208" spans="1:27" ht="12.5" x14ac:dyDescent="0.25">
      <c r="A208" s="10" t="s">
        <v>36</v>
      </c>
      <c r="B208" s="10" t="s">
        <v>428</v>
      </c>
      <c r="C208" s="10" t="s">
        <v>76</v>
      </c>
      <c r="D208" s="11">
        <v>2024</v>
      </c>
      <c r="E208" s="10" t="s">
        <v>81</v>
      </c>
      <c r="F208" s="10" t="s">
        <v>83</v>
      </c>
      <c r="G208" s="10" t="s">
        <v>84</v>
      </c>
      <c r="H208" s="11">
        <v>47606</v>
      </c>
      <c r="I208" s="11">
        <v>8624</v>
      </c>
      <c r="J208" s="11">
        <v>8037</v>
      </c>
      <c r="K208" s="11">
        <v>118890</v>
      </c>
      <c r="L208" s="11">
        <v>0.181153953202596</v>
      </c>
      <c r="M208" s="11">
        <f t="shared" si="0"/>
        <v>18.115363609629036</v>
      </c>
      <c r="N208" s="11">
        <v>0.93193413729128005</v>
      </c>
      <c r="O208" s="11">
        <v>2.4973786521633299</v>
      </c>
      <c r="P208" s="11">
        <v>0.860641891891892</v>
      </c>
      <c r="Q208" s="11">
        <v>0.659574468085106</v>
      </c>
      <c r="R208" s="11">
        <v>0.89534883720930203</v>
      </c>
      <c r="S208" s="10" t="s">
        <v>84</v>
      </c>
      <c r="T208" s="10" t="s">
        <v>84</v>
      </c>
      <c r="U208" s="10"/>
      <c r="V208" s="10"/>
      <c r="W208" s="10"/>
      <c r="X208" s="10"/>
      <c r="Y208" s="10"/>
      <c r="Z208" s="10"/>
      <c r="AA208" s="10"/>
    </row>
    <row r="209" spans="1:27" ht="12.5" hidden="1" x14ac:dyDescent="0.25">
      <c r="A209" s="10" t="s">
        <v>29</v>
      </c>
      <c r="B209" s="10" t="s">
        <v>891</v>
      </c>
      <c r="C209" s="10" t="s">
        <v>191</v>
      </c>
      <c r="D209" s="11">
        <v>2024</v>
      </c>
      <c r="E209" s="10" t="s">
        <v>124</v>
      </c>
      <c r="F209" s="10" t="s">
        <v>125</v>
      </c>
      <c r="G209" s="10" t="s">
        <v>84</v>
      </c>
      <c r="H209" s="12">
        <v>2748</v>
      </c>
      <c r="I209" s="11">
        <v>497</v>
      </c>
      <c r="J209" s="11">
        <v>423</v>
      </c>
      <c r="K209" s="11">
        <v>4774</v>
      </c>
      <c r="L209" s="11">
        <v>0.18088074730074</v>
      </c>
      <c r="M209" s="11">
        <f t="shared" si="0"/>
        <v>18.085880640465792</v>
      </c>
      <c r="N209" s="11">
        <v>0.85110663983903401</v>
      </c>
      <c r="O209" s="11">
        <v>1.7374742205507701</v>
      </c>
      <c r="P209" s="11">
        <v>0.92647058823529405</v>
      </c>
      <c r="Q209" s="11">
        <v>0.87323943661971803</v>
      </c>
      <c r="R209" s="11">
        <v>0.88953488372093004</v>
      </c>
      <c r="S209" s="10" t="s">
        <v>84</v>
      </c>
      <c r="T209" s="10" t="s">
        <v>84</v>
      </c>
      <c r="U209" s="10"/>
      <c r="V209" s="10"/>
      <c r="W209" s="10"/>
      <c r="X209" s="10"/>
      <c r="Y209" s="10"/>
      <c r="Z209" s="10"/>
      <c r="AA209" s="10"/>
    </row>
    <row r="210" spans="1:27" ht="12.5" x14ac:dyDescent="0.25">
      <c r="A210" s="10" t="s">
        <v>32</v>
      </c>
      <c r="B210" s="10" t="s">
        <v>430</v>
      </c>
      <c r="C210" s="10" t="s">
        <v>76</v>
      </c>
      <c r="D210" s="11">
        <v>2024</v>
      </c>
      <c r="E210" s="10" t="s">
        <v>81</v>
      </c>
      <c r="F210" s="10" t="s">
        <v>83</v>
      </c>
      <c r="G210" s="10" t="s">
        <v>84</v>
      </c>
      <c r="H210" s="11">
        <v>34841</v>
      </c>
      <c r="I210" s="11">
        <v>6299</v>
      </c>
      <c r="J210" s="11">
        <v>4095</v>
      </c>
      <c r="K210" s="11">
        <v>22537</v>
      </c>
      <c r="L210" s="11">
        <v>0.180794473890664</v>
      </c>
      <c r="M210" s="11">
        <f t="shared" si="0"/>
        <v>18.079274418070664</v>
      </c>
      <c r="N210" s="11">
        <v>0.65010319098269598</v>
      </c>
      <c r="O210" s="11">
        <v>0.64685903446164394</v>
      </c>
      <c r="P210" s="11">
        <v>0.85979729729729704</v>
      </c>
      <c r="Q210" s="11">
        <v>0.68965517241379304</v>
      </c>
      <c r="R210" s="11">
        <v>0.89341085271317799</v>
      </c>
      <c r="S210" s="10" t="s">
        <v>84</v>
      </c>
      <c r="T210" s="10" t="s">
        <v>84</v>
      </c>
      <c r="U210" s="10"/>
      <c r="V210" s="10"/>
      <c r="W210" s="10"/>
      <c r="X210" s="10"/>
      <c r="Y210" s="10"/>
      <c r="Z210" s="10"/>
      <c r="AA210" s="10"/>
    </row>
    <row r="211" spans="1:27" ht="12.5" x14ac:dyDescent="0.25">
      <c r="A211" s="10" t="s">
        <v>62</v>
      </c>
      <c r="B211" s="10" t="s">
        <v>489</v>
      </c>
      <c r="C211" s="10" t="s">
        <v>76</v>
      </c>
      <c r="D211" s="11">
        <v>2024</v>
      </c>
      <c r="E211" s="10" t="s">
        <v>124</v>
      </c>
      <c r="F211" s="10" t="s">
        <v>83</v>
      </c>
      <c r="G211" s="10" t="s">
        <v>84</v>
      </c>
      <c r="H211" s="11">
        <v>2771</v>
      </c>
      <c r="I211" s="11">
        <v>498</v>
      </c>
      <c r="J211" s="11">
        <v>465</v>
      </c>
      <c r="K211" s="11">
        <v>6516</v>
      </c>
      <c r="L211" s="11">
        <v>0.179750947482404</v>
      </c>
      <c r="M211" s="11">
        <f t="shared" si="0"/>
        <v>17.971851317214004</v>
      </c>
      <c r="N211" s="11">
        <v>0.93373493975903599</v>
      </c>
      <c r="O211" s="11">
        <v>2.3519220357336201</v>
      </c>
      <c r="P211" s="11">
        <v>0.85895270270270296</v>
      </c>
      <c r="Q211" s="11">
        <v>0.97222222222222199</v>
      </c>
      <c r="R211" s="11">
        <v>0.78747203579418301</v>
      </c>
      <c r="S211" s="10" t="s">
        <v>84</v>
      </c>
      <c r="T211" s="10" t="s">
        <v>84</v>
      </c>
      <c r="U211" s="10"/>
      <c r="V211" s="10"/>
      <c r="W211" s="10"/>
      <c r="X211" s="10"/>
      <c r="Y211" s="10"/>
      <c r="Z211" s="10"/>
      <c r="AA211" s="10"/>
    </row>
    <row r="212" spans="1:27" ht="12.5" x14ac:dyDescent="0.25">
      <c r="A212" s="10" t="s">
        <v>72</v>
      </c>
      <c r="B212" s="10" t="s">
        <v>433</v>
      </c>
      <c r="C212" s="10" t="s">
        <v>76</v>
      </c>
      <c r="D212" s="11">
        <v>2024</v>
      </c>
      <c r="E212" s="10" t="s">
        <v>81</v>
      </c>
      <c r="F212" s="10" t="s">
        <v>83</v>
      </c>
      <c r="G212" s="10" t="s">
        <v>84</v>
      </c>
      <c r="H212" s="11">
        <v>4772</v>
      </c>
      <c r="I212" s="11">
        <v>857</v>
      </c>
      <c r="J212" s="11">
        <v>822</v>
      </c>
      <c r="K212" s="11">
        <v>2429</v>
      </c>
      <c r="L212" s="11">
        <v>0.17960808969925601</v>
      </c>
      <c r="M212" s="11">
        <f t="shared" si="0"/>
        <v>17.958927074601842</v>
      </c>
      <c r="N212" s="11">
        <v>0.95915985997666298</v>
      </c>
      <c r="O212" s="11">
        <v>0.50906423556533598</v>
      </c>
      <c r="P212" s="11">
        <v>0.858108108108108</v>
      </c>
      <c r="Q212" s="11">
        <v>1</v>
      </c>
      <c r="R212" s="11">
        <v>0.89147286821705396</v>
      </c>
      <c r="S212" s="10" t="s">
        <v>84</v>
      </c>
      <c r="T212" s="10" t="s">
        <v>84</v>
      </c>
      <c r="U212" s="10"/>
      <c r="V212" s="10"/>
      <c r="W212" s="10"/>
      <c r="X212" s="10"/>
      <c r="Y212" s="10"/>
      <c r="Z212" s="10"/>
      <c r="AA212" s="10"/>
    </row>
    <row r="213" spans="1:27" ht="12.5" x14ac:dyDescent="0.25">
      <c r="A213" s="10" t="s">
        <v>16</v>
      </c>
      <c r="B213" s="10" t="s">
        <v>435</v>
      </c>
      <c r="C213" s="10" t="s">
        <v>76</v>
      </c>
      <c r="D213" s="11">
        <v>2024</v>
      </c>
      <c r="E213" s="10" t="s">
        <v>81</v>
      </c>
      <c r="F213" s="10" t="s">
        <v>83</v>
      </c>
      <c r="G213" s="10" t="s">
        <v>84</v>
      </c>
      <c r="H213" s="11">
        <v>57580</v>
      </c>
      <c r="I213" s="11">
        <v>10333</v>
      </c>
      <c r="J213" s="11">
        <v>9810</v>
      </c>
      <c r="K213" s="11">
        <v>83849</v>
      </c>
      <c r="L213" s="11">
        <v>0.179454412043516</v>
      </c>
      <c r="M213" s="11">
        <f t="shared" si="0"/>
        <v>17.945467176102813</v>
      </c>
      <c r="N213" s="11">
        <v>0.94938546404722701</v>
      </c>
      <c r="O213" s="11">
        <v>1.4562153290851401</v>
      </c>
      <c r="P213" s="11">
        <v>0.85726351351351304</v>
      </c>
      <c r="Q213" s="11">
        <v>0.56666666666666698</v>
      </c>
      <c r="R213" s="11">
        <v>0.88953488372093004</v>
      </c>
      <c r="S213" s="10" t="s">
        <v>84</v>
      </c>
      <c r="T213" s="10" t="s">
        <v>84</v>
      </c>
      <c r="U213" s="10"/>
      <c r="V213" s="10"/>
      <c r="W213" s="10"/>
      <c r="X213" s="10"/>
      <c r="Y213" s="10"/>
      <c r="Z213" s="10"/>
      <c r="AA213" s="10"/>
    </row>
    <row r="214" spans="1:27" ht="12.5" hidden="1" x14ac:dyDescent="0.25">
      <c r="A214" s="10" t="s">
        <v>12</v>
      </c>
      <c r="B214" s="10" t="s">
        <v>903</v>
      </c>
      <c r="C214" s="10" t="s">
        <v>191</v>
      </c>
      <c r="D214" s="11">
        <v>2024</v>
      </c>
      <c r="E214" s="10" t="s">
        <v>124</v>
      </c>
      <c r="F214" s="10" t="s">
        <v>125</v>
      </c>
      <c r="G214" s="10" t="s">
        <v>84</v>
      </c>
      <c r="H214" s="12">
        <v>646.75</v>
      </c>
      <c r="I214" s="11">
        <v>116</v>
      </c>
      <c r="J214" s="11">
        <v>89</v>
      </c>
      <c r="K214" s="11">
        <v>774</v>
      </c>
      <c r="L214" s="11">
        <v>0.17935833011209901</v>
      </c>
      <c r="M214" s="11">
        <f t="shared" si="0"/>
        <v>17.935833011209894</v>
      </c>
      <c r="N214" s="11">
        <v>0.76724137931034497</v>
      </c>
      <c r="O214" s="11">
        <v>1.1967529957479699</v>
      </c>
      <c r="P214" s="11">
        <v>0.92279411764705899</v>
      </c>
      <c r="Q214" s="11">
        <v>0.92063492063492103</v>
      </c>
      <c r="R214" s="11">
        <v>0.887596899224806</v>
      </c>
      <c r="S214" s="10" t="s">
        <v>84</v>
      </c>
      <c r="T214" s="10" t="s">
        <v>84</v>
      </c>
      <c r="U214" s="10"/>
      <c r="V214" s="10"/>
      <c r="W214" s="10"/>
      <c r="X214" s="10"/>
      <c r="Y214" s="10"/>
      <c r="Z214" s="10"/>
      <c r="AA214" s="10"/>
    </row>
    <row r="215" spans="1:27" ht="12.5" x14ac:dyDescent="0.25">
      <c r="A215" s="10" t="s">
        <v>67</v>
      </c>
      <c r="B215" s="10" t="s">
        <v>437</v>
      </c>
      <c r="C215" s="10" t="s">
        <v>76</v>
      </c>
      <c r="D215" s="11">
        <v>2024</v>
      </c>
      <c r="E215" s="10" t="s">
        <v>81</v>
      </c>
      <c r="F215" s="10" t="s">
        <v>83</v>
      </c>
      <c r="G215" s="10" t="s">
        <v>84</v>
      </c>
      <c r="H215" s="11">
        <v>18604</v>
      </c>
      <c r="I215" s="11">
        <v>3318</v>
      </c>
      <c r="J215" s="11">
        <v>3559</v>
      </c>
      <c r="K215" s="11">
        <v>58740</v>
      </c>
      <c r="L215" s="11">
        <v>0.17835273670394999</v>
      </c>
      <c r="M215" s="11">
        <f t="shared" si="0"/>
        <v>17.834874220597722</v>
      </c>
      <c r="N215" s="11">
        <v>1.0726341169379101</v>
      </c>
      <c r="O215" s="11">
        <v>3.1574562248312401</v>
      </c>
      <c r="P215" s="11">
        <v>0.85641891891891897</v>
      </c>
      <c r="Q215" s="11">
        <v>1</v>
      </c>
      <c r="R215" s="11">
        <v>0.887596899224806</v>
      </c>
      <c r="S215" s="10" t="s">
        <v>84</v>
      </c>
      <c r="T215" s="10" t="s">
        <v>84</v>
      </c>
      <c r="U215" s="10"/>
      <c r="V215" s="10"/>
      <c r="W215" s="10"/>
      <c r="X215" s="10"/>
      <c r="Y215" s="10"/>
      <c r="Z215" s="10"/>
      <c r="AA215" s="10"/>
    </row>
    <row r="216" spans="1:27" ht="12.5" x14ac:dyDescent="0.25">
      <c r="A216" s="10" t="s">
        <v>86</v>
      </c>
      <c r="B216" s="10" t="s">
        <v>491</v>
      </c>
      <c r="C216" s="10" t="s">
        <v>76</v>
      </c>
      <c r="D216" s="11">
        <v>2024</v>
      </c>
      <c r="E216" s="10" t="s">
        <v>124</v>
      </c>
      <c r="F216" s="10" t="s">
        <v>83</v>
      </c>
      <c r="G216" s="10" t="s">
        <v>84</v>
      </c>
      <c r="H216" s="11">
        <v>18053</v>
      </c>
      <c r="I216" s="11">
        <v>3216</v>
      </c>
      <c r="J216" s="11">
        <v>3271</v>
      </c>
      <c r="K216" s="11">
        <v>5324</v>
      </c>
      <c r="L216" s="11">
        <v>0.17814213704093501</v>
      </c>
      <c r="M216" s="11">
        <f t="shared" si="0"/>
        <v>17.8142137040935</v>
      </c>
      <c r="N216" s="11">
        <v>1.01710199004975</v>
      </c>
      <c r="O216" s="11">
        <v>0.29490943333517999</v>
      </c>
      <c r="P216" s="11">
        <v>0.85557432432432401</v>
      </c>
      <c r="Q216" s="11">
        <v>0.63043478260869601</v>
      </c>
      <c r="R216" s="11">
        <v>0.78523489932885904</v>
      </c>
      <c r="S216" s="10" t="s">
        <v>84</v>
      </c>
      <c r="T216" s="10" t="s">
        <v>84</v>
      </c>
      <c r="U216" s="10"/>
      <c r="V216" s="10"/>
      <c r="W216" s="10"/>
      <c r="X216" s="10"/>
      <c r="Y216" s="10"/>
      <c r="Z216" s="10"/>
      <c r="AA216" s="10"/>
    </row>
    <row r="217" spans="1:27" ht="12.5" x14ac:dyDescent="0.25">
      <c r="A217" s="10" t="s">
        <v>14</v>
      </c>
      <c r="B217" s="10" t="s">
        <v>405</v>
      </c>
      <c r="C217" s="10" t="s">
        <v>76</v>
      </c>
      <c r="D217" s="11">
        <v>2024</v>
      </c>
      <c r="E217" s="10" t="s">
        <v>81</v>
      </c>
      <c r="F217" s="10" t="s">
        <v>83</v>
      </c>
      <c r="G217" s="10" t="s">
        <v>84</v>
      </c>
      <c r="H217" s="11">
        <v>685</v>
      </c>
      <c r="I217" s="11">
        <v>122</v>
      </c>
      <c r="J217" s="11">
        <v>56</v>
      </c>
      <c r="K217" s="11">
        <v>65</v>
      </c>
      <c r="L217" s="11">
        <v>0.17805886645585001</v>
      </c>
      <c r="M217" s="11">
        <f t="shared" si="0"/>
        <v>17.810218978102192</v>
      </c>
      <c r="N217" s="11">
        <v>0.45901639344262302</v>
      </c>
      <c r="O217" s="11">
        <v>9.4867428849428406E-2</v>
      </c>
      <c r="P217" s="11">
        <v>0.85472972972973005</v>
      </c>
      <c r="Q217" s="11">
        <v>0.67857142857142905</v>
      </c>
      <c r="R217" s="11">
        <v>0.88565891472868197</v>
      </c>
      <c r="S217" s="10" t="s">
        <v>84</v>
      </c>
      <c r="T217" s="10" t="s">
        <v>84</v>
      </c>
      <c r="U217" s="10"/>
      <c r="V217" s="10"/>
      <c r="W217" s="10"/>
      <c r="X217" s="10"/>
      <c r="Y217" s="10"/>
      <c r="Z217" s="10"/>
      <c r="AA217" s="10"/>
    </row>
    <row r="218" spans="1:27" ht="12.5" x14ac:dyDescent="0.25">
      <c r="A218" s="10" t="s">
        <v>52</v>
      </c>
      <c r="B218" s="10" t="s">
        <v>494</v>
      </c>
      <c r="C218" s="10" t="s">
        <v>76</v>
      </c>
      <c r="D218" s="11">
        <v>2024</v>
      </c>
      <c r="E218" s="10" t="s">
        <v>124</v>
      </c>
      <c r="F218" s="10" t="s">
        <v>125</v>
      </c>
      <c r="G218" s="10" t="s">
        <v>84</v>
      </c>
      <c r="H218" s="11">
        <v>1623</v>
      </c>
      <c r="I218" s="11">
        <v>287</v>
      </c>
      <c r="J218" s="11">
        <v>287</v>
      </c>
      <c r="K218" s="11">
        <v>3117</v>
      </c>
      <c r="L218" s="11">
        <v>0.17678763923823201</v>
      </c>
      <c r="M218" s="11">
        <f t="shared" si="0"/>
        <v>17.683302526186075</v>
      </c>
      <c r="N218" s="11">
        <v>1</v>
      </c>
      <c r="O218" s="11">
        <v>1.92002463939223</v>
      </c>
      <c r="P218" s="11">
        <v>0.85388513513513498</v>
      </c>
      <c r="Q218" s="11">
        <v>0.78723404255319196</v>
      </c>
      <c r="R218" s="11">
        <v>0.78299776286353495</v>
      </c>
      <c r="S218" s="10" t="s">
        <v>84</v>
      </c>
      <c r="T218" s="10" t="s">
        <v>84</v>
      </c>
      <c r="U218" s="10"/>
      <c r="V218" s="10"/>
      <c r="W218" s="10"/>
      <c r="X218" s="10"/>
      <c r="Y218" s="10"/>
      <c r="Z218" s="10"/>
      <c r="AA218" s="10"/>
    </row>
    <row r="219" spans="1:27" ht="12.5" x14ac:dyDescent="0.25">
      <c r="A219" s="10" t="s">
        <v>42</v>
      </c>
      <c r="B219" s="10" t="s">
        <v>496</v>
      </c>
      <c r="C219" s="10" t="s">
        <v>76</v>
      </c>
      <c r="D219" s="11">
        <v>2024</v>
      </c>
      <c r="E219" s="10" t="s">
        <v>124</v>
      </c>
      <c r="F219" s="10" t="s">
        <v>83</v>
      </c>
      <c r="G219" s="10" t="s">
        <v>84</v>
      </c>
      <c r="H219" s="11">
        <v>7820</v>
      </c>
      <c r="I219" s="11">
        <v>1381</v>
      </c>
      <c r="J219" s="11">
        <v>1291</v>
      </c>
      <c r="K219" s="11">
        <v>20295</v>
      </c>
      <c r="L219" s="11">
        <v>0.17660975765713899</v>
      </c>
      <c r="M219" s="11">
        <f t="shared" si="0"/>
        <v>17.659846547314579</v>
      </c>
      <c r="N219" s="11">
        <v>0.93482983345401904</v>
      </c>
      <c r="O219" s="11">
        <v>2.59543449069634</v>
      </c>
      <c r="P219" s="11">
        <v>0.85304054054054101</v>
      </c>
      <c r="Q219" s="11">
        <v>0.90476190476190499</v>
      </c>
      <c r="R219" s="11">
        <v>0.78076062639820998</v>
      </c>
      <c r="S219" s="10" t="s">
        <v>84</v>
      </c>
      <c r="T219" s="10" t="s">
        <v>84</v>
      </c>
      <c r="U219" s="10"/>
      <c r="V219" s="10"/>
      <c r="W219" s="10"/>
      <c r="X219" s="10"/>
      <c r="Y219" s="10"/>
      <c r="Z219" s="10"/>
      <c r="AA219" s="10"/>
    </row>
    <row r="220" spans="1:27" ht="12.5" x14ac:dyDescent="0.25">
      <c r="A220" s="10" t="s">
        <v>72</v>
      </c>
      <c r="B220" s="10" t="s">
        <v>440</v>
      </c>
      <c r="C220" s="10" t="s">
        <v>76</v>
      </c>
      <c r="D220" s="11">
        <v>2024</v>
      </c>
      <c r="E220" s="10" t="s">
        <v>81</v>
      </c>
      <c r="F220" s="10" t="s">
        <v>83</v>
      </c>
      <c r="G220" s="10" t="s">
        <v>84</v>
      </c>
      <c r="H220" s="11">
        <v>11517</v>
      </c>
      <c r="I220" s="11">
        <v>2034</v>
      </c>
      <c r="J220" s="11">
        <v>1679</v>
      </c>
      <c r="K220" s="11">
        <v>11596</v>
      </c>
      <c r="L220" s="11">
        <v>0.17660210261271</v>
      </c>
      <c r="M220" s="11">
        <f t="shared" si="0"/>
        <v>17.660849179473821</v>
      </c>
      <c r="N220" s="11">
        <v>0.82546705998033398</v>
      </c>
      <c r="O220" s="11">
        <v>1.0068229999493501</v>
      </c>
      <c r="P220" s="11">
        <v>0.85219594594594605</v>
      </c>
      <c r="Q220" s="11">
        <v>0.9</v>
      </c>
      <c r="R220" s="11">
        <v>0.88372093023255804</v>
      </c>
      <c r="S220" s="10" t="s">
        <v>84</v>
      </c>
      <c r="T220" s="10" t="s">
        <v>84</v>
      </c>
      <c r="U220" s="10"/>
      <c r="V220" s="10"/>
      <c r="W220" s="10"/>
      <c r="X220" s="10"/>
      <c r="Y220" s="10"/>
      <c r="Z220" s="10"/>
      <c r="AA220" s="10"/>
    </row>
    <row r="221" spans="1:27" ht="12.5" x14ac:dyDescent="0.25">
      <c r="A221" s="10" t="s">
        <v>58</v>
      </c>
      <c r="B221" s="10" t="s">
        <v>442</v>
      </c>
      <c r="C221" s="10" t="s">
        <v>76</v>
      </c>
      <c r="D221" s="11">
        <v>2024</v>
      </c>
      <c r="E221" s="10" t="s">
        <v>81</v>
      </c>
      <c r="F221" s="10" t="s">
        <v>83</v>
      </c>
      <c r="G221" s="10" t="s">
        <v>84</v>
      </c>
      <c r="H221" s="11">
        <v>22478</v>
      </c>
      <c r="I221" s="11">
        <v>3963</v>
      </c>
      <c r="J221" s="11">
        <v>3606</v>
      </c>
      <c r="K221" s="11">
        <v>51888</v>
      </c>
      <c r="L221" s="11">
        <v>0.176303106695336</v>
      </c>
      <c r="M221" s="11">
        <f t="shared" si="0"/>
        <v>17.630572114956848</v>
      </c>
      <c r="N221" s="11">
        <v>0.909916729750189</v>
      </c>
      <c r="O221" s="11">
        <v>2.3083561948543001</v>
      </c>
      <c r="P221" s="11">
        <v>0.85135135135135098</v>
      </c>
      <c r="Q221" s="11">
        <v>0.94594594594594605</v>
      </c>
      <c r="R221" s="11">
        <v>0.88178294573643401</v>
      </c>
      <c r="S221" s="10" t="s">
        <v>84</v>
      </c>
      <c r="T221" s="10" t="s">
        <v>84</v>
      </c>
      <c r="U221" s="10"/>
      <c r="V221" s="10"/>
      <c r="W221" s="10"/>
      <c r="X221" s="10"/>
      <c r="Y221" s="10"/>
      <c r="Z221" s="10"/>
      <c r="AA221" s="10"/>
    </row>
    <row r="222" spans="1:27" ht="12.5" x14ac:dyDescent="0.25">
      <c r="A222" s="10" t="s">
        <v>26</v>
      </c>
      <c r="B222" s="10" t="s">
        <v>445</v>
      </c>
      <c r="C222" s="10" t="s">
        <v>76</v>
      </c>
      <c r="D222" s="11">
        <v>2024</v>
      </c>
      <c r="E222" s="10" t="s">
        <v>81</v>
      </c>
      <c r="F222" s="10" t="s">
        <v>83</v>
      </c>
      <c r="G222" s="10" t="s">
        <v>84</v>
      </c>
      <c r="H222" s="11">
        <v>24674</v>
      </c>
      <c r="I222" s="11">
        <v>4332</v>
      </c>
      <c r="J222" s="11">
        <v>3884</v>
      </c>
      <c r="K222" s="11">
        <v>53141</v>
      </c>
      <c r="L222" s="11">
        <v>0.17557179719268901</v>
      </c>
      <c r="M222" s="11">
        <f t="shared" si="0"/>
        <v>17.556942530599013</v>
      </c>
      <c r="N222" s="11">
        <v>0.89658356417359197</v>
      </c>
      <c r="O222" s="11">
        <v>2.1537536645006101</v>
      </c>
      <c r="P222" s="11">
        <v>0.85050675675675702</v>
      </c>
      <c r="Q222" s="11">
        <v>0.69230769230769196</v>
      </c>
      <c r="R222" s="11">
        <v>0.87984496124030998</v>
      </c>
      <c r="S222" s="10" t="s">
        <v>84</v>
      </c>
      <c r="T222" s="10" t="s">
        <v>84</v>
      </c>
      <c r="U222" s="10"/>
      <c r="V222" s="10"/>
      <c r="W222" s="10"/>
      <c r="X222" s="10"/>
      <c r="Y222" s="10"/>
      <c r="Z222" s="10"/>
      <c r="AA222" s="10"/>
    </row>
    <row r="223" spans="1:27" ht="12.5" x14ac:dyDescent="0.25">
      <c r="A223" s="10" t="s">
        <v>36</v>
      </c>
      <c r="B223" s="10" t="s">
        <v>499</v>
      </c>
      <c r="C223" s="10" t="s">
        <v>76</v>
      </c>
      <c r="D223" s="11">
        <v>2024</v>
      </c>
      <c r="E223" s="10" t="s">
        <v>124</v>
      </c>
      <c r="F223" s="10" t="s">
        <v>83</v>
      </c>
      <c r="G223" s="10" t="s">
        <v>84</v>
      </c>
      <c r="H223" s="11">
        <v>10388</v>
      </c>
      <c r="I223" s="11">
        <v>1819</v>
      </c>
      <c r="J223" s="11">
        <v>1590</v>
      </c>
      <c r="K223" s="11">
        <v>102412</v>
      </c>
      <c r="L223" s="11">
        <v>0.17511291525940401</v>
      </c>
      <c r="M223" s="11">
        <f t="shared" si="0"/>
        <v>17.510589141316903</v>
      </c>
      <c r="N223" s="11">
        <v>0.87410665200659698</v>
      </c>
      <c r="O223" s="11">
        <v>9.8590785473040707</v>
      </c>
      <c r="P223" s="11">
        <v>0.84966216216216195</v>
      </c>
      <c r="Q223" s="11">
        <v>0.63829787234042601</v>
      </c>
      <c r="R223" s="11">
        <v>0.778523489932886</v>
      </c>
      <c r="S223" s="10" t="s">
        <v>84</v>
      </c>
      <c r="T223" s="10" t="s">
        <v>84</v>
      </c>
      <c r="U223" s="10"/>
      <c r="V223" s="10"/>
      <c r="W223" s="10"/>
      <c r="X223" s="10"/>
      <c r="Y223" s="10"/>
      <c r="Z223" s="10"/>
      <c r="AA223" s="10"/>
    </row>
    <row r="224" spans="1:27" ht="12.5" x14ac:dyDescent="0.25">
      <c r="A224" s="10" t="s">
        <v>42</v>
      </c>
      <c r="B224" s="10" t="s">
        <v>501</v>
      </c>
      <c r="C224" s="10" t="s">
        <v>76</v>
      </c>
      <c r="D224" s="11">
        <v>2024</v>
      </c>
      <c r="E224" s="10" t="s">
        <v>124</v>
      </c>
      <c r="F224" s="10" t="s">
        <v>83</v>
      </c>
      <c r="G224" s="10" t="s">
        <v>84</v>
      </c>
      <c r="H224" s="11">
        <v>9242</v>
      </c>
      <c r="I224" s="11">
        <v>1609</v>
      </c>
      <c r="J224" s="11">
        <v>1464</v>
      </c>
      <c r="K224" s="11">
        <v>2996</v>
      </c>
      <c r="L224" s="11">
        <v>0.174088667285793</v>
      </c>
      <c r="M224" s="11">
        <f t="shared" si="0"/>
        <v>17.409651590564813</v>
      </c>
      <c r="N224" s="11">
        <v>0.90988191423244202</v>
      </c>
      <c r="O224" s="11">
        <v>0.32415764275216602</v>
      </c>
      <c r="P224" s="11">
        <v>0.84881756756756799</v>
      </c>
      <c r="Q224" s="11">
        <v>0.88095238095238104</v>
      </c>
      <c r="R224" s="11">
        <v>0.77628635346756103</v>
      </c>
      <c r="S224" s="10" t="s">
        <v>84</v>
      </c>
      <c r="T224" s="10" t="s">
        <v>84</v>
      </c>
      <c r="U224" s="10"/>
      <c r="V224" s="10"/>
      <c r="W224" s="10"/>
      <c r="X224" s="10"/>
      <c r="Y224" s="10"/>
      <c r="Z224" s="10"/>
      <c r="AA224" s="10"/>
    </row>
    <row r="225" spans="1:27" ht="12.5" x14ac:dyDescent="0.25">
      <c r="A225" s="10" t="s">
        <v>12</v>
      </c>
      <c r="B225" s="10" t="s">
        <v>447</v>
      </c>
      <c r="C225" s="10" t="s">
        <v>76</v>
      </c>
      <c r="D225" s="11">
        <v>2024</v>
      </c>
      <c r="E225" s="10" t="s">
        <v>81</v>
      </c>
      <c r="F225" s="10" t="s">
        <v>83</v>
      </c>
      <c r="G225" s="10" t="s">
        <v>84</v>
      </c>
      <c r="H225" s="11">
        <v>35819</v>
      </c>
      <c r="I225" s="11">
        <v>6218</v>
      </c>
      <c r="J225" s="11">
        <v>5714</v>
      </c>
      <c r="K225" s="11">
        <v>12711</v>
      </c>
      <c r="L225" s="11">
        <v>0.17359582714866001</v>
      </c>
      <c r="M225" s="11">
        <f t="shared" si="0"/>
        <v>17.359501940311009</v>
      </c>
      <c r="N225" s="11">
        <v>0.91894499839176602</v>
      </c>
      <c r="O225" s="11">
        <v>0.35486917962152098</v>
      </c>
      <c r="P225" s="11">
        <v>0.84797297297297303</v>
      </c>
      <c r="Q225" s="11">
        <v>0.81944444444444398</v>
      </c>
      <c r="R225" s="11">
        <v>0.87790697674418605</v>
      </c>
      <c r="S225" s="10" t="s">
        <v>84</v>
      </c>
      <c r="T225" s="10" t="s">
        <v>84</v>
      </c>
      <c r="U225" s="10"/>
      <c r="V225" s="10"/>
      <c r="W225" s="10"/>
      <c r="X225" s="10"/>
      <c r="Y225" s="10"/>
      <c r="Z225" s="10"/>
      <c r="AA225" s="10"/>
    </row>
    <row r="226" spans="1:27" ht="12.5" x14ac:dyDescent="0.25">
      <c r="A226" s="10" t="s">
        <v>101</v>
      </c>
      <c r="B226" s="10" t="s">
        <v>504</v>
      </c>
      <c r="C226" s="10" t="s">
        <v>76</v>
      </c>
      <c r="D226" s="11">
        <v>2024</v>
      </c>
      <c r="E226" s="10" t="s">
        <v>124</v>
      </c>
      <c r="F226" s="10" t="s">
        <v>125</v>
      </c>
      <c r="G226" s="10" t="s">
        <v>84</v>
      </c>
      <c r="H226" s="11">
        <v>4703</v>
      </c>
      <c r="I226" s="11">
        <v>816</v>
      </c>
      <c r="J226" s="11">
        <v>1064</v>
      </c>
      <c r="K226" s="11">
        <v>1076</v>
      </c>
      <c r="L226" s="11">
        <v>0.17351857102353299</v>
      </c>
      <c r="M226" s="11">
        <f t="shared" si="0"/>
        <v>17.350627259196258</v>
      </c>
      <c r="N226" s="11">
        <v>1.3039215686274499</v>
      </c>
      <c r="O226" s="11">
        <v>0.228806351006521</v>
      </c>
      <c r="P226" s="11">
        <v>0.84712837837837796</v>
      </c>
      <c r="Q226" s="11">
        <v>0.78571428571428603</v>
      </c>
      <c r="R226" s="11">
        <v>0.77404921700223706</v>
      </c>
      <c r="S226" s="10" t="s">
        <v>84</v>
      </c>
      <c r="T226" s="10" t="s">
        <v>84</v>
      </c>
      <c r="U226" s="10"/>
      <c r="V226" s="10"/>
      <c r="W226" s="10"/>
      <c r="X226" s="10"/>
      <c r="Y226" s="10"/>
      <c r="Z226" s="10"/>
      <c r="AA226" s="10"/>
    </row>
    <row r="227" spans="1:27" ht="12.5" x14ac:dyDescent="0.25">
      <c r="A227" s="10" t="s">
        <v>36</v>
      </c>
      <c r="B227" s="10" t="s">
        <v>449</v>
      </c>
      <c r="C227" s="10" t="s">
        <v>76</v>
      </c>
      <c r="D227" s="11">
        <v>2024</v>
      </c>
      <c r="E227" s="10" t="s">
        <v>81</v>
      </c>
      <c r="F227" s="10" t="s">
        <v>83</v>
      </c>
      <c r="G227" s="10" t="s">
        <v>84</v>
      </c>
      <c r="H227" s="11">
        <v>139028</v>
      </c>
      <c r="I227" s="11">
        <v>24006</v>
      </c>
      <c r="J227" s="11">
        <v>22577</v>
      </c>
      <c r="K227" s="11">
        <v>118587</v>
      </c>
      <c r="L227" s="11">
        <v>0.17267046047134399</v>
      </c>
      <c r="M227" s="11">
        <f t="shared" si="0"/>
        <v>17.267025347412034</v>
      </c>
      <c r="N227" s="11">
        <v>0.94047321502957604</v>
      </c>
      <c r="O227" s="11">
        <v>0.85297308572504105</v>
      </c>
      <c r="P227" s="11">
        <v>0.84628378378378399</v>
      </c>
      <c r="Q227" s="11">
        <v>0.61702127659574502</v>
      </c>
      <c r="R227" s="11">
        <v>0.87596899224806202</v>
      </c>
      <c r="S227" s="10" t="s">
        <v>84</v>
      </c>
      <c r="T227" s="10" t="s">
        <v>84</v>
      </c>
      <c r="U227" s="10"/>
      <c r="V227" s="10"/>
      <c r="W227" s="10"/>
      <c r="X227" s="10"/>
      <c r="Y227" s="10"/>
      <c r="Z227" s="10"/>
      <c r="AA227" s="10"/>
    </row>
    <row r="228" spans="1:27" ht="12.5" x14ac:dyDescent="0.25">
      <c r="A228" s="10" t="s">
        <v>104</v>
      </c>
      <c r="B228" s="10" t="s">
        <v>506</v>
      </c>
      <c r="C228" s="10" t="s">
        <v>76</v>
      </c>
      <c r="D228" s="11">
        <v>2024</v>
      </c>
      <c r="E228" s="10" t="s">
        <v>124</v>
      </c>
      <c r="F228" s="10" t="s">
        <v>83</v>
      </c>
      <c r="G228" s="10" t="s">
        <v>84</v>
      </c>
      <c r="H228" s="11">
        <v>70803</v>
      </c>
      <c r="I228" s="11">
        <v>12224</v>
      </c>
      <c r="J228" s="11">
        <v>11855</v>
      </c>
      <c r="K228" s="11">
        <v>57548</v>
      </c>
      <c r="L228" s="11">
        <v>0.172647442031263</v>
      </c>
      <c r="M228" s="11">
        <f t="shared" si="0"/>
        <v>17.264805163623009</v>
      </c>
      <c r="N228" s="11">
        <v>0.96981348167539305</v>
      </c>
      <c r="O228" s="11">
        <v>0.81278754859416802</v>
      </c>
      <c r="P228" s="11">
        <v>0.84543918918918903</v>
      </c>
      <c r="Q228" s="11">
        <v>0.89655172413793105</v>
      </c>
      <c r="R228" s="11">
        <v>0.77181208053691297</v>
      </c>
      <c r="S228" s="10" t="s">
        <v>84</v>
      </c>
      <c r="T228" s="10" t="s">
        <v>84</v>
      </c>
      <c r="U228" s="10"/>
      <c r="V228" s="10"/>
      <c r="W228" s="10"/>
      <c r="X228" s="10"/>
      <c r="Y228" s="10"/>
      <c r="Z228" s="10"/>
      <c r="AA228" s="10"/>
    </row>
    <row r="229" spans="1:27" ht="12.5" x14ac:dyDescent="0.25">
      <c r="A229" s="10" t="s">
        <v>29</v>
      </c>
      <c r="B229" s="10" t="s">
        <v>508</v>
      </c>
      <c r="C229" s="10" t="s">
        <v>76</v>
      </c>
      <c r="D229" s="11">
        <v>2024</v>
      </c>
      <c r="E229" s="10" t="s">
        <v>124</v>
      </c>
      <c r="F229" s="10" t="s">
        <v>83</v>
      </c>
      <c r="G229" s="10" t="s">
        <v>84</v>
      </c>
      <c r="H229" s="11">
        <v>9311</v>
      </c>
      <c r="I229" s="11">
        <v>1603</v>
      </c>
      <c r="J229" s="11">
        <v>1402</v>
      </c>
      <c r="K229" s="11">
        <v>14078</v>
      </c>
      <c r="L229" s="11">
        <v>0.17216812258341699</v>
      </c>
      <c r="M229" s="11">
        <f t="shared" si="0"/>
        <v>17.216195897325743</v>
      </c>
      <c r="N229" s="11">
        <v>0.87461010605115397</v>
      </c>
      <c r="O229" s="11">
        <v>1.51202921380495</v>
      </c>
      <c r="P229" s="11">
        <v>0.84459459459459496</v>
      </c>
      <c r="Q229" s="11">
        <v>0.71428571428571397</v>
      </c>
      <c r="R229" s="11">
        <v>0.769574944071588</v>
      </c>
      <c r="S229" s="10" t="s">
        <v>84</v>
      </c>
      <c r="T229" s="10" t="s">
        <v>84</v>
      </c>
      <c r="U229" s="10"/>
      <c r="V229" s="10"/>
      <c r="W229" s="10"/>
      <c r="X229" s="10"/>
      <c r="Y229" s="10"/>
      <c r="Z229" s="10"/>
      <c r="AA229" s="10"/>
    </row>
    <row r="230" spans="1:27" ht="12.5" hidden="1" x14ac:dyDescent="0.25">
      <c r="A230" s="10" t="s">
        <v>36</v>
      </c>
      <c r="B230" s="10" t="s">
        <v>940</v>
      </c>
      <c r="C230" s="10" t="s">
        <v>191</v>
      </c>
      <c r="D230" s="11">
        <v>2024</v>
      </c>
      <c r="E230" s="10" t="s">
        <v>124</v>
      </c>
      <c r="F230" s="10" t="s">
        <v>125</v>
      </c>
      <c r="G230" s="10" t="s">
        <v>84</v>
      </c>
      <c r="H230" s="12">
        <v>785.83333333333303</v>
      </c>
      <c r="I230" s="11">
        <v>135</v>
      </c>
      <c r="J230" s="11">
        <v>52</v>
      </c>
      <c r="K230" s="11">
        <v>147</v>
      </c>
      <c r="L230" s="11">
        <v>0.171792152704136</v>
      </c>
      <c r="M230" s="11">
        <f t="shared" si="0"/>
        <v>17.179215270413582</v>
      </c>
      <c r="N230" s="11">
        <v>0.38518518518518502</v>
      </c>
      <c r="O230" s="11">
        <v>0.18706256627783699</v>
      </c>
      <c r="P230" s="11">
        <v>0.92156862745098</v>
      </c>
      <c r="Q230" s="11">
        <v>0.9</v>
      </c>
      <c r="R230" s="11">
        <v>0.88565891472868197</v>
      </c>
      <c r="S230" s="10" t="s">
        <v>84</v>
      </c>
      <c r="T230" s="10" t="s">
        <v>84</v>
      </c>
      <c r="U230" s="10"/>
      <c r="V230" s="10"/>
      <c r="W230" s="10"/>
      <c r="X230" s="10"/>
      <c r="Y230" s="10"/>
      <c r="Z230" s="10"/>
      <c r="AA230" s="10"/>
    </row>
    <row r="231" spans="1:27" ht="12.5" x14ac:dyDescent="0.25">
      <c r="A231" s="10" t="s">
        <v>36</v>
      </c>
      <c r="B231" s="10" t="s">
        <v>511</v>
      </c>
      <c r="C231" s="10" t="s">
        <v>76</v>
      </c>
      <c r="D231" s="11">
        <v>2024</v>
      </c>
      <c r="E231" s="10" t="s">
        <v>124</v>
      </c>
      <c r="F231" s="10" t="s">
        <v>83</v>
      </c>
      <c r="G231" s="10" t="s">
        <v>84</v>
      </c>
      <c r="H231" s="11">
        <v>4726</v>
      </c>
      <c r="I231" s="11">
        <v>809</v>
      </c>
      <c r="J231" s="11">
        <v>764</v>
      </c>
      <c r="K231" s="11">
        <v>10928</v>
      </c>
      <c r="L231" s="11">
        <v>0.171165611721353</v>
      </c>
      <c r="M231" s="11">
        <f t="shared" si="0"/>
        <v>17.118070249682606</v>
      </c>
      <c r="N231" s="11">
        <v>0.94437577255871397</v>
      </c>
      <c r="O231" s="11">
        <v>2.3121110072817701</v>
      </c>
      <c r="P231" s="11">
        <v>0.84375</v>
      </c>
      <c r="Q231" s="11">
        <v>0.59574468085106402</v>
      </c>
      <c r="R231" s="11">
        <v>0.76733780760626402</v>
      </c>
      <c r="S231" s="10" t="s">
        <v>84</v>
      </c>
      <c r="T231" s="10" t="s">
        <v>84</v>
      </c>
      <c r="U231" s="10"/>
      <c r="V231" s="10"/>
      <c r="W231" s="10"/>
      <c r="X231" s="10"/>
      <c r="Y231" s="10"/>
      <c r="Z231" s="10"/>
      <c r="AA231" s="10"/>
    </row>
    <row r="232" spans="1:27" ht="12.5" hidden="1" x14ac:dyDescent="0.25">
      <c r="A232" s="10" t="s">
        <v>29</v>
      </c>
      <c r="B232" s="10" t="s">
        <v>945</v>
      </c>
      <c r="C232" s="10" t="s">
        <v>191</v>
      </c>
      <c r="D232" s="11">
        <v>2024</v>
      </c>
      <c r="E232" s="10" t="s">
        <v>124</v>
      </c>
      <c r="F232" s="10" t="s">
        <v>125</v>
      </c>
      <c r="G232" s="10" t="s">
        <v>84</v>
      </c>
      <c r="H232" s="12">
        <v>2932</v>
      </c>
      <c r="I232" s="11">
        <v>501</v>
      </c>
      <c r="J232" s="11">
        <v>427</v>
      </c>
      <c r="K232" s="11">
        <v>1200</v>
      </c>
      <c r="L232" s="11">
        <v>0.170863411584153</v>
      </c>
      <c r="M232" s="11">
        <f t="shared" si="0"/>
        <v>17.087312414733972</v>
      </c>
      <c r="N232" s="11">
        <v>0.85229540918163704</v>
      </c>
      <c r="O232" s="11">
        <v>0.40925368044108501</v>
      </c>
      <c r="P232" s="11">
        <v>0.92034313725490202</v>
      </c>
      <c r="Q232" s="11">
        <v>0.85915492957746498</v>
      </c>
      <c r="R232" s="11">
        <v>0.88372093023255804</v>
      </c>
      <c r="S232" s="10" t="s">
        <v>84</v>
      </c>
      <c r="T232" s="10" t="s">
        <v>84</v>
      </c>
      <c r="U232" s="10"/>
      <c r="V232" s="10"/>
      <c r="W232" s="10"/>
      <c r="X232" s="10"/>
      <c r="Y232" s="10"/>
      <c r="Z232" s="10"/>
      <c r="AA232" s="10"/>
    </row>
    <row r="233" spans="1:27" ht="12.5" x14ac:dyDescent="0.25">
      <c r="A233" s="10" t="s">
        <v>86</v>
      </c>
      <c r="B233" s="10" t="s">
        <v>513</v>
      </c>
      <c r="C233" s="10" t="s">
        <v>76</v>
      </c>
      <c r="D233" s="11">
        <v>2024</v>
      </c>
      <c r="E233" s="10" t="s">
        <v>124</v>
      </c>
      <c r="F233" s="10" t="s">
        <v>83</v>
      </c>
      <c r="G233" s="10" t="s">
        <v>84</v>
      </c>
      <c r="H233" s="11">
        <v>29840</v>
      </c>
      <c r="I233" s="11">
        <v>5098</v>
      </c>
      <c r="J233" s="11">
        <v>5284</v>
      </c>
      <c r="K233" s="11">
        <v>26004</v>
      </c>
      <c r="L233" s="11">
        <v>0.17084641249343699</v>
      </c>
      <c r="M233" s="11">
        <f t="shared" si="0"/>
        <v>17.084450402144771</v>
      </c>
      <c r="N233" s="11">
        <v>1.03648489603766</v>
      </c>
      <c r="O233" s="11">
        <v>0.87145745595906998</v>
      </c>
      <c r="P233" s="11">
        <v>0.84290540540540504</v>
      </c>
      <c r="Q233" s="11">
        <v>0.60869565217391297</v>
      </c>
      <c r="R233" s="11">
        <v>0.76510067114094005</v>
      </c>
      <c r="S233" s="10" t="s">
        <v>84</v>
      </c>
      <c r="T233" s="10" t="s">
        <v>84</v>
      </c>
      <c r="U233" s="10"/>
      <c r="V233" s="10"/>
      <c r="W233" s="10"/>
      <c r="X233" s="10"/>
      <c r="Y233" s="10"/>
      <c r="Z233" s="10"/>
      <c r="AA233" s="10"/>
    </row>
    <row r="234" spans="1:27" ht="12.5" x14ac:dyDescent="0.25">
      <c r="A234" s="10" t="s">
        <v>118</v>
      </c>
      <c r="B234" s="10" t="s">
        <v>516</v>
      </c>
      <c r="C234" s="10" t="s">
        <v>76</v>
      </c>
      <c r="D234" s="11">
        <v>2024</v>
      </c>
      <c r="E234" s="10" t="s">
        <v>124</v>
      </c>
      <c r="F234" s="10" t="s">
        <v>83</v>
      </c>
      <c r="G234" s="10" t="s">
        <v>84</v>
      </c>
      <c r="H234" s="11">
        <v>19455</v>
      </c>
      <c r="I234" s="11">
        <v>3314</v>
      </c>
      <c r="J234" s="11">
        <v>3045</v>
      </c>
      <c r="K234" s="11">
        <v>29599</v>
      </c>
      <c r="L234" s="11">
        <v>0.17034181444358801</v>
      </c>
      <c r="M234" s="11">
        <f t="shared" si="0"/>
        <v>17.034181444358776</v>
      </c>
      <c r="N234" s="11">
        <v>0.918829209414605</v>
      </c>
      <c r="O234" s="11">
        <v>1.5214083783089201</v>
      </c>
      <c r="P234" s="11">
        <v>0.84206081081081097</v>
      </c>
      <c r="Q234" s="11">
        <v>1</v>
      </c>
      <c r="R234" s="11">
        <v>0.76286353467561496</v>
      </c>
      <c r="S234" s="10" t="s">
        <v>84</v>
      </c>
      <c r="T234" s="10" t="s">
        <v>84</v>
      </c>
      <c r="U234" s="10"/>
      <c r="V234" s="10"/>
      <c r="W234" s="10"/>
      <c r="X234" s="10"/>
      <c r="Y234" s="10"/>
      <c r="Z234" s="10"/>
      <c r="AA234" s="10"/>
    </row>
    <row r="235" spans="1:27" ht="12.5" x14ac:dyDescent="0.25">
      <c r="A235" s="10" t="s">
        <v>29</v>
      </c>
      <c r="B235" s="10" t="s">
        <v>518</v>
      </c>
      <c r="C235" s="10" t="s">
        <v>76</v>
      </c>
      <c r="D235" s="11">
        <v>2024</v>
      </c>
      <c r="E235" s="10" t="s">
        <v>124</v>
      </c>
      <c r="F235" s="10" t="s">
        <v>83</v>
      </c>
      <c r="G235" s="10" t="s">
        <v>84</v>
      </c>
      <c r="H235" s="11">
        <v>21689</v>
      </c>
      <c r="I235" s="11">
        <v>3670</v>
      </c>
      <c r="J235" s="11">
        <v>3509</v>
      </c>
      <c r="K235" s="11">
        <v>7284</v>
      </c>
      <c r="L235" s="11">
        <v>0.169214099638057</v>
      </c>
      <c r="M235" s="11">
        <f t="shared" si="0"/>
        <v>16.921019871824427</v>
      </c>
      <c r="N235" s="11">
        <v>0.95613079019073599</v>
      </c>
      <c r="O235" s="11">
        <v>0.33584618576665098</v>
      </c>
      <c r="P235" s="11">
        <v>0.84121621621621601</v>
      </c>
      <c r="Q235" s="11">
        <v>0.69387755102040805</v>
      </c>
      <c r="R235" s="11">
        <v>0.76062639821029099</v>
      </c>
      <c r="S235" s="10" t="s">
        <v>84</v>
      </c>
      <c r="T235" s="10" t="s">
        <v>84</v>
      </c>
      <c r="U235" s="10"/>
      <c r="V235" s="10"/>
      <c r="W235" s="10"/>
      <c r="X235" s="10"/>
      <c r="Y235" s="10"/>
      <c r="Z235" s="10"/>
      <c r="AA235" s="10"/>
    </row>
    <row r="236" spans="1:27" ht="12.5" hidden="1" x14ac:dyDescent="0.25">
      <c r="A236" s="10" t="s">
        <v>12</v>
      </c>
      <c r="B236" s="10" t="s">
        <v>955</v>
      </c>
      <c r="C236" s="10" t="s">
        <v>191</v>
      </c>
      <c r="D236" s="11">
        <v>2024</v>
      </c>
      <c r="E236" s="10" t="s">
        <v>124</v>
      </c>
      <c r="F236" s="10" t="s">
        <v>125</v>
      </c>
      <c r="G236" s="10" t="s">
        <v>84</v>
      </c>
      <c r="H236" s="12">
        <v>213.5</v>
      </c>
      <c r="I236" s="11">
        <v>36</v>
      </c>
      <c r="J236" s="11">
        <v>34</v>
      </c>
      <c r="K236" s="11">
        <v>306</v>
      </c>
      <c r="L236" s="11">
        <v>0.16861826697892299</v>
      </c>
      <c r="M236" s="11">
        <f t="shared" si="0"/>
        <v>16.861826697892273</v>
      </c>
      <c r="N236" s="11">
        <v>0.94444444444444398</v>
      </c>
      <c r="O236" s="11">
        <v>1.43325526932084</v>
      </c>
      <c r="P236" s="11">
        <v>0.91911764705882304</v>
      </c>
      <c r="Q236" s="11">
        <v>0.90476190476190499</v>
      </c>
      <c r="R236" s="11">
        <v>0.88178294573643401</v>
      </c>
      <c r="S236" s="10" t="s">
        <v>84</v>
      </c>
      <c r="T236" s="10" t="s">
        <v>84</v>
      </c>
      <c r="U236" s="10"/>
      <c r="V236" s="10"/>
      <c r="W236" s="10"/>
      <c r="X236" s="10"/>
      <c r="Y236" s="10"/>
      <c r="Z236" s="10"/>
      <c r="AA236" s="10"/>
    </row>
    <row r="237" spans="1:27" ht="12.5" x14ac:dyDescent="0.25">
      <c r="A237" s="10" t="s">
        <v>19</v>
      </c>
      <c r="B237" s="10" t="s">
        <v>519</v>
      </c>
      <c r="C237" s="10" t="s">
        <v>76</v>
      </c>
      <c r="D237" s="11">
        <v>2024</v>
      </c>
      <c r="E237" s="10" t="s">
        <v>124</v>
      </c>
      <c r="F237" s="10" t="s">
        <v>83</v>
      </c>
      <c r="G237" s="10" t="s">
        <v>84</v>
      </c>
      <c r="H237" s="11">
        <v>12521</v>
      </c>
      <c r="I237" s="11">
        <v>2109</v>
      </c>
      <c r="J237" s="11">
        <v>3842</v>
      </c>
      <c r="K237" s="11">
        <v>25411</v>
      </c>
      <c r="L237" s="11">
        <v>0.16844151003673899</v>
      </c>
      <c r="M237" s="11">
        <f t="shared" si="0"/>
        <v>16.843702579666161</v>
      </c>
      <c r="N237" s="11">
        <v>1.8217164532954</v>
      </c>
      <c r="O237" s="11">
        <v>2.0295245194611602</v>
      </c>
      <c r="P237" s="11">
        <v>0.84037162162162204</v>
      </c>
      <c r="Q237" s="11">
        <v>0.77777777777777801</v>
      </c>
      <c r="R237" s="11">
        <v>0.75838926174496601</v>
      </c>
      <c r="S237" s="10" t="s">
        <v>84</v>
      </c>
      <c r="T237" s="10" t="s">
        <v>84</v>
      </c>
      <c r="U237" s="10"/>
      <c r="V237" s="10"/>
      <c r="W237" s="10"/>
      <c r="X237" s="10"/>
      <c r="Y237" s="10"/>
      <c r="Z237" s="10"/>
      <c r="AA237" s="10"/>
    </row>
    <row r="238" spans="1:27" ht="12.5" hidden="1" x14ac:dyDescent="0.25">
      <c r="A238" s="10" t="s">
        <v>29</v>
      </c>
      <c r="B238" s="10" t="s">
        <v>960</v>
      </c>
      <c r="C238" s="10" t="s">
        <v>191</v>
      </c>
      <c r="D238" s="11">
        <v>2024</v>
      </c>
      <c r="E238" s="10" t="s">
        <v>124</v>
      </c>
      <c r="F238" s="10" t="s">
        <v>125</v>
      </c>
      <c r="G238" s="10" t="s">
        <v>84</v>
      </c>
      <c r="H238" s="12">
        <v>4492</v>
      </c>
      <c r="I238" s="11">
        <v>755</v>
      </c>
      <c r="J238" s="11">
        <v>578</v>
      </c>
      <c r="K238" s="11">
        <v>13828</v>
      </c>
      <c r="L238" s="11">
        <v>0.168092172396519</v>
      </c>
      <c r="M238" s="11">
        <f t="shared" si="0"/>
        <v>16.80765805877115</v>
      </c>
      <c r="N238" s="11">
        <v>0.76556291390728504</v>
      </c>
      <c r="O238" s="11">
        <v>3.07864709920407</v>
      </c>
      <c r="P238" s="11">
        <v>0.91789215686274495</v>
      </c>
      <c r="Q238" s="11">
        <v>0.84507042253521103</v>
      </c>
      <c r="R238" s="11">
        <v>0.87984496124030998</v>
      </c>
      <c r="S238" s="10" t="s">
        <v>84</v>
      </c>
      <c r="T238" s="10" t="s">
        <v>84</v>
      </c>
      <c r="U238" s="10"/>
      <c r="V238" s="10"/>
      <c r="W238" s="10"/>
      <c r="X238" s="10"/>
      <c r="Y238" s="10"/>
      <c r="Z238" s="10"/>
      <c r="AA238" s="10"/>
    </row>
    <row r="239" spans="1:27" ht="12.5" x14ac:dyDescent="0.25">
      <c r="A239" s="10" t="s">
        <v>42</v>
      </c>
      <c r="B239" s="10" t="s">
        <v>451</v>
      </c>
      <c r="C239" s="10" t="s">
        <v>76</v>
      </c>
      <c r="D239" s="11">
        <v>2024</v>
      </c>
      <c r="E239" s="10" t="s">
        <v>81</v>
      </c>
      <c r="F239" s="10" t="s">
        <v>83</v>
      </c>
      <c r="G239" s="10" t="s">
        <v>84</v>
      </c>
      <c r="H239" s="11">
        <v>27948</v>
      </c>
      <c r="I239" s="11">
        <v>4674</v>
      </c>
      <c r="J239" s="11">
        <v>4522</v>
      </c>
      <c r="K239" s="11">
        <v>18466</v>
      </c>
      <c r="L239" s="11">
        <v>0.16723766246544999</v>
      </c>
      <c r="M239" s="11">
        <f t="shared" si="0"/>
        <v>16.723915843709747</v>
      </c>
      <c r="N239" s="11">
        <v>0.96747967479674801</v>
      </c>
      <c r="O239" s="11">
        <v>0.66072115427620703</v>
      </c>
      <c r="P239" s="11">
        <v>0.83952702702702697</v>
      </c>
      <c r="Q239" s="11">
        <v>0.85714285714285698</v>
      </c>
      <c r="R239" s="11">
        <v>0.87403100775193798</v>
      </c>
      <c r="S239" s="10" t="s">
        <v>84</v>
      </c>
      <c r="T239" s="10" t="s">
        <v>84</v>
      </c>
      <c r="U239" s="10"/>
      <c r="V239" s="10"/>
      <c r="W239" s="10"/>
      <c r="X239" s="10"/>
      <c r="Y239" s="10"/>
      <c r="Z239" s="10"/>
      <c r="AA239" s="10"/>
    </row>
    <row r="240" spans="1:27" ht="12.5" x14ac:dyDescent="0.25">
      <c r="A240" s="10" t="s">
        <v>36</v>
      </c>
      <c r="B240" s="10" t="s">
        <v>454</v>
      </c>
      <c r="C240" s="10" t="s">
        <v>76</v>
      </c>
      <c r="D240" s="11">
        <v>2024</v>
      </c>
      <c r="E240" s="10" t="s">
        <v>81</v>
      </c>
      <c r="F240" s="10" t="s">
        <v>83</v>
      </c>
      <c r="G240" s="10" t="s">
        <v>84</v>
      </c>
      <c r="H240" s="11">
        <v>20119</v>
      </c>
      <c r="I240" s="11">
        <v>3362</v>
      </c>
      <c r="J240" s="11">
        <v>3744</v>
      </c>
      <c r="K240" s="11">
        <v>71202</v>
      </c>
      <c r="L240" s="11">
        <v>0.16710364451955201</v>
      </c>
      <c r="M240" s="11">
        <f t="shared" si="0"/>
        <v>16.710572096028631</v>
      </c>
      <c r="N240" s="11">
        <v>1.11362284354551</v>
      </c>
      <c r="O240" s="11">
        <v>3.5389987201312199</v>
      </c>
      <c r="P240" s="11">
        <v>0.83868243243243201</v>
      </c>
      <c r="Q240" s="11">
        <v>0.57446808510638303</v>
      </c>
      <c r="R240" s="11">
        <v>0.87209302325581395</v>
      </c>
      <c r="S240" s="10" t="s">
        <v>84</v>
      </c>
      <c r="T240" s="10" t="s">
        <v>84</v>
      </c>
      <c r="U240" s="10"/>
      <c r="V240" s="10"/>
      <c r="W240" s="10"/>
      <c r="X240" s="10"/>
      <c r="Y240" s="10"/>
      <c r="Z240" s="10"/>
      <c r="AA240" s="10"/>
    </row>
    <row r="241" spans="1:27" ht="12.5" hidden="1" x14ac:dyDescent="0.25">
      <c r="A241" s="10" t="s">
        <v>12</v>
      </c>
      <c r="B241" s="10" t="s">
        <v>967</v>
      </c>
      <c r="C241" s="10" t="s">
        <v>191</v>
      </c>
      <c r="D241" s="11">
        <v>2024</v>
      </c>
      <c r="E241" s="10" t="s">
        <v>124</v>
      </c>
      <c r="F241" s="10" t="s">
        <v>125</v>
      </c>
      <c r="G241" s="10" t="s">
        <v>84</v>
      </c>
      <c r="H241" s="12">
        <v>670.16666666666697</v>
      </c>
      <c r="I241" s="11">
        <v>111</v>
      </c>
      <c r="J241" s="11">
        <v>84</v>
      </c>
      <c r="K241" s="11">
        <v>123</v>
      </c>
      <c r="L241" s="11">
        <v>0.16563044018900799</v>
      </c>
      <c r="M241" s="11">
        <f t="shared" si="0"/>
        <v>16.563044018900762</v>
      </c>
      <c r="N241" s="11">
        <v>0.75675675675675702</v>
      </c>
      <c r="O241" s="11">
        <v>0.183536433722955</v>
      </c>
      <c r="P241" s="11">
        <v>0.91666666666666696</v>
      </c>
      <c r="Q241" s="11">
        <v>0.88888888888888895</v>
      </c>
      <c r="R241" s="11">
        <v>0.87790697674418605</v>
      </c>
      <c r="S241" s="10" t="s">
        <v>84</v>
      </c>
      <c r="T241" s="10" t="s">
        <v>84</v>
      </c>
      <c r="U241" s="10"/>
      <c r="V241" s="10"/>
      <c r="W241" s="10"/>
      <c r="X241" s="10"/>
      <c r="Y241" s="10"/>
      <c r="Z241" s="10"/>
      <c r="AA241" s="10"/>
    </row>
    <row r="242" spans="1:27" ht="12.5" x14ac:dyDescent="0.25">
      <c r="A242" s="10" t="s">
        <v>16</v>
      </c>
      <c r="B242" s="10" t="s">
        <v>521</v>
      </c>
      <c r="C242" s="10" t="s">
        <v>76</v>
      </c>
      <c r="D242" s="11">
        <v>2024</v>
      </c>
      <c r="E242" s="10" t="s">
        <v>124</v>
      </c>
      <c r="F242" s="10" t="s">
        <v>125</v>
      </c>
      <c r="G242" s="10" t="s">
        <v>84</v>
      </c>
      <c r="H242" s="11">
        <v>1068</v>
      </c>
      <c r="I242" s="11">
        <v>175</v>
      </c>
      <c r="J242" s="11">
        <v>99</v>
      </c>
      <c r="K242" s="11">
        <v>0</v>
      </c>
      <c r="L242" s="11">
        <v>0.16393442622950799</v>
      </c>
      <c r="M242" s="11">
        <f t="shared" si="0"/>
        <v>16.385767790262172</v>
      </c>
      <c r="N242" s="11">
        <v>0.56571428571428595</v>
      </c>
      <c r="O242" s="11">
        <v>0</v>
      </c>
      <c r="P242" s="11">
        <v>0.83783783783783805</v>
      </c>
      <c r="Q242" s="11">
        <v>0.53333333333333299</v>
      </c>
      <c r="R242" s="11">
        <v>0.75615212527964204</v>
      </c>
      <c r="S242" s="10" t="s">
        <v>84</v>
      </c>
      <c r="T242" s="10" t="s">
        <v>84</v>
      </c>
      <c r="U242" s="10"/>
      <c r="V242" s="10"/>
      <c r="W242" s="10"/>
      <c r="X242" s="10"/>
      <c r="Y242" s="10"/>
      <c r="Z242" s="10"/>
      <c r="AA242" s="10"/>
    </row>
    <row r="243" spans="1:27" ht="12.5" x14ac:dyDescent="0.25">
      <c r="A243" s="10" t="s">
        <v>26</v>
      </c>
      <c r="B243" s="10" t="s">
        <v>456</v>
      </c>
      <c r="C243" s="10" t="s">
        <v>76</v>
      </c>
      <c r="D243" s="11">
        <v>2024</v>
      </c>
      <c r="E243" s="10" t="s">
        <v>81</v>
      </c>
      <c r="F243" s="10" t="s">
        <v>83</v>
      </c>
      <c r="G243" s="10" t="s">
        <v>84</v>
      </c>
      <c r="H243" s="11">
        <v>10559</v>
      </c>
      <c r="I243" s="11">
        <v>1724</v>
      </c>
      <c r="J243" s="11">
        <v>1518</v>
      </c>
      <c r="K243" s="11">
        <v>2380</v>
      </c>
      <c r="L243" s="11">
        <v>0.16327303721943401</v>
      </c>
      <c r="M243" s="11">
        <f t="shared" si="0"/>
        <v>16.327303721943366</v>
      </c>
      <c r="N243" s="11">
        <v>0.88051044083526697</v>
      </c>
      <c r="O243" s="11">
        <v>0.22540013258831301</v>
      </c>
      <c r="P243" s="11">
        <v>0.83699324324324298</v>
      </c>
      <c r="Q243" s="11">
        <v>0.65384615384615397</v>
      </c>
      <c r="R243" s="11">
        <v>0.87015503875969002</v>
      </c>
      <c r="S243" s="10" t="s">
        <v>84</v>
      </c>
      <c r="T243" s="10" t="s">
        <v>84</v>
      </c>
      <c r="U243" s="10"/>
      <c r="V243" s="10"/>
      <c r="W243" s="10"/>
      <c r="X243" s="10"/>
      <c r="Y243" s="10"/>
      <c r="Z243" s="10"/>
      <c r="AA243" s="10"/>
    </row>
    <row r="244" spans="1:27" ht="12.5" x14ac:dyDescent="0.25">
      <c r="A244" s="10" t="s">
        <v>29</v>
      </c>
      <c r="B244" s="10" t="s">
        <v>523</v>
      </c>
      <c r="C244" s="10" t="s">
        <v>76</v>
      </c>
      <c r="D244" s="11">
        <v>2024</v>
      </c>
      <c r="E244" s="10" t="s">
        <v>124</v>
      </c>
      <c r="F244" s="10" t="s">
        <v>83</v>
      </c>
      <c r="G244" s="10" t="s">
        <v>84</v>
      </c>
      <c r="H244" s="11">
        <v>16424</v>
      </c>
      <c r="I244" s="11">
        <v>2665</v>
      </c>
      <c r="J244" s="11">
        <v>2500</v>
      </c>
      <c r="K244" s="11">
        <v>46941</v>
      </c>
      <c r="L244" s="11">
        <v>0.16226089603734301</v>
      </c>
      <c r="M244" s="11">
        <f t="shared" si="0"/>
        <v>16.226254262055527</v>
      </c>
      <c r="N244" s="11">
        <v>0.93808630393996295</v>
      </c>
      <c r="O244" s="11">
        <v>2.8580445481759602</v>
      </c>
      <c r="P244" s="11">
        <v>0.83614864864864902</v>
      </c>
      <c r="Q244" s="11">
        <v>0.67346938775510201</v>
      </c>
      <c r="R244" s="11">
        <v>0.75391498881431795</v>
      </c>
      <c r="S244" s="10" t="s">
        <v>84</v>
      </c>
      <c r="T244" s="10" t="s">
        <v>84</v>
      </c>
      <c r="U244" s="10"/>
      <c r="V244" s="10"/>
      <c r="W244" s="10"/>
      <c r="X244" s="10"/>
      <c r="Y244" s="10"/>
      <c r="Z244" s="10"/>
      <c r="AA244" s="10"/>
    </row>
    <row r="245" spans="1:27" ht="12.5" hidden="1" x14ac:dyDescent="0.25">
      <c r="A245" s="10" t="s">
        <v>29</v>
      </c>
      <c r="B245" s="10" t="s">
        <v>975</v>
      </c>
      <c r="C245" s="10" t="s">
        <v>191</v>
      </c>
      <c r="D245" s="11">
        <v>2024</v>
      </c>
      <c r="E245" s="10" t="s">
        <v>124</v>
      </c>
      <c r="F245" s="10" t="s">
        <v>125</v>
      </c>
      <c r="G245" s="10" t="s">
        <v>84</v>
      </c>
      <c r="H245" s="12">
        <v>6825</v>
      </c>
      <c r="I245" s="11">
        <v>1105</v>
      </c>
      <c r="J245" s="11">
        <v>859</v>
      </c>
      <c r="K245" s="11">
        <v>1547</v>
      </c>
      <c r="L245" s="11">
        <v>0.161904761904762</v>
      </c>
      <c r="M245" s="11">
        <f t="shared" si="0"/>
        <v>16.19047619047619</v>
      </c>
      <c r="N245" s="11">
        <v>0.77737556561085996</v>
      </c>
      <c r="O245" s="11">
        <v>0.22666666666666699</v>
      </c>
      <c r="P245" s="11">
        <v>0.91421568627451</v>
      </c>
      <c r="Q245" s="11">
        <v>0.83098591549295797</v>
      </c>
      <c r="R245" s="11">
        <v>0.87403100775193798</v>
      </c>
      <c r="S245" s="10" t="s">
        <v>84</v>
      </c>
      <c r="T245" s="10" t="s">
        <v>84</v>
      </c>
      <c r="U245" s="10"/>
      <c r="V245" s="10"/>
      <c r="W245" s="10"/>
      <c r="X245" s="10"/>
      <c r="Y245" s="10"/>
      <c r="Z245" s="10"/>
      <c r="AA245" s="10"/>
    </row>
    <row r="246" spans="1:27" ht="12.5" hidden="1" x14ac:dyDescent="0.25">
      <c r="A246" s="10" t="s">
        <v>36</v>
      </c>
      <c r="B246" s="10" t="s">
        <v>980</v>
      </c>
      <c r="C246" s="10" t="s">
        <v>191</v>
      </c>
      <c r="D246" s="11">
        <v>2024</v>
      </c>
      <c r="E246" s="10" t="s">
        <v>124</v>
      </c>
      <c r="F246" s="10" t="s">
        <v>125</v>
      </c>
      <c r="G246" s="10" t="s">
        <v>84</v>
      </c>
      <c r="H246" s="12">
        <v>1050</v>
      </c>
      <c r="I246" s="11">
        <v>170</v>
      </c>
      <c r="J246" s="11">
        <v>150</v>
      </c>
      <c r="K246" s="11">
        <v>243</v>
      </c>
      <c r="L246" s="11">
        <v>0.161904761904762</v>
      </c>
      <c r="M246" s="11">
        <f t="shared" si="0"/>
        <v>16.19047619047619</v>
      </c>
      <c r="N246" s="11">
        <v>0.88235294117647001</v>
      </c>
      <c r="O246" s="11">
        <v>0.23142857142857101</v>
      </c>
      <c r="P246" s="11">
        <v>0.91421568627451</v>
      </c>
      <c r="Q246" s="11">
        <v>0.875</v>
      </c>
      <c r="R246" s="11">
        <v>0.87403100775193798</v>
      </c>
      <c r="S246" s="10" t="s">
        <v>84</v>
      </c>
      <c r="T246" s="10" t="s">
        <v>84</v>
      </c>
      <c r="U246" s="10"/>
      <c r="V246" s="10"/>
      <c r="W246" s="10"/>
      <c r="X246" s="10"/>
      <c r="Y246" s="10"/>
      <c r="Z246" s="10"/>
      <c r="AA246" s="10"/>
    </row>
    <row r="247" spans="1:27" ht="12.5" x14ac:dyDescent="0.25">
      <c r="A247" s="10" t="s">
        <v>58</v>
      </c>
      <c r="B247" s="10" t="s">
        <v>525</v>
      </c>
      <c r="C247" s="10" t="s">
        <v>76</v>
      </c>
      <c r="D247" s="11">
        <v>2024</v>
      </c>
      <c r="E247" s="10" t="s">
        <v>124</v>
      </c>
      <c r="F247" s="10" t="s">
        <v>83</v>
      </c>
      <c r="G247" s="10" t="s">
        <v>84</v>
      </c>
      <c r="H247" s="11">
        <v>4544</v>
      </c>
      <c r="I247" s="11">
        <v>734</v>
      </c>
      <c r="J247" s="11">
        <v>651</v>
      </c>
      <c r="K247" s="11">
        <v>12185</v>
      </c>
      <c r="L247" s="11">
        <v>0.161519841560918</v>
      </c>
      <c r="M247" s="11">
        <f t="shared" si="0"/>
        <v>16.153169014084508</v>
      </c>
      <c r="N247" s="11">
        <v>0.88692098092643101</v>
      </c>
      <c r="O247" s="11">
        <v>2.68136140247928</v>
      </c>
      <c r="P247" s="11">
        <v>0.83530405405405395</v>
      </c>
      <c r="Q247" s="11">
        <v>0.91891891891891897</v>
      </c>
      <c r="R247" s="11">
        <v>0.75167785234899298</v>
      </c>
      <c r="S247" s="10" t="s">
        <v>84</v>
      </c>
      <c r="T247" s="10" t="s">
        <v>84</v>
      </c>
      <c r="U247" s="10"/>
      <c r="V247" s="10"/>
      <c r="W247" s="10"/>
      <c r="X247" s="10"/>
      <c r="Y247" s="10"/>
      <c r="Z247" s="10"/>
      <c r="AA247" s="10"/>
    </row>
    <row r="248" spans="1:27" ht="12.5" hidden="1" x14ac:dyDescent="0.25">
      <c r="A248" s="10" t="s">
        <v>101</v>
      </c>
      <c r="B248" s="10" t="s">
        <v>985</v>
      </c>
      <c r="C248" s="10" t="s">
        <v>191</v>
      </c>
      <c r="D248" s="11">
        <v>2024</v>
      </c>
      <c r="E248" s="10" t="s">
        <v>124</v>
      </c>
      <c r="F248" s="10" t="s">
        <v>125</v>
      </c>
      <c r="G248" s="10" t="s">
        <v>84</v>
      </c>
      <c r="H248" s="12">
        <v>3194</v>
      </c>
      <c r="I248" s="11">
        <v>515</v>
      </c>
      <c r="J248" s="11">
        <v>688</v>
      </c>
      <c r="K248" s="11">
        <v>700</v>
      </c>
      <c r="L248" s="11">
        <v>0.16126506967277299</v>
      </c>
      <c r="M248" s="11">
        <f t="shared" si="0"/>
        <v>16.12398246712586</v>
      </c>
      <c r="N248" s="11">
        <v>1.3359223300970899</v>
      </c>
      <c r="O248" s="11">
        <v>0.219195240331924</v>
      </c>
      <c r="P248" s="11">
        <v>0.91299019607843102</v>
      </c>
      <c r="Q248" s="11">
        <v>1</v>
      </c>
      <c r="R248" s="11">
        <v>0.87209302325581395</v>
      </c>
      <c r="S248" s="10" t="s">
        <v>84</v>
      </c>
      <c r="T248" s="10" t="s">
        <v>84</v>
      </c>
      <c r="U248" s="10"/>
      <c r="V248" s="10"/>
      <c r="W248" s="10"/>
      <c r="X248" s="10"/>
      <c r="Y248" s="10"/>
      <c r="Z248" s="10"/>
      <c r="AA248" s="10"/>
    </row>
    <row r="249" spans="1:27" ht="12.5" x14ac:dyDescent="0.25">
      <c r="A249" s="10" t="s">
        <v>110</v>
      </c>
      <c r="B249" s="10" t="s">
        <v>838</v>
      </c>
      <c r="C249" s="10" t="s">
        <v>76</v>
      </c>
      <c r="D249" s="11">
        <v>2024</v>
      </c>
      <c r="E249" s="10" t="s">
        <v>257</v>
      </c>
      <c r="F249" s="10" t="s">
        <v>83</v>
      </c>
      <c r="G249" s="10" t="s">
        <v>84</v>
      </c>
      <c r="H249" s="11">
        <v>48267</v>
      </c>
      <c r="I249" s="11">
        <v>7774</v>
      </c>
      <c r="J249" s="11">
        <v>7722</v>
      </c>
      <c r="K249" s="11">
        <v>17245</v>
      </c>
      <c r="L249" s="11">
        <v>0.161062145527059</v>
      </c>
      <c r="M249" s="11">
        <f t="shared" si="0"/>
        <v>16.106242360204696</v>
      </c>
      <c r="N249" s="11">
        <v>0.993311036789298</v>
      </c>
      <c r="O249" s="11">
        <v>0.35728282732365901</v>
      </c>
      <c r="P249" s="11">
        <v>0.83445945945945899</v>
      </c>
      <c r="Q249" s="11">
        <v>0.90909090909090895</v>
      </c>
      <c r="R249" s="11">
        <v>0.93181818181818199</v>
      </c>
      <c r="S249" s="10" t="s">
        <v>84</v>
      </c>
      <c r="T249" s="10" t="s">
        <v>84</v>
      </c>
      <c r="U249" s="10"/>
      <c r="V249" s="10"/>
      <c r="W249" s="10"/>
      <c r="X249" s="10"/>
      <c r="Y249" s="10"/>
      <c r="Z249" s="10"/>
      <c r="AA249" s="10"/>
    </row>
    <row r="250" spans="1:27" ht="12.5" hidden="1" x14ac:dyDescent="0.25">
      <c r="A250" s="10" t="s">
        <v>12</v>
      </c>
      <c r="B250" s="10" t="s">
        <v>989</v>
      </c>
      <c r="C250" s="10" t="s">
        <v>191</v>
      </c>
      <c r="D250" s="11">
        <v>2024</v>
      </c>
      <c r="E250" s="10" t="s">
        <v>124</v>
      </c>
      <c r="F250" s="10" t="s">
        <v>125</v>
      </c>
      <c r="G250" s="10" t="s">
        <v>84</v>
      </c>
      <c r="H250" s="12">
        <v>223.75</v>
      </c>
      <c r="I250" s="11">
        <v>36</v>
      </c>
      <c r="J250" s="11">
        <v>16</v>
      </c>
      <c r="K250" s="11">
        <v>48</v>
      </c>
      <c r="L250" s="11">
        <v>0.16089385474860299</v>
      </c>
      <c r="M250" s="11">
        <f t="shared" si="0"/>
        <v>16.089385474860336</v>
      </c>
      <c r="N250" s="11">
        <v>0.44444444444444398</v>
      </c>
      <c r="O250" s="11">
        <v>0.21452513966480399</v>
      </c>
      <c r="P250" s="11">
        <v>0.91176470588235303</v>
      </c>
      <c r="Q250" s="11">
        <v>0.87301587301587302</v>
      </c>
      <c r="R250" s="11">
        <v>0.87015503875969002</v>
      </c>
      <c r="S250" s="10" t="s">
        <v>84</v>
      </c>
      <c r="T250" s="10" t="s">
        <v>84</v>
      </c>
      <c r="U250" s="10"/>
      <c r="V250" s="10"/>
      <c r="W250" s="10"/>
      <c r="X250" s="10"/>
      <c r="Y250" s="10"/>
      <c r="Z250" s="10"/>
      <c r="AA250" s="10"/>
    </row>
    <row r="251" spans="1:27" ht="12.5" hidden="1" x14ac:dyDescent="0.25">
      <c r="A251" s="10" t="s">
        <v>13</v>
      </c>
      <c r="B251" s="10" t="s">
        <v>994</v>
      </c>
      <c r="C251" s="10" t="s">
        <v>191</v>
      </c>
      <c r="D251" s="11">
        <v>2024</v>
      </c>
      <c r="E251" s="10" t="s">
        <v>124</v>
      </c>
      <c r="F251" s="10" t="s">
        <v>125</v>
      </c>
      <c r="G251" s="10" t="s">
        <v>84</v>
      </c>
      <c r="H251" s="12">
        <v>431.25</v>
      </c>
      <c r="I251" s="11">
        <v>69</v>
      </c>
      <c r="J251" s="11">
        <v>69</v>
      </c>
      <c r="K251" s="11">
        <v>81</v>
      </c>
      <c r="L251" s="11">
        <v>0.16</v>
      </c>
      <c r="M251" s="11">
        <f t="shared" si="0"/>
        <v>16</v>
      </c>
      <c r="N251" s="11">
        <v>1</v>
      </c>
      <c r="O251" s="11">
        <v>0.187826086956522</v>
      </c>
      <c r="P251" s="11">
        <v>0.91053921568627405</v>
      </c>
      <c r="Q251" s="11">
        <v>0.77586206896551702</v>
      </c>
      <c r="R251" s="11">
        <v>0.86821705426356599</v>
      </c>
      <c r="S251" s="10" t="s">
        <v>84</v>
      </c>
      <c r="T251" s="10" t="s">
        <v>84</v>
      </c>
      <c r="U251" s="10"/>
      <c r="V251" s="10"/>
      <c r="W251" s="10"/>
      <c r="X251" s="10"/>
      <c r="Y251" s="10"/>
      <c r="Z251" s="10"/>
      <c r="AA251" s="10"/>
    </row>
    <row r="252" spans="1:27" ht="12.5" hidden="1" x14ac:dyDescent="0.25">
      <c r="A252" s="10" t="s">
        <v>58</v>
      </c>
      <c r="B252" s="10" t="s">
        <v>997</v>
      </c>
      <c r="C252" s="10" t="s">
        <v>191</v>
      </c>
      <c r="D252" s="11">
        <v>2024</v>
      </c>
      <c r="E252" s="10" t="s">
        <v>124</v>
      </c>
      <c r="F252" s="10" t="s">
        <v>125</v>
      </c>
      <c r="G252" s="10" t="s">
        <v>84</v>
      </c>
      <c r="H252" s="12">
        <v>131.833333333333</v>
      </c>
      <c r="I252" s="11">
        <v>21</v>
      </c>
      <c r="J252" s="11">
        <v>21</v>
      </c>
      <c r="K252" s="11">
        <v>0</v>
      </c>
      <c r="L252" s="11">
        <v>0.15929203539823</v>
      </c>
      <c r="M252" s="11">
        <f t="shared" si="0"/>
        <v>15.92920353982305</v>
      </c>
      <c r="N252" s="11">
        <v>1</v>
      </c>
      <c r="O252" s="11">
        <v>0</v>
      </c>
      <c r="P252" s="11">
        <v>0.90931372549019596</v>
      </c>
      <c r="Q252" s="11">
        <v>0.79245283018867896</v>
      </c>
      <c r="R252" s="11">
        <v>0.86627906976744196</v>
      </c>
      <c r="S252" s="10" t="s">
        <v>84</v>
      </c>
      <c r="T252" s="10" t="s">
        <v>84</v>
      </c>
      <c r="U252" s="10"/>
      <c r="V252" s="10"/>
      <c r="W252" s="10"/>
      <c r="X252" s="10"/>
      <c r="Y252" s="10"/>
      <c r="Z252" s="10"/>
      <c r="AA252" s="10"/>
    </row>
    <row r="253" spans="1:27" ht="12.5" x14ac:dyDescent="0.25">
      <c r="A253" s="10" t="s">
        <v>36</v>
      </c>
      <c r="B253" s="10" t="s">
        <v>458</v>
      </c>
      <c r="C253" s="10" t="s">
        <v>76</v>
      </c>
      <c r="D253" s="11">
        <v>2024</v>
      </c>
      <c r="E253" s="10" t="s">
        <v>81</v>
      </c>
      <c r="F253" s="10" t="s">
        <v>83</v>
      </c>
      <c r="G253" s="10" t="s">
        <v>84</v>
      </c>
      <c r="H253" s="11">
        <v>15086</v>
      </c>
      <c r="I253" s="11">
        <v>2396</v>
      </c>
      <c r="J253" s="11">
        <v>1485</v>
      </c>
      <c r="K253" s="11">
        <v>27561</v>
      </c>
      <c r="L253" s="11">
        <v>0.158822749569137</v>
      </c>
      <c r="M253" s="11">
        <f t="shared" si="0"/>
        <v>15.882274956913694</v>
      </c>
      <c r="N253" s="11">
        <v>0.61978297161936602</v>
      </c>
      <c r="O253" s="11">
        <v>1.82692562640859</v>
      </c>
      <c r="P253" s="11">
        <v>0.83277027027026995</v>
      </c>
      <c r="Q253" s="11">
        <v>0.55319148936170204</v>
      </c>
      <c r="R253" s="11">
        <v>0.86821705426356599</v>
      </c>
      <c r="S253" s="10" t="s">
        <v>84</v>
      </c>
      <c r="T253" s="10" t="s">
        <v>84</v>
      </c>
      <c r="U253" s="10"/>
      <c r="V253" s="10"/>
      <c r="W253" s="10"/>
      <c r="X253" s="10"/>
      <c r="Y253" s="10"/>
      <c r="Z253" s="10"/>
      <c r="AA253" s="10"/>
    </row>
    <row r="254" spans="1:27" ht="12.5" x14ac:dyDescent="0.25">
      <c r="A254" s="10" t="s">
        <v>12</v>
      </c>
      <c r="B254" s="10" t="s">
        <v>460</v>
      </c>
      <c r="C254" s="10" t="s">
        <v>76</v>
      </c>
      <c r="D254" s="11">
        <v>2024</v>
      </c>
      <c r="E254" s="10" t="s">
        <v>81</v>
      </c>
      <c r="F254" s="10" t="s">
        <v>83</v>
      </c>
      <c r="G254" s="10" t="s">
        <v>84</v>
      </c>
      <c r="H254" s="11">
        <v>81768</v>
      </c>
      <c r="I254" s="11">
        <v>12979</v>
      </c>
      <c r="J254" s="11">
        <v>12151</v>
      </c>
      <c r="K254" s="11">
        <v>187289</v>
      </c>
      <c r="L254" s="11">
        <v>0.158729738130787</v>
      </c>
      <c r="M254" s="11">
        <f t="shared" si="0"/>
        <v>15.872957636239116</v>
      </c>
      <c r="N254" s="11">
        <v>0.936204638261808</v>
      </c>
      <c r="O254" s="11">
        <v>2.2904949475904899</v>
      </c>
      <c r="P254" s="11">
        <v>0.83192567567567599</v>
      </c>
      <c r="Q254" s="11">
        <v>0.80555555555555602</v>
      </c>
      <c r="R254" s="11">
        <v>0.86627906976744196</v>
      </c>
      <c r="S254" s="10" t="s">
        <v>84</v>
      </c>
      <c r="T254" s="10" t="s">
        <v>84</v>
      </c>
      <c r="U254" s="10"/>
      <c r="V254" s="10"/>
      <c r="W254" s="10"/>
      <c r="X254" s="10"/>
      <c r="Y254" s="10"/>
      <c r="Z254" s="10"/>
      <c r="AA254" s="10"/>
    </row>
    <row r="255" spans="1:27" ht="12.5" x14ac:dyDescent="0.25">
      <c r="A255" s="10" t="s">
        <v>14</v>
      </c>
      <c r="B255" s="10" t="s">
        <v>527</v>
      </c>
      <c r="C255" s="10" t="s">
        <v>76</v>
      </c>
      <c r="D255" s="11">
        <v>2024</v>
      </c>
      <c r="E255" s="10" t="s">
        <v>124</v>
      </c>
      <c r="F255" s="10" t="s">
        <v>83</v>
      </c>
      <c r="G255" s="10" t="s">
        <v>84</v>
      </c>
      <c r="H255" s="11">
        <v>21429</v>
      </c>
      <c r="I255" s="11">
        <v>3392</v>
      </c>
      <c r="J255" s="11">
        <v>3042</v>
      </c>
      <c r="K255" s="11">
        <v>30524</v>
      </c>
      <c r="L255" s="11">
        <v>0.15829078309293901</v>
      </c>
      <c r="M255" s="11">
        <f t="shared" si="0"/>
        <v>15.829016752998273</v>
      </c>
      <c r="N255" s="11">
        <v>0.89681603773584895</v>
      </c>
      <c r="O255" s="11">
        <v>1.42443038417714</v>
      </c>
      <c r="P255" s="11">
        <v>0.83023648648648696</v>
      </c>
      <c r="Q255" s="11">
        <v>0.64285714285714302</v>
      </c>
      <c r="R255" s="11">
        <v>0.74944071588366901</v>
      </c>
      <c r="S255" s="10" t="s">
        <v>84</v>
      </c>
      <c r="T255" s="10" t="s">
        <v>84</v>
      </c>
      <c r="U255" s="10"/>
      <c r="V255" s="10"/>
      <c r="W255" s="10"/>
      <c r="X255" s="10"/>
      <c r="Y255" s="10"/>
      <c r="Z255" s="10"/>
      <c r="AA255" s="10"/>
    </row>
    <row r="256" spans="1:27" ht="12.5" x14ac:dyDescent="0.25">
      <c r="A256" s="10" t="s">
        <v>12</v>
      </c>
      <c r="B256" s="10" t="s">
        <v>462</v>
      </c>
      <c r="C256" s="10" t="s">
        <v>76</v>
      </c>
      <c r="D256" s="11">
        <v>2024</v>
      </c>
      <c r="E256" s="10" t="s">
        <v>81</v>
      </c>
      <c r="F256" s="10" t="s">
        <v>83</v>
      </c>
      <c r="G256" s="10" t="s">
        <v>84</v>
      </c>
      <c r="H256" s="11">
        <v>811</v>
      </c>
      <c r="I256" s="11">
        <v>128</v>
      </c>
      <c r="J256" s="11">
        <v>31</v>
      </c>
      <c r="K256" s="11">
        <v>390</v>
      </c>
      <c r="L256" s="11">
        <v>0.15791096946643399</v>
      </c>
      <c r="M256" s="11">
        <f t="shared" si="0"/>
        <v>15.782983970406905</v>
      </c>
      <c r="N256" s="11">
        <v>0.2421875</v>
      </c>
      <c r="O256" s="11">
        <v>0.48113498509303998</v>
      </c>
      <c r="P256" s="11">
        <v>0.82854729729729704</v>
      </c>
      <c r="Q256" s="11">
        <v>0.79166666666666696</v>
      </c>
      <c r="R256" s="11">
        <v>0.86434108527131803</v>
      </c>
      <c r="S256" s="10" t="s">
        <v>84</v>
      </c>
      <c r="T256" s="10" t="s">
        <v>84</v>
      </c>
      <c r="U256" s="10"/>
      <c r="V256" s="10"/>
      <c r="W256" s="10"/>
      <c r="X256" s="10"/>
      <c r="Y256" s="10"/>
      <c r="Z256" s="10"/>
      <c r="AA256" s="10"/>
    </row>
    <row r="257" spans="1:27" ht="12.5" x14ac:dyDescent="0.25">
      <c r="A257" s="10" t="s">
        <v>16</v>
      </c>
      <c r="B257" s="10" t="s">
        <v>530</v>
      </c>
      <c r="C257" s="10" t="s">
        <v>76</v>
      </c>
      <c r="D257" s="11">
        <v>2024</v>
      </c>
      <c r="E257" s="10" t="s">
        <v>124</v>
      </c>
      <c r="F257" s="10" t="s">
        <v>83</v>
      </c>
      <c r="G257" s="10" t="s">
        <v>84</v>
      </c>
      <c r="H257" s="11">
        <v>470564</v>
      </c>
      <c r="I257" s="11">
        <v>74025</v>
      </c>
      <c r="J257" s="11">
        <v>59670</v>
      </c>
      <c r="K257" s="11">
        <v>509623</v>
      </c>
      <c r="L257" s="11">
        <v>0.157311115093721</v>
      </c>
      <c r="M257" s="11">
        <f t="shared" ref="M257:M511" si="1">(I257/H257)*100</f>
        <v>15.731122652816619</v>
      </c>
      <c r="N257" s="11">
        <v>0.80607902735562298</v>
      </c>
      <c r="O257" s="11">
        <v>1.0830038825721999</v>
      </c>
      <c r="P257" s="11">
        <v>0.82770270270270296</v>
      </c>
      <c r="Q257" s="11">
        <v>0.5</v>
      </c>
      <c r="R257" s="11">
        <v>0.74720357941834403</v>
      </c>
      <c r="S257" s="10" t="s">
        <v>84</v>
      </c>
      <c r="T257" s="10" t="s">
        <v>84</v>
      </c>
      <c r="U257" s="10"/>
      <c r="V257" s="10"/>
      <c r="W257" s="10"/>
      <c r="X257" s="10"/>
      <c r="Y257" s="10"/>
      <c r="Z257" s="10"/>
      <c r="AA257" s="10"/>
    </row>
    <row r="258" spans="1:27" ht="12.5" x14ac:dyDescent="0.25">
      <c r="A258" s="10" t="s">
        <v>32</v>
      </c>
      <c r="B258" s="10" t="s">
        <v>464</v>
      </c>
      <c r="C258" s="10" t="s">
        <v>76</v>
      </c>
      <c r="D258" s="11">
        <v>2024</v>
      </c>
      <c r="E258" s="10" t="s">
        <v>81</v>
      </c>
      <c r="F258" s="10" t="s">
        <v>83</v>
      </c>
      <c r="G258" s="10" t="s">
        <v>84</v>
      </c>
      <c r="H258" s="11">
        <v>74144</v>
      </c>
      <c r="I258" s="11">
        <v>11646</v>
      </c>
      <c r="J258" s="11">
        <v>4151</v>
      </c>
      <c r="K258" s="11">
        <v>35975</v>
      </c>
      <c r="L258" s="11">
        <v>0.15707254680919699</v>
      </c>
      <c r="M258" s="11">
        <f t="shared" si="1"/>
        <v>15.707272334915839</v>
      </c>
      <c r="N258" s="11">
        <v>0.356431392752876</v>
      </c>
      <c r="O258" s="11">
        <v>0.48520392164355702</v>
      </c>
      <c r="P258" s="11">
        <v>0.826858108108108</v>
      </c>
      <c r="Q258" s="11">
        <v>0.65517241379310298</v>
      </c>
      <c r="R258" s="11">
        <v>0.862403100775194</v>
      </c>
      <c r="S258" s="10" t="s">
        <v>84</v>
      </c>
      <c r="T258" s="10" t="s">
        <v>84</v>
      </c>
      <c r="U258" s="10"/>
      <c r="V258" s="10"/>
      <c r="W258" s="10"/>
      <c r="X258" s="10"/>
      <c r="Y258" s="10"/>
      <c r="Z258" s="10"/>
      <c r="AA258" s="10"/>
    </row>
    <row r="259" spans="1:27" ht="12.5" x14ac:dyDescent="0.25">
      <c r="A259" s="10" t="s">
        <v>110</v>
      </c>
      <c r="B259" s="10" t="s">
        <v>467</v>
      </c>
      <c r="C259" s="10" t="s">
        <v>76</v>
      </c>
      <c r="D259" s="11">
        <v>2024</v>
      </c>
      <c r="E259" s="10" t="s">
        <v>81</v>
      </c>
      <c r="F259" s="10" t="s">
        <v>83</v>
      </c>
      <c r="G259" s="10" t="s">
        <v>84</v>
      </c>
      <c r="H259" s="11">
        <v>16159</v>
      </c>
      <c r="I259" s="11">
        <v>2538</v>
      </c>
      <c r="J259" s="11">
        <v>2393</v>
      </c>
      <c r="K259" s="11">
        <v>19790</v>
      </c>
      <c r="L259" s="11">
        <v>0.157060934857049</v>
      </c>
      <c r="M259" s="11">
        <f t="shared" si="1"/>
        <v>15.706417476328982</v>
      </c>
      <c r="N259" s="11">
        <v>0.94286840031520902</v>
      </c>
      <c r="O259" s="11">
        <v>1.2246792359420799</v>
      </c>
      <c r="P259" s="11">
        <v>0.82601351351351304</v>
      </c>
      <c r="Q259" s="11">
        <v>0.87878787878787901</v>
      </c>
      <c r="R259" s="11">
        <v>0.86046511627906996</v>
      </c>
      <c r="S259" s="10" t="s">
        <v>84</v>
      </c>
      <c r="T259" s="10" t="s">
        <v>84</v>
      </c>
      <c r="U259" s="10"/>
      <c r="V259" s="10"/>
      <c r="W259" s="10"/>
      <c r="X259" s="10"/>
      <c r="Y259" s="10"/>
      <c r="Z259" s="10"/>
      <c r="AA259" s="10"/>
    </row>
    <row r="260" spans="1:27" ht="12.5" x14ac:dyDescent="0.25">
      <c r="A260" s="10" t="s">
        <v>22</v>
      </c>
      <c r="B260" s="10" t="s">
        <v>469</v>
      </c>
      <c r="C260" s="10" t="s">
        <v>76</v>
      </c>
      <c r="D260" s="11">
        <v>2024</v>
      </c>
      <c r="E260" s="10" t="s">
        <v>81</v>
      </c>
      <c r="F260" s="10" t="s">
        <v>83</v>
      </c>
      <c r="G260" s="10" t="s">
        <v>84</v>
      </c>
      <c r="H260" s="11">
        <v>1561</v>
      </c>
      <c r="I260" s="11">
        <v>245</v>
      </c>
      <c r="J260" s="11">
        <v>231</v>
      </c>
      <c r="K260" s="11">
        <v>2321</v>
      </c>
      <c r="L260" s="11">
        <v>0.15690879009446501</v>
      </c>
      <c r="M260" s="11">
        <f t="shared" si="1"/>
        <v>15.695067264573993</v>
      </c>
      <c r="N260" s="11">
        <v>0.94285714285714295</v>
      </c>
      <c r="O260" s="11">
        <v>1.48647061962961</v>
      </c>
      <c r="P260" s="11">
        <v>0.82516891891891897</v>
      </c>
      <c r="Q260" s="11">
        <v>0.85714285714285698</v>
      </c>
      <c r="R260" s="11">
        <v>0.85852713178294604</v>
      </c>
      <c r="S260" s="10" t="s">
        <v>84</v>
      </c>
      <c r="T260" s="10" t="s">
        <v>84</v>
      </c>
      <c r="U260" s="10"/>
      <c r="V260" s="10"/>
      <c r="W260" s="10"/>
      <c r="X260" s="10"/>
      <c r="Y260" s="10"/>
      <c r="Z260" s="10"/>
      <c r="AA260" s="10"/>
    </row>
    <row r="261" spans="1:27" ht="12.5" x14ac:dyDescent="0.25">
      <c r="A261" s="10" t="s">
        <v>16</v>
      </c>
      <c r="B261" s="10" t="s">
        <v>533</v>
      </c>
      <c r="C261" s="10" t="s">
        <v>76</v>
      </c>
      <c r="D261" s="11">
        <v>2024</v>
      </c>
      <c r="E261" s="10" t="s">
        <v>124</v>
      </c>
      <c r="F261" s="10" t="s">
        <v>125</v>
      </c>
      <c r="G261" s="10" t="s">
        <v>84</v>
      </c>
      <c r="H261" s="11">
        <v>2958</v>
      </c>
      <c r="I261" s="11">
        <v>464</v>
      </c>
      <c r="J261" s="11">
        <v>376</v>
      </c>
      <c r="K261" s="11">
        <v>0</v>
      </c>
      <c r="L261" s="11">
        <v>0.156884844044969</v>
      </c>
      <c r="M261" s="11">
        <f t="shared" si="1"/>
        <v>15.686274509803921</v>
      </c>
      <c r="N261" s="11">
        <v>0.81034482758620696</v>
      </c>
      <c r="O261" s="11">
        <v>0</v>
      </c>
      <c r="P261" s="11">
        <v>0.82432432432432401</v>
      </c>
      <c r="Q261" s="11">
        <v>0.46666666666666701</v>
      </c>
      <c r="R261" s="11">
        <v>0.74496644295301995</v>
      </c>
      <c r="S261" s="10" t="s">
        <v>84</v>
      </c>
      <c r="T261" s="10" t="s">
        <v>84</v>
      </c>
      <c r="U261" s="10"/>
      <c r="V261" s="10"/>
      <c r="W261" s="10"/>
      <c r="X261" s="10"/>
      <c r="Y261" s="10"/>
      <c r="Z261" s="10"/>
      <c r="AA261" s="10"/>
    </row>
    <row r="262" spans="1:27" ht="12.5" x14ac:dyDescent="0.25">
      <c r="A262" s="10" t="s">
        <v>67</v>
      </c>
      <c r="B262" s="10" t="s">
        <v>858</v>
      </c>
      <c r="C262" s="10" t="s">
        <v>76</v>
      </c>
      <c r="D262" s="11">
        <v>2024</v>
      </c>
      <c r="E262" s="10" t="s">
        <v>257</v>
      </c>
      <c r="F262" s="10" t="s">
        <v>83</v>
      </c>
      <c r="G262" s="10" t="s">
        <v>84</v>
      </c>
      <c r="H262" s="11">
        <v>19968</v>
      </c>
      <c r="I262" s="11">
        <v>3122</v>
      </c>
      <c r="J262" s="11">
        <v>3080</v>
      </c>
      <c r="K262" s="11">
        <v>19220</v>
      </c>
      <c r="L262" s="11">
        <v>0.156353422839519</v>
      </c>
      <c r="M262" s="11">
        <f t="shared" si="1"/>
        <v>15.635016025641027</v>
      </c>
      <c r="N262" s="11">
        <v>0.98654708520179402</v>
      </c>
      <c r="O262" s="11">
        <v>0.96256014957577096</v>
      </c>
      <c r="P262" s="11">
        <v>0.82347972972973005</v>
      </c>
      <c r="Q262" s="11">
        <v>0.952380952380952</v>
      </c>
      <c r="R262" s="11">
        <v>0.90909090909090895</v>
      </c>
      <c r="S262" s="10" t="s">
        <v>84</v>
      </c>
      <c r="T262" s="10" t="s">
        <v>84</v>
      </c>
      <c r="U262" s="10"/>
      <c r="V262" s="10"/>
      <c r="W262" s="10"/>
      <c r="X262" s="10"/>
      <c r="Y262" s="10"/>
      <c r="Z262" s="10"/>
      <c r="AA262" s="10"/>
    </row>
    <row r="263" spans="1:27" ht="12.5" x14ac:dyDescent="0.25">
      <c r="A263" s="10" t="s">
        <v>52</v>
      </c>
      <c r="B263" s="10" t="s">
        <v>535</v>
      </c>
      <c r="C263" s="10" t="s">
        <v>76</v>
      </c>
      <c r="D263" s="11">
        <v>2024</v>
      </c>
      <c r="E263" s="10" t="s">
        <v>124</v>
      </c>
      <c r="F263" s="10" t="s">
        <v>83</v>
      </c>
      <c r="G263" s="10" t="s">
        <v>84</v>
      </c>
      <c r="H263" s="11">
        <v>4611</v>
      </c>
      <c r="I263" s="11">
        <v>720</v>
      </c>
      <c r="J263" s="11">
        <v>655</v>
      </c>
      <c r="K263" s="11">
        <v>1697</v>
      </c>
      <c r="L263" s="11">
        <v>0.156142697075939</v>
      </c>
      <c r="M263" s="11">
        <f t="shared" si="1"/>
        <v>15.614834092387769</v>
      </c>
      <c r="N263" s="11">
        <v>0.90972222222222199</v>
      </c>
      <c r="O263" s="11">
        <v>0.36801966241370598</v>
      </c>
      <c r="P263" s="11">
        <v>0.82094594594594605</v>
      </c>
      <c r="Q263" s="11">
        <v>0.76595744680851097</v>
      </c>
      <c r="R263" s="11">
        <v>0.74272930648769597</v>
      </c>
      <c r="S263" s="10" t="s">
        <v>84</v>
      </c>
      <c r="T263" s="10" t="s">
        <v>84</v>
      </c>
      <c r="U263" s="10"/>
      <c r="V263" s="10"/>
      <c r="W263" s="10"/>
      <c r="X263" s="10"/>
      <c r="Y263" s="10"/>
      <c r="Z263" s="10"/>
      <c r="AA263" s="10"/>
    </row>
    <row r="264" spans="1:27" ht="12.5" x14ac:dyDescent="0.25">
      <c r="A264" s="10" t="s">
        <v>36</v>
      </c>
      <c r="B264" s="10" t="s">
        <v>471</v>
      </c>
      <c r="C264" s="10" t="s">
        <v>76</v>
      </c>
      <c r="D264" s="11">
        <v>2024</v>
      </c>
      <c r="E264" s="10" t="s">
        <v>81</v>
      </c>
      <c r="F264" s="10" t="s">
        <v>83</v>
      </c>
      <c r="G264" s="10" t="s">
        <v>84</v>
      </c>
      <c r="H264" s="11">
        <v>18197</v>
      </c>
      <c r="I264" s="11">
        <v>2836</v>
      </c>
      <c r="J264" s="11">
        <v>2427</v>
      </c>
      <c r="K264" s="11">
        <v>34612</v>
      </c>
      <c r="L264" s="11">
        <v>0.15585343402378701</v>
      </c>
      <c r="M264" s="11">
        <f t="shared" si="1"/>
        <v>15.584986536242237</v>
      </c>
      <c r="N264" s="11">
        <v>0.85578279266572599</v>
      </c>
      <c r="O264" s="11">
        <v>1.90211532384743</v>
      </c>
      <c r="P264" s="11">
        <v>0.82010135135135098</v>
      </c>
      <c r="Q264" s="11">
        <v>0.53191489361702105</v>
      </c>
      <c r="R264" s="11">
        <v>0.85658914728682201</v>
      </c>
      <c r="S264" s="10" t="s">
        <v>84</v>
      </c>
      <c r="T264" s="10" t="s">
        <v>84</v>
      </c>
      <c r="U264" s="10"/>
      <c r="V264" s="10"/>
      <c r="W264" s="10"/>
      <c r="X264" s="10"/>
      <c r="Y264" s="10"/>
      <c r="Z264" s="10"/>
      <c r="AA264" s="10"/>
    </row>
    <row r="265" spans="1:27" ht="12.5" hidden="1" x14ac:dyDescent="0.25">
      <c r="A265" s="10" t="s">
        <v>14</v>
      </c>
      <c r="B265" s="10" t="s">
        <v>1024</v>
      </c>
      <c r="C265" s="10" t="s">
        <v>191</v>
      </c>
      <c r="D265" s="11">
        <v>2024</v>
      </c>
      <c r="E265" s="10" t="s">
        <v>124</v>
      </c>
      <c r="F265" s="10" t="s">
        <v>125</v>
      </c>
      <c r="G265" s="10" t="s">
        <v>84</v>
      </c>
      <c r="H265" s="12">
        <v>1292</v>
      </c>
      <c r="I265" s="11">
        <v>200</v>
      </c>
      <c r="J265" s="11">
        <v>166</v>
      </c>
      <c r="K265" s="11">
        <v>339</v>
      </c>
      <c r="L265" s="11">
        <v>0.15479876160990699</v>
      </c>
      <c r="M265" s="11">
        <f t="shared" si="1"/>
        <v>15.479876160990713</v>
      </c>
      <c r="N265" s="11">
        <v>0.83</v>
      </c>
      <c r="O265" s="11">
        <v>0.26238390092879299</v>
      </c>
      <c r="P265" s="11">
        <v>0.90808823529411797</v>
      </c>
      <c r="Q265" s="11">
        <v>0.93617021276595702</v>
      </c>
      <c r="R265" s="11">
        <v>0.86434108527131803</v>
      </c>
      <c r="S265" s="10" t="s">
        <v>84</v>
      </c>
      <c r="T265" s="10" t="s">
        <v>84</v>
      </c>
      <c r="U265" s="10"/>
      <c r="V265" s="10"/>
      <c r="W265" s="10"/>
      <c r="X265" s="10"/>
      <c r="Y265" s="10"/>
      <c r="Z265" s="10"/>
      <c r="AA265" s="10"/>
    </row>
    <row r="266" spans="1:27" ht="12.5" hidden="1" x14ac:dyDescent="0.25">
      <c r="A266" s="10" t="s">
        <v>12</v>
      </c>
      <c r="B266" s="10" t="s">
        <v>1027</v>
      </c>
      <c r="C266" s="10" t="s">
        <v>191</v>
      </c>
      <c r="D266" s="11">
        <v>2024</v>
      </c>
      <c r="E266" s="10" t="s">
        <v>124</v>
      </c>
      <c r="F266" s="10" t="s">
        <v>125</v>
      </c>
      <c r="G266" s="10" t="s">
        <v>84</v>
      </c>
      <c r="H266" s="12">
        <v>597.25</v>
      </c>
      <c r="I266" s="11">
        <v>92</v>
      </c>
      <c r="J266" s="11">
        <v>72</v>
      </c>
      <c r="K266" s="11">
        <v>0</v>
      </c>
      <c r="L266" s="11">
        <v>0.154039347007116</v>
      </c>
      <c r="M266" s="11">
        <f t="shared" si="1"/>
        <v>15.403934700711593</v>
      </c>
      <c r="N266" s="11">
        <v>0.78260869565217395</v>
      </c>
      <c r="O266" s="11">
        <v>0</v>
      </c>
      <c r="P266" s="11">
        <v>0.90686274509803899</v>
      </c>
      <c r="Q266" s="11">
        <v>0.85714285714285698</v>
      </c>
      <c r="R266" s="11">
        <v>0.862403100775194</v>
      </c>
      <c r="S266" s="10" t="s">
        <v>84</v>
      </c>
      <c r="T266" s="10" t="s">
        <v>84</v>
      </c>
      <c r="U266" s="10"/>
      <c r="V266" s="10"/>
      <c r="W266" s="10"/>
      <c r="X266" s="10"/>
      <c r="Y266" s="10"/>
      <c r="Z266" s="10"/>
      <c r="AA266" s="10"/>
    </row>
    <row r="267" spans="1:27" ht="12.5" x14ac:dyDescent="0.25">
      <c r="A267" s="10" t="s">
        <v>62</v>
      </c>
      <c r="B267" s="10" t="s">
        <v>538</v>
      </c>
      <c r="C267" s="10" t="s">
        <v>76</v>
      </c>
      <c r="D267" s="11">
        <v>2024</v>
      </c>
      <c r="E267" s="10" t="s">
        <v>124</v>
      </c>
      <c r="F267" s="10" t="s">
        <v>83</v>
      </c>
      <c r="G267" s="10" t="s">
        <v>84</v>
      </c>
      <c r="H267" s="11">
        <v>9734</v>
      </c>
      <c r="I267" s="11">
        <v>1495</v>
      </c>
      <c r="J267" s="11">
        <v>1310</v>
      </c>
      <c r="K267" s="11">
        <v>23397</v>
      </c>
      <c r="L267" s="11">
        <v>0.15358931552587601</v>
      </c>
      <c r="M267" s="11">
        <f t="shared" si="1"/>
        <v>15.358537086500926</v>
      </c>
      <c r="N267" s="11">
        <v>0.87625418060200699</v>
      </c>
      <c r="O267" s="11">
        <v>2.4036984718119898</v>
      </c>
      <c r="P267" s="11">
        <v>0.81841216216216195</v>
      </c>
      <c r="Q267" s="11">
        <v>0.94444444444444398</v>
      </c>
      <c r="R267" s="11">
        <v>0.740492170022371</v>
      </c>
      <c r="S267" s="10" t="s">
        <v>84</v>
      </c>
      <c r="T267" s="10" t="s">
        <v>84</v>
      </c>
      <c r="U267" s="10"/>
      <c r="V267" s="10"/>
      <c r="W267" s="10"/>
      <c r="X267" s="10"/>
      <c r="Y267" s="10"/>
      <c r="Z267" s="10"/>
      <c r="AA267" s="10"/>
    </row>
    <row r="268" spans="1:27" ht="12.5" x14ac:dyDescent="0.25">
      <c r="A268" s="10" t="s">
        <v>42</v>
      </c>
      <c r="B268" s="10" t="s">
        <v>541</v>
      </c>
      <c r="C268" s="10" t="s">
        <v>76</v>
      </c>
      <c r="D268" s="11">
        <v>2024</v>
      </c>
      <c r="E268" s="10" t="s">
        <v>124</v>
      </c>
      <c r="F268" s="10" t="s">
        <v>125</v>
      </c>
      <c r="G268" s="10" t="s">
        <v>84</v>
      </c>
      <c r="H268" s="11">
        <v>2690</v>
      </c>
      <c r="I268" s="11">
        <v>413</v>
      </c>
      <c r="J268" s="11">
        <v>361</v>
      </c>
      <c r="K268" s="11">
        <v>2855</v>
      </c>
      <c r="L268" s="11">
        <v>0.153526842415043</v>
      </c>
      <c r="M268" s="11">
        <f t="shared" si="1"/>
        <v>15.353159851301115</v>
      </c>
      <c r="N268" s="11">
        <v>0.87409200968523004</v>
      </c>
      <c r="O268" s="11">
        <v>1.0613054118521701</v>
      </c>
      <c r="P268" s="11">
        <v>0.81756756756756799</v>
      </c>
      <c r="Q268" s="11">
        <v>0.80952380952380998</v>
      </c>
      <c r="R268" s="11">
        <v>0.73825503355704702</v>
      </c>
      <c r="S268" s="10" t="s">
        <v>84</v>
      </c>
      <c r="T268" s="10" t="s">
        <v>84</v>
      </c>
      <c r="U268" s="10"/>
      <c r="V268" s="10"/>
      <c r="W268" s="10"/>
      <c r="X268" s="10"/>
      <c r="Y268" s="10"/>
      <c r="Z268" s="10"/>
      <c r="AA268" s="10"/>
    </row>
    <row r="269" spans="1:27" ht="12.5" hidden="1" x14ac:dyDescent="0.25">
      <c r="A269" s="10" t="s">
        <v>13</v>
      </c>
      <c r="B269" s="10" t="s">
        <v>1033</v>
      </c>
      <c r="C269" s="10" t="s">
        <v>191</v>
      </c>
      <c r="D269" s="11">
        <v>2024</v>
      </c>
      <c r="E269" s="10" t="s">
        <v>124</v>
      </c>
      <c r="F269" s="10" t="s">
        <v>125</v>
      </c>
      <c r="G269" s="10" t="s">
        <v>84</v>
      </c>
      <c r="H269" s="12">
        <v>3824</v>
      </c>
      <c r="I269" s="11">
        <v>586</v>
      </c>
      <c r="J269" s="11">
        <v>458</v>
      </c>
      <c r="K269" s="11">
        <v>8713</v>
      </c>
      <c r="L269" s="11">
        <v>0.15323265999869301</v>
      </c>
      <c r="M269" s="11">
        <f t="shared" si="1"/>
        <v>15.324267782426778</v>
      </c>
      <c r="N269" s="11">
        <v>0.78156996587030703</v>
      </c>
      <c r="O269" s="11">
        <v>2.2783552330522299</v>
      </c>
      <c r="P269" s="11">
        <v>0.90563725490196101</v>
      </c>
      <c r="Q269" s="11">
        <v>0.75862068965517204</v>
      </c>
      <c r="R269" s="11">
        <v>0.86046511627906996</v>
      </c>
      <c r="S269" s="10" t="s">
        <v>84</v>
      </c>
      <c r="T269" s="10" t="s">
        <v>84</v>
      </c>
      <c r="U269" s="10"/>
      <c r="V269" s="10"/>
      <c r="W269" s="10"/>
      <c r="X269" s="10"/>
      <c r="Y269" s="10"/>
      <c r="Z269" s="10"/>
      <c r="AA269" s="10"/>
    </row>
    <row r="270" spans="1:27" ht="12.5" x14ac:dyDescent="0.25">
      <c r="A270" s="10" t="s">
        <v>14</v>
      </c>
      <c r="B270" s="10" t="s">
        <v>543</v>
      </c>
      <c r="C270" s="10" t="s">
        <v>76</v>
      </c>
      <c r="D270" s="11">
        <v>2024</v>
      </c>
      <c r="E270" s="10" t="s">
        <v>124</v>
      </c>
      <c r="F270" s="10" t="s">
        <v>83</v>
      </c>
      <c r="G270" s="10" t="s">
        <v>84</v>
      </c>
      <c r="H270" s="11">
        <v>4071</v>
      </c>
      <c r="I270" s="11">
        <v>622</v>
      </c>
      <c r="J270" s="11">
        <v>490</v>
      </c>
      <c r="K270" s="11">
        <v>13951</v>
      </c>
      <c r="L270" s="11">
        <v>0.15277237652741699</v>
      </c>
      <c r="M270" s="11">
        <f t="shared" si="1"/>
        <v>15.278801277327439</v>
      </c>
      <c r="N270" s="11">
        <v>0.78778135048231501</v>
      </c>
      <c r="O270" s="11">
        <v>3.4265714227234598</v>
      </c>
      <c r="P270" s="11">
        <v>0.81672297297297303</v>
      </c>
      <c r="Q270" s="11">
        <v>0.57142857142857095</v>
      </c>
      <c r="R270" s="11">
        <v>0.73601789709172305</v>
      </c>
      <c r="S270" s="10" t="s">
        <v>84</v>
      </c>
      <c r="T270" s="10" t="s">
        <v>84</v>
      </c>
      <c r="U270" s="10"/>
      <c r="V270" s="10"/>
      <c r="W270" s="10"/>
      <c r="X270" s="10"/>
      <c r="Y270" s="10"/>
      <c r="Z270" s="10"/>
      <c r="AA270" s="10"/>
    </row>
    <row r="271" spans="1:27" ht="12.5" hidden="1" x14ac:dyDescent="0.25">
      <c r="A271" s="10" t="s">
        <v>12</v>
      </c>
      <c r="B271" s="10" t="s">
        <v>1038</v>
      </c>
      <c r="C271" s="10" t="s">
        <v>191</v>
      </c>
      <c r="D271" s="11">
        <v>2024</v>
      </c>
      <c r="E271" s="10" t="s">
        <v>124</v>
      </c>
      <c r="F271" s="10" t="s">
        <v>125</v>
      </c>
      <c r="G271" s="10" t="s">
        <v>84</v>
      </c>
      <c r="H271" s="12">
        <v>229.5</v>
      </c>
      <c r="I271" s="11">
        <v>35</v>
      </c>
      <c r="J271" s="11">
        <v>20</v>
      </c>
      <c r="K271" s="11">
        <v>109</v>
      </c>
      <c r="L271" s="11">
        <v>0.15250544662309401</v>
      </c>
      <c r="M271" s="11">
        <f t="shared" si="1"/>
        <v>15.250544662309368</v>
      </c>
      <c r="N271" s="11">
        <v>0.57142857142857095</v>
      </c>
      <c r="O271" s="11">
        <v>0.47494553376906301</v>
      </c>
      <c r="P271" s="11">
        <v>0.90441176470588203</v>
      </c>
      <c r="Q271" s="11">
        <v>0.84126984126984095</v>
      </c>
      <c r="R271" s="11">
        <v>0.85852713178294604</v>
      </c>
      <c r="S271" s="10" t="s">
        <v>84</v>
      </c>
      <c r="T271" s="10" t="s">
        <v>84</v>
      </c>
      <c r="U271" s="10"/>
      <c r="V271" s="10"/>
      <c r="W271" s="10"/>
      <c r="X271" s="10"/>
      <c r="Y271" s="10"/>
      <c r="Z271" s="10"/>
      <c r="AA271" s="10"/>
    </row>
    <row r="272" spans="1:27" ht="12.5" x14ac:dyDescent="0.25">
      <c r="A272" s="10" t="s">
        <v>86</v>
      </c>
      <c r="B272" s="10" t="s">
        <v>473</v>
      </c>
      <c r="C272" s="10" t="s">
        <v>76</v>
      </c>
      <c r="D272" s="11">
        <v>2024</v>
      </c>
      <c r="E272" s="10" t="s">
        <v>81</v>
      </c>
      <c r="F272" s="10" t="s">
        <v>83</v>
      </c>
      <c r="G272" s="10" t="s">
        <v>84</v>
      </c>
      <c r="H272" s="11">
        <v>121251</v>
      </c>
      <c r="I272" s="11">
        <v>18476</v>
      </c>
      <c r="J272" s="11">
        <v>16950</v>
      </c>
      <c r="K272" s="11">
        <v>129735</v>
      </c>
      <c r="L272" s="11">
        <v>0.15237833416952501</v>
      </c>
      <c r="M272" s="11">
        <f t="shared" si="1"/>
        <v>15.237812471649717</v>
      </c>
      <c r="N272" s="11">
        <v>0.91740636501407202</v>
      </c>
      <c r="O272" s="11">
        <v>1.06997202768366</v>
      </c>
      <c r="P272" s="11">
        <v>0.81587837837837796</v>
      </c>
      <c r="Q272" s="11">
        <v>0.58695652173913004</v>
      </c>
      <c r="R272" s="11">
        <v>0.85465116279069797</v>
      </c>
      <c r="S272" s="10" t="s">
        <v>84</v>
      </c>
      <c r="T272" s="10" t="s">
        <v>84</v>
      </c>
      <c r="U272" s="10"/>
      <c r="V272" s="10"/>
      <c r="W272" s="10"/>
      <c r="X272" s="10"/>
      <c r="Y272" s="10"/>
      <c r="Z272" s="10"/>
      <c r="AA272" s="10"/>
    </row>
    <row r="273" spans="1:27" ht="12.5" hidden="1" x14ac:dyDescent="0.25">
      <c r="A273" s="10" t="s">
        <v>58</v>
      </c>
      <c r="B273" s="10" t="s">
        <v>1043</v>
      </c>
      <c r="C273" s="10" t="s">
        <v>191</v>
      </c>
      <c r="D273" s="11">
        <v>2024</v>
      </c>
      <c r="E273" s="10" t="s">
        <v>124</v>
      </c>
      <c r="F273" s="10" t="s">
        <v>125</v>
      </c>
      <c r="G273" s="10" t="s">
        <v>84</v>
      </c>
      <c r="H273" s="12">
        <v>749.41666666666697</v>
      </c>
      <c r="I273" s="11">
        <v>114</v>
      </c>
      <c r="J273" s="11">
        <v>91</v>
      </c>
      <c r="K273" s="11">
        <v>1936</v>
      </c>
      <c r="L273" s="11">
        <v>0.152118314244412</v>
      </c>
      <c r="M273" s="11">
        <f t="shared" si="1"/>
        <v>15.211831424441227</v>
      </c>
      <c r="N273" s="11">
        <v>0.79824561403508798</v>
      </c>
      <c r="O273" s="11">
        <v>2.58334259979984</v>
      </c>
      <c r="P273" s="11">
        <v>0.90318627450980404</v>
      </c>
      <c r="Q273" s="11">
        <v>0.77358490566037696</v>
      </c>
      <c r="R273" s="11">
        <v>0.85658914728682201</v>
      </c>
      <c r="S273" s="10" t="s">
        <v>84</v>
      </c>
      <c r="T273" s="10" t="s">
        <v>84</v>
      </c>
      <c r="U273" s="10"/>
      <c r="V273" s="10"/>
      <c r="W273" s="10"/>
      <c r="X273" s="10"/>
      <c r="Y273" s="10"/>
      <c r="Z273" s="10"/>
      <c r="AA273" s="10"/>
    </row>
    <row r="274" spans="1:27" ht="12.5" x14ac:dyDescent="0.25">
      <c r="A274" s="10" t="s">
        <v>42</v>
      </c>
      <c r="B274" s="10" t="s">
        <v>545</v>
      </c>
      <c r="C274" s="10" t="s">
        <v>76</v>
      </c>
      <c r="D274" s="11">
        <v>2024</v>
      </c>
      <c r="E274" s="10" t="s">
        <v>124</v>
      </c>
      <c r="F274" s="10" t="s">
        <v>83</v>
      </c>
      <c r="G274" s="10" t="s">
        <v>84</v>
      </c>
      <c r="H274" s="11">
        <v>9330</v>
      </c>
      <c r="I274" s="11">
        <v>1413</v>
      </c>
      <c r="J274" s="11">
        <v>1297</v>
      </c>
      <c r="K274" s="11">
        <v>15647</v>
      </c>
      <c r="L274" s="11">
        <v>0.15144694533762099</v>
      </c>
      <c r="M274" s="11">
        <f t="shared" si="1"/>
        <v>15.144694533762056</v>
      </c>
      <c r="N274" s="11">
        <v>0.91790516631281005</v>
      </c>
      <c r="O274" s="11">
        <v>1.67706323687031</v>
      </c>
      <c r="P274" s="11">
        <v>0.81334459459459496</v>
      </c>
      <c r="Q274" s="11">
        <v>0.78571428571428603</v>
      </c>
      <c r="R274" s="11">
        <v>0.73378076062639797</v>
      </c>
      <c r="S274" s="10" t="s">
        <v>84</v>
      </c>
      <c r="T274" s="10" t="s">
        <v>84</v>
      </c>
      <c r="U274" s="10"/>
      <c r="V274" s="10"/>
      <c r="W274" s="10"/>
      <c r="X274" s="10"/>
      <c r="Y274" s="10"/>
      <c r="Z274" s="10"/>
      <c r="AA274" s="10"/>
    </row>
    <row r="275" spans="1:27" ht="12.5" hidden="1" x14ac:dyDescent="0.25">
      <c r="A275" s="10" t="s">
        <v>29</v>
      </c>
      <c r="B275" s="10" t="s">
        <v>1048</v>
      </c>
      <c r="C275" s="10" t="s">
        <v>191</v>
      </c>
      <c r="D275" s="11">
        <v>2024</v>
      </c>
      <c r="E275" s="10" t="s">
        <v>124</v>
      </c>
      <c r="F275" s="10" t="s">
        <v>125</v>
      </c>
      <c r="G275" s="10" t="s">
        <v>84</v>
      </c>
      <c r="H275" s="12">
        <v>495.83333333333297</v>
      </c>
      <c r="I275" s="11">
        <v>75</v>
      </c>
      <c r="J275" s="11">
        <v>75</v>
      </c>
      <c r="K275" s="11">
        <v>0</v>
      </c>
      <c r="L275" s="11">
        <v>0.151260504201681</v>
      </c>
      <c r="M275" s="11">
        <f t="shared" si="1"/>
        <v>15.126050420168077</v>
      </c>
      <c r="N275" s="11">
        <v>1</v>
      </c>
      <c r="O275" s="11">
        <v>0</v>
      </c>
      <c r="P275" s="11">
        <v>0.90196078431372595</v>
      </c>
      <c r="Q275" s="11">
        <v>0.81690140845070403</v>
      </c>
      <c r="R275" s="11">
        <v>0.85465116279069797</v>
      </c>
      <c r="S275" s="10" t="s">
        <v>84</v>
      </c>
      <c r="T275" s="10" t="s">
        <v>84</v>
      </c>
      <c r="U275" s="10"/>
      <c r="V275" s="10"/>
      <c r="W275" s="10"/>
      <c r="X275" s="10"/>
      <c r="Y275" s="10"/>
      <c r="Z275" s="10"/>
      <c r="AA275" s="10"/>
    </row>
    <row r="276" spans="1:27" ht="12.5" hidden="1" x14ac:dyDescent="0.25">
      <c r="A276" s="10" t="s">
        <v>12</v>
      </c>
      <c r="B276" s="10" t="s">
        <v>1051</v>
      </c>
      <c r="C276" s="10" t="s">
        <v>191</v>
      </c>
      <c r="D276" s="11">
        <v>2024</v>
      </c>
      <c r="E276" s="10" t="s">
        <v>124</v>
      </c>
      <c r="F276" s="10" t="s">
        <v>125</v>
      </c>
      <c r="G276" s="10" t="s">
        <v>84</v>
      </c>
      <c r="H276" s="12">
        <v>912.58333333333303</v>
      </c>
      <c r="I276" s="11">
        <v>138</v>
      </c>
      <c r="J276" s="11">
        <v>102</v>
      </c>
      <c r="K276" s="11">
        <v>297</v>
      </c>
      <c r="L276" s="11">
        <v>0.151219066751895</v>
      </c>
      <c r="M276" s="11">
        <f t="shared" si="1"/>
        <v>15.121906675189486</v>
      </c>
      <c r="N276" s="11">
        <v>0.73913043478260898</v>
      </c>
      <c r="O276" s="11">
        <v>0.32544973061820798</v>
      </c>
      <c r="P276" s="11">
        <v>0.90073529411764697</v>
      </c>
      <c r="Q276" s="11">
        <v>0.82539682539682502</v>
      </c>
      <c r="R276" s="11">
        <v>0.85271317829457405</v>
      </c>
      <c r="S276" s="10" t="s">
        <v>84</v>
      </c>
      <c r="T276" s="10" t="s">
        <v>84</v>
      </c>
      <c r="U276" s="10"/>
      <c r="V276" s="10"/>
      <c r="W276" s="10"/>
      <c r="X276" s="10"/>
      <c r="Y276" s="10"/>
      <c r="Z276" s="10"/>
      <c r="AA276" s="10"/>
    </row>
    <row r="277" spans="1:27" ht="12.5" hidden="1" x14ac:dyDescent="0.25">
      <c r="A277" s="10" t="s">
        <v>29</v>
      </c>
      <c r="B277" s="10" t="s">
        <v>1053</v>
      </c>
      <c r="C277" s="10" t="s">
        <v>191</v>
      </c>
      <c r="D277" s="11">
        <v>2024</v>
      </c>
      <c r="E277" s="10" t="s">
        <v>124</v>
      </c>
      <c r="F277" s="10" t="s">
        <v>125</v>
      </c>
      <c r="G277" s="10" t="s">
        <v>84</v>
      </c>
      <c r="H277" s="12">
        <v>2995</v>
      </c>
      <c r="I277" s="11">
        <v>452</v>
      </c>
      <c r="J277" s="11">
        <v>297</v>
      </c>
      <c r="K277" s="11">
        <v>7708</v>
      </c>
      <c r="L277" s="11">
        <v>0.15090560053417901</v>
      </c>
      <c r="M277" s="11">
        <f t="shared" si="1"/>
        <v>15.091819699499165</v>
      </c>
      <c r="N277" s="11">
        <v>0.65707964601769897</v>
      </c>
      <c r="O277" s="11">
        <v>2.5734078958350701</v>
      </c>
      <c r="P277" s="11">
        <v>0.89950980392156898</v>
      </c>
      <c r="Q277" s="11">
        <v>0.80281690140845097</v>
      </c>
      <c r="R277" s="11">
        <v>0.85077519379845001</v>
      </c>
      <c r="S277" s="10" t="s">
        <v>84</v>
      </c>
      <c r="T277" s="10" t="s">
        <v>84</v>
      </c>
      <c r="U277" s="10"/>
      <c r="V277" s="10"/>
      <c r="W277" s="10"/>
      <c r="X277" s="10"/>
      <c r="Y277" s="10"/>
      <c r="Z277" s="10"/>
      <c r="AA277" s="10"/>
    </row>
    <row r="278" spans="1:27" ht="12.5" x14ac:dyDescent="0.25">
      <c r="A278" s="10" t="s">
        <v>29</v>
      </c>
      <c r="B278" s="10" t="s">
        <v>547</v>
      </c>
      <c r="C278" s="10" t="s">
        <v>76</v>
      </c>
      <c r="D278" s="11">
        <v>2024</v>
      </c>
      <c r="E278" s="10" t="s">
        <v>124</v>
      </c>
      <c r="F278" s="10" t="s">
        <v>83</v>
      </c>
      <c r="G278" s="10" t="s">
        <v>84</v>
      </c>
      <c r="H278" s="11">
        <v>27773</v>
      </c>
      <c r="I278" s="11">
        <v>4187</v>
      </c>
      <c r="J278" s="11">
        <v>3832</v>
      </c>
      <c r="K278" s="11">
        <v>53099</v>
      </c>
      <c r="L278" s="11">
        <v>0.15075883507264301</v>
      </c>
      <c r="M278" s="11">
        <f t="shared" si="1"/>
        <v>15.07579303640226</v>
      </c>
      <c r="N278" s="11">
        <v>0.91521375686649198</v>
      </c>
      <c r="O278" s="11">
        <v>1.9119043189687801</v>
      </c>
      <c r="P278" s="11">
        <v>0.8125</v>
      </c>
      <c r="Q278" s="11">
        <v>0.65306122448979598</v>
      </c>
      <c r="R278" s="11">
        <v>0.73154362416107399</v>
      </c>
      <c r="S278" s="10" t="s">
        <v>84</v>
      </c>
      <c r="T278" s="10" t="s">
        <v>84</v>
      </c>
      <c r="U278" s="10"/>
      <c r="V278" s="10"/>
      <c r="W278" s="10"/>
      <c r="X278" s="10"/>
      <c r="Y278" s="10"/>
      <c r="Z278" s="10"/>
      <c r="AA278" s="10"/>
    </row>
    <row r="279" spans="1:27" ht="12.5" hidden="1" x14ac:dyDescent="0.25">
      <c r="A279" s="10" t="s">
        <v>58</v>
      </c>
      <c r="B279" s="10" t="s">
        <v>1060</v>
      </c>
      <c r="C279" s="10" t="s">
        <v>191</v>
      </c>
      <c r="D279" s="11">
        <v>2024</v>
      </c>
      <c r="E279" s="10" t="s">
        <v>124</v>
      </c>
      <c r="F279" s="10" t="s">
        <v>125</v>
      </c>
      <c r="G279" s="10" t="s">
        <v>84</v>
      </c>
      <c r="H279" s="12">
        <v>301.25</v>
      </c>
      <c r="I279" s="11">
        <v>45</v>
      </c>
      <c r="J279" s="11">
        <v>37</v>
      </c>
      <c r="K279" s="11">
        <v>1001</v>
      </c>
      <c r="L279" s="11">
        <v>0.14937759336099601</v>
      </c>
      <c r="M279" s="11">
        <f t="shared" si="1"/>
        <v>14.937759336099585</v>
      </c>
      <c r="N279" s="11">
        <v>0.82222222222222197</v>
      </c>
      <c r="O279" s="11">
        <v>3.3228215767634901</v>
      </c>
      <c r="P279" s="11">
        <v>0.89828431372549</v>
      </c>
      <c r="Q279" s="11">
        <v>0.75471698113207597</v>
      </c>
      <c r="R279" s="11">
        <v>0.84883720930232598</v>
      </c>
      <c r="S279" s="10" t="s">
        <v>84</v>
      </c>
      <c r="T279" s="10" t="s">
        <v>84</v>
      </c>
      <c r="U279" s="10"/>
      <c r="V279" s="10"/>
      <c r="W279" s="10"/>
      <c r="X279" s="10"/>
      <c r="Y279" s="10"/>
      <c r="Z279" s="10"/>
      <c r="AA279" s="10"/>
    </row>
    <row r="280" spans="1:27" ht="12.5" hidden="1" x14ac:dyDescent="0.25">
      <c r="A280" s="10" t="s">
        <v>14</v>
      </c>
      <c r="B280" s="10" t="s">
        <v>1063</v>
      </c>
      <c r="C280" s="10" t="s">
        <v>191</v>
      </c>
      <c r="D280" s="11">
        <v>2024</v>
      </c>
      <c r="E280" s="10" t="s">
        <v>124</v>
      </c>
      <c r="F280" s="10" t="s">
        <v>125</v>
      </c>
      <c r="G280" s="10" t="s">
        <v>84</v>
      </c>
      <c r="H280" s="12">
        <v>2060</v>
      </c>
      <c r="I280" s="11">
        <v>307</v>
      </c>
      <c r="J280" s="11">
        <v>218</v>
      </c>
      <c r="K280" s="11">
        <v>1774</v>
      </c>
      <c r="L280" s="11">
        <v>0.14906530711337701</v>
      </c>
      <c r="M280" s="11">
        <f t="shared" si="1"/>
        <v>14.902912621359224</v>
      </c>
      <c r="N280" s="11">
        <v>0.71009771986970704</v>
      </c>
      <c r="O280" s="11">
        <v>0.86137411993202195</v>
      </c>
      <c r="P280" s="11">
        <v>0.89705882352941202</v>
      </c>
      <c r="Q280" s="11">
        <v>0.91489361702127703</v>
      </c>
      <c r="R280" s="11">
        <v>0.84689922480620194</v>
      </c>
      <c r="S280" s="10" t="s">
        <v>84</v>
      </c>
      <c r="T280" s="10" t="s">
        <v>84</v>
      </c>
      <c r="U280" s="10"/>
      <c r="V280" s="10"/>
      <c r="W280" s="10"/>
      <c r="X280" s="10"/>
      <c r="Y280" s="10"/>
      <c r="Z280" s="10"/>
      <c r="AA280" s="10"/>
    </row>
    <row r="281" spans="1:27" ht="12.5" x14ac:dyDescent="0.25">
      <c r="A281" s="10" t="s">
        <v>43</v>
      </c>
      <c r="B281" s="10" t="s">
        <v>550</v>
      </c>
      <c r="C281" s="10" t="s">
        <v>76</v>
      </c>
      <c r="D281" s="11">
        <v>2024</v>
      </c>
      <c r="E281" s="10" t="s">
        <v>124</v>
      </c>
      <c r="F281" s="10" t="s">
        <v>83</v>
      </c>
      <c r="G281" s="10" t="s">
        <v>84</v>
      </c>
      <c r="H281" s="11">
        <v>16384</v>
      </c>
      <c r="I281" s="11">
        <v>2433</v>
      </c>
      <c r="J281" s="11">
        <v>2183</v>
      </c>
      <c r="K281" s="11">
        <v>47740</v>
      </c>
      <c r="L281" s="11">
        <v>0.148503067110202</v>
      </c>
      <c r="M281" s="11">
        <f t="shared" si="1"/>
        <v>14.849853515625</v>
      </c>
      <c r="N281" s="11">
        <v>0.89724619810933004</v>
      </c>
      <c r="O281" s="11">
        <v>2.9139072847682099</v>
      </c>
      <c r="P281" s="11">
        <v>0.81081081081081097</v>
      </c>
      <c r="Q281" s="11">
        <v>0.92307692307692302</v>
      </c>
      <c r="R281" s="11">
        <v>0.72930648769575002</v>
      </c>
      <c r="S281" s="10" t="s">
        <v>84</v>
      </c>
      <c r="T281" s="10" t="s">
        <v>84</v>
      </c>
      <c r="U281" s="10"/>
      <c r="V281" s="10"/>
      <c r="W281" s="10"/>
      <c r="X281" s="10"/>
      <c r="Y281" s="10"/>
      <c r="Z281" s="10"/>
      <c r="AA281" s="10"/>
    </row>
    <row r="282" spans="1:27" ht="12.5" x14ac:dyDescent="0.25">
      <c r="A282" s="10" t="s">
        <v>12</v>
      </c>
      <c r="B282" s="10" t="s">
        <v>475</v>
      </c>
      <c r="C282" s="10" t="s">
        <v>76</v>
      </c>
      <c r="D282" s="11">
        <v>2024</v>
      </c>
      <c r="E282" s="10" t="s">
        <v>81</v>
      </c>
      <c r="F282" s="10" t="s">
        <v>83</v>
      </c>
      <c r="G282" s="10" t="s">
        <v>84</v>
      </c>
      <c r="H282" s="11">
        <v>2627</v>
      </c>
      <c r="I282" s="11">
        <v>388</v>
      </c>
      <c r="J282" s="11">
        <v>360</v>
      </c>
      <c r="K282" s="11">
        <v>4330</v>
      </c>
      <c r="L282" s="11">
        <v>0.14769230769230801</v>
      </c>
      <c r="M282" s="11">
        <f t="shared" si="1"/>
        <v>14.76969927674153</v>
      </c>
      <c r="N282" s="11">
        <v>0.92783505154639201</v>
      </c>
      <c r="O282" s="11">
        <v>1.6482157018239501</v>
      </c>
      <c r="P282" s="11">
        <v>0.80996621621621601</v>
      </c>
      <c r="Q282" s="11">
        <v>0.77777777777777801</v>
      </c>
      <c r="R282" s="11">
        <v>0.85271317829457405</v>
      </c>
      <c r="S282" s="10" t="s">
        <v>84</v>
      </c>
      <c r="T282" s="10" t="s">
        <v>84</v>
      </c>
      <c r="U282" s="10"/>
      <c r="V282" s="10"/>
      <c r="W282" s="10"/>
      <c r="X282" s="10"/>
      <c r="Y282" s="10"/>
      <c r="Z282" s="10"/>
      <c r="AA282" s="10"/>
    </row>
    <row r="283" spans="1:27" ht="12.5" x14ac:dyDescent="0.25">
      <c r="A283" s="10" t="s">
        <v>52</v>
      </c>
      <c r="B283" s="10" t="s">
        <v>553</v>
      </c>
      <c r="C283" s="10" t="s">
        <v>76</v>
      </c>
      <c r="D283" s="11">
        <v>2024</v>
      </c>
      <c r="E283" s="10" t="s">
        <v>124</v>
      </c>
      <c r="F283" s="10" t="s">
        <v>83</v>
      </c>
      <c r="G283" s="10" t="s">
        <v>84</v>
      </c>
      <c r="H283" s="11">
        <v>9043</v>
      </c>
      <c r="I283" s="11">
        <v>1335</v>
      </c>
      <c r="J283" s="11">
        <v>1029</v>
      </c>
      <c r="K283" s="11">
        <v>1963</v>
      </c>
      <c r="L283" s="11">
        <v>0.14762119774052901</v>
      </c>
      <c r="M283" s="11">
        <f t="shared" si="1"/>
        <v>14.762799955766893</v>
      </c>
      <c r="N283" s="11">
        <v>0.77078651685393296</v>
      </c>
      <c r="O283" s="11">
        <v>0.21706397840049399</v>
      </c>
      <c r="P283" s="11">
        <v>0.80912162162162204</v>
      </c>
      <c r="Q283" s="11">
        <v>0.74468085106382997</v>
      </c>
      <c r="R283" s="11">
        <v>0.72706935123042504</v>
      </c>
      <c r="S283" s="10" t="s">
        <v>84</v>
      </c>
      <c r="T283" s="10" t="s">
        <v>84</v>
      </c>
      <c r="U283" s="10"/>
      <c r="V283" s="10"/>
      <c r="W283" s="10"/>
      <c r="X283" s="10"/>
      <c r="Y283" s="10"/>
      <c r="Z283" s="10"/>
      <c r="AA283" s="10"/>
    </row>
    <row r="284" spans="1:27" ht="12.5" x14ac:dyDescent="0.25">
      <c r="A284" s="10" t="s">
        <v>14</v>
      </c>
      <c r="B284" s="10" t="s">
        <v>477</v>
      </c>
      <c r="C284" s="10" t="s">
        <v>76</v>
      </c>
      <c r="D284" s="11">
        <v>2024</v>
      </c>
      <c r="E284" s="10" t="s">
        <v>81</v>
      </c>
      <c r="F284" s="10" t="s">
        <v>83</v>
      </c>
      <c r="G284" s="10" t="s">
        <v>84</v>
      </c>
      <c r="H284" s="11">
        <v>30288</v>
      </c>
      <c r="I284" s="11">
        <v>4471</v>
      </c>
      <c r="J284" s="11">
        <v>2735</v>
      </c>
      <c r="K284" s="11">
        <v>83654</v>
      </c>
      <c r="L284" s="11">
        <v>0.14761702994051501</v>
      </c>
      <c r="M284" s="11">
        <f t="shared" si="1"/>
        <v>14.761621764395139</v>
      </c>
      <c r="N284" s="11">
        <v>0.61171997316036697</v>
      </c>
      <c r="O284" s="11">
        <v>2.7619671265139498</v>
      </c>
      <c r="P284" s="11">
        <v>0.80827702702702697</v>
      </c>
      <c r="Q284" s="11">
        <v>0.53571428571428603</v>
      </c>
      <c r="R284" s="11">
        <v>0.85077519379845001</v>
      </c>
      <c r="S284" s="10" t="s">
        <v>84</v>
      </c>
      <c r="T284" s="10" t="s">
        <v>84</v>
      </c>
      <c r="U284" s="10"/>
      <c r="V284" s="10"/>
      <c r="W284" s="10"/>
      <c r="X284" s="10"/>
      <c r="Y284" s="10"/>
      <c r="Z284" s="10"/>
      <c r="AA284" s="10"/>
    </row>
    <row r="285" spans="1:27" ht="12.5" x14ac:dyDescent="0.25">
      <c r="A285" s="10" t="s">
        <v>109</v>
      </c>
      <c r="B285" s="10" t="s">
        <v>480</v>
      </c>
      <c r="C285" s="10" t="s">
        <v>76</v>
      </c>
      <c r="D285" s="11">
        <v>2024</v>
      </c>
      <c r="E285" s="10" t="s">
        <v>81</v>
      </c>
      <c r="F285" s="10" t="s">
        <v>83</v>
      </c>
      <c r="G285" s="10" t="s">
        <v>84</v>
      </c>
      <c r="H285" s="11">
        <v>25421</v>
      </c>
      <c r="I285" s="11">
        <v>3738</v>
      </c>
      <c r="J285" s="11">
        <v>3748</v>
      </c>
      <c r="K285" s="11">
        <v>7964</v>
      </c>
      <c r="L285" s="11">
        <v>0.14704233662782101</v>
      </c>
      <c r="M285" s="11">
        <f t="shared" si="1"/>
        <v>14.704378269934306</v>
      </c>
      <c r="N285" s="11">
        <v>1.00267522739433</v>
      </c>
      <c r="O285" s="11">
        <v>0.31328121158479599</v>
      </c>
      <c r="P285" s="11">
        <v>0.80658783783783805</v>
      </c>
      <c r="Q285" s="11">
        <v>0.88888888888888895</v>
      </c>
      <c r="R285" s="11">
        <v>0.84883720930232598</v>
      </c>
      <c r="S285" s="10" t="s">
        <v>84</v>
      </c>
      <c r="T285" s="10" t="s">
        <v>84</v>
      </c>
      <c r="U285" s="10"/>
      <c r="V285" s="10"/>
      <c r="W285" s="10"/>
      <c r="X285" s="10"/>
      <c r="Y285" s="10"/>
      <c r="Z285" s="10"/>
      <c r="AA285" s="10"/>
    </row>
    <row r="286" spans="1:27" ht="12.5" hidden="1" x14ac:dyDescent="0.25">
      <c r="A286" s="10" t="s">
        <v>14</v>
      </c>
      <c r="B286" s="10" t="s">
        <v>1076</v>
      </c>
      <c r="C286" s="10" t="s">
        <v>191</v>
      </c>
      <c r="D286" s="11">
        <v>2024</v>
      </c>
      <c r="E286" s="10" t="s">
        <v>124</v>
      </c>
      <c r="F286" s="10" t="s">
        <v>125</v>
      </c>
      <c r="G286" s="10" t="s">
        <v>84</v>
      </c>
      <c r="H286" s="12">
        <v>1787</v>
      </c>
      <c r="I286" s="11">
        <v>262</v>
      </c>
      <c r="J286" s="11">
        <v>231</v>
      </c>
      <c r="K286" s="11">
        <v>0</v>
      </c>
      <c r="L286" s="11">
        <v>0.14662811304915599</v>
      </c>
      <c r="M286" s="11">
        <f t="shared" si="1"/>
        <v>14.661443760492446</v>
      </c>
      <c r="N286" s="11">
        <v>0.88167938931297696</v>
      </c>
      <c r="O286" s="11">
        <v>0</v>
      </c>
      <c r="P286" s="11">
        <v>0.89583333333333304</v>
      </c>
      <c r="Q286" s="11">
        <v>0.89361702127659604</v>
      </c>
      <c r="R286" s="11">
        <v>0.84496124031007702</v>
      </c>
      <c r="S286" s="10" t="s">
        <v>84</v>
      </c>
      <c r="T286" s="10" t="s">
        <v>84</v>
      </c>
      <c r="U286" s="10"/>
      <c r="V286" s="10"/>
      <c r="W286" s="10"/>
      <c r="X286" s="10"/>
      <c r="Y286" s="10"/>
      <c r="Z286" s="10"/>
      <c r="AA286" s="10"/>
    </row>
    <row r="287" spans="1:27" ht="12.5" x14ac:dyDescent="0.25">
      <c r="A287" s="10" t="s">
        <v>12</v>
      </c>
      <c r="B287" s="10" t="s">
        <v>393</v>
      </c>
      <c r="C287" s="10" t="s">
        <v>76</v>
      </c>
      <c r="D287" s="11">
        <v>2024</v>
      </c>
      <c r="E287" s="10" t="s">
        <v>81</v>
      </c>
      <c r="F287" s="10" t="s">
        <v>83</v>
      </c>
      <c r="G287" s="10" t="s">
        <v>84</v>
      </c>
      <c r="H287" s="11">
        <v>1947</v>
      </c>
      <c r="I287" s="11">
        <v>285</v>
      </c>
      <c r="J287" s="11">
        <v>239</v>
      </c>
      <c r="K287" s="11">
        <v>1768</v>
      </c>
      <c r="L287" s="11">
        <v>0.14639157606369299</v>
      </c>
      <c r="M287" s="11">
        <f t="shared" si="1"/>
        <v>14.637904468412943</v>
      </c>
      <c r="N287" s="11">
        <v>0.83859649122807001</v>
      </c>
      <c r="O287" s="11">
        <v>0.90814142624775296</v>
      </c>
      <c r="P287" s="11">
        <v>0.80574324324324298</v>
      </c>
      <c r="Q287" s="11">
        <v>0.76388888888888895</v>
      </c>
      <c r="R287" s="11">
        <v>0.84689922480620194</v>
      </c>
      <c r="S287" s="10" t="s">
        <v>84</v>
      </c>
      <c r="T287" s="10" t="s">
        <v>84</v>
      </c>
      <c r="U287" s="10"/>
      <c r="V287" s="10"/>
      <c r="W287" s="10"/>
      <c r="X287" s="10"/>
      <c r="Y287" s="10"/>
      <c r="Z287" s="10"/>
      <c r="AA287" s="10"/>
    </row>
    <row r="288" spans="1:27" ht="12.5" hidden="1" x14ac:dyDescent="0.25">
      <c r="A288" s="10" t="s">
        <v>36</v>
      </c>
      <c r="B288" s="10" t="s">
        <v>1081</v>
      </c>
      <c r="C288" s="10" t="s">
        <v>191</v>
      </c>
      <c r="D288" s="11">
        <v>2024</v>
      </c>
      <c r="E288" s="10" t="s">
        <v>124</v>
      </c>
      <c r="F288" s="10" t="s">
        <v>125</v>
      </c>
      <c r="G288" s="10" t="s">
        <v>84</v>
      </c>
      <c r="H288" s="12">
        <v>8175</v>
      </c>
      <c r="I288" s="11">
        <v>1194</v>
      </c>
      <c r="J288" s="11">
        <v>1094</v>
      </c>
      <c r="K288" s="11">
        <v>2857</v>
      </c>
      <c r="L288" s="11">
        <v>0.14605355704834799</v>
      </c>
      <c r="M288" s="11">
        <f t="shared" si="1"/>
        <v>14.605504587155963</v>
      </c>
      <c r="N288" s="11">
        <v>0.91624790619765495</v>
      </c>
      <c r="O288" s="11">
        <v>0.34947655987196902</v>
      </c>
      <c r="P288" s="11">
        <v>0.89460784313725505</v>
      </c>
      <c r="Q288" s="11">
        <v>0.85</v>
      </c>
      <c r="R288" s="11">
        <v>0.84302325581395399</v>
      </c>
      <c r="S288" s="10" t="s">
        <v>84</v>
      </c>
      <c r="T288" s="10" t="s">
        <v>84</v>
      </c>
      <c r="U288" s="10"/>
      <c r="V288" s="10"/>
      <c r="W288" s="10"/>
      <c r="X288" s="10"/>
      <c r="Y288" s="10"/>
      <c r="Z288" s="10"/>
      <c r="AA288" s="10"/>
    </row>
    <row r="289" spans="1:27" ht="12.5" x14ac:dyDescent="0.25">
      <c r="A289" s="10" t="s">
        <v>118</v>
      </c>
      <c r="B289" s="10" t="s">
        <v>556</v>
      </c>
      <c r="C289" s="10" t="s">
        <v>76</v>
      </c>
      <c r="D289" s="11">
        <v>2024</v>
      </c>
      <c r="E289" s="10" t="s">
        <v>124</v>
      </c>
      <c r="F289" s="10" t="s">
        <v>83</v>
      </c>
      <c r="G289" s="10" t="s">
        <v>84</v>
      </c>
      <c r="H289" s="11">
        <v>34914</v>
      </c>
      <c r="I289" s="11">
        <v>5099</v>
      </c>
      <c r="J289" s="11">
        <v>4989</v>
      </c>
      <c r="K289" s="11">
        <v>42681</v>
      </c>
      <c r="L289" s="11">
        <v>0.14604282376191299</v>
      </c>
      <c r="M289" s="11">
        <f t="shared" si="1"/>
        <v>14.60445666494816</v>
      </c>
      <c r="N289" s="11">
        <v>0.97842714257697605</v>
      </c>
      <c r="O289" s="11">
        <v>1.22244631515635</v>
      </c>
      <c r="P289" s="11">
        <v>0.80489864864864902</v>
      </c>
      <c r="Q289" s="11">
        <v>0.92857142857142905</v>
      </c>
      <c r="R289" s="11">
        <v>0.72483221476510096</v>
      </c>
      <c r="S289" s="10" t="s">
        <v>84</v>
      </c>
      <c r="T289" s="10" t="s">
        <v>84</v>
      </c>
      <c r="U289" s="10"/>
      <c r="V289" s="10"/>
      <c r="W289" s="10"/>
      <c r="X289" s="10"/>
      <c r="Y289" s="10"/>
      <c r="Z289" s="10"/>
      <c r="AA289" s="10"/>
    </row>
    <row r="290" spans="1:27" ht="12.5" x14ac:dyDescent="0.25">
      <c r="A290" s="10" t="s">
        <v>10</v>
      </c>
      <c r="B290" s="10" t="s">
        <v>559</v>
      </c>
      <c r="C290" s="10" t="s">
        <v>76</v>
      </c>
      <c r="D290" s="11">
        <v>2024</v>
      </c>
      <c r="E290" s="10" t="s">
        <v>124</v>
      </c>
      <c r="F290" s="10" t="s">
        <v>125</v>
      </c>
      <c r="G290" s="10" t="s">
        <v>84</v>
      </c>
      <c r="H290" s="11">
        <v>1143</v>
      </c>
      <c r="I290" s="11">
        <v>166</v>
      </c>
      <c r="J290" s="11">
        <v>151</v>
      </c>
      <c r="K290" s="11">
        <v>166</v>
      </c>
      <c r="L290" s="11">
        <v>0.14528480781854</v>
      </c>
      <c r="M290" s="11">
        <f t="shared" si="1"/>
        <v>14.523184601924759</v>
      </c>
      <c r="N290" s="11">
        <v>0.90963855421686701</v>
      </c>
      <c r="O290" s="11">
        <v>0.14528480781854</v>
      </c>
      <c r="P290" s="11">
        <v>0.80405405405405395</v>
      </c>
      <c r="Q290" s="11">
        <v>0.76666666666666705</v>
      </c>
      <c r="R290" s="11">
        <v>0.72259507829977598</v>
      </c>
      <c r="S290" s="10" t="s">
        <v>84</v>
      </c>
      <c r="T290" s="10" t="s">
        <v>84</v>
      </c>
      <c r="U290" s="10"/>
      <c r="V290" s="10"/>
      <c r="W290" s="10"/>
      <c r="X290" s="10"/>
      <c r="Y290" s="10"/>
      <c r="Z290" s="10"/>
      <c r="AA290" s="10"/>
    </row>
    <row r="291" spans="1:27" ht="12.5" hidden="1" x14ac:dyDescent="0.25">
      <c r="A291" s="10" t="s">
        <v>12</v>
      </c>
      <c r="B291" s="10" t="s">
        <v>1090</v>
      </c>
      <c r="C291" s="10" t="s">
        <v>191</v>
      </c>
      <c r="D291" s="11">
        <v>2024</v>
      </c>
      <c r="E291" s="10" t="s">
        <v>124</v>
      </c>
      <c r="F291" s="10" t="s">
        <v>125</v>
      </c>
      <c r="G291" s="10" t="s">
        <v>84</v>
      </c>
      <c r="H291" s="12">
        <v>3267</v>
      </c>
      <c r="I291" s="11">
        <v>474</v>
      </c>
      <c r="J291" s="11">
        <v>91</v>
      </c>
      <c r="K291" s="11">
        <v>0</v>
      </c>
      <c r="L291" s="11">
        <v>0.14509093691809299</v>
      </c>
      <c r="M291" s="11">
        <f t="shared" si="1"/>
        <v>14.508723599632692</v>
      </c>
      <c r="N291" s="11">
        <v>0.19198312236286899</v>
      </c>
      <c r="O291" s="11">
        <v>0</v>
      </c>
      <c r="P291" s="11">
        <v>0.89338235294117696</v>
      </c>
      <c r="Q291" s="11">
        <v>0.80952380952380998</v>
      </c>
      <c r="R291" s="11">
        <v>0.84108527131782995</v>
      </c>
      <c r="S291" s="10" t="s">
        <v>84</v>
      </c>
      <c r="T291" s="10" t="s">
        <v>84</v>
      </c>
      <c r="U291" s="10"/>
      <c r="V291" s="10"/>
      <c r="W291" s="10"/>
      <c r="X291" s="10"/>
      <c r="Y291" s="10"/>
      <c r="Z291" s="10"/>
      <c r="AA291" s="10"/>
    </row>
    <row r="292" spans="1:27" ht="12.5" x14ac:dyDescent="0.25">
      <c r="A292" s="10" t="s">
        <v>12</v>
      </c>
      <c r="B292" s="10" t="s">
        <v>561</v>
      </c>
      <c r="C292" s="10" t="s">
        <v>76</v>
      </c>
      <c r="D292" s="11">
        <v>2024</v>
      </c>
      <c r="E292" s="10" t="s">
        <v>124</v>
      </c>
      <c r="F292" s="10" t="s">
        <v>83</v>
      </c>
      <c r="G292" s="10" t="s">
        <v>84</v>
      </c>
      <c r="H292" s="11">
        <v>66968</v>
      </c>
      <c r="I292" s="11">
        <v>9638</v>
      </c>
      <c r="J292" s="11">
        <v>8272</v>
      </c>
      <c r="K292" s="11">
        <v>40448</v>
      </c>
      <c r="L292" s="11">
        <v>0.14391912575377899</v>
      </c>
      <c r="M292" s="11">
        <f t="shared" si="1"/>
        <v>14.391948393262455</v>
      </c>
      <c r="N292" s="11">
        <v>0.85826935048765296</v>
      </c>
      <c r="O292" s="11">
        <v>0.60398846217979196</v>
      </c>
      <c r="P292" s="11">
        <v>0.80236486486486502</v>
      </c>
      <c r="Q292" s="11">
        <v>0.75</v>
      </c>
      <c r="R292" s="11">
        <v>0.72035794183445201</v>
      </c>
      <c r="S292" s="10" t="s">
        <v>84</v>
      </c>
      <c r="T292" s="10" t="s">
        <v>84</v>
      </c>
      <c r="U292" s="10"/>
      <c r="V292" s="10"/>
      <c r="W292" s="10"/>
      <c r="X292" s="10"/>
      <c r="Y292" s="10"/>
      <c r="Z292" s="10"/>
      <c r="AA292" s="10"/>
    </row>
    <row r="293" spans="1:27" ht="12.5" x14ac:dyDescent="0.25">
      <c r="A293" s="10" t="s">
        <v>10</v>
      </c>
      <c r="B293" s="10" t="s">
        <v>484</v>
      </c>
      <c r="C293" s="10" t="s">
        <v>76</v>
      </c>
      <c r="D293" s="11">
        <v>2024</v>
      </c>
      <c r="E293" s="10" t="s">
        <v>81</v>
      </c>
      <c r="F293" s="10" t="s">
        <v>83</v>
      </c>
      <c r="G293" s="10" t="s">
        <v>84</v>
      </c>
      <c r="H293" s="11">
        <v>30533</v>
      </c>
      <c r="I293" s="11">
        <v>4373</v>
      </c>
      <c r="J293" s="11">
        <v>3585</v>
      </c>
      <c r="K293" s="11">
        <v>21696</v>
      </c>
      <c r="L293" s="11">
        <v>0.14322365117142299</v>
      </c>
      <c r="M293" s="11">
        <f t="shared" si="1"/>
        <v>14.322208757737531</v>
      </c>
      <c r="N293" s="11">
        <v>0.81980333866910604</v>
      </c>
      <c r="O293" s="11">
        <v>0.71058320050656099</v>
      </c>
      <c r="P293" s="11">
        <v>0.80152027027026995</v>
      </c>
      <c r="Q293" s="11">
        <v>0.73333333333333295</v>
      </c>
      <c r="R293" s="11">
        <v>0.84496124031007702</v>
      </c>
      <c r="S293" s="10" t="s">
        <v>84</v>
      </c>
      <c r="T293" s="10" t="s">
        <v>84</v>
      </c>
      <c r="U293" s="10"/>
      <c r="V293" s="10"/>
      <c r="W293" s="10"/>
      <c r="X293" s="10"/>
      <c r="Y293" s="10"/>
      <c r="Z293" s="10"/>
      <c r="AA293" s="10"/>
    </row>
    <row r="294" spans="1:27" ht="12.5" x14ac:dyDescent="0.25">
      <c r="A294" s="10" t="s">
        <v>40</v>
      </c>
      <c r="B294" s="10" t="s">
        <v>563</v>
      </c>
      <c r="C294" s="10" t="s">
        <v>76</v>
      </c>
      <c r="D294" s="11">
        <v>2024</v>
      </c>
      <c r="E294" s="10" t="s">
        <v>124</v>
      </c>
      <c r="F294" s="10" t="s">
        <v>83</v>
      </c>
      <c r="G294" s="10" t="s">
        <v>84</v>
      </c>
      <c r="H294" s="11">
        <v>25025</v>
      </c>
      <c r="I294" s="11">
        <v>3580</v>
      </c>
      <c r="J294" s="11">
        <v>3018</v>
      </c>
      <c r="K294" s="11">
        <v>5217</v>
      </c>
      <c r="L294" s="11">
        <v>0.14305456119611701</v>
      </c>
      <c r="M294" s="11">
        <f t="shared" si="1"/>
        <v>14.305694305694306</v>
      </c>
      <c r="N294" s="11">
        <v>0.84301675977653601</v>
      </c>
      <c r="O294" s="11">
        <v>0.20846805747490099</v>
      </c>
      <c r="P294" s="11">
        <v>0.80067567567567599</v>
      </c>
      <c r="Q294" s="11">
        <v>0.75</v>
      </c>
      <c r="R294" s="11">
        <v>0.71812080536912704</v>
      </c>
      <c r="S294" s="10" t="s">
        <v>84</v>
      </c>
      <c r="T294" s="10" t="s">
        <v>84</v>
      </c>
      <c r="U294" s="10"/>
      <c r="V294" s="10"/>
      <c r="W294" s="10"/>
      <c r="X294" s="10"/>
      <c r="Y294" s="10"/>
      <c r="Z294" s="10"/>
      <c r="AA294" s="10"/>
    </row>
    <row r="295" spans="1:27" ht="12.5" hidden="1" x14ac:dyDescent="0.25">
      <c r="A295" s="10" t="s">
        <v>16</v>
      </c>
      <c r="B295" s="10" t="s">
        <v>1101</v>
      </c>
      <c r="C295" s="10" t="s">
        <v>191</v>
      </c>
      <c r="D295" s="11">
        <v>2024</v>
      </c>
      <c r="E295" s="10" t="s">
        <v>124</v>
      </c>
      <c r="F295" s="10" t="s">
        <v>125</v>
      </c>
      <c r="G295" s="10" t="s">
        <v>84</v>
      </c>
      <c r="H295" s="12">
        <v>497.75</v>
      </c>
      <c r="I295" s="11">
        <v>71</v>
      </c>
      <c r="J295" s="11">
        <v>46</v>
      </c>
      <c r="K295" s="11">
        <v>83</v>
      </c>
      <c r="L295" s="11">
        <v>0.142641888498242</v>
      </c>
      <c r="M295" s="11">
        <f t="shared" si="1"/>
        <v>14.264188849824208</v>
      </c>
      <c r="N295" s="11">
        <v>0.647887323943662</v>
      </c>
      <c r="O295" s="11">
        <v>0.16675037669512799</v>
      </c>
      <c r="P295" s="11">
        <v>0.89215686274509798</v>
      </c>
      <c r="Q295" s="11">
        <v>1</v>
      </c>
      <c r="R295" s="11">
        <v>0.83914728682170503</v>
      </c>
      <c r="S295" s="10" t="s">
        <v>84</v>
      </c>
      <c r="T295" s="10" t="s">
        <v>84</v>
      </c>
      <c r="U295" s="10"/>
      <c r="V295" s="10"/>
      <c r="W295" s="10"/>
      <c r="X295" s="10"/>
      <c r="Y295" s="10"/>
      <c r="Z295" s="10"/>
      <c r="AA295" s="10"/>
    </row>
    <row r="296" spans="1:27" ht="12.5" x14ac:dyDescent="0.25">
      <c r="A296" s="10" t="s">
        <v>52</v>
      </c>
      <c r="B296" s="10" t="s">
        <v>566</v>
      </c>
      <c r="C296" s="10" t="s">
        <v>76</v>
      </c>
      <c r="D296" s="11">
        <v>2024</v>
      </c>
      <c r="E296" s="10" t="s">
        <v>124</v>
      </c>
      <c r="F296" s="10" t="s">
        <v>125</v>
      </c>
      <c r="G296" s="10" t="s">
        <v>84</v>
      </c>
      <c r="H296" s="11">
        <v>828</v>
      </c>
      <c r="I296" s="11">
        <v>118</v>
      </c>
      <c r="J296" s="11">
        <v>103</v>
      </c>
      <c r="K296" s="11">
        <v>76</v>
      </c>
      <c r="L296" s="11">
        <v>0.14248339706178301</v>
      </c>
      <c r="M296" s="11">
        <f t="shared" si="1"/>
        <v>14.251207729468598</v>
      </c>
      <c r="N296" s="11">
        <v>0.87288135593220295</v>
      </c>
      <c r="O296" s="11">
        <v>9.1768967599114501E-2</v>
      </c>
      <c r="P296" s="11">
        <v>0.79983108108108103</v>
      </c>
      <c r="Q296" s="11">
        <v>0.72340425531914898</v>
      </c>
      <c r="R296" s="11">
        <v>0.71588366890380295</v>
      </c>
      <c r="S296" s="10" t="s">
        <v>84</v>
      </c>
      <c r="T296" s="10" t="s">
        <v>84</v>
      </c>
      <c r="U296" s="10"/>
      <c r="V296" s="10"/>
      <c r="W296" s="10"/>
      <c r="X296" s="10"/>
      <c r="Y296" s="10"/>
      <c r="Z296" s="10"/>
      <c r="AA296" s="10"/>
    </row>
    <row r="297" spans="1:27" ht="12.5" x14ac:dyDescent="0.25">
      <c r="A297" s="10" t="s">
        <v>29</v>
      </c>
      <c r="B297" s="10" t="s">
        <v>569</v>
      </c>
      <c r="C297" s="10" t="s">
        <v>76</v>
      </c>
      <c r="D297" s="11">
        <v>2024</v>
      </c>
      <c r="E297" s="10" t="s">
        <v>124</v>
      </c>
      <c r="F297" s="10" t="s">
        <v>83</v>
      </c>
      <c r="G297" s="10" t="s">
        <v>84</v>
      </c>
      <c r="H297" s="11">
        <v>4437</v>
      </c>
      <c r="I297" s="11">
        <v>631</v>
      </c>
      <c r="J297" s="11">
        <v>558</v>
      </c>
      <c r="K297" s="11">
        <v>625</v>
      </c>
      <c r="L297" s="11">
        <v>0.14220252403846201</v>
      </c>
      <c r="M297" s="11">
        <f t="shared" si="1"/>
        <v>14.221320712192922</v>
      </c>
      <c r="N297" s="11">
        <v>0.88431061806656097</v>
      </c>
      <c r="O297" s="11">
        <v>0.14085036057692299</v>
      </c>
      <c r="P297" s="11">
        <v>0.79898648648648696</v>
      </c>
      <c r="Q297" s="11">
        <v>0.63265306122449005</v>
      </c>
      <c r="R297" s="11">
        <v>0.71364653243847898</v>
      </c>
      <c r="S297" s="10" t="s">
        <v>84</v>
      </c>
      <c r="T297" s="10" t="s">
        <v>84</v>
      </c>
      <c r="U297" s="10"/>
      <c r="V297" s="10"/>
      <c r="W297" s="10"/>
      <c r="X297" s="10"/>
      <c r="Y297" s="10"/>
      <c r="Z297" s="10"/>
      <c r="AA297" s="10"/>
    </row>
    <row r="298" spans="1:27" ht="12.5" x14ac:dyDescent="0.25">
      <c r="A298" s="10" t="s">
        <v>32</v>
      </c>
      <c r="B298" s="10" t="s">
        <v>486</v>
      </c>
      <c r="C298" s="10" t="s">
        <v>76</v>
      </c>
      <c r="D298" s="11">
        <v>2024</v>
      </c>
      <c r="E298" s="10" t="s">
        <v>81</v>
      </c>
      <c r="F298" s="10" t="s">
        <v>83</v>
      </c>
      <c r="G298" s="10" t="s">
        <v>84</v>
      </c>
      <c r="H298" s="11">
        <v>112886</v>
      </c>
      <c r="I298" s="11">
        <v>16041</v>
      </c>
      <c r="J298" s="11">
        <v>15295</v>
      </c>
      <c r="K298" s="11">
        <v>132444</v>
      </c>
      <c r="L298" s="11">
        <v>0.142098584343998</v>
      </c>
      <c r="M298" s="11">
        <f t="shared" si="1"/>
        <v>14.209910883546231</v>
      </c>
      <c r="N298" s="11">
        <v>0.95349417118633495</v>
      </c>
      <c r="O298" s="11">
        <v>1.17325010316417</v>
      </c>
      <c r="P298" s="11">
        <v>0.798141891891892</v>
      </c>
      <c r="Q298" s="11">
        <v>0.62068965517241403</v>
      </c>
      <c r="R298" s="11">
        <v>0.84302325581395399</v>
      </c>
      <c r="S298" s="10" t="s">
        <v>84</v>
      </c>
      <c r="T298" s="10" t="s">
        <v>84</v>
      </c>
      <c r="U298" s="10"/>
      <c r="V298" s="10"/>
      <c r="W298" s="10"/>
      <c r="X298" s="10"/>
      <c r="Y298" s="10"/>
      <c r="Z298" s="10"/>
      <c r="AA298" s="10"/>
    </row>
    <row r="299" spans="1:27" ht="12.5" x14ac:dyDescent="0.25">
      <c r="A299" s="10" t="s">
        <v>104</v>
      </c>
      <c r="B299" s="10" t="s">
        <v>488</v>
      </c>
      <c r="C299" s="10" t="s">
        <v>76</v>
      </c>
      <c r="D299" s="11">
        <v>2024</v>
      </c>
      <c r="E299" s="10" t="s">
        <v>81</v>
      </c>
      <c r="F299" s="10" t="s">
        <v>83</v>
      </c>
      <c r="G299" s="10" t="s">
        <v>84</v>
      </c>
      <c r="H299" s="11">
        <v>56421</v>
      </c>
      <c r="I299" s="11">
        <v>8010</v>
      </c>
      <c r="J299" s="11">
        <v>7672</v>
      </c>
      <c r="K299" s="11">
        <v>24022</v>
      </c>
      <c r="L299" s="11">
        <v>0.14196946445372299</v>
      </c>
      <c r="M299" s="11">
        <f t="shared" si="1"/>
        <v>14.196841601531347</v>
      </c>
      <c r="N299" s="11">
        <v>0.95780274656679198</v>
      </c>
      <c r="O299" s="11">
        <v>0.42576660113699599</v>
      </c>
      <c r="P299" s="11">
        <v>0.79729729729729704</v>
      </c>
      <c r="Q299" s="11">
        <v>0.86206896551724099</v>
      </c>
      <c r="R299" s="11">
        <v>0.84108527131782995</v>
      </c>
      <c r="S299" s="10" t="s">
        <v>84</v>
      </c>
      <c r="T299" s="10" t="s">
        <v>84</v>
      </c>
      <c r="U299" s="10"/>
      <c r="V299" s="10"/>
      <c r="W299" s="10"/>
      <c r="X299" s="10"/>
      <c r="Y299" s="10"/>
      <c r="Z299" s="10"/>
      <c r="AA299" s="10"/>
    </row>
    <row r="300" spans="1:27" ht="12.5" x14ac:dyDescent="0.25">
      <c r="A300" s="10" t="s">
        <v>96</v>
      </c>
      <c r="B300" s="10" t="s">
        <v>571</v>
      </c>
      <c r="C300" s="10" t="s">
        <v>76</v>
      </c>
      <c r="D300" s="11">
        <v>2024</v>
      </c>
      <c r="E300" s="10" t="s">
        <v>124</v>
      </c>
      <c r="F300" s="10" t="s">
        <v>83</v>
      </c>
      <c r="G300" s="10" t="s">
        <v>84</v>
      </c>
      <c r="H300" s="11">
        <v>11274</v>
      </c>
      <c r="I300" s="11">
        <v>1596</v>
      </c>
      <c r="J300" s="11">
        <v>1056</v>
      </c>
      <c r="K300" s="11">
        <v>7560</v>
      </c>
      <c r="L300" s="11">
        <v>0.141564662054284</v>
      </c>
      <c r="M300" s="11">
        <f t="shared" si="1"/>
        <v>14.156466205428419</v>
      </c>
      <c r="N300" s="11">
        <v>0.66165413533834605</v>
      </c>
      <c r="O300" s="11">
        <v>0.67056945183608296</v>
      </c>
      <c r="P300" s="11">
        <v>0.79645270270270296</v>
      </c>
      <c r="Q300" s="11">
        <v>1</v>
      </c>
      <c r="R300" s="11">
        <v>0.711409395973154</v>
      </c>
      <c r="S300" s="10" t="s">
        <v>84</v>
      </c>
      <c r="T300" s="10" t="s">
        <v>84</v>
      </c>
      <c r="U300" s="10"/>
      <c r="V300" s="10"/>
      <c r="W300" s="10"/>
      <c r="X300" s="10"/>
      <c r="Y300" s="10"/>
      <c r="Z300" s="10"/>
      <c r="AA300" s="10"/>
    </row>
    <row r="301" spans="1:27" ht="12.5" hidden="1" x14ac:dyDescent="0.25">
      <c r="A301" s="10" t="s">
        <v>115</v>
      </c>
      <c r="B301" s="10" t="s">
        <v>1115</v>
      </c>
      <c r="C301" s="10" t="s">
        <v>191</v>
      </c>
      <c r="D301" s="11">
        <v>2024</v>
      </c>
      <c r="E301" s="10" t="s">
        <v>124</v>
      </c>
      <c r="F301" s="10" t="s">
        <v>125</v>
      </c>
      <c r="G301" s="10" t="s">
        <v>84</v>
      </c>
      <c r="H301" s="12">
        <v>170</v>
      </c>
      <c r="I301" s="11">
        <v>24</v>
      </c>
      <c r="J301" s="11">
        <v>24</v>
      </c>
      <c r="K301" s="11">
        <v>180</v>
      </c>
      <c r="L301" s="11">
        <v>0.14117647058823499</v>
      </c>
      <c r="M301" s="11">
        <f t="shared" si="1"/>
        <v>14.117647058823529</v>
      </c>
      <c r="N301" s="11">
        <v>1</v>
      </c>
      <c r="O301" s="11">
        <v>1.0588235294117601</v>
      </c>
      <c r="P301" s="11">
        <v>0.89093137254902</v>
      </c>
      <c r="Q301" s="11">
        <v>1</v>
      </c>
      <c r="R301" s="11">
        <v>0.837209302325581</v>
      </c>
      <c r="S301" s="10" t="s">
        <v>84</v>
      </c>
      <c r="T301" s="10" t="s">
        <v>84</v>
      </c>
      <c r="U301" s="10"/>
      <c r="V301" s="10"/>
      <c r="W301" s="10"/>
      <c r="X301" s="10"/>
      <c r="Y301" s="10"/>
      <c r="Z301" s="10"/>
      <c r="AA301" s="10"/>
    </row>
    <row r="302" spans="1:27" ht="12.5" hidden="1" x14ac:dyDescent="0.25">
      <c r="A302" s="10" t="s">
        <v>10</v>
      </c>
      <c r="B302" s="10" t="s">
        <v>1118</v>
      </c>
      <c r="C302" s="10" t="s">
        <v>191</v>
      </c>
      <c r="D302" s="11">
        <v>2024</v>
      </c>
      <c r="E302" s="10" t="s">
        <v>124</v>
      </c>
      <c r="F302" s="10" t="s">
        <v>125</v>
      </c>
      <c r="G302" s="10" t="s">
        <v>84</v>
      </c>
      <c r="H302" s="12">
        <v>342.66666666666703</v>
      </c>
      <c r="I302" s="11">
        <v>48</v>
      </c>
      <c r="J302" s="11">
        <v>46</v>
      </c>
      <c r="K302" s="11">
        <v>364</v>
      </c>
      <c r="L302" s="11">
        <v>0.14007782101167299</v>
      </c>
      <c r="M302" s="11">
        <f t="shared" si="1"/>
        <v>14.007782101167301</v>
      </c>
      <c r="N302" s="11">
        <v>0.95833333333333304</v>
      </c>
      <c r="O302" s="11">
        <v>1.0622568093385201</v>
      </c>
      <c r="P302" s="11">
        <v>0.88970588235294101</v>
      </c>
      <c r="Q302" s="11">
        <v>0.79310344827586199</v>
      </c>
      <c r="R302" s="11">
        <v>0.83527131782945696</v>
      </c>
      <c r="S302" s="10" t="s">
        <v>84</v>
      </c>
      <c r="T302" s="10" t="s">
        <v>84</v>
      </c>
      <c r="U302" s="10"/>
      <c r="V302" s="10"/>
      <c r="W302" s="10"/>
      <c r="X302" s="10"/>
      <c r="Y302" s="10"/>
      <c r="Z302" s="10"/>
      <c r="AA302" s="10"/>
    </row>
    <row r="303" spans="1:27" ht="12.5" x14ac:dyDescent="0.25">
      <c r="A303" s="10" t="s">
        <v>52</v>
      </c>
      <c r="B303" s="10" t="s">
        <v>490</v>
      </c>
      <c r="C303" s="10" t="s">
        <v>76</v>
      </c>
      <c r="D303" s="11">
        <v>2024</v>
      </c>
      <c r="E303" s="10" t="s">
        <v>81</v>
      </c>
      <c r="F303" s="10" t="s">
        <v>83</v>
      </c>
      <c r="G303" s="10" t="s">
        <v>84</v>
      </c>
      <c r="H303" s="11">
        <v>44496</v>
      </c>
      <c r="I303" s="11">
        <v>6198</v>
      </c>
      <c r="J303" s="11">
        <v>2007</v>
      </c>
      <c r="K303" s="11">
        <v>45870</v>
      </c>
      <c r="L303" s="11">
        <v>0.139294984886112</v>
      </c>
      <c r="M303" s="11">
        <f t="shared" si="1"/>
        <v>13.929341963322544</v>
      </c>
      <c r="N303" s="11">
        <v>0.32381413359148098</v>
      </c>
      <c r="O303" s="11">
        <v>1.0308907642345899</v>
      </c>
      <c r="P303" s="11">
        <v>0.795608108108108</v>
      </c>
      <c r="Q303" s="11">
        <v>0.70212765957446799</v>
      </c>
      <c r="R303" s="11">
        <v>0.83914728682170503</v>
      </c>
      <c r="S303" s="10" t="s">
        <v>84</v>
      </c>
      <c r="T303" s="10" t="s">
        <v>84</v>
      </c>
      <c r="U303" s="10"/>
      <c r="V303" s="10"/>
      <c r="W303" s="10"/>
      <c r="X303" s="10"/>
      <c r="Y303" s="10"/>
      <c r="Z303" s="10"/>
      <c r="AA303" s="10"/>
    </row>
    <row r="304" spans="1:27" ht="12.5" x14ac:dyDescent="0.25">
      <c r="A304" s="10" t="s">
        <v>29</v>
      </c>
      <c r="B304" s="10" t="s">
        <v>574</v>
      </c>
      <c r="C304" s="10" t="s">
        <v>76</v>
      </c>
      <c r="D304" s="11">
        <v>2024</v>
      </c>
      <c r="E304" s="10" t="s">
        <v>124</v>
      </c>
      <c r="F304" s="10" t="s">
        <v>83</v>
      </c>
      <c r="G304" s="10" t="s">
        <v>84</v>
      </c>
      <c r="H304" s="11">
        <v>17898</v>
      </c>
      <c r="I304" s="11">
        <v>2491</v>
      </c>
      <c r="J304" s="11">
        <v>2172</v>
      </c>
      <c r="K304" s="11">
        <v>41175</v>
      </c>
      <c r="L304" s="11">
        <v>0.13917432175099301</v>
      </c>
      <c r="M304" s="11">
        <f t="shared" si="1"/>
        <v>13.917756173874176</v>
      </c>
      <c r="N304" s="11">
        <v>0.87193898032918504</v>
      </c>
      <c r="O304" s="11">
        <v>2.3004828173814298</v>
      </c>
      <c r="P304" s="11">
        <v>0.79476351351351304</v>
      </c>
      <c r="Q304" s="11">
        <v>0.61224489795918402</v>
      </c>
      <c r="R304" s="11">
        <v>0.70917225950783003</v>
      </c>
      <c r="S304" s="10" t="s">
        <v>84</v>
      </c>
      <c r="T304" s="10" t="s">
        <v>84</v>
      </c>
      <c r="U304" s="10"/>
      <c r="V304" s="10"/>
      <c r="W304" s="10"/>
      <c r="X304" s="10"/>
      <c r="Y304" s="10"/>
      <c r="Z304" s="10"/>
      <c r="AA304" s="10"/>
    </row>
    <row r="305" spans="1:27" ht="12.5" hidden="1" x14ac:dyDescent="0.25">
      <c r="A305" s="10" t="s">
        <v>55</v>
      </c>
      <c r="B305" s="10" t="s">
        <v>1125</v>
      </c>
      <c r="C305" s="10" t="s">
        <v>191</v>
      </c>
      <c r="D305" s="11">
        <v>2024</v>
      </c>
      <c r="E305" s="10" t="s">
        <v>124</v>
      </c>
      <c r="F305" s="10" t="s">
        <v>125</v>
      </c>
      <c r="G305" s="10" t="s">
        <v>84</v>
      </c>
      <c r="H305" s="12">
        <v>1452</v>
      </c>
      <c r="I305" s="11">
        <v>202</v>
      </c>
      <c r="J305" s="11">
        <v>176</v>
      </c>
      <c r="K305" s="11">
        <v>2419</v>
      </c>
      <c r="L305" s="11">
        <v>0.13910249053139001</v>
      </c>
      <c r="M305" s="11">
        <f t="shared" si="1"/>
        <v>13.911845730027547</v>
      </c>
      <c r="N305" s="11">
        <v>0.87128712871287095</v>
      </c>
      <c r="O305" s="11">
        <v>1.66578675542293</v>
      </c>
      <c r="P305" s="11">
        <v>0.88848039215686303</v>
      </c>
      <c r="Q305" s="11">
        <v>0.92592592592592604</v>
      </c>
      <c r="R305" s="11">
        <v>0.83333333333333304</v>
      </c>
      <c r="S305" s="10" t="s">
        <v>84</v>
      </c>
      <c r="T305" s="10" t="s">
        <v>84</v>
      </c>
      <c r="U305" s="10"/>
      <c r="V305" s="10"/>
      <c r="W305" s="10"/>
      <c r="X305" s="10"/>
      <c r="Y305" s="10"/>
      <c r="Z305" s="10"/>
      <c r="AA305" s="10"/>
    </row>
    <row r="306" spans="1:27" ht="12.5" x14ac:dyDescent="0.25">
      <c r="A306" s="10" t="s">
        <v>55</v>
      </c>
      <c r="B306" s="10" t="s">
        <v>577</v>
      </c>
      <c r="C306" s="10" t="s">
        <v>76</v>
      </c>
      <c r="D306" s="11">
        <v>2024</v>
      </c>
      <c r="E306" s="10" t="s">
        <v>124</v>
      </c>
      <c r="F306" s="10" t="s">
        <v>125</v>
      </c>
      <c r="G306" s="10" t="s">
        <v>84</v>
      </c>
      <c r="H306" s="11">
        <v>1452</v>
      </c>
      <c r="I306" s="11">
        <v>202</v>
      </c>
      <c r="J306" s="11">
        <v>176</v>
      </c>
      <c r="K306" s="11">
        <v>2419</v>
      </c>
      <c r="L306" s="11">
        <v>0.139078547248838</v>
      </c>
      <c r="M306" s="11">
        <f t="shared" si="1"/>
        <v>13.911845730027547</v>
      </c>
      <c r="N306" s="11">
        <v>0.87128712871287095</v>
      </c>
      <c r="O306" s="11">
        <v>1.6655000286878201</v>
      </c>
      <c r="P306" s="11">
        <v>0.79391891891891897</v>
      </c>
      <c r="Q306" s="11">
        <v>0.81818181818181801</v>
      </c>
      <c r="R306" s="11">
        <v>0.70693512304250605</v>
      </c>
      <c r="S306" s="10" t="s">
        <v>84</v>
      </c>
      <c r="T306" s="10" t="s">
        <v>84</v>
      </c>
      <c r="U306" s="10"/>
      <c r="V306" s="10"/>
      <c r="W306" s="10"/>
      <c r="X306" s="10"/>
      <c r="Y306" s="10"/>
      <c r="Z306" s="10"/>
      <c r="AA306" s="10"/>
    </row>
    <row r="307" spans="1:27" ht="12.5" hidden="1" x14ac:dyDescent="0.25">
      <c r="A307" s="10" t="s">
        <v>52</v>
      </c>
      <c r="B307" s="10" t="s">
        <v>1130</v>
      </c>
      <c r="C307" s="10" t="s">
        <v>191</v>
      </c>
      <c r="D307" s="11">
        <v>2024</v>
      </c>
      <c r="E307" s="10" t="s">
        <v>124</v>
      </c>
      <c r="F307" s="10" t="s">
        <v>125</v>
      </c>
      <c r="G307" s="10" t="s">
        <v>84</v>
      </c>
      <c r="H307" s="12">
        <v>323.66666666666703</v>
      </c>
      <c r="I307" s="11">
        <v>45</v>
      </c>
      <c r="J307" s="11">
        <v>42</v>
      </c>
      <c r="K307" s="11">
        <v>184</v>
      </c>
      <c r="L307" s="11">
        <v>0.13903192584964</v>
      </c>
      <c r="M307" s="11">
        <f t="shared" si="1"/>
        <v>13.903192584963939</v>
      </c>
      <c r="N307" s="11">
        <v>0.93333333333333302</v>
      </c>
      <c r="O307" s="11">
        <v>0.56848609680741502</v>
      </c>
      <c r="P307" s="11">
        <v>0.88725490196078405</v>
      </c>
      <c r="Q307" s="11">
        <v>0.92857142857142905</v>
      </c>
      <c r="R307" s="11">
        <v>0.831395348837209</v>
      </c>
      <c r="S307" s="10" t="s">
        <v>84</v>
      </c>
      <c r="T307" s="10" t="s">
        <v>84</v>
      </c>
      <c r="U307" s="10"/>
      <c r="V307" s="10"/>
      <c r="W307" s="10"/>
      <c r="X307" s="10"/>
      <c r="Y307" s="10"/>
      <c r="Z307" s="10"/>
      <c r="AA307" s="10"/>
    </row>
    <row r="308" spans="1:27" ht="12.5" x14ac:dyDescent="0.25">
      <c r="A308" s="10" t="s">
        <v>55</v>
      </c>
      <c r="B308" s="10" t="s">
        <v>492</v>
      </c>
      <c r="C308" s="10" t="s">
        <v>76</v>
      </c>
      <c r="D308" s="11">
        <v>2024</v>
      </c>
      <c r="E308" s="10" t="s">
        <v>81</v>
      </c>
      <c r="F308" s="10" t="s">
        <v>83</v>
      </c>
      <c r="G308" s="10" t="s">
        <v>84</v>
      </c>
      <c r="H308" s="11">
        <v>5060</v>
      </c>
      <c r="I308" s="11">
        <v>703</v>
      </c>
      <c r="J308" s="11">
        <v>655</v>
      </c>
      <c r="K308" s="11">
        <v>9813</v>
      </c>
      <c r="L308" s="11">
        <v>0.13893509445148999</v>
      </c>
      <c r="M308" s="11">
        <f t="shared" si="1"/>
        <v>13.893280632411068</v>
      </c>
      <c r="N308" s="11">
        <v>0.93172119487909</v>
      </c>
      <c r="O308" s="11">
        <v>1.9393600026350899</v>
      </c>
      <c r="P308" s="11">
        <v>0.79307432432432401</v>
      </c>
      <c r="Q308" s="11">
        <v>0.77272727272727304</v>
      </c>
      <c r="R308" s="11">
        <v>0.837209302325581</v>
      </c>
      <c r="S308" s="10" t="s">
        <v>84</v>
      </c>
      <c r="T308" s="10" t="s">
        <v>84</v>
      </c>
      <c r="U308" s="10"/>
      <c r="V308" s="10"/>
      <c r="W308" s="10"/>
      <c r="X308" s="10"/>
      <c r="Y308" s="10"/>
      <c r="Z308" s="10"/>
      <c r="AA308" s="10"/>
    </row>
    <row r="309" spans="1:27" ht="12.5" hidden="1" x14ac:dyDescent="0.25">
      <c r="A309" s="10" t="s">
        <v>19</v>
      </c>
      <c r="B309" s="10" t="s">
        <v>1136</v>
      </c>
      <c r="C309" s="10" t="s">
        <v>191</v>
      </c>
      <c r="D309" s="11">
        <v>2024</v>
      </c>
      <c r="E309" s="10" t="s">
        <v>124</v>
      </c>
      <c r="F309" s="10" t="s">
        <v>125</v>
      </c>
      <c r="G309" s="10" t="s">
        <v>84</v>
      </c>
      <c r="H309" s="12">
        <v>6011</v>
      </c>
      <c r="I309" s="11">
        <v>831</v>
      </c>
      <c r="J309" s="11">
        <v>635</v>
      </c>
      <c r="K309" s="11">
        <v>11261</v>
      </c>
      <c r="L309" s="11">
        <v>0.13825038125606501</v>
      </c>
      <c r="M309" s="11">
        <f t="shared" si="1"/>
        <v>13.824654799534187</v>
      </c>
      <c r="N309" s="11">
        <v>0.76413959085439198</v>
      </c>
      <c r="O309" s="11">
        <v>1.8734507139886301</v>
      </c>
      <c r="P309" s="11">
        <v>0.88602941176470595</v>
      </c>
      <c r="Q309" s="11">
        <v>0.72727272727272696</v>
      </c>
      <c r="R309" s="11">
        <v>0.82945736434108497</v>
      </c>
      <c r="S309" s="10" t="s">
        <v>84</v>
      </c>
      <c r="T309" s="10" t="s">
        <v>84</v>
      </c>
      <c r="U309" s="10"/>
      <c r="V309" s="10"/>
      <c r="W309" s="10"/>
      <c r="X309" s="10"/>
      <c r="Y309" s="10"/>
      <c r="Z309" s="10"/>
      <c r="AA309" s="10"/>
    </row>
    <row r="310" spans="1:27" ht="12.5" x14ac:dyDescent="0.25">
      <c r="A310" s="10" t="s">
        <v>52</v>
      </c>
      <c r="B310" s="10" t="s">
        <v>579</v>
      </c>
      <c r="C310" s="10" t="s">
        <v>76</v>
      </c>
      <c r="D310" s="11">
        <v>2024</v>
      </c>
      <c r="E310" s="10" t="s">
        <v>124</v>
      </c>
      <c r="F310" s="10" t="s">
        <v>125</v>
      </c>
      <c r="G310" s="10" t="s">
        <v>84</v>
      </c>
      <c r="H310" s="11">
        <v>753</v>
      </c>
      <c r="I310" s="11">
        <v>104</v>
      </c>
      <c r="J310" s="11">
        <v>95</v>
      </c>
      <c r="K310" s="11">
        <v>1202</v>
      </c>
      <c r="L310" s="11">
        <v>0.138129496402878</v>
      </c>
      <c r="M310" s="11">
        <f t="shared" si="1"/>
        <v>13.811420982735722</v>
      </c>
      <c r="N310" s="11">
        <v>0.91346153846153799</v>
      </c>
      <c r="O310" s="11">
        <v>1.5964582180409499</v>
      </c>
      <c r="P310" s="11">
        <v>0.79138513513513498</v>
      </c>
      <c r="Q310" s="11">
        <v>0.680851063829787</v>
      </c>
      <c r="R310" s="11">
        <v>0.70469798657718097</v>
      </c>
      <c r="S310" s="10" t="s">
        <v>84</v>
      </c>
      <c r="T310" s="10" t="s">
        <v>84</v>
      </c>
      <c r="U310" s="10"/>
      <c r="V310" s="10"/>
      <c r="W310" s="10"/>
      <c r="X310" s="10"/>
      <c r="Y310" s="10"/>
      <c r="Z310" s="10"/>
      <c r="AA310" s="10"/>
    </row>
    <row r="311" spans="1:27" ht="12.5" x14ac:dyDescent="0.25">
      <c r="A311" s="10" t="s">
        <v>6</v>
      </c>
      <c r="B311" s="10" t="s">
        <v>581</v>
      </c>
      <c r="C311" s="10" t="s">
        <v>76</v>
      </c>
      <c r="D311" s="11">
        <v>2024</v>
      </c>
      <c r="E311" s="10" t="s">
        <v>124</v>
      </c>
      <c r="F311" s="10" t="s">
        <v>83</v>
      </c>
      <c r="G311" s="10" t="s">
        <v>84</v>
      </c>
      <c r="H311" s="11">
        <v>3815</v>
      </c>
      <c r="I311" s="11">
        <v>526</v>
      </c>
      <c r="J311" s="11">
        <v>577</v>
      </c>
      <c r="K311" s="11">
        <v>3213</v>
      </c>
      <c r="L311" s="11">
        <v>0.13787981388846399</v>
      </c>
      <c r="M311" s="11">
        <f t="shared" si="1"/>
        <v>13.787680209698557</v>
      </c>
      <c r="N311" s="11">
        <v>1.09695817490494</v>
      </c>
      <c r="O311" s="11">
        <v>0.84222023198409801</v>
      </c>
      <c r="P311" s="11">
        <v>0.79054054054054101</v>
      </c>
      <c r="Q311" s="11">
        <v>0.93548387096774199</v>
      </c>
      <c r="R311" s="11">
        <v>0.70246085011185699</v>
      </c>
      <c r="S311" s="10" t="s">
        <v>84</v>
      </c>
      <c r="T311" s="10" t="s">
        <v>84</v>
      </c>
      <c r="U311" s="10"/>
      <c r="V311" s="10"/>
      <c r="W311" s="10"/>
      <c r="X311" s="10"/>
      <c r="Y311" s="10"/>
      <c r="Z311" s="10"/>
      <c r="AA311" s="10"/>
    </row>
    <row r="312" spans="1:27" ht="12.5" hidden="1" x14ac:dyDescent="0.25">
      <c r="A312" s="10" t="s">
        <v>77</v>
      </c>
      <c r="B312" s="10" t="s">
        <v>1143</v>
      </c>
      <c r="C312" s="10" t="s">
        <v>191</v>
      </c>
      <c r="D312" s="11">
        <v>2024</v>
      </c>
      <c r="E312" s="10" t="s">
        <v>124</v>
      </c>
      <c r="F312" s="10" t="s">
        <v>125</v>
      </c>
      <c r="G312" s="10" t="s">
        <v>84</v>
      </c>
      <c r="H312" s="12">
        <v>522.75</v>
      </c>
      <c r="I312" s="11">
        <v>72</v>
      </c>
      <c r="J312" s="11">
        <v>70</v>
      </c>
      <c r="K312" s="11">
        <v>841</v>
      </c>
      <c r="L312" s="11">
        <v>0.137733142037303</v>
      </c>
      <c r="M312" s="11">
        <f t="shared" si="1"/>
        <v>13.773314203730273</v>
      </c>
      <c r="N312" s="11">
        <v>0.97222222222222199</v>
      </c>
      <c r="O312" s="11">
        <v>1.60879961740794</v>
      </c>
      <c r="P312" s="11">
        <v>0.88480392156862697</v>
      </c>
      <c r="Q312" s="11">
        <v>1</v>
      </c>
      <c r="R312" s="11">
        <v>0.82751937984496104</v>
      </c>
      <c r="S312" s="10" t="s">
        <v>84</v>
      </c>
      <c r="T312" s="10" t="s">
        <v>84</v>
      </c>
      <c r="U312" s="10"/>
      <c r="V312" s="10"/>
      <c r="W312" s="10"/>
      <c r="X312" s="10"/>
      <c r="Y312" s="10"/>
      <c r="Z312" s="10"/>
      <c r="AA312" s="10"/>
    </row>
    <row r="313" spans="1:27" ht="12.5" x14ac:dyDescent="0.25">
      <c r="A313" s="10" t="s">
        <v>80</v>
      </c>
      <c r="B313" s="10" t="s">
        <v>495</v>
      </c>
      <c r="C313" s="10" t="s">
        <v>76</v>
      </c>
      <c r="D313" s="11">
        <v>2024</v>
      </c>
      <c r="E313" s="10" t="s">
        <v>81</v>
      </c>
      <c r="F313" s="10" t="s">
        <v>83</v>
      </c>
      <c r="G313" s="10" t="s">
        <v>84</v>
      </c>
      <c r="H313" s="11">
        <v>29325</v>
      </c>
      <c r="I313" s="11">
        <v>4038</v>
      </c>
      <c r="J313" s="11">
        <v>3994</v>
      </c>
      <c r="K313" s="11">
        <v>7961</v>
      </c>
      <c r="L313" s="11">
        <v>0.13769899232163901</v>
      </c>
      <c r="M313" s="11">
        <f t="shared" si="1"/>
        <v>13.769820971867009</v>
      </c>
      <c r="N313" s="11">
        <v>0.98910351659237306</v>
      </c>
      <c r="O313" s="11">
        <v>0.27147639372772803</v>
      </c>
      <c r="P313" s="11">
        <v>0.78969594594594605</v>
      </c>
      <c r="Q313" s="11">
        <v>0.9</v>
      </c>
      <c r="R313" s="11">
        <v>0.83527131782945696</v>
      </c>
      <c r="S313" s="10" t="s">
        <v>84</v>
      </c>
      <c r="T313" s="10" t="s">
        <v>84</v>
      </c>
      <c r="U313" s="10"/>
      <c r="V313" s="10"/>
      <c r="W313" s="10"/>
      <c r="X313" s="10"/>
      <c r="Y313" s="10"/>
      <c r="Z313" s="10"/>
      <c r="AA313" s="10"/>
    </row>
    <row r="314" spans="1:27" ht="12.5" hidden="1" x14ac:dyDescent="0.25">
      <c r="A314" s="10" t="s">
        <v>13</v>
      </c>
      <c r="B314" s="10" t="s">
        <v>1148</v>
      </c>
      <c r="C314" s="10" t="s">
        <v>191</v>
      </c>
      <c r="D314" s="11">
        <v>2024</v>
      </c>
      <c r="E314" s="10" t="s">
        <v>124</v>
      </c>
      <c r="F314" s="10" t="s">
        <v>125</v>
      </c>
      <c r="G314" s="10" t="s">
        <v>84</v>
      </c>
      <c r="H314" s="12">
        <v>6043</v>
      </c>
      <c r="I314" s="11">
        <v>832</v>
      </c>
      <c r="J314" s="11">
        <v>830</v>
      </c>
      <c r="K314" s="11">
        <v>22330</v>
      </c>
      <c r="L314" s="11">
        <v>0.137683757619218</v>
      </c>
      <c r="M314" s="11">
        <f t="shared" si="1"/>
        <v>13.767996028462685</v>
      </c>
      <c r="N314" s="11">
        <v>0.99759615384615397</v>
      </c>
      <c r="O314" s="11">
        <v>3.6952864274484898</v>
      </c>
      <c r="P314" s="11">
        <v>0.88357843137254899</v>
      </c>
      <c r="Q314" s="11">
        <v>0.74137931034482796</v>
      </c>
      <c r="R314" s="11">
        <v>0.82558139534883701</v>
      </c>
      <c r="S314" s="10" t="s">
        <v>84</v>
      </c>
      <c r="T314" s="10" t="s">
        <v>84</v>
      </c>
      <c r="U314" s="10"/>
      <c r="V314" s="10"/>
      <c r="W314" s="10"/>
      <c r="X314" s="10"/>
      <c r="Y314" s="10"/>
      <c r="Z314" s="10"/>
      <c r="AA314" s="10"/>
    </row>
    <row r="315" spans="1:27" ht="12.5" hidden="1" x14ac:dyDescent="0.25">
      <c r="A315" s="10" t="s">
        <v>12</v>
      </c>
      <c r="B315" s="10" t="s">
        <v>1151</v>
      </c>
      <c r="C315" s="10" t="s">
        <v>191</v>
      </c>
      <c r="D315" s="11">
        <v>2024</v>
      </c>
      <c r="E315" s="10" t="s">
        <v>124</v>
      </c>
      <c r="F315" s="10" t="s">
        <v>125</v>
      </c>
      <c r="G315" s="10" t="s">
        <v>84</v>
      </c>
      <c r="H315" s="12">
        <v>196.75</v>
      </c>
      <c r="I315" s="11">
        <v>27</v>
      </c>
      <c r="J315" s="11">
        <v>22</v>
      </c>
      <c r="K315" s="11">
        <v>501</v>
      </c>
      <c r="L315" s="11">
        <v>0.13722998729352001</v>
      </c>
      <c r="M315" s="11">
        <f t="shared" si="1"/>
        <v>13.722998729351971</v>
      </c>
      <c r="N315" s="11">
        <v>0.81481481481481499</v>
      </c>
      <c r="O315" s="11">
        <v>2.5463786531130901</v>
      </c>
      <c r="P315" s="11">
        <v>0.88235294117647001</v>
      </c>
      <c r="Q315" s="11">
        <v>0.79365079365079405</v>
      </c>
      <c r="R315" s="11">
        <v>0.82364341085271298</v>
      </c>
      <c r="S315" s="10" t="s">
        <v>84</v>
      </c>
      <c r="T315" s="10" t="s">
        <v>84</v>
      </c>
      <c r="U315" s="10"/>
      <c r="V315" s="10"/>
      <c r="W315" s="10"/>
      <c r="X315" s="10"/>
      <c r="Y315" s="10"/>
      <c r="Z315" s="10"/>
      <c r="AA315" s="10"/>
    </row>
    <row r="316" spans="1:27" ht="12.5" x14ac:dyDescent="0.25">
      <c r="A316" s="10" t="s">
        <v>14</v>
      </c>
      <c r="B316" s="10" t="s">
        <v>497</v>
      </c>
      <c r="C316" s="10" t="s">
        <v>76</v>
      </c>
      <c r="D316" s="11">
        <v>2024</v>
      </c>
      <c r="E316" s="10" t="s">
        <v>81</v>
      </c>
      <c r="F316" s="10" t="s">
        <v>83</v>
      </c>
      <c r="G316" s="10" t="s">
        <v>84</v>
      </c>
      <c r="H316" s="11">
        <v>17719</v>
      </c>
      <c r="I316" s="11">
        <v>2430</v>
      </c>
      <c r="J316" s="11">
        <v>2180</v>
      </c>
      <c r="K316" s="11">
        <v>44016</v>
      </c>
      <c r="L316" s="11">
        <v>0.13713963222499201</v>
      </c>
      <c r="M316" s="11">
        <f t="shared" si="1"/>
        <v>13.714092217393759</v>
      </c>
      <c r="N316" s="11">
        <v>0.89711934156378603</v>
      </c>
      <c r="O316" s="11">
        <v>2.4840897333396001</v>
      </c>
      <c r="P316" s="11">
        <v>0.78800675675675702</v>
      </c>
      <c r="Q316" s="11">
        <v>0.5</v>
      </c>
      <c r="R316" s="11">
        <v>0.83333333333333304</v>
      </c>
      <c r="S316" s="10" t="s">
        <v>84</v>
      </c>
      <c r="T316" s="10" t="s">
        <v>84</v>
      </c>
      <c r="U316" s="10"/>
      <c r="V316" s="10"/>
      <c r="W316" s="10"/>
      <c r="X316" s="10"/>
      <c r="Y316" s="10"/>
      <c r="Z316" s="10"/>
      <c r="AA316" s="10"/>
    </row>
    <row r="317" spans="1:27" ht="12.5" hidden="1" x14ac:dyDescent="0.25">
      <c r="A317" s="10" t="s">
        <v>13</v>
      </c>
      <c r="B317" s="10" t="s">
        <v>1155</v>
      </c>
      <c r="C317" s="10" t="s">
        <v>191</v>
      </c>
      <c r="D317" s="11">
        <v>2024</v>
      </c>
      <c r="E317" s="10" t="s">
        <v>124</v>
      </c>
      <c r="F317" s="10" t="s">
        <v>125</v>
      </c>
      <c r="G317" s="10" t="s">
        <v>84</v>
      </c>
      <c r="H317" s="12">
        <v>211.666666666667</v>
      </c>
      <c r="I317" s="11">
        <v>29</v>
      </c>
      <c r="J317" s="11">
        <v>23</v>
      </c>
      <c r="K317" s="11">
        <v>0</v>
      </c>
      <c r="L317" s="11">
        <v>0.13700787401574799</v>
      </c>
      <c r="M317" s="11">
        <f t="shared" si="1"/>
        <v>13.700787401574782</v>
      </c>
      <c r="N317" s="11">
        <v>0.79310344827586199</v>
      </c>
      <c r="O317" s="11">
        <v>0</v>
      </c>
      <c r="P317" s="11">
        <v>0.88112745098039202</v>
      </c>
      <c r="Q317" s="11">
        <v>0.72413793103448298</v>
      </c>
      <c r="R317" s="11">
        <v>0.82170542635658905</v>
      </c>
      <c r="S317" s="10" t="s">
        <v>84</v>
      </c>
      <c r="T317" s="10" t="s">
        <v>84</v>
      </c>
      <c r="U317" s="10"/>
      <c r="V317" s="10"/>
      <c r="W317" s="10"/>
      <c r="X317" s="10"/>
      <c r="Y317" s="10"/>
      <c r="Z317" s="10"/>
      <c r="AA317" s="10"/>
    </row>
    <row r="318" spans="1:27" ht="12.5" hidden="1" x14ac:dyDescent="0.25">
      <c r="A318" s="10" t="s">
        <v>29</v>
      </c>
      <c r="B318" s="10" t="s">
        <v>1159</v>
      </c>
      <c r="C318" s="10" t="s">
        <v>191</v>
      </c>
      <c r="D318" s="11">
        <v>2024</v>
      </c>
      <c r="E318" s="10" t="s">
        <v>124</v>
      </c>
      <c r="F318" s="10" t="s">
        <v>125</v>
      </c>
      <c r="G318" s="10" t="s">
        <v>84</v>
      </c>
      <c r="H318" s="12">
        <v>1825</v>
      </c>
      <c r="I318" s="11">
        <v>250</v>
      </c>
      <c r="J318" s="11">
        <v>250</v>
      </c>
      <c r="K318" s="11">
        <v>262</v>
      </c>
      <c r="L318" s="11">
        <v>0.13695503309746601</v>
      </c>
      <c r="M318" s="11">
        <f t="shared" si="1"/>
        <v>13.698630136986301</v>
      </c>
      <c r="N318" s="11">
        <v>1</v>
      </c>
      <c r="O318" s="11">
        <v>0.143528874686145</v>
      </c>
      <c r="P318" s="11">
        <v>0.87990196078431404</v>
      </c>
      <c r="Q318" s="11">
        <v>0.78873239436619702</v>
      </c>
      <c r="R318" s="11">
        <v>0.81976744186046502</v>
      </c>
      <c r="S318" s="10" t="s">
        <v>84</v>
      </c>
      <c r="T318" s="10" t="s">
        <v>84</v>
      </c>
      <c r="U318" s="10"/>
      <c r="V318" s="10"/>
      <c r="W318" s="10"/>
      <c r="X318" s="10"/>
      <c r="Y318" s="10"/>
      <c r="Z318" s="10"/>
      <c r="AA318" s="10"/>
    </row>
    <row r="319" spans="1:27" ht="12.5" x14ac:dyDescent="0.25">
      <c r="A319" s="10" t="s">
        <v>58</v>
      </c>
      <c r="B319" s="10" t="s">
        <v>584</v>
      </c>
      <c r="C319" s="10" t="s">
        <v>76</v>
      </c>
      <c r="D319" s="11">
        <v>2024</v>
      </c>
      <c r="E319" s="10" t="s">
        <v>124</v>
      </c>
      <c r="F319" s="10" t="s">
        <v>83</v>
      </c>
      <c r="G319" s="10" t="s">
        <v>84</v>
      </c>
      <c r="H319" s="11">
        <v>16955</v>
      </c>
      <c r="I319" s="11">
        <v>2318</v>
      </c>
      <c r="J319" s="11">
        <v>2058</v>
      </c>
      <c r="K319" s="11">
        <v>14160</v>
      </c>
      <c r="L319" s="11">
        <v>0.13671416143634399</v>
      </c>
      <c r="M319" s="11">
        <f t="shared" si="1"/>
        <v>13.671483338248306</v>
      </c>
      <c r="N319" s="11">
        <v>0.88783433994823102</v>
      </c>
      <c r="O319" s="11">
        <v>0.83514776787689005</v>
      </c>
      <c r="P319" s="11">
        <v>0.78716216216216195</v>
      </c>
      <c r="Q319" s="11">
        <v>0.891891891891892</v>
      </c>
      <c r="R319" s="11">
        <v>0.70022371364653202</v>
      </c>
      <c r="S319" s="10" t="s">
        <v>84</v>
      </c>
      <c r="T319" s="10" t="s">
        <v>84</v>
      </c>
      <c r="U319" s="10"/>
      <c r="V319" s="10"/>
      <c r="W319" s="10"/>
      <c r="X319" s="10"/>
      <c r="Y319" s="10"/>
      <c r="Z319" s="10"/>
      <c r="AA319" s="10"/>
    </row>
    <row r="320" spans="1:27" ht="12.5" x14ac:dyDescent="0.25">
      <c r="A320" s="10" t="s">
        <v>25</v>
      </c>
      <c r="B320" s="10" t="s">
        <v>500</v>
      </c>
      <c r="C320" s="10" t="s">
        <v>76</v>
      </c>
      <c r="D320" s="11">
        <v>2024</v>
      </c>
      <c r="E320" s="10" t="s">
        <v>81</v>
      </c>
      <c r="F320" s="10" t="s">
        <v>83</v>
      </c>
      <c r="G320" s="10" t="s">
        <v>84</v>
      </c>
      <c r="H320" s="11">
        <v>11441</v>
      </c>
      <c r="I320" s="11">
        <v>1564</v>
      </c>
      <c r="J320" s="11">
        <v>1379</v>
      </c>
      <c r="K320" s="11">
        <v>14849</v>
      </c>
      <c r="L320" s="11">
        <v>0.13670034160517999</v>
      </c>
      <c r="M320" s="11">
        <f t="shared" si="1"/>
        <v>13.670133729569093</v>
      </c>
      <c r="N320" s="11">
        <v>0.88171355498721204</v>
      </c>
      <c r="O320" s="11">
        <v>1.2978666064548099</v>
      </c>
      <c r="P320" s="11">
        <v>0.78631756756756799</v>
      </c>
      <c r="Q320" s="11">
        <v>0.875</v>
      </c>
      <c r="R320" s="11">
        <v>0.831395348837209</v>
      </c>
      <c r="S320" s="10" t="s">
        <v>84</v>
      </c>
      <c r="T320" s="10" t="s">
        <v>84</v>
      </c>
      <c r="U320" s="10"/>
      <c r="V320" s="10"/>
      <c r="W320" s="10"/>
      <c r="X320" s="10"/>
      <c r="Y320" s="10"/>
      <c r="Z320" s="10"/>
      <c r="AA320" s="10"/>
    </row>
    <row r="321" spans="1:27" ht="12.5" x14ac:dyDescent="0.25">
      <c r="A321" s="10" t="s">
        <v>86</v>
      </c>
      <c r="B321" s="10" t="s">
        <v>588</v>
      </c>
      <c r="C321" s="10" t="s">
        <v>76</v>
      </c>
      <c r="D321" s="11">
        <v>2024</v>
      </c>
      <c r="E321" s="10" t="s">
        <v>124</v>
      </c>
      <c r="F321" s="10" t="s">
        <v>83</v>
      </c>
      <c r="G321" s="10" t="s">
        <v>84</v>
      </c>
      <c r="H321" s="11">
        <v>14292</v>
      </c>
      <c r="I321" s="11">
        <v>1951</v>
      </c>
      <c r="J321" s="11">
        <v>1828</v>
      </c>
      <c r="K321" s="11">
        <v>8812</v>
      </c>
      <c r="L321" s="11">
        <v>0.136512323543303</v>
      </c>
      <c r="M321" s="11">
        <f t="shared" si="1"/>
        <v>13.650993562832353</v>
      </c>
      <c r="N321" s="11">
        <v>0.93695540748334205</v>
      </c>
      <c r="O321" s="11">
        <v>0.61657949516329302</v>
      </c>
      <c r="P321" s="11">
        <v>0.78547297297297303</v>
      </c>
      <c r="Q321" s="11">
        <v>0.565217391304348</v>
      </c>
      <c r="R321" s="11">
        <v>0.69798657718120805</v>
      </c>
      <c r="S321" s="10" t="s">
        <v>84</v>
      </c>
      <c r="T321" s="10" t="s">
        <v>84</v>
      </c>
      <c r="U321" s="10"/>
      <c r="V321" s="10"/>
      <c r="W321" s="10"/>
      <c r="X321" s="10"/>
      <c r="Y321" s="10"/>
      <c r="Z321" s="10"/>
      <c r="AA321" s="10"/>
    </row>
    <row r="322" spans="1:27" ht="12.5" x14ac:dyDescent="0.25">
      <c r="A322" s="10" t="s">
        <v>103</v>
      </c>
      <c r="B322" s="10" t="s">
        <v>590</v>
      </c>
      <c r="C322" s="10" t="s">
        <v>76</v>
      </c>
      <c r="D322" s="11">
        <v>2024</v>
      </c>
      <c r="E322" s="10" t="s">
        <v>124</v>
      </c>
      <c r="F322" s="10" t="s">
        <v>83</v>
      </c>
      <c r="G322" s="10" t="s">
        <v>84</v>
      </c>
      <c r="H322" s="11">
        <v>3134</v>
      </c>
      <c r="I322" s="11">
        <v>427</v>
      </c>
      <c r="J322" s="11">
        <v>212</v>
      </c>
      <c r="K322" s="11">
        <v>1249</v>
      </c>
      <c r="L322" s="11">
        <v>0.13625847626645399</v>
      </c>
      <c r="M322" s="11">
        <f t="shared" si="1"/>
        <v>13.62476068921506</v>
      </c>
      <c r="N322" s="11">
        <v>0.496487119437939</v>
      </c>
      <c r="O322" s="11">
        <v>0.39856402074192299</v>
      </c>
      <c r="P322" s="11">
        <v>0.78462837837837796</v>
      </c>
      <c r="Q322" s="11">
        <v>0.95652173913043503</v>
      </c>
      <c r="R322" s="11">
        <v>0.69574944071588396</v>
      </c>
      <c r="S322" s="10" t="s">
        <v>84</v>
      </c>
      <c r="T322" s="10" t="s">
        <v>84</v>
      </c>
      <c r="U322" s="10"/>
      <c r="V322" s="10"/>
      <c r="W322" s="10"/>
      <c r="X322" s="10"/>
      <c r="Y322" s="10"/>
      <c r="Z322" s="10"/>
      <c r="AA322" s="10"/>
    </row>
    <row r="323" spans="1:27" ht="12.5" x14ac:dyDescent="0.25">
      <c r="A323" s="10" t="s">
        <v>42</v>
      </c>
      <c r="B323" s="10" t="s">
        <v>593</v>
      </c>
      <c r="C323" s="10" t="s">
        <v>76</v>
      </c>
      <c r="D323" s="11">
        <v>2024</v>
      </c>
      <c r="E323" s="10" t="s">
        <v>124</v>
      </c>
      <c r="F323" s="10" t="s">
        <v>83</v>
      </c>
      <c r="G323" s="10" t="s">
        <v>84</v>
      </c>
      <c r="H323" s="11">
        <v>6751</v>
      </c>
      <c r="I323" s="11">
        <v>918</v>
      </c>
      <c r="J323" s="11">
        <v>995</v>
      </c>
      <c r="K323" s="11">
        <v>7057</v>
      </c>
      <c r="L323" s="11">
        <v>0.13597481947787399</v>
      </c>
      <c r="M323" s="11">
        <f t="shared" si="1"/>
        <v>13.597985483632055</v>
      </c>
      <c r="N323" s="11">
        <v>1.0838779956427</v>
      </c>
      <c r="O323" s="11">
        <v>1.0452879096463601</v>
      </c>
      <c r="P323" s="11">
        <v>0.78378378378378399</v>
      </c>
      <c r="Q323" s="11">
        <v>0.76190476190476197</v>
      </c>
      <c r="R323" s="11">
        <v>0.69351230425055899</v>
      </c>
      <c r="S323" s="10" t="s">
        <v>84</v>
      </c>
      <c r="T323" s="10" t="s">
        <v>84</v>
      </c>
      <c r="U323" s="10"/>
      <c r="V323" s="10"/>
      <c r="W323" s="10"/>
      <c r="X323" s="10"/>
      <c r="Y323" s="10"/>
      <c r="Z323" s="10"/>
      <c r="AA323" s="10"/>
    </row>
    <row r="324" spans="1:27" ht="12.5" x14ac:dyDescent="0.25">
      <c r="A324" s="10" t="s">
        <v>25</v>
      </c>
      <c r="B324" s="10" t="s">
        <v>595</v>
      </c>
      <c r="C324" s="10" t="s">
        <v>76</v>
      </c>
      <c r="D324" s="11">
        <v>2024</v>
      </c>
      <c r="E324" s="10" t="s">
        <v>124</v>
      </c>
      <c r="F324" s="10" t="s">
        <v>83</v>
      </c>
      <c r="G324" s="10" t="s">
        <v>84</v>
      </c>
      <c r="H324" s="11">
        <v>18089</v>
      </c>
      <c r="I324" s="11">
        <v>2459</v>
      </c>
      <c r="J324" s="11">
        <v>1991</v>
      </c>
      <c r="K324" s="11">
        <v>20416</v>
      </c>
      <c r="L324" s="11">
        <v>0.13594147348247501</v>
      </c>
      <c r="M324" s="11">
        <f t="shared" si="1"/>
        <v>13.593896843385483</v>
      </c>
      <c r="N324" s="11">
        <v>0.80967873119154099</v>
      </c>
      <c r="O324" s="11">
        <v>1.1286625142815001</v>
      </c>
      <c r="P324" s="11">
        <v>0.78293918918918903</v>
      </c>
      <c r="Q324" s="11">
        <v>0.8125</v>
      </c>
      <c r="R324" s="11">
        <v>0.69127516778523501</v>
      </c>
      <c r="S324" s="10" t="s">
        <v>84</v>
      </c>
      <c r="T324" s="10" t="s">
        <v>84</v>
      </c>
      <c r="U324" s="10"/>
      <c r="V324" s="10"/>
      <c r="W324" s="10"/>
      <c r="X324" s="10"/>
      <c r="Y324" s="10"/>
      <c r="Z324" s="10"/>
      <c r="AA324" s="10"/>
    </row>
    <row r="325" spans="1:27" ht="12.5" hidden="1" x14ac:dyDescent="0.25">
      <c r="A325" s="10" t="s">
        <v>13</v>
      </c>
      <c r="B325" s="10" t="s">
        <v>1172</v>
      </c>
      <c r="C325" s="10" t="s">
        <v>191</v>
      </c>
      <c r="D325" s="11">
        <v>2024</v>
      </c>
      <c r="E325" s="10" t="s">
        <v>124</v>
      </c>
      <c r="F325" s="10" t="s">
        <v>125</v>
      </c>
      <c r="G325" s="10" t="s">
        <v>84</v>
      </c>
      <c r="H325" s="12">
        <v>161.916666666667</v>
      </c>
      <c r="I325" s="11">
        <v>22</v>
      </c>
      <c r="J325" s="11">
        <v>20</v>
      </c>
      <c r="K325" s="11">
        <v>125</v>
      </c>
      <c r="L325" s="11">
        <v>0.13587236232630001</v>
      </c>
      <c r="M325" s="11">
        <f t="shared" si="1"/>
        <v>13.587236232629927</v>
      </c>
      <c r="N325" s="11">
        <v>0.90909090909090895</v>
      </c>
      <c r="O325" s="11">
        <v>0.77200205867215699</v>
      </c>
      <c r="P325" s="11">
        <v>0.87867647058823495</v>
      </c>
      <c r="Q325" s="11">
        <v>0.70689655172413801</v>
      </c>
      <c r="R325" s="11">
        <v>0.81782945736434098</v>
      </c>
      <c r="S325" s="10" t="s">
        <v>84</v>
      </c>
      <c r="T325" s="10" t="s">
        <v>84</v>
      </c>
      <c r="U325" s="10"/>
      <c r="V325" s="10"/>
      <c r="W325" s="10"/>
      <c r="X325" s="10"/>
      <c r="Y325" s="10"/>
      <c r="Z325" s="10"/>
      <c r="AA325" s="10"/>
    </row>
    <row r="326" spans="1:27" ht="12.5" x14ac:dyDescent="0.25">
      <c r="A326" s="10" t="s">
        <v>65</v>
      </c>
      <c r="B326" s="10" t="s">
        <v>503</v>
      </c>
      <c r="C326" s="10" t="s">
        <v>76</v>
      </c>
      <c r="D326" s="11">
        <v>2024</v>
      </c>
      <c r="E326" s="10" t="s">
        <v>81</v>
      </c>
      <c r="F326" s="10" t="s">
        <v>83</v>
      </c>
      <c r="G326" s="10" t="s">
        <v>84</v>
      </c>
      <c r="H326" s="11">
        <v>19711</v>
      </c>
      <c r="I326" s="11">
        <v>2671</v>
      </c>
      <c r="J326" s="11">
        <v>1663</v>
      </c>
      <c r="K326" s="11">
        <v>1105</v>
      </c>
      <c r="L326" s="11">
        <v>0.13550580038556501</v>
      </c>
      <c r="M326" s="11">
        <f t="shared" si="1"/>
        <v>13.550809192836489</v>
      </c>
      <c r="N326" s="11">
        <v>0.62261325346312202</v>
      </c>
      <c r="O326" s="11">
        <v>5.6059119964825703E-2</v>
      </c>
      <c r="P326" s="11">
        <v>0.78209459459459496</v>
      </c>
      <c r="Q326" s="11">
        <v>0.84615384615384603</v>
      </c>
      <c r="R326" s="11">
        <v>0.82945736434108497</v>
      </c>
      <c r="S326" s="10" t="s">
        <v>84</v>
      </c>
      <c r="T326" s="10" t="s">
        <v>84</v>
      </c>
      <c r="U326" s="10"/>
      <c r="V326" s="10"/>
      <c r="W326" s="10"/>
      <c r="X326" s="10"/>
      <c r="Y326" s="10"/>
      <c r="Z326" s="10"/>
      <c r="AA326" s="10"/>
    </row>
    <row r="327" spans="1:27" ht="12.5" x14ac:dyDescent="0.25">
      <c r="A327" s="10" t="s">
        <v>103</v>
      </c>
      <c r="B327" s="10" t="s">
        <v>597</v>
      </c>
      <c r="C327" s="10" t="s">
        <v>76</v>
      </c>
      <c r="D327" s="11">
        <v>2024</v>
      </c>
      <c r="E327" s="10" t="s">
        <v>124</v>
      </c>
      <c r="F327" s="10" t="s">
        <v>83</v>
      </c>
      <c r="G327" s="10" t="s">
        <v>84</v>
      </c>
      <c r="H327" s="11">
        <v>55338</v>
      </c>
      <c r="I327" s="11">
        <v>7495</v>
      </c>
      <c r="J327" s="11">
        <v>7223</v>
      </c>
      <c r="K327" s="11">
        <v>50511</v>
      </c>
      <c r="L327" s="11">
        <v>0.13544099642648999</v>
      </c>
      <c r="M327" s="11">
        <f t="shared" si="1"/>
        <v>13.544038454588167</v>
      </c>
      <c r="N327" s="11">
        <v>0.963709139426284</v>
      </c>
      <c r="O327" s="11">
        <v>0.91277654042674305</v>
      </c>
      <c r="P327" s="11">
        <v>0.78125</v>
      </c>
      <c r="Q327" s="11">
        <v>0.91304347826086996</v>
      </c>
      <c r="R327" s="11">
        <v>0.68903803131991004</v>
      </c>
      <c r="S327" s="10" t="s">
        <v>84</v>
      </c>
      <c r="T327" s="10" t="s">
        <v>84</v>
      </c>
      <c r="U327" s="10"/>
      <c r="V327" s="10"/>
      <c r="W327" s="10"/>
      <c r="X327" s="10"/>
      <c r="Y327" s="10"/>
      <c r="Z327" s="10"/>
      <c r="AA327" s="10"/>
    </row>
    <row r="328" spans="1:27" ht="12.5" hidden="1" x14ac:dyDescent="0.25">
      <c r="A328" s="10" t="s">
        <v>16</v>
      </c>
      <c r="B328" s="10" t="s">
        <v>1180</v>
      </c>
      <c r="C328" s="10" t="s">
        <v>191</v>
      </c>
      <c r="D328" s="11">
        <v>2024</v>
      </c>
      <c r="E328" s="10" t="s">
        <v>124</v>
      </c>
      <c r="F328" s="10" t="s">
        <v>125</v>
      </c>
      <c r="G328" s="10" t="s">
        <v>84</v>
      </c>
      <c r="H328" s="12">
        <v>376.91666666666703</v>
      </c>
      <c r="I328" s="11">
        <v>51</v>
      </c>
      <c r="J328" s="11">
        <v>35</v>
      </c>
      <c r="K328" s="11">
        <v>51</v>
      </c>
      <c r="L328" s="11">
        <v>0.135308423612646</v>
      </c>
      <c r="M328" s="11">
        <f t="shared" si="1"/>
        <v>13.530842361264634</v>
      </c>
      <c r="N328" s="11">
        <v>0.68627450980392202</v>
      </c>
      <c r="O328" s="11">
        <v>0.135308423612646</v>
      </c>
      <c r="P328" s="11">
        <v>0.87745098039215697</v>
      </c>
      <c r="Q328" s="11">
        <v>0.95833333333333304</v>
      </c>
      <c r="R328" s="11">
        <v>0.81589147286821695</v>
      </c>
      <c r="S328" s="10" t="s">
        <v>84</v>
      </c>
      <c r="T328" s="10" t="s">
        <v>84</v>
      </c>
      <c r="U328" s="10"/>
      <c r="V328" s="10"/>
      <c r="W328" s="10"/>
      <c r="X328" s="10"/>
      <c r="Y328" s="10"/>
      <c r="Z328" s="10"/>
      <c r="AA328" s="10"/>
    </row>
    <row r="329" spans="1:27" ht="12.5" x14ac:dyDescent="0.25">
      <c r="A329" s="10" t="s">
        <v>29</v>
      </c>
      <c r="B329" s="10" t="s">
        <v>600</v>
      </c>
      <c r="C329" s="10" t="s">
        <v>76</v>
      </c>
      <c r="D329" s="11">
        <v>2024</v>
      </c>
      <c r="E329" s="10" t="s">
        <v>124</v>
      </c>
      <c r="F329" s="10" t="s">
        <v>83</v>
      </c>
      <c r="G329" s="10" t="s">
        <v>84</v>
      </c>
      <c r="H329" s="11">
        <v>36057</v>
      </c>
      <c r="I329" s="11">
        <v>4875</v>
      </c>
      <c r="J329" s="11">
        <v>4586</v>
      </c>
      <c r="K329" s="11">
        <v>63244</v>
      </c>
      <c r="L329" s="11">
        <v>0.13520103353679</v>
      </c>
      <c r="M329" s="11">
        <f t="shared" si="1"/>
        <v>13.520259588984111</v>
      </c>
      <c r="N329" s="11">
        <v>0.940717948717949</v>
      </c>
      <c r="O329" s="11">
        <v>1.7539803415386099</v>
      </c>
      <c r="P329" s="11">
        <v>0.78040540540540504</v>
      </c>
      <c r="Q329" s="11">
        <v>0.59183673469387799</v>
      </c>
      <c r="R329" s="11">
        <v>0.68680089485458595</v>
      </c>
      <c r="S329" s="10" t="s">
        <v>84</v>
      </c>
      <c r="T329" s="10" t="s">
        <v>84</v>
      </c>
      <c r="U329" s="10"/>
      <c r="V329" s="10"/>
      <c r="W329" s="10"/>
      <c r="X329" s="10"/>
      <c r="Y329" s="10"/>
      <c r="Z329" s="10"/>
      <c r="AA329" s="10"/>
    </row>
    <row r="330" spans="1:27" ht="12.5" hidden="1" x14ac:dyDescent="0.25">
      <c r="A330" s="10" t="s">
        <v>52</v>
      </c>
      <c r="B330" s="10" t="s">
        <v>1184</v>
      </c>
      <c r="C330" s="10" t="s">
        <v>191</v>
      </c>
      <c r="D330" s="11">
        <v>2024</v>
      </c>
      <c r="E330" s="10" t="s">
        <v>124</v>
      </c>
      <c r="F330" s="10" t="s">
        <v>125</v>
      </c>
      <c r="G330" s="10" t="s">
        <v>84</v>
      </c>
      <c r="H330" s="12">
        <v>792.25</v>
      </c>
      <c r="I330" s="11">
        <v>107</v>
      </c>
      <c r="J330" s="11">
        <v>107</v>
      </c>
      <c r="K330" s="11">
        <v>1393</v>
      </c>
      <c r="L330" s="11">
        <v>0.135058378037236</v>
      </c>
      <c r="M330" s="11">
        <f t="shared" si="1"/>
        <v>13.505837803723573</v>
      </c>
      <c r="N330" s="11">
        <v>1</v>
      </c>
      <c r="O330" s="11">
        <v>1.75828337014831</v>
      </c>
      <c r="P330" s="11">
        <v>0.87622549019607798</v>
      </c>
      <c r="Q330" s="11">
        <v>0.89285714285714302</v>
      </c>
      <c r="R330" s="11">
        <v>0.81395348837209303</v>
      </c>
      <c r="S330" s="10" t="s">
        <v>84</v>
      </c>
      <c r="T330" s="10" t="s">
        <v>84</v>
      </c>
      <c r="U330" s="10"/>
      <c r="V330" s="10"/>
      <c r="W330" s="10"/>
      <c r="X330" s="10"/>
      <c r="Y330" s="10"/>
      <c r="Z330" s="10"/>
      <c r="AA330" s="10"/>
    </row>
    <row r="331" spans="1:27" ht="12.5" x14ac:dyDescent="0.25">
      <c r="A331" s="10" t="s">
        <v>67</v>
      </c>
      <c r="B331" s="10" t="s">
        <v>505</v>
      </c>
      <c r="C331" s="10" t="s">
        <v>76</v>
      </c>
      <c r="D331" s="11">
        <v>2024</v>
      </c>
      <c r="E331" s="10" t="s">
        <v>81</v>
      </c>
      <c r="F331" s="10" t="s">
        <v>83</v>
      </c>
      <c r="G331" s="10" t="s">
        <v>84</v>
      </c>
      <c r="H331" s="11">
        <v>20845</v>
      </c>
      <c r="I331" s="11">
        <v>2808</v>
      </c>
      <c r="J331" s="11">
        <v>2505</v>
      </c>
      <c r="K331" s="11">
        <v>16311</v>
      </c>
      <c r="L331" s="11">
        <v>0.134710178822006</v>
      </c>
      <c r="M331" s="11">
        <f t="shared" si="1"/>
        <v>13.470856320460541</v>
      </c>
      <c r="N331" s="11">
        <v>0.89209401709401703</v>
      </c>
      <c r="O331" s="11">
        <v>0.78249919044363703</v>
      </c>
      <c r="P331" s="11">
        <v>0.77956081081081097</v>
      </c>
      <c r="Q331" s="11">
        <v>0.90476190476190499</v>
      </c>
      <c r="R331" s="11">
        <v>0.82751937984496104</v>
      </c>
      <c r="S331" s="10" t="s">
        <v>84</v>
      </c>
      <c r="T331" s="10" t="s">
        <v>84</v>
      </c>
      <c r="U331" s="10"/>
      <c r="V331" s="10"/>
      <c r="W331" s="10"/>
      <c r="X331" s="10"/>
      <c r="Y331" s="10"/>
      <c r="Z331" s="10"/>
      <c r="AA331" s="10"/>
    </row>
    <row r="332" spans="1:27" ht="12.5" x14ac:dyDescent="0.25">
      <c r="A332" s="10" t="s">
        <v>91</v>
      </c>
      <c r="B332" s="10" t="s">
        <v>507</v>
      </c>
      <c r="C332" s="10" t="s">
        <v>76</v>
      </c>
      <c r="D332" s="11">
        <v>2024</v>
      </c>
      <c r="E332" s="10" t="s">
        <v>81</v>
      </c>
      <c r="F332" s="10" t="s">
        <v>83</v>
      </c>
      <c r="G332" s="10" t="s">
        <v>84</v>
      </c>
      <c r="H332" s="11">
        <v>11183</v>
      </c>
      <c r="I332" s="11">
        <v>1506</v>
      </c>
      <c r="J332" s="11">
        <v>1404</v>
      </c>
      <c r="K332" s="11">
        <v>8677</v>
      </c>
      <c r="L332" s="11">
        <v>0.13466969708260401</v>
      </c>
      <c r="M332" s="11">
        <f t="shared" si="1"/>
        <v>13.466869355271394</v>
      </c>
      <c r="N332" s="11">
        <v>0.93227091633466097</v>
      </c>
      <c r="O332" s="11">
        <v>0.77591564514326195</v>
      </c>
      <c r="P332" s="11">
        <v>0.77871621621621601</v>
      </c>
      <c r="Q332" s="11">
        <v>0.93333333333333302</v>
      </c>
      <c r="R332" s="11">
        <v>0.82558139534883701</v>
      </c>
      <c r="S332" s="10" t="s">
        <v>84</v>
      </c>
      <c r="T332" s="10" t="s">
        <v>84</v>
      </c>
      <c r="U332" s="10"/>
      <c r="V332" s="10"/>
      <c r="W332" s="10"/>
      <c r="X332" s="10"/>
      <c r="Y332" s="10"/>
      <c r="Z332" s="10"/>
      <c r="AA332" s="10"/>
    </row>
    <row r="333" spans="1:27" ht="12.5" hidden="1" x14ac:dyDescent="0.25">
      <c r="A333" s="10" t="s">
        <v>12</v>
      </c>
      <c r="B333" s="10" t="s">
        <v>1191</v>
      </c>
      <c r="C333" s="10" t="s">
        <v>191</v>
      </c>
      <c r="D333" s="11">
        <v>2024</v>
      </c>
      <c r="E333" s="10" t="s">
        <v>124</v>
      </c>
      <c r="F333" s="10" t="s">
        <v>125</v>
      </c>
      <c r="G333" s="10" t="s">
        <v>84</v>
      </c>
      <c r="H333" s="12">
        <v>4575</v>
      </c>
      <c r="I333" s="11">
        <v>616</v>
      </c>
      <c r="J333" s="11">
        <v>490</v>
      </c>
      <c r="K333" s="11">
        <v>4016</v>
      </c>
      <c r="L333" s="11">
        <v>0.13465461964441899</v>
      </c>
      <c r="M333" s="11">
        <f t="shared" si="1"/>
        <v>13.464480874316939</v>
      </c>
      <c r="N333" s="11">
        <v>0.79545454545454497</v>
      </c>
      <c r="O333" s="11">
        <v>0.877878169629845</v>
      </c>
      <c r="P333" s="11">
        <v>0.875</v>
      </c>
      <c r="Q333" s="11">
        <v>0.77777777777777801</v>
      </c>
      <c r="R333" s="11">
        <v>0.81201550387596899</v>
      </c>
      <c r="S333" s="10" t="s">
        <v>84</v>
      </c>
      <c r="T333" s="10" t="s">
        <v>84</v>
      </c>
      <c r="U333" s="10"/>
      <c r="V333" s="10"/>
      <c r="W333" s="10"/>
      <c r="X333" s="10"/>
      <c r="Y333" s="10"/>
      <c r="Z333" s="10"/>
      <c r="AA333" s="10"/>
    </row>
    <row r="334" spans="1:27" ht="12.5" hidden="1" x14ac:dyDescent="0.25">
      <c r="A334" s="10" t="s">
        <v>14</v>
      </c>
      <c r="B334" s="10" t="s">
        <v>1194</v>
      </c>
      <c r="C334" s="10" t="s">
        <v>191</v>
      </c>
      <c r="D334" s="11">
        <v>2024</v>
      </c>
      <c r="E334" s="10" t="s">
        <v>124</v>
      </c>
      <c r="F334" s="10" t="s">
        <v>125</v>
      </c>
      <c r="G334" s="10" t="s">
        <v>84</v>
      </c>
      <c r="H334" s="12">
        <v>17366</v>
      </c>
      <c r="I334" s="11">
        <v>2336</v>
      </c>
      <c r="J334" s="11">
        <v>1630</v>
      </c>
      <c r="K334" s="11">
        <v>2336</v>
      </c>
      <c r="L334" s="11">
        <v>0.134518302397451</v>
      </c>
      <c r="M334" s="11">
        <f t="shared" si="1"/>
        <v>13.451572037314291</v>
      </c>
      <c r="N334" s="11">
        <v>0.69777397260273999</v>
      </c>
      <c r="O334" s="11">
        <v>0.134518302397451</v>
      </c>
      <c r="P334" s="11">
        <v>0.87377450980392202</v>
      </c>
      <c r="Q334" s="11">
        <v>0.87234042553191504</v>
      </c>
      <c r="R334" s="11">
        <v>0.81007751937984496</v>
      </c>
      <c r="S334" s="10" t="s">
        <v>84</v>
      </c>
      <c r="T334" s="10" t="s">
        <v>84</v>
      </c>
      <c r="U334" s="10"/>
      <c r="V334" s="10"/>
      <c r="W334" s="10"/>
      <c r="X334" s="10"/>
      <c r="Y334" s="10"/>
      <c r="Z334" s="10"/>
      <c r="AA334" s="10"/>
    </row>
    <row r="335" spans="1:27" ht="12.5" x14ac:dyDescent="0.25">
      <c r="A335" s="10" t="s">
        <v>14</v>
      </c>
      <c r="B335" s="10" t="s">
        <v>509</v>
      </c>
      <c r="C335" s="10" t="s">
        <v>76</v>
      </c>
      <c r="D335" s="11">
        <v>2024</v>
      </c>
      <c r="E335" s="10" t="s">
        <v>81</v>
      </c>
      <c r="F335" s="10" t="s">
        <v>83</v>
      </c>
      <c r="G335" s="10" t="s">
        <v>84</v>
      </c>
      <c r="H335" s="11">
        <v>18426</v>
      </c>
      <c r="I335" s="11">
        <v>2472</v>
      </c>
      <c r="J335" s="11">
        <v>1713</v>
      </c>
      <c r="K335" s="11">
        <v>0</v>
      </c>
      <c r="L335" s="11">
        <v>0.134160074895187</v>
      </c>
      <c r="M335" s="11">
        <f t="shared" si="1"/>
        <v>13.415825464018235</v>
      </c>
      <c r="N335" s="11">
        <v>0.69296116504854399</v>
      </c>
      <c r="O335" s="11">
        <v>0</v>
      </c>
      <c r="P335" s="11">
        <v>0.77787162162162204</v>
      </c>
      <c r="Q335" s="11">
        <v>0.46428571428571402</v>
      </c>
      <c r="R335" s="11">
        <v>0.82364341085271298</v>
      </c>
      <c r="S335" s="10" t="s">
        <v>84</v>
      </c>
      <c r="T335" s="10" t="s">
        <v>84</v>
      </c>
      <c r="U335" s="10"/>
      <c r="V335" s="10"/>
      <c r="W335" s="10"/>
      <c r="X335" s="10"/>
      <c r="Y335" s="10"/>
      <c r="Z335" s="10"/>
      <c r="AA335" s="10"/>
    </row>
    <row r="336" spans="1:27" ht="12.5" hidden="1" x14ac:dyDescent="0.25">
      <c r="A336" s="10" t="s">
        <v>10</v>
      </c>
      <c r="B336" s="10" t="s">
        <v>1199</v>
      </c>
      <c r="C336" s="10" t="s">
        <v>191</v>
      </c>
      <c r="D336" s="11">
        <v>2024</v>
      </c>
      <c r="E336" s="10" t="s">
        <v>124</v>
      </c>
      <c r="F336" s="10" t="s">
        <v>125</v>
      </c>
      <c r="G336" s="10" t="s">
        <v>84</v>
      </c>
      <c r="H336" s="12">
        <v>188</v>
      </c>
      <c r="I336" s="11">
        <v>25</v>
      </c>
      <c r="J336" s="11">
        <v>19</v>
      </c>
      <c r="K336" s="11">
        <v>113</v>
      </c>
      <c r="L336" s="11">
        <v>0.13297872340425501</v>
      </c>
      <c r="M336" s="11">
        <f t="shared" si="1"/>
        <v>13.297872340425531</v>
      </c>
      <c r="N336" s="11">
        <v>0.76</v>
      </c>
      <c r="O336" s="11">
        <v>0.60106382978723405</v>
      </c>
      <c r="P336" s="11">
        <v>0.87254901960784303</v>
      </c>
      <c r="Q336" s="11">
        <v>0.75862068965517204</v>
      </c>
      <c r="R336" s="11">
        <v>0.80813953488372103</v>
      </c>
      <c r="S336" s="10" t="s">
        <v>84</v>
      </c>
      <c r="T336" s="10" t="s">
        <v>84</v>
      </c>
      <c r="U336" s="10"/>
      <c r="V336" s="10"/>
      <c r="W336" s="10"/>
      <c r="X336" s="10"/>
      <c r="Y336" s="10"/>
      <c r="Z336" s="10"/>
      <c r="AA336" s="10"/>
    </row>
    <row r="337" spans="1:27" ht="12.5" x14ac:dyDescent="0.25">
      <c r="A337" s="10" t="s">
        <v>49</v>
      </c>
      <c r="B337" s="10" t="s">
        <v>602</v>
      </c>
      <c r="C337" s="10" t="s">
        <v>76</v>
      </c>
      <c r="D337" s="11">
        <v>2024</v>
      </c>
      <c r="E337" s="10" t="s">
        <v>124</v>
      </c>
      <c r="F337" s="10" t="s">
        <v>83</v>
      </c>
      <c r="G337" s="10" t="s">
        <v>84</v>
      </c>
      <c r="H337" s="11">
        <v>790</v>
      </c>
      <c r="I337" s="11">
        <v>105</v>
      </c>
      <c r="J337" s="11">
        <v>105</v>
      </c>
      <c r="K337" s="11">
        <v>2399</v>
      </c>
      <c r="L337" s="11">
        <v>0.13285533530156099</v>
      </c>
      <c r="M337" s="11">
        <f t="shared" si="1"/>
        <v>13.291139240506327</v>
      </c>
      <c r="N337" s="11">
        <v>1</v>
      </c>
      <c r="O337" s="11">
        <v>3.0354280894137502</v>
      </c>
      <c r="P337" s="11">
        <v>0.77702702702702697</v>
      </c>
      <c r="Q337" s="11">
        <v>0.92307692307692302</v>
      </c>
      <c r="R337" s="11">
        <v>0.68456375838926198</v>
      </c>
      <c r="S337" s="10" t="s">
        <v>84</v>
      </c>
      <c r="T337" s="10" t="s">
        <v>84</v>
      </c>
      <c r="U337" s="10"/>
      <c r="V337" s="10"/>
      <c r="W337" s="10"/>
      <c r="X337" s="10"/>
      <c r="Y337" s="10"/>
      <c r="Z337" s="10"/>
      <c r="AA337" s="10"/>
    </row>
    <row r="338" spans="1:27" ht="12.5" hidden="1" x14ac:dyDescent="0.25">
      <c r="A338" s="10" t="s">
        <v>65</v>
      </c>
      <c r="B338" s="10" t="s">
        <v>1204</v>
      </c>
      <c r="C338" s="10" t="s">
        <v>191</v>
      </c>
      <c r="D338" s="11">
        <v>2024</v>
      </c>
      <c r="E338" s="10" t="s">
        <v>124</v>
      </c>
      <c r="F338" s="10" t="s">
        <v>125</v>
      </c>
      <c r="G338" s="10" t="s">
        <v>84</v>
      </c>
      <c r="H338" s="12">
        <v>5901</v>
      </c>
      <c r="I338" s="11">
        <v>784</v>
      </c>
      <c r="J338" s="11">
        <v>715</v>
      </c>
      <c r="K338" s="11">
        <v>10295</v>
      </c>
      <c r="L338" s="11">
        <v>0.13284945705127299</v>
      </c>
      <c r="M338" s="11">
        <f t="shared" si="1"/>
        <v>13.285883748517199</v>
      </c>
      <c r="N338" s="11">
        <v>0.91198979591836704</v>
      </c>
      <c r="O338" s="11">
        <v>1.74449637798834</v>
      </c>
      <c r="P338" s="11">
        <v>0.87132352941176505</v>
      </c>
      <c r="Q338" s="11">
        <v>1</v>
      </c>
      <c r="R338" s="11">
        <v>0.806201550387597</v>
      </c>
      <c r="S338" s="10" t="s">
        <v>84</v>
      </c>
      <c r="T338" s="10" t="s">
        <v>84</v>
      </c>
      <c r="U338" s="10"/>
      <c r="V338" s="10"/>
      <c r="W338" s="10"/>
      <c r="X338" s="10"/>
      <c r="Y338" s="10"/>
      <c r="Z338" s="10"/>
      <c r="AA338" s="10"/>
    </row>
    <row r="339" spans="1:27" ht="12.5" x14ac:dyDescent="0.25">
      <c r="A339" s="10" t="s">
        <v>32</v>
      </c>
      <c r="B339" s="10" t="s">
        <v>512</v>
      </c>
      <c r="C339" s="10" t="s">
        <v>76</v>
      </c>
      <c r="D339" s="11">
        <v>2024</v>
      </c>
      <c r="E339" s="10" t="s">
        <v>81</v>
      </c>
      <c r="F339" s="10" t="s">
        <v>83</v>
      </c>
      <c r="G339" s="10" t="s">
        <v>84</v>
      </c>
      <c r="H339" s="11">
        <v>33985</v>
      </c>
      <c r="I339" s="11">
        <v>4509</v>
      </c>
      <c r="J339" s="11">
        <v>4277</v>
      </c>
      <c r="K339" s="11">
        <v>9439</v>
      </c>
      <c r="L339" s="11">
        <v>0.13267618066794201</v>
      </c>
      <c r="M339" s="11">
        <f t="shared" si="1"/>
        <v>13.267618066794174</v>
      </c>
      <c r="N339" s="11">
        <v>0.94854734974495503</v>
      </c>
      <c r="O339" s="11">
        <v>0.27774017949095198</v>
      </c>
      <c r="P339" s="11">
        <v>0.77618243243243201</v>
      </c>
      <c r="Q339" s="11">
        <v>0.55172413793103403</v>
      </c>
      <c r="R339" s="11">
        <v>0.82170542635658905</v>
      </c>
      <c r="S339" s="10" t="s">
        <v>84</v>
      </c>
      <c r="T339" s="10" t="s">
        <v>84</v>
      </c>
      <c r="U339" s="10"/>
      <c r="V339" s="10"/>
      <c r="W339" s="10"/>
      <c r="X339" s="10"/>
      <c r="Y339" s="10"/>
      <c r="Z339" s="10"/>
      <c r="AA339" s="10"/>
    </row>
    <row r="340" spans="1:27" ht="12.5" hidden="1" x14ac:dyDescent="0.25">
      <c r="A340" s="10" t="s">
        <v>36</v>
      </c>
      <c r="B340" s="10" t="s">
        <v>1209</v>
      </c>
      <c r="C340" s="10" t="s">
        <v>191</v>
      </c>
      <c r="D340" s="11">
        <v>2024</v>
      </c>
      <c r="E340" s="10" t="s">
        <v>124</v>
      </c>
      <c r="F340" s="10" t="s">
        <v>125</v>
      </c>
      <c r="G340" s="10" t="s">
        <v>84</v>
      </c>
      <c r="H340" s="12">
        <v>558.5</v>
      </c>
      <c r="I340" s="11">
        <v>74</v>
      </c>
      <c r="J340" s="11">
        <v>67</v>
      </c>
      <c r="K340" s="11">
        <v>0</v>
      </c>
      <c r="L340" s="11">
        <v>0.132497761862131</v>
      </c>
      <c r="M340" s="11">
        <f t="shared" si="1"/>
        <v>13.249776186213072</v>
      </c>
      <c r="N340" s="11">
        <v>0.90540540540540504</v>
      </c>
      <c r="O340" s="11">
        <v>0</v>
      </c>
      <c r="P340" s="11">
        <v>0.87009803921568596</v>
      </c>
      <c r="Q340" s="11">
        <v>0.82499999999999996</v>
      </c>
      <c r="R340" s="11">
        <v>0.80426356589147296</v>
      </c>
      <c r="S340" s="10" t="s">
        <v>84</v>
      </c>
      <c r="T340" s="10" t="s">
        <v>84</v>
      </c>
      <c r="U340" s="10"/>
      <c r="V340" s="10"/>
      <c r="W340" s="10"/>
      <c r="X340" s="10"/>
      <c r="Y340" s="10"/>
      <c r="Z340" s="10"/>
      <c r="AA340" s="10"/>
    </row>
    <row r="341" spans="1:27" ht="12.5" hidden="1" x14ac:dyDescent="0.25">
      <c r="A341" s="10" t="s">
        <v>29</v>
      </c>
      <c r="B341" s="10" t="s">
        <v>1212</v>
      </c>
      <c r="C341" s="10" t="s">
        <v>191</v>
      </c>
      <c r="D341" s="11">
        <v>2024</v>
      </c>
      <c r="E341" s="10" t="s">
        <v>124</v>
      </c>
      <c r="F341" s="10" t="s">
        <v>125</v>
      </c>
      <c r="G341" s="10" t="s">
        <v>84</v>
      </c>
      <c r="H341" s="12">
        <v>6302</v>
      </c>
      <c r="I341" s="11">
        <v>831</v>
      </c>
      <c r="J341" s="11">
        <v>817</v>
      </c>
      <c r="K341" s="11">
        <v>4653</v>
      </c>
      <c r="L341" s="11">
        <v>0.131855926376474</v>
      </c>
      <c r="M341" s="11">
        <f t="shared" si="1"/>
        <v>13.186290066645508</v>
      </c>
      <c r="N341" s="11">
        <v>0.98315282791817105</v>
      </c>
      <c r="O341" s="11">
        <v>0.73829798487332698</v>
      </c>
      <c r="P341" s="11">
        <v>0.86887254901960798</v>
      </c>
      <c r="Q341" s="11">
        <v>0.77464788732394396</v>
      </c>
      <c r="R341" s="11">
        <v>0.80232558139534904</v>
      </c>
      <c r="S341" s="10" t="s">
        <v>84</v>
      </c>
      <c r="T341" s="10" t="s">
        <v>84</v>
      </c>
      <c r="U341" s="10"/>
      <c r="V341" s="10"/>
      <c r="W341" s="10"/>
      <c r="X341" s="10"/>
      <c r="Y341" s="10"/>
      <c r="Z341" s="10"/>
      <c r="AA341" s="10"/>
    </row>
    <row r="342" spans="1:27" ht="12.5" x14ac:dyDescent="0.25">
      <c r="A342" s="10" t="s">
        <v>19</v>
      </c>
      <c r="B342" s="10" t="s">
        <v>515</v>
      </c>
      <c r="C342" s="10" t="s">
        <v>76</v>
      </c>
      <c r="D342" s="11">
        <v>2024</v>
      </c>
      <c r="E342" s="10" t="s">
        <v>81</v>
      </c>
      <c r="F342" s="10" t="s">
        <v>83</v>
      </c>
      <c r="G342" s="10" t="s">
        <v>84</v>
      </c>
      <c r="H342" s="11">
        <v>26087</v>
      </c>
      <c r="I342" s="11">
        <v>3435</v>
      </c>
      <c r="J342" s="11">
        <v>3124</v>
      </c>
      <c r="K342" s="11">
        <v>24189</v>
      </c>
      <c r="L342" s="11">
        <v>0.131672677440273</v>
      </c>
      <c r="M342" s="11">
        <f t="shared" si="1"/>
        <v>13.167478054203244</v>
      </c>
      <c r="N342" s="11">
        <v>0.90946142649199402</v>
      </c>
      <c r="O342" s="11">
        <v>0.92722864471696098</v>
      </c>
      <c r="P342" s="11">
        <v>0.77533783783783805</v>
      </c>
      <c r="Q342" s="11">
        <v>0.72222222222222199</v>
      </c>
      <c r="R342" s="11">
        <v>0.81976744186046502</v>
      </c>
      <c r="S342" s="10" t="s">
        <v>84</v>
      </c>
      <c r="T342" s="10" t="s">
        <v>84</v>
      </c>
      <c r="U342" s="10"/>
      <c r="V342" s="10"/>
      <c r="W342" s="10"/>
      <c r="X342" s="10"/>
      <c r="Y342" s="10"/>
      <c r="Z342" s="10"/>
      <c r="AA342" s="10"/>
    </row>
    <row r="343" spans="1:27" ht="12.5" x14ac:dyDescent="0.25">
      <c r="A343" s="10" t="s">
        <v>42</v>
      </c>
      <c r="B343" s="10" t="s">
        <v>517</v>
      </c>
      <c r="C343" s="10" t="s">
        <v>76</v>
      </c>
      <c r="D343" s="11">
        <v>2024</v>
      </c>
      <c r="E343" s="10" t="s">
        <v>81</v>
      </c>
      <c r="F343" s="10" t="s">
        <v>83</v>
      </c>
      <c r="G343" s="10" t="s">
        <v>84</v>
      </c>
      <c r="H343" s="11">
        <v>28527</v>
      </c>
      <c r="I343" s="11">
        <v>3755</v>
      </c>
      <c r="J343" s="11">
        <v>3529</v>
      </c>
      <c r="K343" s="11">
        <v>37646</v>
      </c>
      <c r="L343" s="11">
        <v>0.131631606776136</v>
      </c>
      <c r="M343" s="11">
        <f t="shared" si="1"/>
        <v>13.162968415886702</v>
      </c>
      <c r="N343" s="11">
        <v>0.93981358189081199</v>
      </c>
      <c r="O343" s="11">
        <v>1.3196813498520401</v>
      </c>
      <c r="P343" s="11">
        <v>0.77449324324324298</v>
      </c>
      <c r="Q343" s="11">
        <v>0.73809523809523803</v>
      </c>
      <c r="R343" s="11">
        <v>0.81782945736434098</v>
      </c>
      <c r="S343" s="10" t="s">
        <v>84</v>
      </c>
      <c r="T343" s="10" t="s">
        <v>84</v>
      </c>
      <c r="U343" s="10"/>
      <c r="V343" s="10"/>
      <c r="W343" s="10"/>
      <c r="X343" s="10"/>
      <c r="Y343" s="10"/>
      <c r="Z343" s="10"/>
      <c r="AA343" s="10"/>
    </row>
    <row r="344" spans="1:27" ht="12.5" x14ac:dyDescent="0.25">
      <c r="A344" s="10" t="s">
        <v>10</v>
      </c>
      <c r="B344" s="10" t="s">
        <v>604</v>
      </c>
      <c r="C344" s="10" t="s">
        <v>76</v>
      </c>
      <c r="D344" s="11">
        <v>2024</v>
      </c>
      <c r="E344" s="10" t="s">
        <v>124</v>
      </c>
      <c r="F344" s="10" t="s">
        <v>125</v>
      </c>
      <c r="G344" s="10" t="s">
        <v>84</v>
      </c>
      <c r="H344" s="11">
        <v>3976</v>
      </c>
      <c r="I344" s="11">
        <v>522</v>
      </c>
      <c r="J344" s="11">
        <v>403</v>
      </c>
      <c r="K344" s="11">
        <v>5272</v>
      </c>
      <c r="L344" s="11">
        <v>0.131287726358149</v>
      </c>
      <c r="M344" s="11">
        <f t="shared" si="1"/>
        <v>13.12877263581489</v>
      </c>
      <c r="N344" s="11">
        <v>0.77203065134099602</v>
      </c>
      <c r="O344" s="11">
        <v>1.3259557344064401</v>
      </c>
      <c r="P344" s="11">
        <v>0.77364864864864902</v>
      </c>
      <c r="Q344" s="11">
        <v>0.7</v>
      </c>
      <c r="R344" s="11">
        <v>0.682326621923937</v>
      </c>
      <c r="S344" s="10" t="s">
        <v>84</v>
      </c>
      <c r="T344" s="10" t="s">
        <v>84</v>
      </c>
      <c r="U344" s="10"/>
      <c r="V344" s="10"/>
      <c r="W344" s="10"/>
      <c r="X344" s="10"/>
      <c r="Y344" s="10"/>
      <c r="Z344" s="10"/>
      <c r="AA344" s="10"/>
    </row>
    <row r="345" spans="1:27" ht="12.5" x14ac:dyDescent="0.25">
      <c r="A345" s="10" t="s">
        <v>29</v>
      </c>
      <c r="B345" s="10" t="s">
        <v>607</v>
      </c>
      <c r="C345" s="10" t="s">
        <v>76</v>
      </c>
      <c r="D345" s="11">
        <v>2024</v>
      </c>
      <c r="E345" s="10" t="s">
        <v>124</v>
      </c>
      <c r="F345" s="10" t="s">
        <v>83</v>
      </c>
      <c r="G345" s="10" t="s">
        <v>84</v>
      </c>
      <c r="H345" s="11">
        <v>3444</v>
      </c>
      <c r="I345" s="11">
        <v>452</v>
      </c>
      <c r="J345" s="11">
        <v>297</v>
      </c>
      <c r="K345" s="11">
        <v>7708</v>
      </c>
      <c r="L345" s="11">
        <v>0.131249092580942</v>
      </c>
      <c r="M345" s="11">
        <f t="shared" si="1"/>
        <v>13.124274099883856</v>
      </c>
      <c r="N345" s="11">
        <v>0.65707964601769897</v>
      </c>
      <c r="O345" s="11">
        <v>2.23820355224314</v>
      </c>
      <c r="P345" s="11">
        <v>0.77280405405405395</v>
      </c>
      <c r="Q345" s="11">
        <v>0.57142857142857095</v>
      </c>
      <c r="R345" s="11">
        <v>0.68008948545861303</v>
      </c>
      <c r="S345" s="10" t="s">
        <v>84</v>
      </c>
      <c r="T345" s="10" t="s">
        <v>84</v>
      </c>
      <c r="U345" s="10"/>
      <c r="V345" s="10"/>
      <c r="W345" s="10"/>
      <c r="X345" s="10"/>
      <c r="Y345" s="10"/>
      <c r="Z345" s="10"/>
      <c r="AA345" s="10"/>
    </row>
    <row r="346" spans="1:27" ht="12.5" x14ac:dyDescent="0.25">
      <c r="A346" s="10" t="s">
        <v>26</v>
      </c>
      <c r="B346" s="10" t="s">
        <v>462</v>
      </c>
      <c r="C346" s="10" t="s">
        <v>76</v>
      </c>
      <c r="D346" s="11">
        <v>2024</v>
      </c>
      <c r="E346" s="10" t="s">
        <v>81</v>
      </c>
      <c r="F346" s="10" t="s">
        <v>83</v>
      </c>
      <c r="G346" s="10" t="s">
        <v>84</v>
      </c>
      <c r="H346" s="11">
        <v>16875</v>
      </c>
      <c r="I346" s="11">
        <v>2212</v>
      </c>
      <c r="J346" s="11">
        <v>1279</v>
      </c>
      <c r="K346" s="11">
        <v>8775</v>
      </c>
      <c r="L346" s="11">
        <v>0.131078244981605</v>
      </c>
      <c r="M346" s="11">
        <f t="shared" si="1"/>
        <v>13.10814814814815</v>
      </c>
      <c r="N346" s="11">
        <v>0.57820976491862597</v>
      </c>
      <c r="O346" s="11">
        <v>0.51998716081084395</v>
      </c>
      <c r="P346" s="11">
        <v>0.77195945945945899</v>
      </c>
      <c r="Q346" s="11">
        <v>0.57692307692307698</v>
      </c>
      <c r="R346" s="11">
        <v>0.81589147286821695</v>
      </c>
      <c r="S346" s="10" t="s">
        <v>84</v>
      </c>
      <c r="T346" s="10" t="s">
        <v>84</v>
      </c>
      <c r="U346" s="10"/>
      <c r="V346" s="10"/>
      <c r="W346" s="10"/>
      <c r="X346" s="10"/>
      <c r="Y346" s="10"/>
      <c r="Z346" s="10"/>
      <c r="AA346" s="10"/>
    </row>
    <row r="347" spans="1:27" ht="12.5" hidden="1" x14ac:dyDescent="0.25">
      <c r="A347" s="10" t="s">
        <v>36</v>
      </c>
      <c r="B347" s="10" t="s">
        <v>1224</v>
      </c>
      <c r="C347" s="10" t="s">
        <v>191</v>
      </c>
      <c r="D347" s="11">
        <v>2024</v>
      </c>
      <c r="E347" s="10" t="s">
        <v>124</v>
      </c>
      <c r="F347" s="10" t="s">
        <v>83</v>
      </c>
      <c r="G347" s="10" t="s">
        <v>84</v>
      </c>
      <c r="H347" s="12">
        <v>382</v>
      </c>
      <c r="I347" s="11">
        <v>50</v>
      </c>
      <c r="J347" s="11">
        <v>15</v>
      </c>
      <c r="K347" s="11">
        <v>0</v>
      </c>
      <c r="L347" s="11">
        <v>0.130890052356021</v>
      </c>
      <c r="M347" s="11">
        <f t="shared" si="1"/>
        <v>13.089005235602095</v>
      </c>
      <c r="N347" s="11">
        <v>0.3</v>
      </c>
      <c r="O347" s="11">
        <v>0</v>
      </c>
      <c r="P347" s="11">
        <v>0.86764705882352999</v>
      </c>
      <c r="Q347" s="11">
        <v>0.8</v>
      </c>
      <c r="R347" s="11">
        <v>0.80038759689922501</v>
      </c>
      <c r="S347" s="10" t="s">
        <v>84</v>
      </c>
      <c r="T347" s="10" t="s">
        <v>84</v>
      </c>
      <c r="U347" s="10"/>
      <c r="V347" s="10"/>
      <c r="W347" s="10"/>
      <c r="X347" s="10"/>
      <c r="Y347" s="10"/>
      <c r="Z347" s="10"/>
      <c r="AA347" s="10"/>
    </row>
    <row r="348" spans="1:27" ht="12.5" x14ac:dyDescent="0.25">
      <c r="A348" s="10" t="s">
        <v>29</v>
      </c>
      <c r="B348" s="10" t="s">
        <v>610</v>
      </c>
      <c r="C348" s="10" t="s">
        <v>76</v>
      </c>
      <c r="D348" s="11">
        <v>2024</v>
      </c>
      <c r="E348" s="10" t="s">
        <v>124</v>
      </c>
      <c r="F348" s="10" t="s">
        <v>83</v>
      </c>
      <c r="G348" s="10" t="s">
        <v>84</v>
      </c>
      <c r="H348" s="11">
        <v>18405</v>
      </c>
      <c r="I348" s="11">
        <v>2396</v>
      </c>
      <c r="J348" s="11">
        <v>2171</v>
      </c>
      <c r="K348" s="11">
        <v>29254</v>
      </c>
      <c r="L348" s="11">
        <v>0.13018378407747999</v>
      </c>
      <c r="M348" s="11">
        <f t="shared" si="1"/>
        <v>13.018201575658789</v>
      </c>
      <c r="N348" s="11">
        <v>0.90609348914858101</v>
      </c>
      <c r="O348" s="11">
        <v>1.5894809763783799</v>
      </c>
      <c r="P348" s="11">
        <v>0.77111486486486502</v>
      </c>
      <c r="Q348" s="11">
        <v>0.55102040816326503</v>
      </c>
      <c r="R348" s="11">
        <v>0.67785234899328894</v>
      </c>
      <c r="S348" s="10" t="s">
        <v>84</v>
      </c>
      <c r="T348" s="10" t="s">
        <v>84</v>
      </c>
      <c r="U348" s="10"/>
      <c r="V348" s="10"/>
      <c r="W348" s="10"/>
      <c r="X348" s="10"/>
      <c r="Y348" s="10"/>
      <c r="Z348" s="10"/>
      <c r="AA348" s="10"/>
    </row>
    <row r="349" spans="1:27" ht="12.5" hidden="1" x14ac:dyDescent="0.25">
      <c r="A349" s="10" t="s">
        <v>65</v>
      </c>
      <c r="B349" s="10" t="s">
        <v>1229</v>
      </c>
      <c r="C349" s="10" t="s">
        <v>191</v>
      </c>
      <c r="D349" s="11">
        <v>2024</v>
      </c>
      <c r="E349" s="10" t="s">
        <v>124</v>
      </c>
      <c r="F349" s="10" t="s">
        <v>125</v>
      </c>
      <c r="G349" s="10" t="s">
        <v>84</v>
      </c>
      <c r="H349" s="12">
        <v>765.33333333333303</v>
      </c>
      <c r="I349" s="11">
        <v>99</v>
      </c>
      <c r="J349" s="11">
        <v>73</v>
      </c>
      <c r="K349" s="11">
        <v>381</v>
      </c>
      <c r="L349" s="11">
        <v>0.12935540069686399</v>
      </c>
      <c r="M349" s="11">
        <f t="shared" si="1"/>
        <v>12.935540069686416</v>
      </c>
      <c r="N349" s="11">
        <v>0.73737373737373701</v>
      </c>
      <c r="O349" s="11">
        <v>0.49782229965156799</v>
      </c>
      <c r="P349" s="11">
        <v>0.86642156862745101</v>
      </c>
      <c r="Q349" s="11">
        <v>0.88888888888888895</v>
      </c>
      <c r="R349" s="11">
        <v>0.79844961240310097</v>
      </c>
      <c r="S349" s="10" t="s">
        <v>84</v>
      </c>
      <c r="T349" s="10" t="s">
        <v>84</v>
      </c>
      <c r="U349" s="10"/>
      <c r="V349" s="10"/>
      <c r="W349" s="10"/>
      <c r="X349" s="10"/>
      <c r="Y349" s="10"/>
      <c r="Z349" s="10"/>
      <c r="AA349" s="10"/>
    </row>
    <row r="350" spans="1:27" ht="12.5" x14ac:dyDescent="0.25">
      <c r="A350" s="10" t="s">
        <v>86</v>
      </c>
      <c r="B350" s="10" t="s">
        <v>613</v>
      </c>
      <c r="C350" s="10" t="s">
        <v>76</v>
      </c>
      <c r="D350" s="11">
        <v>2024</v>
      </c>
      <c r="E350" s="10" t="s">
        <v>124</v>
      </c>
      <c r="F350" s="10" t="s">
        <v>83</v>
      </c>
      <c r="G350" s="10" t="s">
        <v>84</v>
      </c>
      <c r="H350" s="11">
        <v>21049</v>
      </c>
      <c r="I350" s="11">
        <v>2721</v>
      </c>
      <c r="J350" s="11">
        <v>2402</v>
      </c>
      <c r="K350" s="11">
        <v>8192</v>
      </c>
      <c r="L350" s="11">
        <v>0.129270310823597</v>
      </c>
      <c r="M350" s="11">
        <f t="shared" si="1"/>
        <v>12.926979904033445</v>
      </c>
      <c r="N350" s="11">
        <v>0.88276368981991904</v>
      </c>
      <c r="O350" s="11">
        <v>0.389188675585046</v>
      </c>
      <c r="P350" s="11">
        <v>0.77027027027026995</v>
      </c>
      <c r="Q350" s="11">
        <v>0.54347826086956497</v>
      </c>
      <c r="R350" s="11">
        <v>0.67561521252796397</v>
      </c>
      <c r="S350" s="10" t="s">
        <v>84</v>
      </c>
      <c r="T350" s="10" t="s">
        <v>84</v>
      </c>
      <c r="U350" s="10"/>
      <c r="V350" s="10"/>
      <c r="W350" s="10"/>
      <c r="X350" s="10"/>
      <c r="Y350" s="10"/>
      <c r="Z350" s="10"/>
      <c r="AA350" s="10"/>
    </row>
    <row r="351" spans="1:27" ht="12.5" x14ac:dyDescent="0.25">
      <c r="A351" s="10" t="s">
        <v>13</v>
      </c>
      <c r="B351" s="10" t="s">
        <v>520</v>
      </c>
      <c r="C351" s="10" t="s">
        <v>76</v>
      </c>
      <c r="D351" s="11">
        <v>2024</v>
      </c>
      <c r="E351" s="10" t="s">
        <v>81</v>
      </c>
      <c r="F351" s="10" t="s">
        <v>83</v>
      </c>
      <c r="G351" s="10" t="s">
        <v>84</v>
      </c>
      <c r="H351" s="11">
        <v>7354</v>
      </c>
      <c r="I351" s="11">
        <v>949</v>
      </c>
      <c r="J351" s="11">
        <v>821</v>
      </c>
      <c r="K351" s="11">
        <v>20553</v>
      </c>
      <c r="L351" s="11">
        <v>0.12903956850836201</v>
      </c>
      <c r="M351" s="11">
        <f t="shared" si="1"/>
        <v>12.904541745988576</v>
      </c>
      <c r="N351" s="11">
        <v>0.86512118018967299</v>
      </c>
      <c r="O351" s="11">
        <v>2.7946788741331599</v>
      </c>
      <c r="P351" s="11">
        <v>0.76942567567567599</v>
      </c>
      <c r="Q351" s="11">
        <v>0.52380952380952395</v>
      </c>
      <c r="R351" s="11">
        <v>0.81395348837209303</v>
      </c>
      <c r="S351" s="10" t="s">
        <v>84</v>
      </c>
      <c r="T351" s="10" t="s">
        <v>84</v>
      </c>
      <c r="U351" s="10"/>
      <c r="V351" s="10"/>
      <c r="W351" s="10"/>
      <c r="X351" s="10"/>
      <c r="Y351" s="10"/>
      <c r="Z351" s="10"/>
      <c r="AA351" s="10"/>
    </row>
    <row r="352" spans="1:27" ht="12.5" x14ac:dyDescent="0.25">
      <c r="A352" s="10" t="s">
        <v>58</v>
      </c>
      <c r="B352" s="10" t="s">
        <v>522</v>
      </c>
      <c r="C352" s="10" t="s">
        <v>76</v>
      </c>
      <c r="D352" s="11">
        <v>2024</v>
      </c>
      <c r="E352" s="10" t="s">
        <v>81</v>
      </c>
      <c r="F352" s="10" t="s">
        <v>83</v>
      </c>
      <c r="G352" s="10" t="s">
        <v>84</v>
      </c>
      <c r="H352" s="11">
        <v>28178</v>
      </c>
      <c r="I352" s="11">
        <v>3610</v>
      </c>
      <c r="J352" s="11">
        <v>3223</v>
      </c>
      <c r="K352" s="11">
        <v>35000</v>
      </c>
      <c r="L352" s="11">
        <v>0.12811640493301399</v>
      </c>
      <c r="M352" s="11">
        <f t="shared" si="1"/>
        <v>12.811413159202214</v>
      </c>
      <c r="N352" s="11">
        <v>0.89279778393351805</v>
      </c>
      <c r="O352" s="11">
        <v>1.24212580959986</v>
      </c>
      <c r="P352" s="11">
        <v>0.76773648648648696</v>
      </c>
      <c r="Q352" s="11">
        <v>0.86486486486486502</v>
      </c>
      <c r="R352" s="11">
        <v>0.81201550387596899</v>
      </c>
      <c r="S352" s="10" t="s">
        <v>84</v>
      </c>
      <c r="T352" s="10" t="s">
        <v>84</v>
      </c>
      <c r="U352" s="10"/>
      <c r="V352" s="10"/>
      <c r="W352" s="10"/>
      <c r="X352" s="10"/>
      <c r="Y352" s="10"/>
      <c r="Z352" s="10"/>
      <c r="AA352" s="10"/>
    </row>
    <row r="353" spans="1:27" ht="12.5" x14ac:dyDescent="0.25">
      <c r="A353" s="10" t="s">
        <v>6</v>
      </c>
      <c r="B353" s="10" t="s">
        <v>514</v>
      </c>
      <c r="C353" s="10" t="s">
        <v>76</v>
      </c>
      <c r="D353" s="11">
        <v>2024</v>
      </c>
      <c r="E353" s="10" t="s">
        <v>257</v>
      </c>
      <c r="F353" s="10" t="s">
        <v>83</v>
      </c>
      <c r="G353" s="10" t="s">
        <v>84</v>
      </c>
      <c r="H353" s="11">
        <v>73528</v>
      </c>
      <c r="I353" s="11">
        <v>9410</v>
      </c>
      <c r="J353" s="11">
        <v>8721</v>
      </c>
      <c r="K353" s="11">
        <v>62624</v>
      </c>
      <c r="L353" s="11">
        <v>0.12797787700886301</v>
      </c>
      <c r="M353" s="11">
        <f t="shared" si="1"/>
        <v>12.797845718637799</v>
      </c>
      <c r="N353" s="11">
        <v>0.92678002125398495</v>
      </c>
      <c r="O353" s="11">
        <v>0.85169889158374301</v>
      </c>
      <c r="P353" s="11">
        <v>0.766891891891892</v>
      </c>
      <c r="Q353" s="11">
        <v>0.90322580645161299</v>
      </c>
      <c r="R353" s="11">
        <v>0.88636363636363602</v>
      </c>
      <c r="S353" s="10" t="s">
        <v>84</v>
      </c>
      <c r="T353" s="10" t="s">
        <v>84</v>
      </c>
      <c r="U353" s="10"/>
      <c r="V353" s="10"/>
      <c r="W353" s="10"/>
      <c r="X353" s="10"/>
      <c r="Y353" s="10"/>
      <c r="Z353" s="10"/>
      <c r="AA353" s="10"/>
    </row>
    <row r="354" spans="1:27" ht="12.5" x14ac:dyDescent="0.25">
      <c r="A354" s="10" t="s">
        <v>16</v>
      </c>
      <c r="B354" s="10" t="s">
        <v>524</v>
      </c>
      <c r="C354" s="10" t="s">
        <v>76</v>
      </c>
      <c r="D354" s="11">
        <v>2024</v>
      </c>
      <c r="E354" s="10" t="s">
        <v>81</v>
      </c>
      <c r="F354" s="10" t="s">
        <v>83</v>
      </c>
      <c r="G354" s="10" t="s">
        <v>84</v>
      </c>
      <c r="H354" s="11">
        <v>21179</v>
      </c>
      <c r="I354" s="11">
        <v>2709</v>
      </c>
      <c r="J354" s="11">
        <v>2472</v>
      </c>
      <c r="K354" s="11">
        <v>43777</v>
      </c>
      <c r="L354" s="11">
        <v>0.12791022518463699</v>
      </c>
      <c r="M354" s="11">
        <f t="shared" si="1"/>
        <v>12.790972189432928</v>
      </c>
      <c r="N354" s="11">
        <v>0.91251384274640102</v>
      </c>
      <c r="O354" s="11">
        <v>2.0670084636057098</v>
      </c>
      <c r="P354" s="11">
        <v>0.76604729729729704</v>
      </c>
      <c r="Q354" s="11">
        <v>0.4</v>
      </c>
      <c r="R354" s="11">
        <v>0.81007751937984496</v>
      </c>
      <c r="S354" s="10" t="s">
        <v>84</v>
      </c>
      <c r="T354" s="10" t="s">
        <v>84</v>
      </c>
      <c r="U354" s="10"/>
      <c r="V354" s="10"/>
      <c r="W354" s="10"/>
      <c r="X354" s="10"/>
      <c r="Y354" s="10"/>
      <c r="Z354" s="10"/>
      <c r="AA354" s="10"/>
    </row>
    <row r="355" spans="1:27" ht="12.5" hidden="1" x14ac:dyDescent="0.25">
      <c r="A355" s="10" t="s">
        <v>13</v>
      </c>
      <c r="B355" s="10" t="s">
        <v>1241</v>
      </c>
      <c r="C355" s="10" t="s">
        <v>191</v>
      </c>
      <c r="D355" s="11">
        <v>2024</v>
      </c>
      <c r="E355" s="10" t="s">
        <v>124</v>
      </c>
      <c r="F355" s="10" t="s">
        <v>125</v>
      </c>
      <c r="G355" s="10" t="s">
        <v>84</v>
      </c>
      <c r="H355" s="12">
        <v>462.16666666666703</v>
      </c>
      <c r="I355" s="11">
        <v>59</v>
      </c>
      <c r="J355" s="11">
        <v>53</v>
      </c>
      <c r="K355" s="11">
        <v>0</v>
      </c>
      <c r="L355" s="11">
        <v>0.12765957446808501</v>
      </c>
      <c r="M355" s="11">
        <f t="shared" si="1"/>
        <v>12.765957446808502</v>
      </c>
      <c r="N355" s="11">
        <v>0.89830508474576298</v>
      </c>
      <c r="O355" s="11">
        <v>0</v>
      </c>
      <c r="P355" s="11">
        <v>0.86519607843137303</v>
      </c>
      <c r="Q355" s="11">
        <v>0.68965517241379304</v>
      </c>
      <c r="R355" s="11">
        <v>0.79651162790697705</v>
      </c>
      <c r="S355" s="10" t="s">
        <v>84</v>
      </c>
      <c r="T355" s="10" t="s">
        <v>84</v>
      </c>
      <c r="U355" s="10"/>
      <c r="V355" s="10"/>
      <c r="W355" s="10"/>
      <c r="X355" s="10"/>
      <c r="Y355" s="10"/>
      <c r="Z355" s="10"/>
      <c r="AA355" s="10"/>
    </row>
    <row r="356" spans="1:27" ht="12.5" x14ac:dyDescent="0.25">
      <c r="A356" s="10" t="s">
        <v>42</v>
      </c>
      <c r="B356" s="10" t="s">
        <v>615</v>
      </c>
      <c r="C356" s="10" t="s">
        <v>76</v>
      </c>
      <c r="D356" s="11">
        <v>2024</v>
      </c>
      <c r="E356" s="10" t="s">
        <v>124</v>
      </c>
      <c r="F356" s="10" t="s">
        <v>83</v>
      </c>
      <c r="G356" s="10" t="s">
        <v>84</v>
      </c>
      <c r="H356" s="11">
        <v>28835</v>
      </c>
      <c r="I356" s="11">
        <v>3665</v>
      </c>
      <c r="J356" s="11">
        <v>3285</v>
      </c>
      <c r="K356" s="11">
        <v>69092</v>
      </c>
      <c r="L356" s="11">
        <v>0.127104316286866</v>
      </c>
      <c r="M356" s="11">
        <f t="shared" si="1"/>
        <v>12.710247962545518</v>
      </c>
      <c r="N356" s="11">
        <v>0.89631650750341096</v>
      </c>
      <c r="O356" s="11">
        <v>2.3961504559050901</v>
      </c>
      <c r="P356" s="11">
        <v>0.764358108108108</v>
      </c>
      <c r="Q356" s="11">
        <v>0.71428571428571397</v>
      </c>
      <c r="R356" s="11">
        <v>0.67337807606264</v>
      </c>
      <c r="S356" s="10" t="s">
        <v>84</v>
      </c>
      <c r="T356" s="10" t="s">
        <v>84</v>
      </c>
      <c r="U356" s="10"/>
      <c r="V356" s="10"/>
      <c r="W356" s="10"/>
      <c r="X356" s="10"/>
      <c r="Y356" s="10"/>
      <c r="Z356" s="10"/>
      <c r="AA356" s="10"/>
    </row>
    <row r="357" spans="1:27" ht="12.5" x14ac:dyDescent="0.25">
      <c r="A357" s="10" t="s">
        <v>19</v>
      </c>
      <c r="B357" s="10" t="s">
        <v>526</v>
      </c>
      <c r="C357" s="10" t="s">
        <v>76</v>
      </c>
      <c r="D357" s="11">
        <v>2024</v>
      </c>
      <c r="E357" s="10" t="s">
        <v>81</v>
      </c>
      <c r="F357" s="10" t="s">
        <v>83</v>
      </c>
      <c r="G357" s="10" t="s">
        <v>84</v>
      </c>
      <c r="H357" s="11">
        <v>65011</v>
      </c>
      <c r="I357" s="11">
        <v>8263</v>
      </c>
      <c r="J357" s="11">
        <v>6636</v>
      </c>
      <c r="K357" s="11">
        <v>45293</v>
      </c>
      <c r="L357" s="11">
        <v>0.127101730350415</v>
      </c>
      <c r="M357" s="11">
        <f t="shared" si="1"/>
        <v>12.710156742705081</v>
      </c>
      <c r="N357" s="11">
        <v>0.80309814837226201</v>
      </c>
      <c r="O357" s="11">
        <v>0.696698375016504</v>
      </c>
      <c r="P357" s="11">
        <v>0.76351351351351304</v>
      </c>
      <c r="Q357" s="11">
        <v>0.66666666666666696</v>
      </c>
      <c r="R357" s="11">
        <v>0.80813953488372103</v>
      </c>
      <c r="S357" s="10" t="s">
        <v>84</v>
      </c>
      <c r="T357" s="10" t="s">
        <v>84</v>
      </c>
      <c r="U357" s="10"/>
      <c r="V357" s="10"/>
      <c r="W357" s="10"/>
      <c r="X357" s="10"/>
      <c r="Y357" s="10"/>
      <c r="Z357" s="10"/>
      <c r="AA357" s="10"/>
    </row>
    <row r="358" spans="1:27" ht="12.5" x14ac:dyDescent="0.25">
      <c r="A358" s="10" t="s">
        <v>103</v>
      </c>
      <c r="B358" s="10" t="s">
        <v>618</v>
      </c>
      <c r="C358" s="10" t="s">
        <v>76</v>
      </c>
      <c r="D358" s="11">
        <v>2024</v>
      </c>
      <c r="E358" s="10" t="s">
        <v>124</v>
      </c>
      <c r="F358" s="10" t="s">
        <v>83</v>
      </c>
      <c r="G358" s="10" t="s">
        <v>84</v>
      </c>
      <c r="H358" s="11">
        <v>100871</v>
      </c>
      <c r="I358" s="11">
        <v>12799</v>
      </c>
      <c r="J358" s="11">
        <v>11017</v>
      </c>
      <c r="K358" s="11">
        <v>120289</v>
      </c>
      <c r="L358" s="11">
        <v>0.126884623455332</v>
      </c>
      <c r="M358" s="11">
        <f t="shared" si="1"/>
        <v>12.688483310366705</v>
      </c>
      <c r="N358" s="11">
        <v>0.86077037268536605</v>
      </c>
      <c r="O358" s="11">
        <v>1.19250132594878</v>
      </c>
      <c r="P358" s="11">
        <v>0.76266891891891897</v>
      </c>
      <c r="Q358" s="11">
        <v>0.86956521739130399</v>
      </c>
      <c r="R358" s="11">
        <v>0.67114093959731502</v>
      </c>
      <c r="S358" s="10" t="s">
        <v>84</v>
      </c>
      <c r="T358" s="10" t="s">
        <v>84</v>
      </c>
      <c r="U358" s="10"/>
      <c r="V358" s="10"/>
      <c r="W358" s="10"/>
      <c r="X358" s="10"/>
      <c r="Y358" s="10"/>
      <c r="Z358" s="10"/>
      <c r="AA358" s="10"/>
    </row>
    <row r="359" spans="1:27" ht="12.5" x14ac:dyDescent="0.25">
      <c r="A359" s="10" t="s">
        <v>26</v>
      </c>
      <c r="B359" s="10" t="s">
        <v>622</v>
      </c>
      <c r="C359" s="10" t="s">
        <v>76</v>
      </c>
      <c r="D359" s="11">
        <v>2024</v>
      </c>
      <c r="E359" s="10" t="s">
        <v>124</v>
      </c>
      <c r="F359" s="10" t="s">
        <v>83</v>
      </c>
      <c r="G359" s="10" t="s">
        <v>84</v>
      </c>
      <c r="H359" s="11">
        <v>34179</v>
      </c>
      <c r="I359" s="11">
        <v>4317</v>
      </c>
      <c r="J359" s="11">
        <v>2850</v>
      </c>
      <c r="K359" s="11">
        <v>113546</v>
      </c>
      <c r="L359" s="11">
        <v>0.12630501036206301</v>
      </c>
      <c r="M359" s="11">
        <f t="shared" si="1"/>
        <v>12.630562626173965</v>
      </c>
      <c r="N359" s="11">
        <v>0.66018068102849203</v>
      </c>
      <c r="O359" s="11">
        <v>3.32208216506156</v>
      </c>
      <c r="P359" s="11">
        <v>0.76182432432432401</v>
      </c>
      <c r="Q359" s="11">
        <v>0.53846153846153799</v>
      </c>
      <c r="R359" s="11">
        <v>0.66890380313199105</v>
      </c>
      <c r="S359" s="10" t="s">
        <v>84</v>
      </c>
      <c r="T359" s="10" t="s">
        <v>84</v>
      </c>
      <c r="U359" s="10"/>
      <c r="V359" s="10"/>
      <c r="W359" s="10"/>
      <c r="X359" s="10"/>
      <c r="Y359" s="10"/>
      <c r="Z359" s="10"/>
      <c r="AA359" s="10"/>
    </row>
    <row r="360" spans="1:27" ht="12.5" x14ac:dyDescent="0.25">
      <c r="A360" s="10" t="s">
        <v>10</v>
      </c>
      <c r="B360" s="10" t="s">
        <v>625</v>
      </c>
      <c r="C360" s="10" t="s">
        <v>76</v>
      </c>
      <c r="D360" s="11">
        <v>2024</v>
      </c>
      <c r="E360" s="10" t="s">
        <v>124</v>
      </c>
      <c r="F360" s="10" t="s">
        <v>83</v>
      </c>
      <c r="G360" s="10" t="s">
        <v>84</v>
      </c>
      <c r="H360" s="11">
        <v>43989</v>
      </c>
      <c r="I360" s="11">
        <v>5549</v>
      </c>
      <c r="J360" s="11">
        <v>4979</v>
      </c>
      <c r="K360" s="11">
        <v>11018</v>
      </c>
      <c r="L360" s="11">
        <v>0.126146606499426</v>
      </c>
      <c r="M360" s="11">
        <f t="shared" si="1"/>
        <v>12.614517265680055</v>
      </c>
      <c r="N360" s="11">
        <v>0.89727878897098601</v>
      </c>
      <c r="O360" s="11">
        <v>0.25047455584982398</v>
      </c>
      <c r="P360" s="11">
        <v>0.76097972972973005</v>
      </c>
      <c r="Q360" s="11">
        <v>0.66666666666666696</v>
      </c>
      <c r="R360" s="11">
        <v>0.66666666666666696</v>
      </c>
      <c r="S360" s="10" t="s">
        <v>84</v>
      </c>
      <c r="T360" s="10" t="s">
        <v>84</v>
      </c>
      <c r="U360" s="10"/>
      <c r="V360" s="10"/>
      <c r="W360" s="10"/>
      <c r="X360" s="10"/>
      <c r="Y360" s="10"/>
      <c r="Z360" s="10"/>
      <c r="AA360" s="10"/>
    </row>
    <row r="361" spans="1:27" ht="12.5" x14ac:dyDescent="0.25">
      <c r="A361" s="10" t="s">
        <v>26</v>
      </c>
      <c r="B361" s="10" t="s">
        <v>627</v>
      </c>
      <c r="C361" s="10" t="s">
        <v>76</v>
      </c>
      <c r="D361" s="11">
        <v>2024</v>
      </c>
      <c r="E361" s="10" t="s">
        <v>124</v>
      </c>
      <c r="F361" s="10" t="s">
        <v>83</v>
      </c>
      <c r="G361" s="10" t="s">
        <v>84</v>
      </c>
      <c r="H361" s="11">
        <v>31145</v>
      </c>
      <c r="I361" s="11">
        <v>3924</v>
      </c>
      <c r="J361" s="11">
        <v>3924</v>
      </c>
      <c r="K361" s="11">
        <v>90521</v>
      </c>
      <c r="L361" s="11">
        <v>0.12599166798220099</v>
      </c>
      <c r="M361" s="11">
        <f t="shared" si="1"/>
        <v>12.5991330871729</v>
      </c>
      <c r="N361" s="11">
        <v>1</v>
      </c>
      <c r="O361" s="11">
        <v>2.9064454070889001</v>
      </c>
      <c r="P361" s="11">
        <v>0.76013513513513498</v>
      </c>
      <c r="Q361" s="11">
        <v>0.5</v>
      </c>
      <c r="R361" s="11">
        <v>0.66442953020134199</v>
      </c>
      <c r="S361" s="10" t="s">
        <v>84</v>
      </c>
      <c r="T361" s="10" t="s">
        <v>84</v>
      </c>
      <c r="U361" s="10"/>
      <c r="V361" s="10"/>
      <c r="W361" s="10"/>
      <c r="X361" s="10"/>
      <c r="Y361" s="10"/>
      <c r="Z361" s="10"/>
      <c r="AA361" s="10"/>
    </row>
    <row r="362" spans="1:27" ht="12.5" x14ac:dyDescent="0.25">
      <c r="A362" s="10" t="s">
        <v>12</v>
      </c>
      <c r="B362" s="10" t="s">
        <v>631</v>
      </c>
      <c r="C362" s="10" t="s">
        <v>76</v>
      </c>
      <c r="D362" s="11">
        <v>2024</v>
      </c>
      <c r="E362" s="10" t="s">
        <v>124</v>
      </c>
      <c r="F362" s="10" t="s">
        <v>83</v>
      </c>
      <c r="G362" s="10" t="s">
        <v>84</v>
      </c>
      <c r="H362" s="11">
        <v>34219</v>
      </c>
      <c r="I362" s="11">
        <v>4308</v>
      </c>
      <c r="J362" s="11">
        <v>3538</v>
      </c>
      <c r="K362" s="11">
        <v>24302</v>
      </c>
      <c r="L362" s="11">
        <v>0.12589466403980201</v>
      </c>
      <c r="M362" s="11">
        <f t="shared" si="1"/>
        <v>12.589497063035157</v>
      </c>
      <c r="N362" s="11">
        <v>0.82126276694521805</v>
      </c>
      <c r="O362" s="11">
        <v>0.71018851566742702</v>
      </c>
      <c r="P362" s="11">
        <v>0.75929054054054101</v>
      </c>
      <c r="Q362" s="11">
        <v>0.72222222222222199</v>
      </c>
      <c r="R362" s="11">
        <v>0.66219239373601801</v>
      </c>
      <c r="S362" s="10" t="s">
        <v>84</v>
      </c>
      <c r="T362" s="10" t="s">
        <v>84</v>
      </c>
      <c r="U362" s="10"/>
      <c r="V362" s="10"/>
      <c r="W362" s="10"/>
      <c r="X362" s="10"/>
      <c r="Y362" s="10"/>
      <c r="Z362" s="10"/>
      <c r="AA362" s="10"/>
    </row>
    <row r="363" spans="1:27" ht="12.5" hidden="1" x14ac:dyDescent="0.25">
      <c r="A363" s="10" t="s">
        <v>36</v>
      </c>
      <c r="B363" s="10" t="s">
        <v>1261</v>
      </c>
      <c r="C363" s="10" t="s">
        <v>191</v>
      </c>
      <c r="D363" s="11">
        <v>2024</v>
      </c>
      <c r="E363" s="10" t="s">
        <v>124</v>
      </c>
      <c r="F363" s="10" t="s">
        <v>125</v>
      </c>
      <c r="G363" s="10" t="s">
        <v>84</v>
      </c>
      <c r="H363" s="12">
        <v>2297</v>
      </c>
      <c r="I363" s="11">
        <v>289</v>
      </c>
      <c r="J363" s="11">
        <v>289</v>
      </c>
      <c r="K363" s="11">
        <v>815</v>
      </c>
      <c r="L363" s="11">
        <v>0.12579346367296601</v>
      </c>
      <c r="M363" s="11">
        <f t="shared" si="1"/>
        <v>12.581628210709622</v>
      </c>
      <c r="N363" s="11">
        <v>1</v>
      </c>
      <c r="O363" s="11">
        <v>0.354746272987776</v>
      </c>
      <c r="P363" s="11">
        <v>0.86397058823529405</v>
      </c>
      <c r="Q363" s="11">
        <v>0.77500000000000002</v>
      </c>
      <c r="R363" s="11">
        <v>0.79457364341085301</v>
      </c>
      <c r="S363" s="10" t="s">
        <v>84</v>
      </c>
      <c r="T363" s="10" t="s">
        <v>84</v>
      </c>
      <c r="U363" s="10"/>
      <c r="V363" s="10"/>
      <c r="W363" s="10"/>
      <c r="X363" s="10"/>
      <c r="Y363" s="10"/>
      <c r="Z363" s="10"/>
      <c r="AA363" s="10"/>
    </row>
    <row r="364" spans="1:27" ht="12.5" x14ac:dyDescent="0.25">
      <c r="A364" s="10" t="s">
        <v>58</v>
      </c>
      <c r="B364" s="10" t="s">
        <v>634</v>
      </c>
      <c r="C364" s="10" t="s">
        <v>76</v>
      </c>
      <c r="D364" s="11">
        <v>2024</v>
      </c>
      <c r="E364" s="10" t="s">
        <v>124</v>
      </c>
      <c r="F364" s="10" t="s">
        <v>83</v>
      </c>
      <c r="G364" s="10" t="s">
        <v>84</v>
      </c>
      <c r="H364" s="11">
        <v>25457</v>
      </c>
      <c r="I364" s="11">
        <v>3194</v>
      </c>
      <c r="J364" s="11">
        <v>2733</v>
      </c>
      <c r="K364" s="11">
        <v>65062</v>
      </c>
      <c r="L364" s="11">
        <v>0.12546852647808901</v>
      </c>
      <c r="M364" s="11">
        <f t="shared" si="1"/>
        <v>12.546647287582982</v>
      </c>
      <c r="N364" s="11">
        <v>0.85566687539135899</v>
      </c>
      <c r="O364" s="11">
        <v>2.5558025265239199</v>
      </c>
      <c r="P364" s="11">
        <v>0.75844594594594605</v>
      </c>
      <c r="Q364" s="11">
        <v>0.83783783783783805</v>
      </c>
      <c r="R364" s="11">
        <v>0.65995525727069304</v>
      </c>
      <c r="S364" s="10" t="s">
        <v>84</v>
      </c>
      <c r="T364" s="10" t="s">
        <v>84</v>
      </c>
      <c r="U364" s="10"/>
      <c r="V364" s="10"/>
      <c r="W364" s="10"/>
      <c r="X364" s="10"/>
      <c r="Y364" s="10"/>
      <c r="Z364" s="10"/>
      <c r="AA364" s="10"/>
    </row>
    <row r="365" spans="1:27" ht="12.5" hidden="1" x14ac:dyDescent="0.25">
      <c r="A365" s="10" t="s">
        <v>36</v>
      </c>
      <c r="B365" s="10" t="s">
        <v>1267</v>
      </c>
      <c r="C365" s="10" t="s">
        <v>191</v>
      </c>
      <c r="D365" s="11">
        <v>2024</v>
      </c>
      <c r="E365" s="10" t="s">
        <v>124</v>
      </c>
      <c r="F365" s="10" t="s">
        <v>83</v>
      </c>
      <c r="G365" s="10" t="s">
        <v>84</v>
      </c>
      <c r="H365" s="12">
        <v>9048</v>
      </c>
      <c r="I365" s="11">
        <v>1134</v>
      </c>
      <c r="J365" s="11">
        <v>1088</v>
      </c>
      <c r="K365" s="11">
        <v>10730</v>
      </c>
      <c r="L365" s="11">
        <v>0.125325793647139</v>
      </c>
      <c r="M365" s="11">
        <f t="shared" si="1"/>
        <v>12.533156498673739</v>
      </c>
      <c r="N365" s="11">
        <v>0.95943562610229305</v>
      </c>
      <c r="O365" s="11">
        <v>1.1858428270139301</v>
      </c>
      <c r="P365" s="11">
        <v>0.86274509803921595</v>
      </c>
      <c r="Q365" s="11">
        <v>0.75</v>
      </c>
      <c r="R365" s="11">
        <v>0.79263565891472898</v>
      </c>
      <c r="S365" s="10" t="s">
        <v>84</v>
      </c>
      <c r="T365" s="10" t="s">
        <v>84</v>
      </c>
      <c r="U365" s="10"/>
      <c r="V365" s="10"/>
      <c r="W365" s="10"/>
      <c r="X365" s="10"/>
      <c r="Y365" s="10"/>
      <c r="Z365" s="10"/>
      <c r="AA365" s="10"/>
    </row>
    <row r="366" spans="1:27" ht="12.5" x14ac:dyDescent="0.25">
      <c r="A366" s="10" t="s">
        <v>25</v>
      </c>
      <c r="B366" s="10" t="s">
        <v>637</v>
      </c>
      <c r="C366" s="10" t="s">
        <v>76</v>
      </c>
      <c r="D366" s="11">
        <v>2024</v>
      </c>
      <c r="E366" s="10" t="s">
        <v>124</v>
      </c>
      <c r="F366" s="10" t="s">
        <v>83</v>
      </c>
      <c r="G366" s="10" t="s">
        <v>84</v>
      </c>
      <c r="H366" s="11">
        <v>34650</v>
      </c>
      <c r="I366" s="11">
        <v>4339</v>
      </c>
      <c r="J366" s="11">
        <v>3717</v>
      </c>
      <c r="K366" s="11">
        <v>45118</v>
      </c>
      <c r="L366" s="11">
        <v>0.12522396638760599</v>
      </c>
      <c r="M366" s="11">
        <f t="shared" si="1"/>
        <v>12.522366522366523</v>
      </c>
      <c r="N366" s="11">
        <v>0.85664899746485401</v>
      </c>
      <c r="O366" s="11">
        <v>1.30210991368426</v>
      </c>
      <c r="P366" s="11">
        <v>0.75760135135135098</v>
      </c>
      <c r="Q366" s="11">
        <v>0.75</v>
      </c>
      <c r="R366" s="11">
        <v>0.65771812080536896</v>
      </c>
      <c r="S366" s="10" t="s">
        <v>84</v>
      </c>
      <c r="T366" s="10" t="s">
        <v>84</v>
      </c>
      <c r="U366" s="10"/>
      <c r="V366" s="10"/>
      <c r="W366" s="10"/>
      <c r="X366" s="10"/>
      <c r="Y366" s="10"/>
      <c r="Z366" s="10"/>
      <c r="AA366" s="10"/>
    </row>
    <row r="367" spans="1:27" ht="12.5" x14ac:dyDescent="0.25">
      <c r="A367" s="10" t="s">
        <v>104</v>
      </c>
      <c r="B367" s="10" t="s">
        <v>528</v>
      </c>
      <c r="C367" s="10" t="s">
        <v>76</v>
      </c>
      <c r="D367" s="11">
        <v>2024</v>
      </c>
      <c r="E367" s="10" t="s">
        <v>81</v>
      </c>
      <c r="F367" s="10" t="s">
        <v>83</v>
      </c>
      <c r="G367" s="10" t="s">
        <v>84</v>
      </c>
      <c r="H367" s="11">
        <v>114019</v>
      </c>
      <c r="I367" s="11">
        <v>14274</v>
      </c>
      <c r="J367" s="11">
        <v>13619</v>
      </c>
      <c r="K367" s="11">
        <v>87715</v>
      </c>
      <c r="L367" s="11">
        <v>0.125189295382654</v>
      </c>
      <c r="M367" s="11">
        <f t="shared" si="1"/>
        <v>12.518966137222742</v>
      </c>
      <c r="N367" s="11">
        <v>0.95411237214515898</v>
      </c>
      <c r="O367" s="11">
        <v>0.76929935858831</v>
      </c>
      <c r="P367" s="11">
        <v>0.75675675675675702</v>
      </c>
      <c r="Q367" s="11">
        <v>0.82758620689655205</v>
      </c>
      <c r="R367" s="11">
        <v>0.806201550387597</v>
      </c>
      <c r="S367" s="10" t="s">
        <v>84</v>
      </c>
      <c r="T367" s="10" t="s">
        <v>84</v>
      </c>
      <c r="U367" s="10"/>
      <c r="V367" s="10"/>
      <c r="W367" s="10"/>
      <c r="X367" s="10"/>
      <c r="Y367" s="10"/>
      <c r="Z367" s="10"/>
      <c r="AA367" s="10"/>
    </row>
    <row r="368" spans="1:27" ht="12.5" x14ac:dyDescent="0.25">
      <c r="A368" s="10" t="s">
        <v>13</v>
      </c>
      <c r="B368" s="10" t="s">
        <v>639</v>
      </c>
      <c r="C368" s="10" t="s">
        <v>76</v>
      </c>
      <c r="D368" s="11">
        <v>2024</v>
      </c>
      <c r="E368" s="10" t="s">
        <v>124</v>
      </c>
      <c r="F368" s="10" t="s">
        <v>83</v>
      </c>
      <c r="G368" s="10" t="s">
        <v>84</v>
      </c>
      <c r="H368" s="11">
        <v>56434</v>
      </c>
      <c r="I368" s="11">
        <v>7061</v>
      </c>
      <c r="J368" s="11">
        <v>6709</v>
      </c>
      <c r="K368" s="11">
        <v>187386</v>
      </c>
      <c r="L368" s="11">
        <v>0.12512053254341801</v>
      </c>
      <c r="M368" s="11">
        <f t="shared" si="1"/>
        <v>12.511960874650033</v>
      </c>
      <c r="N368" s="11">
        <v>0.95014870414955399</v>
      </c>
      <c r="O368" s="11">
        <v>3.3204696376123599</v>
      </c>
      <c r="P368" s="11">
        <v>0.75591216216216195</v>
      </c>
      <c r="Q368" s="11">
        <v>0.476190476190476</v>
      </c>
      <c r="R368" s="11">
        <v>0.65548098434004498</v>
      </c>
      <c r="S368" s="10" t="s">
        <v>84</v>
      </c>
      <c r="T368" s="10" t="s">
        <v>84</v>
      </c>
      <c r="U368" s="10"/>
      <c r="V368" s="10"/>
      <c r="W368" s="10"/>
      <c r="X368" s="10"/>
      <c r="Y368" s="10"/>
      <c r="Z368" s="10"/>
      <c r="AA368" s="10"/>
    </row>
    <row r="369" spans="1:27" ht="12.5" x14ac:dyDescent="0.25">
      <c r="A369" s="10" t="s">
        <v>29</v>
      </c>
      <c r="B369" s="10" t="s">
        <v>529</v>
      </c>
      <c r="C369" s="10" t="s">
        <v>76</v>
      </c>
      <c r="D369" s="11">
        <v>2024</v>
      </c>
      <c r="E369" s="10" t="s">
        <v>81</v>
      </c>
      <c r="F369" s="10" t="s">
        <v>83</v>
      </c>
      <c r="G369" s="10" t="s">
        <v>84</v>
      </c>
      <c r="H369" s="11">
        <v>303851</v>
      </c>
      <c r="I369" s="11">
        <v>37907</v>
      </c>
      <c r="J369" s="11">
        <v>33813</v>
      </c>
      <c r="K369" s="11">
        <v>155999</v>
      </c>
      <c r="L369" s="11">
        <v>0.124755191207974</v>
      </c>
      <c r="M369" s="11">
        <f t="shared" si="1"/>
        <v>12.475522542298693</v>
      </c>
      <c r="N369" s="11">
        <v>0.89199883926451595</v>
      </c>
      <c r="O369" s="11">
        <v>0.51340610106979501</v>
      </c>
      <c r="P369" s="11">
        <v>0.75506756756756799</v>
      </c>
      <c r="Q369" s="11">
        <v>0.530612244897959</v>
      </c>
      <c r="R369" s="11">
        <v>0.80426356589147296</v>
      </c>
      <c r="S369" s="10" t="s">
        <v>84</v>
      </c>
      <c r="T369" s="10" t="s">
        <v>84</v>
      </c>
      <c r="U369" s="10"/>
      <c r="V369" s="10"/>
      <c r="W369" s="10"/>
      <c r="X369" s="10"/>
      <c r="Y369" s="10"/>
      <c r="Z369" s="10"/>
      <c r="AA369" s="10"/>
    </row>
    <row r="370" spans="1:27" ht="12.5" hidden="1" x14ac:dyDescent="0.25">
      <c r="A370" s="10" t="s">
        <v>13</v>
      </c>
      <c r="B370" s="10" t="s">
        <v>1278</v>
      </c>
      <c r="C370" s="10" t="s">
        <v>191</v>
      </c>
      <c r="D370" s="11">
        <v>2024</v>
      </c>
      <c r="E370" s="10" t="s">
        <v>124</v>
      </c>
      <c r="F370" s="10" t="s">
        <v>125</v>
      </c>
      <c r="G370" s="10" t="s">
        <v>84</v>
      </c>
      <c r="H370" s="12">
        <v>289.08333333333297</v>
      </c>
      <c r="I370" s="11">
        <v>36</v>
      </c>
      <c r="J370" s="11">
        <v>18</v>
      </c>
      <c r="K370" s="11">
        <v>329</v>
      </c>
      <c r="L370" s="11">
        <v>0.124531565292592</v>
      </c>
      <c r="M370" s="11">
        <f t="shared" si="1"/>
        <v>12.453156529259168</v>
      </c>
      <c r="N370" s="11">
        <v>0.5</v>
      </c>
      <c r="O370" s="11">
        <v>1.13808013836841</v>
      </c>
      <c r="P370" s="11">
        <v>0.86151960784313697</v>
      </c>
      <c r="Q370" s="11">
        <v>0.67241379310344795</v>
      </c>
      <c r="R370" s="11">
        <v>0.79069767441860495</v>
      </c>
      <c r="S370" s="10" t="s">
        <v>84</v>
      </c>
      <c r="T370" s="10" t="s">
        <v>84</v>
      </c>
      <c r="U370" s="10"/>
      <c r="V370" s="10"/>
      <c r="W370" s="10"/>
      <c r="X370" s="10"/>
      <c r="Y370" s="10"/>
      <c r="Z370" s="10"/>
      <c r="AA370" s="10"/>
    </row>
    <row r="371" spans="1:27" ht="12.5" hidden="1" x14ac:dyDescent="0.25">
      <c r="A371" s="10" t="s">
        <v>14</v>
      </c>
      <c r="B371" s="10" t="s">
        <v>1282</v>
      </c>
      <c r="C371" s="10" t="s">
        <v>191</v>
      </c>
      <c r="D371" s="11">
        <v>2024</v>
      </c>
      <c r="E371" s="10" t="s">
        <v>124</v>
      </c>
      <c r="F371" s="10" t="s">
        <v>125</v>
      </c>
      <c r="G371" s="10" t="s">
        <v>84</v>
      </c>
      <c r="H371" s="12">
        <v>4049</v>
      </c>
      <c r="I371" s="11">
        <v>504</v>
      </c>
      <c r="J371" s="11">
        <v>423</v>
      </c>
      <c r="K371" s="11">
        <v>4505</v>
      </c>
      <c r="L371" s="11">
        <v>0.124482865081815</v>
      </c>
      <c r="M371" s="11">
        <f t="shared" si="1"/>
        <v>12.447517905655719</v>
      </c>
      <c r="N371" s="11">
        <v>0.83928571428571397</v>
      </c>
      <c r="O371" s="11">
        <v>1.1126891015745599</v>
      </c>
      <c r="P371" s="11">
        <v>0.86029411764705899</v>
      </c>
      <c r="Q371" s="11">
        <v>0.85106382978723405</v>
      </c>
      <c r="R371" s="11">
        <v>0.78875968992248102</v>
      </c>
      <c r="S371" s="10" t="s">
        <v>84</v>
      </c>
      <c r="T371" s="10" t="s">
        <v>84</v>
      </c>
      <c r="U371" s="10"/>
      <c r="V371" s="10"/>
      <c r="W371" s="10"/>
      <c r="X371" s="10"/>
      <c r="Y371" s="10"/>
      <c r="Z371" s="10"/>
      <c r="AA371" s="10"/>
    </row>
    <row r="372" spans="1:27" ht="12.5" x14ac:dyDescent="0.25">
      <c r="A372" s="10" t="s">
        <v>13</v>
      </c>
      <c r="B372" s="10" t="s">
        <v>641</v>
      </c>
      <c r="C372" s="10" t="s">
        <v>76</v>
      </c>
      <c r="D372" s="11">
        <v>2024</v>
      </c>
      <c r="E372" s="10" t="s">
        <v>124</v>
      </c>
      <c r="F372" s="10" t="s">
        <v>125</v>
      </c>
      <c r="G372" s="10" t="s">
        <v>84</v>
      </c>
      <c r="H372" s="11">
        <v>4537</v>
      </c>
      <c r="I372" s="11">
        <v>563</v>
      </c>
      <c r="J372" s="11">
        <v>511</v>
      </c>
      <c r="K372" s="11">
        <v>5845</v>
      </c>
      <c r="L372" s="11">
        <v>0.124104485837099</v>
      </c>
      <c r="M372" s="11">
        <f t="shared" si="1"/>
        <v>12.409080890456249</v>
      </c>
      <c r="N372" s="11">
        <v>0.90763765541740704</v>
      </c>
      <c r="O372" s="11">
        <v>1.2884382232999001</v>
      </c>
      <c r="P372" s="11">
        <v>0.75422297297297303</v>
      </c>
      <c r="Q372" s="11">
        <v>0.42857142857142899</v>
      </c>
      <c r="R372" s="11">
        <v>0.65324384787472001</v>
      </c>
      <c r="S372" s="10" t="s">
        <v>84</v>
      </c>
      <c r="T372" s="10" t="s">
        <v>84</v>
      </c>
      <c r="U372" s="10"/>
      <c r="V372" s="10"/>
      <c r="W372" s="10"/>
      <c r="X372" s="10"/>
      <c r="Y372" s="10"/>
      <c r="Z372" s="10"/>
      <c r="AA372" s="10"/>
    </row>
    <row r="373" spans="1:27" ht="12.5" hidden="1" x14ac:dyDescent="0.25">
      <c r="A373" s="10" t="s">
        <v>29</v>
      </c>
      <c r="B373" s="10" t="s">
        <v>1290</v>
      </c>
      <c r="C373" s="10" t="s">
        <v>191</v>
      </c>
      <c r="D373" s="11">
        <v>2024</v>
      </c>
      <c r="E373" s="10" t="s">
        <v>124</v>
      </c>
      <c r="F373" s="10" t="s">
        <v>125</v>
      </c>
      <c r="G373" s="10" t="s">
        <v>84</v>
      </c>
      <c r="H373" s="12">
        <v>549.16666666666697</v>
      </c>
      <c r="I373" s="11">
        <v>68</v>
      </c>
      <c r="J373" s="11">
        <v>45</v>
      </c>
      <c r="K373" s="11">
        <v>26</v>
      </c>
      <c r="L373" s="11">
        <v>0.123823975720789</v>
      </c>
      <c r="M373" s="11">
        <f t="shared" si="1"/>
        <v>12.382397572078901</v>
      </c>
      <c r="N373" s="11">
        <v>0.66176470588235303</v>
      </c>
      <c r="O373" s="11">
        <v>4.73444613050076E-2</v>
      </c>
      <c r="P373" s="11">
        <v>0.85906862745098</v>
      </c>
      <c r="Q373" s="11">
        <v>0.76056338028169002</v>
      </c>
      <c r="R373" s="11">
        <v>0.78682170542635699</v>
      </c>
      <c r="S373" s="10" t="s">
        <v>84</v>
      </c>
      <c r="T373" s="10" t="s">
        <v>84</v>
      </c>
      <c r="U373" s="10"/>
      <c r="V373" s="10"/>
      <c r="W373" s="10"/>
      <c r="X373" s="10"/>
      <c r="Y373" s="10"/>
      <c r="Z373" s="10"/>
      <c r="AA373" s="10"/>
    </row>
    <row r="374" spans="1:27" ht="12.5" hidden="1" x14ac:dyDescent="0.25">
      <c r="A374" s="10" t="s">
        <v>13</v>
      </c>
      <c r="B374" s="10" t="s">
        <v>1293</v>
      </c>
      <c r="C374" s="10" t="s">
        <v>191</v>
      </c>
      <c r="D374" s="11">
        <v>2024</v>
      </c>
      <c r="E374" s="10" t="s">
        <v>124</v>
      </c>
      <c r="F374" s="10" t="s">
        <v>125</v>
      </c>
      <c r="G374" s="10" t="s">
        <v>84</v>
      </c>
      <c r="H374" s="12">
        <v>461.33333333333297</v>
      </c>
      <c r="I374" s="11">
        <v>57</v>
      </c>
      <c r="J374" s="11">
        <v>34</v>
      </c>
      <c r="K374" s="11">
        <v>38</v>
      </c>
      <c r="L374" s="11">
        <v>0.12355491329479799</v>
      </c>
      <c r="M374" s="11">
        <f t="shared" si="1"/>
        <v>12.355491329479779</v>
      </c>
      <c r="N374" s="11">
        <v>0.59649122807017496</v>
      </c>
      <c r="O374" s="11">
        <v>8.2369942196531806E-2</v>
      </c>
      <c r="P374" s="11">
        <v>0.85784313725490202</v>
      </c>
      <c r="Q374" s="11">
        <v>0.65517241379310298</v>
      </c>
      <c r="R374" s="11">
        <v>0.78488372093023295</v>
      </c>
      <c r="S374" s="10" t="s">
        <v>84</v>
      </c>
      <c r="T374" s="10" t="s">
        <v>84</v>
      </c>
      <c r="U374" s="10"/>
      <c r="V374" s="10"/>
      <c r="W374" s="10"/>
      <c r="X374" s="10"/>
      <c r="Y374" s="10"/>
      <c r="Z374" s="10"/>
      <c r="AA374" s="10"/>
    </row>
    <row r="375" spans="1:27" ht="12.5" x14ac:dyDescent="0.25">
      <c r="A375" s="10" t="s">
        <v>12</v>
      </c>
      <c r="B375" s="10" t="s">
        <v>531</v>
      </c>
      <c r="C375" s="10" t="s">
        <v>76</v>
      </c>
      <c r="D375" s="11">
        <v>2024</v>
      </c>
      <c r="E375" s="10" t="s">
        <v>81</v>
      </c>
      <c r="F375" s="10" t="s">
        <v>83</v>
      </c>
      <c r="G375" s="10" t="s">
        <v>84</v>
      </c>
      <c r="H375" s="11">
        <v>2226</v>
      </c>
      <c r="I375" s="11">
        <v>275</v>
      </c>
      <c r="J375" s="11">
        <v>232</v>
      </c>
      <c r="K375" s="11">
        <v>2098</v>
      </c>
      <c r="L375" s="11">
        <v>0.123553858250028</v>
      </c>
      <c r="M375" s="11">
        <f t="shared" si="1"/>
        <v>12.353998203054807</v>
      </c>
      <c r="N375" s="11">
        <v>0.84363636363636396</v>
      </c>
      <c r="O375" s="11">
        <v>0.94260361675839599</v>
      </c>
      <c r="P375" s="11">
        <v>0.75337837837837796</v>
      </c>
      <c r="Q375" s="11">
        <v>0.70833333333333304</v>
      </c>
      <c r="R375" s="11">
        <v>0.80232558139534904</v>
      </c>
      <c r="S375" s="10" t="s">
        <v>84</v>
      </c>
      <c r="T375" s="10" t="s">
        <v>84</v>
      </c>
      <c r="U375" s="10"/>
      <c r="V375" s="10"/>
      <c r="W375" s="10"/>
      <c r="X375" s="10"/>
      <c r="Y375" s="10"/>
      <c r="Z375" s="10"/>
      <c r="AA375" s="10"/>
    </row>
    <row r="376" spans="1:27" ht="12.5" x14ac:dyDescent="0.25">
      <c r="A376" s="10" t="s">
        <v>26</v>
      </c>
      <c r="B376" s="10" t="s">
        <v>534</v>
      </c>
      <c r="C376" s="10" t="s">
        <v>76</v>
      </c>
      <c r="D376" s="11">
        <v>2024</v>
      </c>
      <c r="E376" s="10" t="s">
        <v>81</v>
      </c>
      <c r="F376" s="10" t="s">
        <v>83</v>
      </c>
      <c r="G376" s="10" t="s">
        <v>84</v>
      </c>
      <c r="H376" s="11">
        <v>58566</v>
      </c>
      <c r="I376" s="11">
        <v>7215</v>
      </c>
      <c r="J376" s="11">
        <v>8003</v>
      </c>
      <c r="K376" s="11">
        <v>103889</v>
      </c>
      <c r="L376" s="11">
        <v>0.12319469542822201</v>
      </c>
      <c r="M376" s="11">
        <f t="shared" si="1"/>
        <v>12.319434484171705</v>
      </c>
      <c r="N376" s="11">
        <v>1.10921690921691</v>
      </c>
      <c r="O376" s="11">
        <v>1.7738840905533699</v>
      </c>
      <c r="P376" s="11">
        <v>0.75253378378378399</v>
      </c>
      <c r="Q376" s="11">
        <v>0.46153846153846201</v>
      </c>
      <c r="R376" s="11">
        <v>0.80038759689922501</v>
      </c>
      <c r="S376" s="10" t="s">
        <v>84</v>
      </c>
      <c r="T376" s="10" t="s">
        <v>84</v>
      </c>
      <c r="U376" s="10"/>
      <c r="V376" s="10"/>
      <c r="W376" s="10"/>
      <c r="X376" s="10"/>
      <c r="Y376" s="10"/>
      <c r="Z376" s="10"/>
      <c r="AA376" s="10"/>
    </row>
    <row r="377" spans="1:27" ht="12.5" hidden="1" x14ac:dyDescent="0.25">
      <c r="A377" s="10" t="s">
        <v>13</v>
      </c>
      <c r="B377" s="10" t="s">
        <v>1303</v>
      </c>
      <c r="C377" s="10" t="s">
        <v>191</v>
      </c>
      <c r="D377" s="11">
        <v>2024</v>
      </c>
      <c r="E377" s="10" t="s">
        <v>124</v>
      </c>
      <c r="F377" s="10" t="s">
        <v>125</v>
      </c>
      <c r="G377" s="10" t="s">
        <v>84</v>
      </c>
      <c r="H377" s="12">
        <v>6083</v>
      </c>
      <c r="I377" s="11">
        <v>748</v>
      </c>
      <c r="J377" s="11">
        <v>748</v>
      </c>
      <c r="K377" s="11">
        <v>1173</v>
      </c>
      <c r="L377" s="11">
        <v>0.122969011151602</v>
      </c>
      <c r="M377" s="11">
        <f t="shared" si="1"/>
        <v>12.296564195298371</v>
      </c>
      <c r="N377" s="11">
        <v>1</v>
      </c>
      <c r="O377" s="11">
        <v>0.19283776748773901</v>
      </c>
      <c r="P377" s="11">
        <v>0.85661764705882304</v>
      </c>
      <c r="Q377" s="11">
        <v>0.63793103448275901</v>
      </c>
      <c r="R377" s="11">
        <v>0.78294573643410803</v>
      </c>
      <c r="S377" s="10" t="s">
        <v>84</v>
      </c>
      <c r="T377" s="10" t="s">
        <v>84</v>
      </c>
      <c r="U377" s="10"/>
      <c r="V377" s="10"/>
      <c r="W377" s="10"/>
      <c r="X377" s="10"/>
      <c r="Y377" s="10"/>
      <c r="Z377" s="10"/>
      <c r="AA377" s="10"/>
    </row>
    <row r="378" spans="1:27" ht="12.5" hidden="1" x14ac:dyDescent="0.25">
      <c r="A378" s="10" t="s">
        <v>29</v>
      </c>
      <c r="B378" s="10" t="s">
        <v>1306</v>
      </c>
      <c r="C378" s="10" t="s">
        <v>191</v>
      </c>
      <c r="D378" s="11">
        <v>2024</v>
      </c>
      <c r="E378" s="10" t="s">
        <v>124</v>
      </c>
      <c r="F378" s="10" t="s">
        <v>125</v>
      </c>
      <c r="G378" s="10" t="s">
        <v>84</v>
      </c>
      <c r="H378" s="12">
        <v>325.33333333333297</v>
      </c>
      <c r="I378" s="11">
        <v>40</v>
      </c>
      <c r="J378" s="11">
        <v>38</v>
      </c>
      <c r="K378" s="11">
        <v>12</v>
      </c>
      <c r="L378" s="11">
        <v>0.12295081967213101</v>
      </c>
      <c r="M378" s="11">
        <f t="shared" si="1"/>
        <v>12.295081967213129</v>
      </c>
      <c r="N378" s="11">
        <v>0.95</v>
      </c>
      <c r="O378" s="11">
        <v>3.6885245901639302E-2</v>
      </c>
      <c r="P378" s="11">
        <v>0.85539215686274495</v>
      </c>
      <c r="Q378" s="11">
        <v>0.74647887323943696</v>
      </c>
      <c r="R378" s="11">
        <v>0.781007751937985</v>
      </c>
      <c r="S378" s="10" t="s">
        <v>84</v>
      </c>
      <c r="T378" s="10" t="s">
        <v>84</v>
      </c>
      <c r="U378" s="10"/>
      <c r="V378" s="10"/>
      <c r="W378" s="10"/>
      <c r="X378" s="10"/>
      <c r="Y378" s="10"/>
      <c r="Z378" s="10"/>
      <c r="AA378" s="10"/>
    </row>
    <row r="379" spans="1:27" ht="12.5" x14ac:dyDescent="0.25">
      <c r="A379" s="10" t="s">
        <v>12</v>
      </c>
      <c r="B379" s="10" t="s">
        <v>642</v>
      </c>
      <c r="C379" s="10" t="s">
        <v>76</v>
      </c>
      <c r="D379" s="11">
        <v>2024</v>
      </c>
      <c r="E379" s="10" t="s">
        <v>124</v>
      </c>
      <c r="F379" s="10" t="s">
        <v>83</v>
      </c>
      <c r="G379" s="10" t="s">
        <v>84</v>
      </c>
      <c r="H379" s="11">
        <v>857189</v>
      </c>
      <c r="I379" s="11">
        <v>105131</v>
      </c>
      <c r="J379" s="11">
        <v>102331</v>
      </c>
      <c r="K379" s="11">
        <v>382391</v>
      </c>
      <c r="L379" s="11">
        <v>0.122646207031315</v>
      </c>
      <c r="M379" s="11">
        <f t="shared" si="1"/>
        <v>12.264623087790442</v>
      </c>
      <c r="N379" s="11">
        <v>0.97336656171823699</v>
      </c>
      <c r="O379" s="11">
        <v>0.44609873161019498</v>
      </c>
      <c r="P379" s="11">
        <v>0.75168918918918903</v>
      </c>
      <c r="Q379" s="11">
        <v>0.69444444444444398</v>
      </c>
      <c r="R379" s="11">
        <v>0.65100671140939603</v>
      </c>
      <c r="S379" s="10" t="s">
        <v>84</v>
      </c>
      <c r="T379" s="10" t="s">
        <v>84</v>
      </c>
      <c r="U379" s="10"/>
      <c r="V379" s="10"/>
      <c r="W379" s="10"/>
      <c r="X379" s="10"/>
      <c r="Y379" s="10"/>
      <c r="Z379" s="10"/>
      <c r="AA379" s="10"/>
    </row>
    <row r="380" spans="1:27" ht="12.5" x14ac:dyDescent="0.25">
      <c r="A380" s="10" t="s">
        <v>14</v>
      </c>
      <c r="B380" s="10" t="s">
        <v>646</v>
      </c>
      <c r="C380" s="10" t="s">
        <v>76</v>
      </c>
      <c r="D380" s="11">
        <v>2024</v>
      </c>
      <c r="E380" s="10" t="s">
        <v>124</v>
      </c>
      <c r="F380" s="10" t="s">
        <v>83</v>
      </c>
      <c r="G380" s="10" t="s">
        <v>84</v>
      </c>
      <c r="H380" s="11">
        <v>52194</v>
      </c>
      <c r="I380" s="11">
        <v>6383</v>
      </c>
      <c r="J380" s="11">
        <v>5230</v>
      </c>
      <c r="K380" s="11">
        <v>81352</v>
      </c>
      <c r="L380" s="11">
        <v>0.122293945494925</v>
      </c>
      <c r="M380" s="11">
        <f t="shared" si="1"/>
        <v>12.229375023949112</v>
      </c>
      <c r="N380" s="11">
        <v>0.81936393545354802</v>
      </c>
      <c r="O380" s="11">
        <v>1.5586490762812399</v>
      </c>
      <c r="P380" s="11">
        <v>0.75084459459459496</v>
      </c>
      <c r="Q380" s="11">
        <v>0.42857142857142899</v>
      </c>
      <c r="R380" s="11">
        <v>0.64876957494407195</v>
      </c>
      <c r="S380" s="10" t="s">
        <v>84</v>
      </c>
      <c r="T380" s="10" t="s">
        <v>84</v>
      </c>
      <c r="U380" s="10"/>
      <c r="V380" s="10"/>
      <c r="W380" s="10"/>
      <c r="X380" s="10"/>
      <c r="Y380" s="10"/>
      <c r="Z380" s="10"/>
      <c r="AA380" s="10"/>
    </row>
    <row r="381" spans="1:27" ht="12.5" x14ac:dyDescent="0.25">
      <c r="A381" s="10" t="s">
        <v>104</v>
      </c>
      <c r="B381" s="10" t="s">
        <v>648</v>
      </c>
      <c r="C381" s="10" t="s">
        <v>76</v>
      </c>
      <c r="D381" s="11">
        <v>2024</v>
      </c>
      <c r="E381" s="10" t="s">
        <v>124</v>
      </c>
      <c r="F381" s="10" t="s">
        <v>83</v>
      </c>
      <c r="G381" s="10" t="s">
        <v>84</v>
      </c>
      <c r="H381" s="11">
        <v>5953</v>
      </c>
      <c r="I381" s="11">
        <v>728</v>
      </c>
      <c r="J381" s="11">
        <v>728</v>
      </c>
      <c r="K381" s="11">
        <v>1423</v>
      </c>
      <c r="L381" s="11">
        <v>0.122292993630573</v>
      </c>
      <c r="M381" s="11">
        <f t="shared" si="1"/>
        <v>12.229128170670251</v>
      </c>
      <c r="N381" s="11">
        <v>1</v>
      </c>
      <c r="O381" s="11">
        <v>0.23904248617624399</v>
      </c>
      <c r="P381" s="11">
        <v>0.75</v>
      </c>
      <c r="Q381" s="11">
        <v>0.79310344827586199</v>
      </c>
      <c r="R381" s="11">
        <v>0.64653243847874697</v>
      </c>
      <c r="S381" s="10" t="s">
        <v>84</v>
      </c>
      <c r="T381" s="10" t="s">
        <v>84</v>
      </c>
      <c r="U381" s="10"/>
      <c r="V381" s="10"/>
      <c r="W381" s="10"/>
      <c r="X381" s="10"/>
      <c r="Y381" s="10"/>
      <c r="Z381" s="10"/>
      <c r="AA381" s="10"/>
    </row>
    <row r="382" spans="1:27" ht="12.5" hidden="1" x14ac:dyDescent="0.25">
      <c r="A382" s="10" t="s">
        <v>55</v>
      </c>
      <c r="B382" s="10" t="s">
        <v>1316</v>
      </c>
      <c r="C382" s="10" t="s">
        <v>191</v>
      </c>
      <c r="D382" s="11">
        <v>2024</v>
      </c>
      <c r="E382" s="10" t="s">
        <v>124</v>
      </c>
      <c r="F382" s="10" t="s">
        <v>125</v>
      </c>
      <c r="G382" s="10" t="s">
        <v>84</v>
      </c>
      <c r="H382" s="12">
        <v>1555</v>
      </c>
      <c r="I382" s="11">
        <v>190</v>
      </c>
      <c r="J382" s="11">
        <v>139</v>
      </c>
      <c r="K382" s="11">
        <v>0</v>
      </c>
      <c r="L382" s="11">
        <v>0.122193043571467</v>
      </c>
      <c r="M382" s="11">
        <f t="shared" si="1"/>
        <v>12.218649517684888</v>
      </c>
      <c r="N382" s="11">
        <v>0.731578947368421</v>
      </c>
      <c r="O382" s="11">
        <v>0</v>
      </c>
      <c r="P382" s="11">
        <v>0.85416666666666696</v>
      </c>
      <c r="Q382" s="11">
        <v>0.88888888888888895</v>
      </c>
      <c r="R382" s="11">
        <v>0.77906976744185996</v>
      </c>
      <c r="S382" s="10" t="s">
        <v>84</v>
      </c>
      <c r="T382" s="10" t="s">
        <v>84</v>
      </c>
      <c r="U382" s="10"/>
      <c r="V382" s="10"/>
      <c r="W382" s="10"/>
      <c r="X382" s="10"/>
      <c r="Y382" s="10"/>
      <c r="Z382" s="10"/>
      <c r="AA382" s="10"/>
    </row>
    <row r="383" spans="1:27" ht="12.5" hidden="1" x14ac:dyDescent="0.25">
      <c r="A383" s="10" t="s">
        <v>12</v>
      </c>
      <c r="B383" s="10" t="s">
        <v>1320</v>
      </c>
      <c r="C383" s="10" t="s">
        <v>191</v>
      </c>
      <c r="D383" s="11">
        <v>2024</v>
      </c>
      <c r="E383" s="10" t="s">
        <v>124</v>
      </c>
      <c r="F383" s="10" t="s">
        <v>125</v>
      </c>
      <c r="G383" s="10" t="s">
        <v>84</v>
      </c>
      <c r="H383" s="12">
        <v>1509</v>
      </c>
      <c r="I383" s="11">
        <v>184</v>
      </c>
      <c r="J383" s="11">
        <v>184</v>
      </c>
      <c r="K383" s="11">
        <v>268</v>
      </c>
      <c r="L383" s="11">
        <v>0.121935056328695</v>
      </c>
      <c r="M383" s="11">
        <f t="shared" si="1"/>
        <v>12.193505632869449</v>
      </c>
      <c r="N383" s="11">
        <v>1</v>
      </c>
      <c r="O383" s="11">
        <v>0.17760106030483799</v>
      </c>
      <c r="P383" s="11">
        <v>0.85294117647058798</v>
      </c>
      <c r="Q383" s="11">
        <v>0.76190476190476197</v>
      </c>
      <c r="R383" s="11">
        <v>0.77713178294573604</v>
      </c>
      <c r="S383" s="10" t="s">
        <v>84</v>
      </c>
      <c r="T383" s="10" t="s">
        <v>84</v>
      </c>
      <c r="U383" s="10"/>
      <c r="V383" s="10"/>
      <c r="W383" s="10"/>
      <c r="X383" s="10"/>
      <c r="Y383" s="10"/>
      <c r="Z383" s="10"/>
      <c r="AA383" s="10"/>
    </row>
    <row r="384" spans="1:27" ht="12.5" x14ac:dyDescent="0.25">
      <c r="A384" s="10" t="s">
        <v>58</v>
      </c>
      <c r="B384" s="10" t="s">
        <v>650</v>
      </c>
      <c r="C384" s="10" t="s">
        <v>76</v>
      </c>
      <c r="D384" s="11">
        <v>2024</v>
      </c>
      <c r="E384" s="10" t="s">
        <v>124</v>
      </c>
      <c r="F384" s="10" t="s">
        <v>83</v>
      </c>
      <c r="G384" s="10" t="s">
        <v>84</v>
      </c>
      <c r="H384" s="11">
        <v>1516</v>
      </c>
      <c r="I384" s="11">
        <v>184</v>
      </c>
      <c r="J384" s="11">
        <v>142</v>
      </c>
      <c r="K384" s="11">
        <v>1129</v>
      </c>
      <c r="L384" s="11">
        <v>0.12137870375460399</v>
      </c>
      <c r="M384" s="11">
        <f t="shared" si="1"/>
        <v>12.137203166226913</v>
      </c>
      <c r="N384" s="11">
        <v>0.77173913043478304</v>
      </c>
      <c r="O384" s="11">
        <v>0.74476389423341205</v>
      </c>
      <c r="P384" s="11">
        <v>0.74915540540540504</v>
      </c>
      <c r="Q384" s="11">
        <v>0.81081081081081097</v>
      </c>
      <c r="R384" s="11">
        <v>0.644295302013423</v>
      </c>
      <c r="S384" s="10" t="s">
        <v>84</v>
      </c>
      <c r="T384" s="10" t="s">
        <v>84</v>
      </c>
      <c r="U384" s="10"/>
      <c r="V384" s="10"/>
      <c r="W384" s="10"/>
      <c r="X384" s="10"/>
      <c r="Y384" s="10"/>
      <c r="Z384" s="10"/>
      <c r="AA384" s="10"/>
    </row>
    <row r="385" spans="1:27" ht="12.5" x14ac:dyDescent="0.25">
      <c r="A385" s="10" t="s">
        <v>13</v>
      </c>
      <c r="B385" s="10" t="s">
        <v>653</v>
      </c>
      <c r="C385" s="10" t="s">
        <v>76</v>
      </c>
      <c r="D385" s="11">
        <v>2024</v>
      </c>
      <c r="E385" s="10" t="s">
        <v>124</v>
      </c>
      <c r="F385" s="10" t="s">
        <v>125</v>
      </c>
      <c r="G385" s="10" t="s">
        <v>84</v>
      </c>
      <c r="H385" s="11">
        <v>627</v>
      </c>
      <c r="I385" s="11">
        <v>76</v>
      </c>
      <c r="J385" s="11">
        <v>60</v>
      </c>
      <c r="K385" s="11">
        <v>0</v>
      </c>
      <c r="L385" s="11">
        <v>0.121308858739026</v>
      </c>
      <c r="M385" s="11">
        <f t="shared" si="1"/>
        <v>12.121212121212121</v>
      </c>
      <c r="N385" s="11">
        <v>0.78947368421052599</v>
      </c>
      <c r="O385" s="11">
        <v>0</v>
      </c>
      <c r="P385" s="11">
        <v>0.74831081081081097</v>
      </c>
      <c r="Q385" s="11">
        <v>0.38095238095238099</v>
      </c>
      <c r="R385" s="11">
        <v>0.64205816554809803</v>
      </c>
      <c r="S385" s="10" t="s">
        <v>84</v>
      </c>
      <c r="T385" s="10" t="s">
        <v>84</v>
      </c>
      <c r="U385" s="10"/>
      <c r="V385" s="10"/>
      <c r="W385" s="10"/>
      <c r="X385" s="10"/>
      <c r="Y385" s="10"/>
      <c r="Z385" s="10"/>
      <c r="AA385" s="10"/>
    </row>
    <row r="386" spans="1:27" ht="12.5" x14ac:dyDescent="0.25">
      <c r="A386" s="10" t="s">
        <v>52</v>
      </c>
      <c r="B386" s="10" t="s">
        <v>655</v>
      </c>
      <c r="C386" s="10" t="s">
        <v>76</v>
      </c>
      <c r="D386" s="11">
        <v>2024</v>
      </c>
      <c r="E386" s="10" t="s">
        <v>124</v>
      </c>
      <c r="F386" s="10" t="s">
        <v>125</v>
      </c>
      <c r="G386" s="10" t="s">
        <v>84</v>
      </c>
      <c r="H386" s="11">
        <v>2665</v>
      </c>
      <c r="I386" s="11">
        <v>323</v>
      </c>
      <c r="J386" s="11">
        <v>288</v>
      </c>
      <c r="K386" s="11">
        <v>3337</v>
      </c>
      <c r="L386" s="11">
        <v>0.121196960695413</v>
      </c>
      <c r="M386" s="11">
        <f t="shared" si="1"/>
        <v>12.120075046904315</v>
      </c>
      <c r="N386" s="11">
        <v>0.89164086687306499</v>
      </c>
      <c r="O386" s="11">
        <v>1.2521184453269101</v>
      </c>
      <c r="P386" s="11">
        <v>0.74746621621621601</v>
      </c>
      <c r="Q386" s="11">
        <v>0.659574468085106</v>
      </c>
      <c r="R386" s="11">
        <v>0.63982102908277405</v>
      </c>
      <c r="S386" s="10" t="s">
        <v>84</v>
      </c>
      <c r="T386" s="10" t="s">
        <v>84</v>
      </c>
      <c r="U386" s="10"/>
      <c r="V386" s="10"/>
      <c r="W386" s="10"/>
      <c r="X386" s="10"/>
      <c r="Y386" s="10"/>
      <c r="Z386" s="10"/>
      <c r="AA386" s="10"/>
    </row>
    <row r="387" spans="1:27" ht="12.5" hidden="1" x14ac:dyDescent="0.25">
      <c r="A387" s="10" t="s">
        <v>29</v>
      </c>
      <c r="B387" s="10" t="s">
        <v>1332</v>
      </c>
      <c r="C387" s="10" t="s">
        <v>191</v>
      </c>
      <c r="D387" s="11">
        <v>2024</v>
      </c>
      <c r="E387" s="10" t="s">
        <v>124</v>
      </c>
      <c r="F387" s="10" t="s">
        <v>125</v>
      </c>
      <c r="G387" s="10" t="s">
        <v>84</v>
      </c>
      <c r="H387" s="12">
        <v>223.583333333333</v>
      </c>
      <c r="I387" s="11">
        <v>27</v>
      </c>
      <c r="J387" s="11">
        <v>27</v>
      </c>
      <c r="K387" s="11">
        <v>27</v>
      </c>
      <c r="L387" s="11">
        <v>0.120760342899739</v>
      </c>
      <c r="M387" s="11">
        <f t="shared" si="1"/>
        <v>12.076034289973927</v>
      </c>
      <c r="N387" s="11">
        <v>1</v>
      </c>
      <c r="O387" s="11">
        <v>0.120760342899739</v>
      </c>
      <c r="P387" s="11">
        <v>0.85171568627451</v>
      </c>
      <c r="Q387" s="11">
        <v>0.73239436619718301</v>
      </c>
      <c r="R387" s="11">
        <v>0.775193798449612</v>
      </c>
      <c r="S387" s="10" t="s">
        <v>84</v>
      </c>
      <c r="T387" s="10" t="s">
        <v>84</v>
      </c>
      <c r="U387" s="10"/>
      <c r="V387" s="10"/>
      <c r="W387" s="10"/>
      <c r="X387" s="10"/>
      <c r="Y387" s="10"/>
      <c r="Z387" s="10"/>
      <c r="AA387" s="10"/>
    </row>
    <row r="388" spans="1:27" ht="12.5" hidden="1" x14ac:dyDescent="0.25">
      <c r="A388" s="10" t="s">
        <v>55</v>
      </c>
      <c r="B388" s="10" t="s">
        <v>1335</v>
      </c>
      <c r="C388" s="10" t="s">
        <v>191</v>
      </c>
      <c r="D388" s="11">
        <v>2024</v>
      </c>
      <c r="E388" s="10" t="s">
        <v>124</v>
      </c>
      <c r="F388" s="10" t="s">
        <v>125</v>
      </c>
      <c r="G388" s="10" t="s">
        <v>84</v>
      </c>
      <c r="H388" s="12">
        <v>778.58333333333303</v>
      </c>
      <c r="I388" s="11">
        <v>94</v>
      </c>
      <c r="J388" s="11">
        <v>94</v>
      </c>
      <c r="K388" s="11">
        <v>162</v>
      </c>
      <c r="L388" s="11">
        <v>0.12073209889757</v>
      </c>
      <c r="M388" s="11">
        <f t="shared" si="1"/>
        <v>12.073209889757042</v>
      </c>
      <c r="N388" s="11">
        <v>1</v>
      </c>
      <c r="O388" s="11">
        <v>0.208070212993685</v>
      </c>
      <c r="P388" s="11">
        <v>0.85049019607843102</v>
      </c>
      <c r="Q388" s="11">
        <v>0.85185185185185197</v>
      </c>
      <c r="R388" s="11">
        <v>0.77325581395348797</v>
      </c>
      <c r="S388" s="10" t="s">
        <v>84</v>
      </c>
      <c r="T388" s="10" t="s">
        <v>84</v>
      </c>
      <c r="U388" s="10"/>
      <c r="V388" s="10"/>
      <c r="W388" s="10"/>
      <c r="X388" s="10"/>
      <c r="Y388" s="10"/>
      <c r="Z388" s="10"/>
      <c r="AA388" s="10"/>
    </row>
    <row r="389" spans="1:27" ht="12.5" hidden="1" x14ac:dyDescent="0.25">
      <c r="A389" s="10" t="s">
        <v>36</v>
      </c>
      <c r="B389" s="10" t="s">
        <v>1337</v>
      </c>
      <c r="C389" s="10" t="s">
        <v>191</v>
      </c>
      <c r="D389" s="11">
        <v>2024</v>
      </c>
      <c r="E389" s="10" t="s">
        <v>124</v>
      </c>
      <c r="F389" s="10" t="s">
        <v>125</v>
      </c>
      <c r="G389" s="10" t="s">
        <v>84</v>
      </c>
      <c r="H389" s="12">
        <v>3935</v>
      </c>
      <c r="I389" s="11">
        <v>475</v>
      </c>
      <c r="J389" s="11">
        <v>389</v>
      </c>
      <c r="K389" s="11">
        <v>0</v>
      </c>
      <c r="L389" s="11">
        <v>0.12070900658605301</v>
      </c>
      <c r="M389" s="11">
        <f t="shared" si="1"/>
        <v>12.07115628970775</v>
      </c>
      <c r="N389" s="11">
        <v>0.81894736842105298</v>
      </c>
      <c r="O389" s="11">
        <v>0</v>
      </c>
      <c r="P389" s="11">
        <v>0.84926470588235303</v>
      </c>
      <c r="Q389" s="11">
        <v>0.72499999999999998</v>
      </c>
      <c r="R389" s="11">
        <v>0.77131782945736405</v>
      </c>
      <c r="S389" s="10" t="s">
        <v>84</v>
      </c>
      <c r="T389" s="10" t="s">
        <v>84</v>
      </c>
      <c r="U389" s="10"/>
      <c r="V389" s="10"/>
      <c r="W389" s="10"/>
      <c r="X389" s="10"/>
      <c r="Y389" s="10"/>
      <c r="Z389" s="10"/>
      <c r="AA389" s="10"/>
    </row>
    <row r="390" spans="1:27" ht="12.5" x14ac:dyDescent="0.25">
      <c r="A390" s="10" t="s">
        <v>36</v>
      </c>
      <c r="B390" s="10" t="s">
        <v>537</v>
      </c>
      <c r="C390" s="10" t="s">
        <v>76</v>
      </c>
      <c r="D390" s="11">
        <v>2024</v>
      </c>
      <c r="E390" s="10" t="s">
        <v>81</v>
      </c>
      <c r="F390" s="10" t="s">
        <v>83</v>
      </c>
      <c r="G390" s="10" t="s">
        <v>84</v>
      </c>
      <c r="H390" s="11">
        <v>200601</v>
      </c>
      <c r="I390" s="11">
        <v>24214</v>
      </c>
      <c r="J390" s="11">
        <v>24293</v>
      </c>
      <c r="K390" s="11">
        <v>127964</v>
      </c>
      <c r="L390" s="11">
        <v>0.12070742507194</v>
      </c>
      <c r="M390" s="11">
        <f t="shared" si="1"/>
        <v>12.070727463970767</v>
      </c>
      <c r="N390" s="11">
        <v>1.00326257536962</v>
      </c>
      <c r="O390" s="11">
        <v>0.63790389617187404</v>
      </c>
      <c r="P390" s="11">
        <v>0.74662162162162204</v>
      </c>
      <c r="Q390" s="11">
        <v>0.51063829787234005</v>
      </c>
      <c r="R390" s="11">
        <v>0.79844961240310097</v>
      </c>
      <c r="S390" s="10" t="s">
        <v>84</v>
      </c>
      <c r="T390" s="10" t="s">
        <v>84</v>
      </c>
      <c r="U390" s="10"/>
      <c r="V390" s="10"/>
      <c r="W390" s="10"/>
      <c r="X390" s="10"/>
      <c r="Y390" s="10"/>
      <c r="Z390" s="10"/>
      <c r="AA390" s="10"/>
    </row>
    <row r="391" spans="1:27" ht="12.5" x14ac:dyDescent="0.25">
      <c r="A391" s="10" t="s">
        <v>14</v>
      </c>
      <c r="B391" s="10" t="s">
        <v>539</v>
      </c>
      <c r="C391" s="10" t="s">
        <v>76</v>
      </c>
      <c r="D391" s="11">
        <v>2024</v>
      </c>
      <c r="E391" s="10" t="s">
        <v>81</v>
      </c>
      <c r="F391" s="10" t="s">
        <v>83</v>
      </c>
      <c r="G391" s="10" t="s">
        <v>84</v>
      </c>
      <c r="H391" s="11">
        <v>21094</v>
      </c>
      <c r="I391" s="11">
        <v>2541</v>
      </c>
      <c r="J391" s="11">
        <v>2441</v>
      </c>
      <c r="K391" s="11">
        <v>7720</v>
      </c>
      <c r="L391" s="11">
        <v>0.120462222222222</v>
      </c>
      <c r="M391" s="11">
        <f t="shared" si="1"/>
        <v>12.046079453873139</v>
      </c>
      <c r="N391" s="11">
        <v>0.96064541519086999</v>
      </c>
      <c r="O391" s="11">
        <v>0.36598518518518502</v>
      </c>
      <c r="P391" s="11">
        <v>0.74577702702702697</v>
      </c>
      <c r="Q391" s="11">
        <v>0.39285714285714302</v>
      </c>
      <c r="R391" s="11">
        <v>0.79651162790697705</v>
      </c>
      <c r="S391" s="10" t="s">
        <v>84</v>
      </c>
      <c r="T391" s="10" t="s">
        <v>84</v>
      </c>
      <c r="U391" s="10"/>
      <c r="V391" s="10"/>
      <c r="W391" s="10"/>
      <c r="X391" s="10"/>
      <c r="Y391" s="10"/>
      <c r="Z391" s="10"/>
      <c r="AA391" s="10"/>
    </row>
    <row r="392" spans="1:27" ht="12.5" x14ac:dyDescent="0.25">
      <c r="A392" s="10" t="s">
        <v>12</v>
      </c>
      <c r="B392" s="10" t="s">
        <v>540</v>
      </c>
      <c r="C392" s="10" t="s">
        <v>76</v>
      </c>
      <c r="D392" s="11">
        <v>2024</v>
      </c>
      <c r="E392" s="10" t="s">
        <v>81</v>
      </c>
      <c r="F392" s="10" t="s">
        <v>83</v>
      </c>
      <c r="G392" s="10" t="s">
        <v>84</v>
      </c>
      <c r="H392" s="11">
        <v>33416</v>
      </c>
      <c r="I392" s="11">
        <v>4006</v>
      </c>
      <c r="J392" s="11">
        <v>223</v>
      </c>
      <c r="K392" s="11">
        <v>56182</v>
      </c>
      <c r="L392" s="11">
        <v>0.119882690926502</v>
      </c>
      <c r="M392" s="11">
        <f t="shared" si="1"/>
        <v>11.988269092650228</v>
      </c>
      <c r="N392" s="11">
        <v>5.5666500249625599E-2</v>
      </c>
      <c r="O392" s="11">
        <v>1.6812903998084701</v>
      </c>
      <c r="P392" s="11">
        <v>0.74493243243243201</v>
      </c>
      <c r="Q392" s="11">
        <v>0.68055555555555602</v>
      </c>
      <c r="R392" s="11">
        <v>0.79457364341085301</v>
      </c>
      <c r="S392" s="10" t="s">
        <v>84</v>
      </c>
      <c r="T392" s="10" t="s">
        <v>84</v>
      </c>
      <c r="U392" s="10"/>
      <c r="V392" s="10"/>
      <c r="W392" s="10"/>
      <c r="X392" s="10"/>
      <c r="Y392" s="10"/>
      <c r="Z392" s="10"/>
      <c r="AA392" s="10"/>
    </row>
    <row r="393" spans="1:27" ht="12.5" x14ac:dyDescent="0.25">
      <c r="A393" s="10" t="s">
        <v>12</v>
      </c>
      <c r="B393" s="10" t="s">
        <v>542</v>
      </c>
      <c r="C393" s="10" t="s">
        <v>76</v>
      </c>
      <c r="D393" s="11">
        <v>2024</v>
      </c>
      <c r="E393" s="10" t="s">
        <v>81</v>
      </c>
      <c r="F393" s="10" t="s">
        <v>83</v>
      </c>
      <c r="G393" s="10" t="s">
        <v>84</v>
      </c>
      <c r="H393" s="11">
        <v>22736</v>
      </c>
      <c r="I393" s="11">
        <v>2723</v>
      </c>
      <c r="J393" s="11">
        <v>2163</v>
      </c>
      <c r="K393" s="11">
        <v>19791</v>
      </c>
      <c r="L393" s="11">
        <v>0.11976644882729599</v>
      </c>
      <c r="M393" s="11">
        <f t="shared" si="1"/>
        <v>11.976600985221674</v>
      </c>
      <c r="N393" s="11">
        <v>0.79434447300771205</v>
      </c>
      <c r="O393" s="11">
        <v>0.87047293012890803</v>
      </c>
      <c r="P393" s="11">
        <v>0.74408783783783805</v>
      </c>
      <c r="Q393" s="11">
        <v>0.66666666666666696</v>
      </c>
      <c r="R393" s="11">
        <v>0.79263565891472898</v>
      </c>
      <c r="S393" s="10" t="s">
        <v>84</v>
      </c>
      <c r="T393" s="10" t="s">
        <v>84</v>
      </c>
      <c r="U393" s="10"/>
      <c r="V393" s="10"/>
      <c r="W393" s="10"/>
      <c r="X393" s="10"/>
      <c r="Y393" s="10"/>
      <c r="Z393" s="10"/>
      <c r="AA393" s="10"/>
    </row>
    <row r="394" spans="1:27" ht="12.5" x14ac:dyDescent="0.25">
      <c r="A394" s="10" t="s">
        <v>103</v>
      </c>
      <c r="B394" s="10" t="s">
        <v>658</v>
      </c>
      <c r="C394" s="10" t="s">
        <v>76</v>
      </c>
      <c r="D394" s="11">
        <v>2024</v>
      </c>
      <c r="E394" s="10" t="s">
        <v>124</v>
      </c>
      <c r="F394" s="10" t="s">
        <v>125</v>
      </c>
      <c r="G394" s="10" t="s">
        <v>84</v>
      </c>
      <c r="H394" s="11">
        <v>592557</v>
      </c>
      <c r="I394" s="11">
        <v>70815</v>
      </c>
      <c r="J394" s="11">
        <v>68912</v>
      </c>
      <c r="K394" s="11">
        <v>440594</v>
      </c>
      <c r="L394" s="11">
        <v>0.119507456805152</v>
      </c>
      <c r="M394" s="11">
        <f t="shared" si="1"/>
        <v>11.950749041864327</v>
      </c>
      <c r="N394" s="11">
        <v>0.97312716232436602</v>
      </c>
      <c r="O394" s="11">
        <v>0.74354682515864201</v>
      </c>
      <c r="P394" s="11">
        <v>0.74324324324324298</v>
      </c>
      <c r="Q394" s="11">
        <v>0.82608695652173902</v>
      </c>
      <c r="R394" s="11">
        <v>0.63758389261744997</v>
      </c>
      <c r="S394" s="10" t="s">
        <v>84</v>
      </c>
      <c r="T394" s="10" t="s">
        <v>84</v>
      </c>
      <c r="U394" s="10"/>
      <c r="V394" s="10"/>
      <c r="W394" s="10"/>
      <c r="X394" s="10"/>
      <c r="Y394" s="10"/>
      <c r="Z394" s="10"/>
      <c r="AA394" s="10"/>
    </row>
    <row r="395" spans="1:27" ht="12.5" x14ac:dyDescent="0.25">
      <c r="A395" s="10" t="s">
        <v>29</v>
      </c>
      <c r="B395" s="10" t="s">
        <v>660</v>
      </c>
      <c r="C395" s="10" t="s">
        <v>76</v>
      </c>
      <c r="D395" s="11">
        <v>2024</v>
      </c>
      <c r="E395" s="10" t="s">
        <v>124</v>
      </c>
      <c r="F395" s="10" t="s">
        <v>83</v>
      </c>
      <c r="G395" s="10" t="s">
        <v>84</v>
      </c>
      <c r="H395" s="11">
        <v>22570</v>
      </c>
      <c r="I395" s="11">
        <v>2695</v>
      </c>
      <c r="J395" s="11">
        <v>2561</v>
      </c>
      <c r="K395" s="11">
        <v>37277</v>
      </c>
      <c r="L395" s="11">
        <v>0.119405409796117</v>
      </c>
      <c r="M395" s="11">
        <f t="shared" si="1"/>
        <v>11.940629153743908</v>
      </c>
      <c r="N395" s="11">
        <v>0.95027829313543599</v>
      </c>
      <c r="O395" s="11">
        <v>1.6516049947940099</v>
      </c>
      <c r="P395" s="11">
        <v>0.74239864864864902</v>
      </c>
      <c r="Q395" s="11">
        <v>0.51020408163265296</v>
      </c>
      <c r="R395" s="11">
        <v>0.63534675615212499</v>
      </c>
      <c r="S395" s="10" t="s">
        <v>84</v>
      </c>
      <c r="T395" s="10" t="s">
        <v>84</v>
      </c>
      <c r="U395" s="10"/>
      <c r="V395" s="10"/>
      <c r="W395" s="10"/>
      <c r="X395" s="10"/>
      <c r="Y395" s="10"/>
      <c r="Z395" s="10"/>
      <c r="AA395" s="10"/>
    </row>
    <row r="396" spans="1:27" ht="12.5" x14ac:dyDescent="0.25">
      <c r="A396" s="10" t="s">
        <v>77</v>
      </c>
      <c r="B396" s="10" t="s">
        <v>662</v>
      </c>
      <c r="C396" s="10" t="s">
        <v>76</v>
      </c>
      <c r="D396" s="11">
        <v>2024</v>
      </c>
      <c r="E396" s="10" t="s">
        <v>124</v>
      </c>
      <c r="F396" s="10" t="s">
        <v>125</v>
      </c>
      <c r="G396" s="10" t="s">
        <v>84</v>
      </c>
      <c r="H396" s="11">
        <v>1311</v>
      </c>
      <c r="I396" s="11">
        <v>156</v>
      </c>
      <c r="J396" s="11">
        <v>157</v>
      </c>
      <c r="K396" s="11">
        <v>636</v>
      </c>
      <c r="L396" s="11">
        <v>0.11895532820740901</v>
      </c>
      <c r="M396" s="11">
        <f t="shared" si="1"/>
        <v>11.899313501144166</v>
      </c>
      <c r="N396" s="11">
        <v>1.0064102564102599</v>
      </c>
      <c r="O396" s="11">
        <v>0.48497172269174599</v>
      </c>
      <c r="P396" s="11">
        <v>0.74155405405405395</v>
      </c>
      <c r="Q396" s="11">
        <v>0.96428571428571397</v>
      </c>
      <c r="R396" s="11">
        <v>0.63310961968680102</v>
      </c>
      <c r="S396" s="10" t="s">
        <v>84</v>
      </c>
      <c r="T396" s="10" t="s">
        <v>84</v>
      </c>
      <c r="U396" s="10"/>
      <c r="V396" s="10"/>
      <c r="W396" s="10"/>
      <c r="X396" s="10"/>
      <c r="Y396" s="10"/>
      <c r="Z396" s="10"/>
      <c r="AA396" s="10"/>
    </row>
    <row r="397" spans="1:27" ht="12.5" x14ac:dyDescent="0.25">
      <c r="A397" s="10" t="s">
        <v>77</v>
      </c>
      <c r="B397" s="10" t="s">
        <v>665</v>
      </c>
      <c r="C397" s="10" t="s">
        <v>76</v>
      </c>
      <c r="D397" s="11">
        <v>2024</v>
      </c>
      <c r="E397" s="10" t="s">
        <v>124</v>
      </c>
      <c r="F397" s="10" t="s">
        <v>125</v>
      </c>
      <c r="G397" s="10" t="s">
        <v>84</v>
      </c>
      <c r="H397" s="11">
        <v>2212</v>
      </c>
      <c r="I397" s="11">
        <v>263</v>
      </c>
      <c r="J397" s="11">
        <v>250</v>
      </c>
      <c r="K397" s="11">
        <v>4819</v>
      </c>
      <c r="L397" s="11">
        <v>0.118883489659849</v>
      </c>
      <c r="M397" s="11">
        <f t="shared" si="1"/>
        <v>11.889692585895117</v>
      </c>
      <c r="N397" s="11">
        <v>0.95057034220532299</v>
      </c>
      <c r="O397" s="11">
        <v>2.1783252344897699</v>
      </c>
      <c r="P397" s="11">
        <v>0.74070945945945899</v>
      </c>
      <c r="Q397" s="11">
        <v>0.92857142857142905</v>
      </c>
      <c r="R397" s="11">
        <v>0.63087248322147604</v>
      </c>
      <c r="S397" s="10" t="s">
        <v>84</v>
      </c>
      <c r="T397" s="10" t="s">
        <v>84</v>
      </c>
      <c r="U397" s="10"/>
      <c r="V397" s="10"/>
      <c r="W397" s="10"/>
      <c r="X397" s="10"/>
      <c r="Y397" s="10"/>
      <c r="Z397" s="10"/>
      <c r="AA397" s="10"/>
    </row>
    <row r="398" spans="1:27" ht="12.5" x14ac:dyDescent="0.25">
      <c r="A398" s="10" t="s">
        <v>52</v>
      </c>
      <c r="B398" s="10" t="s">
        <v>544</v>
      </c>
      <c r="C398" s="10" t="s">
        <v>76</v>
      </c>
      <c r="D398" s="11">
        <v>2024</v>
      </c>
      <c r="E398" s="10" t="s">
        <v>81</v>
      </c>
      <c r="F398" s="10" t="s">
        <v>83</v>
      </c>
      <c r="G398" s="10" t="s">
        <v>84</v>
      </c>
      <c r="H398" s="11">
        <v>34910</v>
      </c>
      <c r="I398" s="11">
        <v>4146</v>
      </c>
      <c r="J398" s="11">
        <v>3548</v>
      </c>
      <c r="K398" s="11">
        <v>36737</v>
      </c>
      <c r="L398" s="11">
        <v>0.118763099222282</v>
      </c>
      <c r="M398" s="11">
        <f t="shared" si="1"/>
        <v>11.876253222572329</v>
      </c>
      <c r="N398" s="11">
        <v>0.85576459237819602</v>
      </c>
      <c r="O398" s="11">
        <v>1.05233959868041</v>
      </c>
      <c r="P398" s="11">
        <v>0.73986486486486502</v>
      </c>
      <c r="Q398" s="11">
        <v>0.63829787234042601</v>
      </c>
      <c r="R398" s="11">
        <v>0.79069767441860495</v>
      </c>
      <c r="S398" s="10" t="s">
        <v>84</v>
      </c>
      <c r="T398" s="10" t="s">
        <v>84</v>
      </c>
      <c r="U398" s="10"/>
      <c r="V398" s="10"/>
      <c r="W398" s="10"/>
      <c r="X398" s="10"/>
      <c r="Y398" s="10"/>
      <c r="Z398" s="10"/>
      <c r="AA398" s="10"/>
    </row>
    <row r="399" spans="1:27" ht="12.5" hidden="1" x14ac:dyDescent="0.25">
      <c r="A399" s="10" t="s">
        <v>29</v>
      </c>
      <c r="B399" s="10" t="s">
        <v>1350</v>
      </c>
      <c r="C399" s="10" t="s">
        <v>191</v>
      </c>
      <c r="D399" s="11">
        <v>2024</v>
      </c>
      <c r="E399" s="10" t="s">
        <v>124</v>
      </c>
      <c r="F399" s="10" t="s">
        <v>125</v>
      </c>
      <c r="G399" s="10" t="s">
        <v>84</v>
      </c>
      <c r="H399" s="12">
        <v>593.5</v>
      </c>
      <c r="I399" s="11">
        <v>70</v>
      </c>
      <c r="J399" s="11">
        <v>38</v>
      </c>
      <c r="K399" s="11">
        <v>219</v>
      </c>
      <c r="L399" s="11">
        <v>0.117944397641112</v>
      </c>
      <c r="M399" s="11">
        <f t="shared" si="1"/>
        <v>11.794439764111205</v>
      </c>
      <c r="N399" s="11">
        <v>0.54285714285714304</v>
      </c>
      <c r="O399" s="11">
        <v>0.368997472620051</v>
      </c>
      <c r="P399" s="11">
        <v>0.84803921568627405</v>
      </c>
      <c r="Q399" s="11">
        <v>0.71830985915492995</v>
      </c>
      <c r="R399" s="11">
        <v>0.76937984496124001</v>
      </c>
      <c r="S399" s="10" t="s">
        <v>84</v>
      </c>
      <c r="T399" s="10" t="s">
        <v>84</v>
      </c>
      <c r="U399" s="10"/>
      <c r="V399" s="10"/>
      <c r="W399" s="10"/>
      <c r="X399" s="10"/>
      <c r="Y399" s="10"/>
      <c r="Z399" s="10"/>
      <c r="AA399" s="10"/>
    </row>
    <row r="400" spans="1:27" ht="12.5" hidden="1" x14ac:dyDescent="0.25">
      <c r="A400" s="10" t="s">
        <v>12</v>
      </c>
      <c r="B400" s="10" t="s">
        <v>1352</v>
      </c>
      <c r="C400" s="10" t="s">
        <v>191</v>
      </c>
      <c r="D400" s="11">
        <v>2024</v>
      </c>
      <c r="E400" s="10" t="s">
        <v>124</v>
      </c>
      <c r="F400" s="10" t="s">
        <v>125</v>
      </c>
      <c r="G400" s="10" t="s">
        <v>84</v>
      </c>
      <c r="H400" s="12">
        <v>221.25</v>
      </c>
      <c r="I400" s="11">
        <v>26</v>
      </c>
      <c r="J400" s="11">
        <v>22</v>
      </c>
      <c r="K400" s="11">
        <v>47</v>
      </c>
      <c r="L400" s="11">
        <v>0.11751412429378499</v>
      </c>
      <c r="M400" s="11">
        <f t="shared" si="1"/>
        <v>11.751412429378531</v>
      </c>
      <c r="N400" s="11">
        <v>0.84615384615384603</v>
      </c>
      <c r="O400" s="11">
        <v>0.21242937853107299</v>
      </c>
      <c r="P400" s="11">
        <v>0.84681372549019596</v>
      </c>
      <c r="Q400" s="11">
        <v>0.74603174603174605</v>
      </c>
      <c r="R400" s="11">
        <v>0.76744186046511598</v>
      </c>
      <c r="S400" s="10" t="s">
        <v>84</v>
      </c>
      <c r="T400" s="10" t="s">
        <v>84</v>
      </c>
      <c r="U400" s="10"/>
      <c r="V400" s="10"/>
      <c r="W400" s="10"/>
      <c r="X400" s="10"/>
      <c r="Y400" s="10"/>
      <c r="Z400" s="10"/>
      <c r="AA400" s="10"/>
    </row>
    <row r="401" spans="1:27" ht="12.5" hidden="1" x14ac:dyDescent="0.25">
      <c r="A401" s="10" t="s">
        <v>13</v>
      </c>
      <c r="B401" s="10" t="s">
        <v>1353</v>
      </c>
      <c r="C401" s="10" t="s">
        <v>191</v>
      </c>
      <c r="D401" s="11">
        <v>2024</v>
      </c>
      <c r="E401" s="10" t="s">
        <v>124</v>
      </c>
      <c r="F401" s="10" t="s">
        <v>125</v>
      </c>
      <c r="G401" s="10" t="s">
        <v>84</v>
      </c>
      <c r="H401" s="12">
        <v>723.5</v>
      </c>
      <c r="I401" s="11">
        <v>85</v>
      </c>
      <c r="J401" s="11">
        <v>66</v>
      </c>
      <c r="K401" s="11">
        <v>993</v>
      </c>
      <c r="L401" s="11">
        <v>0.117484450587422</v>
      </c>
      <c r="M401" s="11">
        <f t="shared" si="1"/>
        <v>11.748445058742226</v>
      </c>
      <c r="N401" s="11">
        <v>0.77647058823529402</v>
      </c>
      <c r="O401" s="11">
        <v>1.37249481686247</v>
      </c>
      <c r="P401" s="11">
        <v>0.84558823529411797</v>
      </c>
      <c r="Q401" s="11">
        <v>0.62068965517241403</v>
      </c>
      <c r="R401" s="11">
        <v>0.76550387596899205</v>
      </c>
      <c r="S401" s="10" t="s">
        <v>84</v>
      </c>
      <c r="T401" s="10" t="s">
        <v>84</v>
      </c>
      <c r="U401" s="10"/>
      <c r="V401" s="10"/>
      <c r="W401" s="10"/>
      <c r="X401" s="10"/>
      <c r="Y401" s="10"/>
      <c r="Z401" s="10"/>
      <c r="AA401" s="10"/>
    </row>
    <row r="402" spans="1:27" ht="12.5" x14ac:dyDescent="0.25">
      <c r="A402" s="10" t="s">
        <v>36</v>
      </c>
      <c r="B402" s="10" t="s">
        <v>546</v>
      </c>
      <c r="C402" s="10" t="s">
        <v>76</v>
      </c>
      <c r="D402" s="11">
        <v>2024</v>
      </c>
      <c r="E402" s="10" t="s">
        <v>81</v>
      </c>
      <c r="F402" s="10" t="s">
        <v>125</v>
      </c>
      <c r="G402" s="10" t="s">
        <v>84</v>
      </c>
      <c r="H402" s="11">
        <v>56054</v>
      </c>
      <c r="I402" s="11">
        <v>6578</v>
      </c>
      <c r="J402" s="11">
        <v>5048</v>
      </c>
      <c r="K402" s="11">
        <v>113435</v>
      </c>
      <c r="L402" s="11">
        <v>0.11735060231829</v>
      </c>
      <c r="M402" s="11">
        <f t="shared" si="1"/>
        <v>11.735112570021764</v>
      </c>
      <c r="N402" s="11">
        <v>0.76740650653694098</v>
      </c>
      <c r="O402" s="11">
        <v>2.02366457494302</v>
      </c>
      <c r="P402" s="11">
        <v>0.73902027027026995</v>
      </c>
      <c r="Q402" s="11">
        <v>0.48936170212766</v>
      </c>
      <c r="R402" s="11">
        <v>0.78875968992248102</v>
      </c>
      <c r="S402" s="10" t="s">
        <v>84</v>
      </c>
      <c r="T402" s="10" t="s">
        <v>84</v>
      </c>
      <c r="U402" s="10"/>
      <c r="V402" s="10"/>
      <c r="W402" s="10"/>
      <c r="X402" s="10"/>
      <c r="Y402" s="10"/>
      <c r="Z402" s="10"/>
      <c r="AA402" s="10"/>
    </row>
    <row r="403" spans="1:27" ht="12.5" x14ac:dyDescent="0.25">
      <c r="A403" s="10" t="s">
        <v>67</v>
      </c>
      <c r="B403" s="10" t="s">
        <v>1031</v>
      </c>
      <c r="C403" s="10" t="s">
        <v>76</v>
      </c>
      <c r="D403" s="11">
        <v>2024</v>
      </c>
      <c r="E403" s="10" t="s">
        <v>257</v>
      </c>
      <c r="F403" s="10" t="s">
        <v>83</v>
      </c>
      <c r="G403" s="10" t="s">
        <v>84</v>
      </c>
      <c r="H403" s="11">
        <v>35570</v>
      </c>
      <c r="I403" s="11">
        <v>4172</v>
      </c>
      <c r="J403" s="11">
        <v>3976</v>
      </c>
      <c r="K403" s="11">
        <v>14767</v>
      </c>
      <c r="L403" s="11">
        <v>0.11729040057352</v>
      </c>
      <c r="M403" s="11">
        <f t="shared" si="1"/>
        <v>11.728985099803205</v>
      </c>
      <c r="N403" s="11">
        <v>0.95302013422818799</v>
      </c>
      <c r="O403" s="11">
        <v>0.415155164254354</v>
      </c>
      <c r="P403" s="11">
        <v>0.73733108108108103</v>
      </c>
      <c r="Q403" s="11">
        <v>0.85714285714285698</v>
      </c>
      <c r="R403" s="11">
        <v>0.86363636363636398</v>
      </c>
      <c r="S403" s="10" t="s">
        <v>84</v>
      </c>
      <c r="T403" s="10" t="s">
        <v>84</v>
      </c>
      <c r="U403" s="10"/>
      <c r="V403" s="10"/>
      <c r="W403" s="10"/>
      <c r="X403" s="10"/>
      <c r="Y403" s="10"/>
      <c r="Z403" s="10"/>
      <c r="AA403" s="10"/>
    </row>
    <row r="404" spans="1:27" ht="12.5" x14ac:dyDescent="0.25">
      <c r="A404" s="10" t="s">
        <v>109</v>
      </c>
      <c r="B404" s="10" t="s">
        <v>548</v>
      </c>
      <c r="C404" s="10" t="s">
        <v>76</v>
      </c>
      <c r="D404" s="11">
        <v>2024</v>
      </c>
      <c r="E404" s="10" t="s">
        <v>81</v>
      </c>
      <c r="F404" s="10" t="s">
        <v>83</v>
      </c>
      <c r="G404" s="10" t="s">
        <v>84</v>
      </c>
      <c r="H404" s="11">
        <v>5536</v>
      </c>
      <c r="I404" s="11">
        <v>649</v>
      </c>
      <c r="J404" s="11">
        <v>527</v>
      </c>
      <c r="K404" s="11">
        <v>3634</v>
      </c>
      <c r="L404" s="11">
        <v>0.117229129662522</v>
      </c>
      <c r="M404" s="11">
        <f t="shared" si="1"/>
        <v>11.723265895953757</v>
      </c>
      <c r="N404" s="11">
        <v>0.81201848998459203</v>
      </c>
      <c r="O404" s="11">
        <v>0.65641087395008602</v>
      </c>
      <c r="P404" s="11">
        <v>0.73648648648648696</v>
      </c>
      <c r="Q404" s="11">
        <v>0.83333333333333304</v>
      </c>
      <c r="R404" s="11">
        <v>0.78682170542635699</v>
      </c>
      <c r="S404" s="10" t="s">
        <v>84</v>
      </c>
      <c r="T404" s="10" t="s">
        <v>84</v>
      </c>
      <c r="U404" s="10"/>
      <c r="V404" s="10"/>
      <c r="W404" s="10"/>
      <c r="X404" s="10"/>
      <c r="Y404" s="10"/>
      <c r="Z404" s="10"/>
      <c r="AA404" s="10"/>
    </row>
    <row r="405" spans="1:27" ht="12.5" x14ac:dyDescent="0.25">
      <c r="A405" s="10" t="s">
        <v>29</v>
      </c>
      <c r="B405" s="10" t="s">
        <v>549</v>
      </c>
      <c r="C405" s="10" t="s">
        <v>76</v>
      </c>
      <c r="D405" s="11">
        <v>2024</v>
      </c>
      <c r="E405" s="10" t="s">
        <v>81</v>
      </c>
      <c r="F405" s="10" t="s">
        <v>83</v>
      </c>
      <c r="G405" s="10" t="s">
        <v>84</v>
      </c>
      <c r="H405" s="11">
        <v>30213</v>
      </c>
      <c r="I405" s="11">
        <v>3535</v>
      </c>
      <c r="J405" s="11">
        <v>3268</v>
      </c>
      <c r="K405" s="11">
        <v>31821</v>
      </c>
      <c r="L405" s="11">
        <v>0.117002937485347</v>
      </c>
      <c r="M405" s="11">
        <f t="shared" si="1"/>
        <v>11.700261476847714</v>
      </c>
      <c r="N405" s="11">
        <v>0.92446958981612404</v>
      </c>
      <c r="O405" s="11">
        <v>1.0532250279268001</v>
      </c>
      <c r="P405" s="11">
        <v>0.735641891891892</v>
      </c>
      <c r="Q405" s="11">
        <v>0.48979591836734698</v>
      </c>
      <c r="R405" s="11">
        <v>0.78488372093023295</v>
      </c>
      <c r="S405" s="10" t="s">
        <v>84</v>
      </c>
      <c r="T405" s="10" t="s">
        <v>84</v>
      </c>
      <c r="U405" s="10"/>
      <c r="V405" s="10"/>
      <c r="W405" s="10"/>
      <c r="X405" s="10"/>
      <c r="Y405" s="10"/>
      <c r="Z405" s="10"/>
      <c r="AA405" s="10"/>
    </row>
    <row r="406" spans="1:27" ht="12.5" x14ac:dyDescent="0.25">
      <c r="A406" s="10" t="s">
        <v>10</v>
      </c>
      <c r="B406" s="10" t="s">
        <v>552</v>
      </c>
      <c r="C406" s="10" t="s">
        <v>76</v>
      </c>
      <c r="D406" s="11">
        <v>2024</v>
      </c>
      <c r="E406" s="10" t="s">
        <v>81</v>
      </c>
      <c r="F406" s="10" t="s">
        <v>83</v>
      </c>
      <c r="G406" s="10" t="s">
        <v>84</v>
      </c>
      <c r="H406" s="11">
        <v>24311</v>
      </c>
      <c r="I406" s="11">
        <v>2839</v>
      </c>
      <c r="J406" s="11">
        <v>2510</v>
      </c>
      <c r="K406" s="11">
        <v>26989</v>
      </c>
      <c r="L406" s="11">
        <v>0.11677681191214</v>
      </c>
      <c r="M406" s="11">
        <f t="shared" si="1"/>
        <v>11.677841306404508</v>
      </c>
      <c r="N406" s="11">
        <v>0.88411412469179296</v>
      </c>
      <c r="O406" s="11">
        <v>1.1101406751309399</v>
      </c>
      <c r="P406" s="11">
        <v>0.73479729729729704</v>
      </c>
      <c r="Q406" s="11">
        <v>0.63333333333333297</v>
      </c>
      <c r="R406" s="11">
        <v>0.78294573643410803</v>
      </c>
      <c r="S406" s="10" t="s">
        <v>84</v>
      </c>
      <c r="T406" s="10" t="s">
        <v>84</v>
      </c>
      <c r="U406" s="10"/>
      <c r="V406" s="10"/>
      <c r="W406" s="10"/>
      <c r="X406" s="10"/>
      <c r="Y406" s="10"/>
      <c r="Z406" s="10"/>
      <c r="AA406" s="10"/>
    </row>
    <row r="407" spans="1:27" ht="12.5" x14ac:dyDescent="0.25">
      <c r="A407" s="10" t="s">
        <v>55</v>
      </c>
      <c r="B407" s="10" t="s">
        <v>554</v>
      </c>
      <c r="C407" s="10" t="s">
        <v>76</v>
      </c>
      <c r="D407" s="11">
        <v>2024</v>
      </c>
      <c r="E407" s="10" t="s">
        <v>81</v>
      </c>
      <c r="F407" s="10" t="s">
        <v>83</v>
      </c>
      <c r="G407" s="10" t="s">
        <v>84</v>
      </c>
      <c r="H407" s="11">
        <v>14230</v>
      </c>
      <c r="I407" s="11">
        <v>1661</v>
      </c>
      <c r="J407" s="11">
        <v>1530</v>
      </c>
      <c r="K407" s="11">
        <v>34356</v>
      </c>
      <c r="L407" s="11">
        <v>0.11672317773756601</v>
      </c>
      <c r="M407" s="11">
        <f t="shared" si="1"/>
        <v>11.672522839072382</v>
      </c>
      <c r="N407" s="11">
        <v>0.92113184828416605</v>
      </c>
      <c r="O407" s="11">
        <v>2.41429349449237</v>
      </c>
      <c r="P407" s="11">
        <v>0.73395270270270296</v>
      </c>
      <c r="Q407" s="11">
        <v>0.72727272727272696</v>
      </c>
      <c r="R407" s="11">
        <v>0.781007751937985</v>
      </c>
      <c r="S407" s="10" t="s">
        <v>84</v>
      </c>
      <c r="T407" s="10" t="s">
        <v>84</v>
      </c>
      <c r="U407" s="10"/>
      <c r="V407" s="10"/>
      <c r="W407" s="10"/>
      <c r="X407" s="10"/>
      <c r="Y407" s="10"/>
      <c r="Z407" s="10"/>
      <c r="AA407" s="10"/>
    </row>
    <row r="408" spans="1:27" ht="12.5" hidden="1" x14ac:dyDescent="0.25">
      <c r="A408" s="10" t="s">
        <v>12</v>
      </c>
      <c r="B408" s="10" t="s">
        <v>1354</v>
      </c>
      <c r="C408" s="10" t="s">
        <v>191</v>
      </c>
      <c r="D408" s="11">
        <v>2024</v>
      </c>
      <c r="E408" s="10" t="s">
        <v>124</v>
      </c>
      <c r="F408" s="10" t="s">
        <v>125</v>
      </c>
      <c r="G408" s="10" t="s">
        <v>84</v>
      </c>
      <c r="H408" s="12">
        <v>611.91666666666697</v>
      </c>
      <c r="I408" s="11">
        <v>70</v>
      </c>
      <c r="J408" s="11">
        <v>39</v>
      </c>
      <c r="K408" s="11">
        <v>0</v>
      </c>
      <c r="L408" s="11">
        <v>0.11439466158245901</v>
      </c>
      <c r="M408" s="11">
        <f t="shared" si="1"/>
        <v>11.439466158245942</v>
      </c>
      <c r="N408" s="11">
        <v>0.55714285714285705</v>
      </c>
      <c r="O408" s="11">
        <v>0</v>
      </c>
      <c r="P408" s="11">
        <v>0.84436274509803899</v>
      </c>
      <c r="Q408" s="11">
        <v>0.73015873015873001</v>
      </c>
      <c r="R408" s="11">
        <v>0.76356589147286802</v>
      </c>
      <c r="S408" s="10" t="s">
        <v>84</v>
      </c>
      <c r="T408" s="10" t="s">
        <v>84</v>
      </c>
      <c r="U408" s="10"/>
      <c r="V408" s="10"/>
      <c r="W408" s="10"/>
      <c r="X408" s="10"/>
      <c r="Y408" s="10"/>
      <c r="Z408" s="10"/>
      <c r="AA408" s="10"/>
    </row>
    <row r="409" spans="1:27" ht="12.5" hidden="1" x14ac:dyDescent="0.25">
      <c r="A409" s="10" t="s">
        <v>52</v>
      </c>
      <c r="B409" s="10" t="s">
        <v>1355</v>
      </c>
      <c r="C409" s="10" t="s">
        <v>191</v>
      </c>
      <c r="D409" s="11">
        <v>2024</v>
      </c>
      <c r="E409" s="10" t="s">
        <v>124</v>
      </c>
      <c r="F409" s="10" t="s">
        <v>125</v>
      </c>
      <c r="G409" s="10" t="s">
        <v>84</v>
      </c>
      <c r="H409" s="12">
        <v>185</v>
      </c>
      <c r="I409" s="11">
        <v>21</v>
      </c>
      <c r="J409" s="11">
        <v>21</v>
      </c>
      <c r="K409" s="11">
        <v>392</v>
      </c>
      <c r="L409" s="11">
        <v>0.11351351351351401</v>
      </c>
      <c r="M409" s="11">
        <f t="shared" si="1"/>
        <v>11.351351351351353</v>
      </c>
      <c r="N409" s="11">
        <v>1</v>
      </c>
      <c r="O409" s="11">
        <v>2.1189189189189199</v>
      </c>
      <c r="P409" s="11">
        <v>0.84313725490196101</v>
      </c>
      <c r="Q409" s="11">
        <v>0.85714285714285698</v>
      </c>
      <c r="R409" s="11">
        <v>0.76162790697674398</v>
      </c>
      <c r="S409" s="10" t="s">
        <v>84</v>
      </c>
      <c r="T409" s="10" t="s">
        <v>84</v>
      </c>
      <c r="U409" s="10"/>
      <c r="V409" s="10"/>
      <c r="W409" s="10"/>
      <c r="X409" s="10"/>
      <c r="Y409" s="10"/>
      <c r="Z409" s="10"/>
      <c r="AA409" s="10"/>
    </row>
    <row r="410" spans="1:27" ht="12.5" hidden="1" x14ac:dyDescent="0.25">
      <c r="A410" s="10" t="s">
        <v>58</v>
      </c>
      <c r="B410" s="10" t="s">
        <v>1356</v>
      </c>
      <c r="C410" s="10" t="s">
        <v>191</v>
      </c>
      <c r="D410" s="11">
        <v>2024</v>
      </c>
      <c r="E410" s="10" t="s">
        <v>124</v>
      </c>
      <c r="F410" s="10" t="s">
        <v>125</v>
      </c>
      <c r="G410" s="10" t="s">
        <v>84</v>
      </c>
      <c r="H410" s="12">
        <v>882.5</v>
      </c>
      <c r="I410" s="11">
        <v>100</v>
      </c>
      <c r="J410" s="11">
        <v>79</v>
      </c>
      <c r="K410" s="11">
        <v>0</v>
      </c>
      <c r="L410" s="11">
        <v>0.113314447592068</v>
      </c>
      <c r="M410" s="11">
        <f t="shared" si="1"/>
        <v>11.3314447592068</v>
      </c>
      <c r="N410" s="11">
        <v>0.79</v>
      </c>
      <c r="O410" s="11">
        <v>0</v>
      </c>
      <c r="P410" s="11">
        <v>0.84191176470588203</v>
      </c>
      <c r="Q410" s="11">
        <v>0.73584905660377398</v>
      </c>
      <c r="R410" s="11">
        <v>0.75968992248061995</v>
      </c>
      <c r="S410" s="10" t="s">
        <v>84</v>
      </c>
      <c r="T410" s="10" t="s">
        <v>84</v>
      </c>
      <c r="U410" s="10"/>
      <c r="V410" s="10"/>
      <c r="W410" s="10"/>
      <c r="X410" s="10"/>
      <c r="Y410" s="10"/>
      <c r="Z410" s="10"/>
      <c r="AA410" s="10"/>
    </row>
    <row r="411" spans="1:27" ht="12.5" x14ac:dyDescent="0.25">
      <c r="A411" s="10" t="s">
        <v>14</v>
      </c>
      <c r="B411" s="10" t="s">
        <v>668</v>
      </c>
      <c r="C411" s="10" t="s">
        <v>76</v>
      </c>
      <c r="D411" s="11">
        <v>2024</v>
      </c>
      <c r="E411" s="10" t="s">
        <v>124</v>
      </c>
      <c r="F411" s="10" t="s">
        <v>83</v>
      </c>
      <c r="G411" s="10" t="s">
        <v>84</v>
      </c>
      <c r="H411" s="11">
        <v>46687</v>
      </c>
      <c r="I411" s="11">
        <v>5284</v>
      </c>
      <c r="J411" s="11">
        <v>4712</v>
      </c>
      <c r="K411" s="11">
        <v>22712</v>
      </c>
      <c r="L411" s="11">
        <v>0.11317824752922399</v>
      </c>
      <c r="M411" s="11">
        <f t="shared" si="1"/>
        <v>11.317925760918456</v>
      </c>
      <c r="N411" s="11">
        <v>0.89174867524602597</v>
      </c>
      <c r="O411" s="11">
        <v>0.48646940913772302</v>
      </c>
      <c r="P411" s="11">
        <v>0.73057432432432401</v>
      </c>
      <c r="Q411" s="11">
        <v>0.35714285714285698</v>
      </c>
      <c r="R411" s="11">
        <v>0.62863534675615196</v>
      </c>
      <c r="S411" s="10" t="s">
        <v>84</v>
      </c>
      <c r="T411" s="10" t="s">
        <v>84</v>
      </c>
      <c r="U411" s="10"/>
      <c r="V411" s="10"/>
      <c r="W411" s="10"/>
      <c r="X411" s="10"/>
      <c r="Y411" s="10"/>
      <c r="Z411" s="10"/>
      <c r="AA411" s="10"/>
    </row>
    <row r="412" spans="1:27" ht="12.5" x14ac:dyDescent="0.25">
      <c r="A412" s="10" t="s">
        <v>13</v>
      </c>
      <c r="B412" s="10" t="s">
        <v>557</v>
      </c>
      <c r="C412" s="10" t="s">
        <v>76</v>
      </c>
      <c r="D412" s="11">
        <v>2024</v>
      </c>
      <c r="E412" s="10" t="s">
        <v>81</v>
      </c>
      <c r="F412" s="10" t="s">
        <v>83</v>
      </c>
      <c r="G412" s="10" t="s">
        <v>84</v>
      </c>
      <c r="H412" s="11">
        <v>44424</v>
      </c>
      <c r="I412" s="11">
        <v>5024</v>
      </c>
      <c r="J412" s="11">
        <v>4234</v>
      </c>
      <c r="K412" s="11">
        <v>83704</v>
      </c>
      <c r="L412" s="11">
        <v>0.113091173756125</v>
      </c>
      <c r="M412" s="11">
        <f t="shared" si="1"/>
        <v>11.309202233027191</v>
      </c>
      <c r="N412" s="11">
        <v>0.84275477707006397</v>
      </c>
      <c r="O412" s="11">
        <v>1.88419259715021</v>
      </c>
      <c r="P412" s="11">
        <v>0.72972972972973005</v>
      </c>
      <c r="Q412" s="11">
        <v>0.33333333333333298</v>
      </c>
      <c r="R412" s="11">
        <v>0.77906976744185996</v>
      </c>
      <c r="S412" s="10" t="s">
        <v>84</v>
      </c>
      <c r="T412" s="10" t="s">
        <v>84</v>
      </c>
      <c r="U412" s="10"/>
      <c r="V412" s="10"/>
      <c r="W412" s="10"/>
      <c r="X412" s="10"/>
      <c r="Y412" s="10"/>
      <c r="Z412" s="10"/>
      <c r="AA412" s="10"/>
    </row>
    <row r="413" spans="1:27" ht="12.5" x14ac:dyDescent="0.25">
      <c r="A413" s="10" t="s">
        <v>58</v>
      </c>
      <c r="B413" s="10" t="s">
        <v>672</v>
      </c>
      <c r="C413" s="10" t="s">
        <v>76</v>
      </c>
      <c r="D413" s="11">
        <v>2024</v>
      </c>
      <c r="E413" s="10" t="s">
        <v>124</v>
      </c>
      <c r="F413" s="10" t="s">
        <v>125</v>
      </c>
      <c r="G413" s="10" t="s">
        <v>84</v>
      </c>
      <c r="H413" s="11">
        <v>1177</v>
      </c>
      <c r="I413" s="11">
        <v>133</v>
      </c>
      <c r="J413" s="11">
        <v>105</v>
      </c>
      <c r="K413" s="11">
        <v>0</v>
      </c>
      <c r="L413" s="11">
        <v>0.11303916707982201</v>
      </c>
      <c r="M413" s="11">
        <f t="shared" si="1"/>
        <v>11.299915038232795</v>
      </c>
      <c r="N413" s="11">
        <v>0.78947368421052599</v>
      </c>
      <c r="O413" s="11">
        <v>0</v>
      </c>
      <c r="P413" s="11">
        <v>0.72888513513513498</v>
      </c>
      <c r="Q413" s="11">
        <v>0.78378378378378399</v>
      </c>
      <c r="R413" s="11">
        <v>0.62639821029082798</v>
      </c>
      <c r="S413" s="10" t="s">
        <v>84</v>
      </c>
      <c r="T413" s="10" t="s">
        <v>84</v>
      </c>
      <c r="U413" s="10"/>
      <c r="V413" s="10"/>
      <c r="W413" s="10"/>
      <c r="X413" s="10"/>
      <c r="Y413" s="10"/>
      <c r="Z413" s="10"/>
      <c r="AA413" s="10"/>
    </row>
    <row r="414" spans="1:27" ht="12.5" x14ac:dyDescent="0.25">
      <c r="A414" s="10" t="s">
        <v>6</v>
      </c>
      <c r="B414" s="10" t="s">
        <v>674</v>
      </c>
      <c r="C414" s="10" t="s">
        <v>76</v>
      </c>
      <c r="D414" s="11">
        <v>2024</v>
      </c>
      <c r="E414" s="10" t="s">
        <v>124</v>
      </c>
      <c r="F414" s="10" t="s">
        <v>83</v>
      </c>
      <c r="G414" s="10" t="s">
        <v>84</v>
      </c>
      <c r="H414" s="11">
        <v>27638</v>
      </c>
      <c r="I414" s="11">
        <v>3120</v>
      </c>
      <c r="J414" s="11">
        <v>3080</v>
      </c>
      <c r="K414" s="11">
        <v>17618</v>
      </c>
      <c r="L414" s="11">
        <v>0.112889414205251</v>
      </c>
      <c r="M414" s="11">
        <f t="shared" si="1"/>
        <v>11.288805268109126</v>
      </c>
      <c r="N414" s="11">
        <v>0.987179487179487</v>
      </c>
      <c r="O414" s="11">
        <v>0.63746336521414004</v>
      </c>
      <c r="P414" s="11">
        <v>0.72804054054054101</v>
      </c>
      <c r="Q414" s="11">
        <v>0.87096774193548399</v>
      </c>
      <c r="R414" s="11">
        <v>0.62416107382550301</v>
      </c>
      <c r="S414" s="10" t="s">
        <v>84</v>
      </c>
      <c r="T414" s="10" t="s">
        <v>84</v>
      </c>
      <c r="U414" s="10"/>
      <c r="V414" s="10"/>
      <c r="W414" s="10"/>
      <c r="X414" s="10"/>
      <c r="Y414" s="10"/>
      <c r="Z414" s="10"/>
      <c r="AA414" s="10"/>
    </row>
    <row r="415" spans="1:27" ht="12.5" x14ac:dyDescent="0.25">
      <c r="A415" s="10" t="s">
        <v>62</v>
      </c>
      <c r="B415" s="10" t="s">
        <v>676</v>
      </c>
      <c r="C415" s="10" t="s">
        <v>76</v>
      </c>
      <c r="D415" s="11">
        <v>2024</v>
      </c>
      <c r="E415" s="10" t="s">
        <v>124</v>
      </c>
      <c r="F415" s="10" t="s">
        <v>83</v>
      </c>
      <c r="G415" s="10" t="s">
        <v>84</v>
      </c>
      <c r="H415" s="11">
        <v>11875</v>
      </c>
      <c r="I415" s="11">
        <v>1336</v>
      </c>
      <c r="J415" s="11">
        <v>1037</v>
      </c>
      <c r="K415" s="11">
        <v>9068</v>
      </c>
      <c r="L415" s="11">
        <v>0.112505263157895</v>
      </c>
      <c r="M415" s="11">
        <f t="shared" si="1"/>
        <v>11.250526315789473</v>
      </c>
      <c r="N415" s="11">
        <v>0.77619760479041899</v>
      </c>
      <c r="O415" s="11">
        <v>0.76362105263157898</v>
      </c>
      <c r="P415" s="11">
        <v>0.72719594594594605</v>
      </c>
      <c r="Q415" s="11">
        <v>0.88888888888888895</v>
      </c>
      <c r="R415" s="11">
        <v>0.62192393736017904</v>
      </c>
      <c r="S415" s="10" t="s">
        <v>84</v>
      </c>
      <c r="T415" s="10" t="s">
        <v>84</v>
      </c>
      <c r="U415" s="10"/>
      <c r="V415" s="10"/>
      <c r="W415" s="10"/>
      <c r="X415" s="10"/>
      <c r="Y415" s="10"/>
      <c r="Z415" s="10"/>
      <c r="AA415" s="10"/>
    </row>
    <row r="416" spans="1:27" ht="12.5" hidden="1" x14ac:dyDescent="0.25">
      <c r="A416" s="10" t="s">
        <v>36</v>
      </c>
      <c r="B416" s="10" t="s">
        <v>1357</v>
      </c>
      <c r="C416" s="10" t="s">
        <v>191</v>
      </c>
      <c r="D416" s="11">
        <v>2024</v>
      </c>
      <c r="E416" s="10" t="s">
        <v>124</v>
      </c>
      <c r="F416" s="10" t="s">
        <v>125</v>
      </c>
      <c r="G416" s="10" t="s">
        <v>84</v>
      </c>
      <c r="H416" s="12">
        <v>4444</v>
      </c>
      <c r="I416" s="11">
        <v>498</v>
      </c>
      <c r="J416" s="11">
        <v>434</v>
      </c>
      <c r="K416" s="11">
        <v>540</v>
      </c>
      <c r="L416" s="11">
        <v>0.112063307517768</v>
      </c>
      <c r="M416" s="11">
        <f t="shared" si="1"/>
        <v>11.206120612061206</v>
      </c>
      <c r="N416" s="11">
        <v>0.87148594377510002</v>
      </c>
      <c r="O416" s="11">
        <v>0.12151442983854301</v>
      </c>
      <c r="P416" s="11">
        <v>0.84068627450980404</v>
      </c>
      <c r="Q416" s="11">
        <v>0.7</v>
      </c>
      <c r="R416" s="11">
        <v>0.75775193798449603</v>
      </c>
      <c r="S416" s="10" t="s">
        <v>84</v>
      </c>
      <c r="T416" s="10" t="s">
        <v>84</v>
      </c>
      <c r="U416" s="10"/>
      <c r="V416" s="10"/>
      <c r="W416" s="10"/>
      <c r="X416" s="10"/>
      <c r="Y416" s="10"/>
      <c r="Z416" s="10"/>
      <c r="AA416" s="10"/>
    </row>
    <row r="417" spans="1:27" ht="12.5" hidden="1" x14ac:dyDescent="0.25">
      <c r="A417" s="10" t="s">
        <v>26</v>
      </c>
      <c r="B417" s="10" t="s">
        <v>1358</v>
      </c>
      <c r="C417" s="10" t="s">
        <v>191</v>
      </c>
      <c r="D417" s="11">
        <v>2024</v>
      </c>
      <c r="E417" s="10" t="s">
        <v>124</v>
      </c>
      <c r="F417" s="10" t="s">
        <v>125</v>
      </c>
      <c r="G417" s="10" t="s">
        <v>84</v>
      </c>
      <c r="H417" s="12">
        <v>1564</v>
      </c>
      <c r="I417" s="11">
        <v>175</v>
      </c>
      <c r="J417" s="11">
        <v>130</v>
      </c>
      <c r="K417" s="11">
        <v>0</v>
      </c>
      <c r="L417" s="11">
        <v>0.11186874067760499</v>
      </c>
      <c r="M417" s="11">
        <f t="shared" si="1"/>
        <v>11.18925831202046</v>
      </c>
      <c r="N417" s="11">
        <v>0.74285714285714299</v>
      </c>
      <c r="O417" s="11">
        <v>0</v>
      </c>
      <c r="P417" s="11">
        <v>0.83946078431372595</v>
      </c>
      <c r="Q417" s="11">
        <v>1</v>
      </c>
      <c r="R417" s="11">
        <v>0.75581395348837199</v>
      </c>
      <c r="S417" s="10" t="s">
        <v>84</v>
      </c>
      <c r="T417" s="10" t="s">
        <v>84</v>
      </c>
      <c r="U417" s="10"/>
      <c r="V417" s="10"/>
      <c r="W417" s="10"/>
      <c r="X417" s="10"/>
      <c r="Y417" s="10"/>
      <c r="Z417" s="10"/>
      <c r="AA417" s="10"/>
    </row>
    <row r="418" spans="1:27" ht="12.5" hidden="1" x14ac:dyDescent="0.25">
      <c r="A418" s="10" t="s">
        <v>58</v>
      </c>
      <c r="B418" s="10" t="s">
        <v>1359</v>
      </c>
      <c r="C418" s="10" t="s">
        <v>191</v>
      </c>
      <c r="D418" s="11">
        <v>2024</v>
      </c>
      <c r="E418" s="10" t="s">
        <v>124</v>
      </c>
      <c r="F418" s="10" t="s">
        <v>125</v>
      </c>
      <c r="G418" s="10" t="s">
        <v>84</v>
      </c>
      <c r="H418" s="12">
        <v>412</v>
      </c>
      <c r="I418" s="11">
        <v>46</v>
      </c>
      <c r="J418" s="11">
        <v>32</v>
      </c>
      <c r="K418" s="11">
        <v>583</v>
      </c>
      <c r="L418" s="11">
        <v>0.111650485436893</v>
      </c>
      <c r="M418" s="11">
        <f t="shared" si="1"/>
        <v>11.165048543689322</v>
      </c>
      <c r="N418" s="11">
        <v>0.69565217391304301</v>
      </c>
      <c r="O418" s="11">
        <v>1.4150485436893201</v>
      </c>
      <c r="P418" s="11">
        <v>0.83823529411764697</v>
      </c>
      <c r="Q418" s="11">
        <v>0.71698113207547198</v>
      </c>
      <c r="R418" s="11">
        <v>0.75387596899224796</v>
      </c>
      <c r="S418" s="10" t="s">
        <v>84</v>
      </c>
      <c r="T418" s="10" t="s">
        <v>84</v>
      </c>
      <c r="U418" s="10"/>
      <c r="V418" s="10"/>
      <c r="W418" s="10"/>
      <c r="X418" s="10"/>
      <c r="Y418" s="10"/>
      <c r="Z418" s="10"/>
      <c r="AA418" s="10"/>
    </row>
    <row r="419" spans="1:27" ht="12.5" x14ac:dyDescent="0.25">
      <c r="A419" s="10" t="s">
        <v>103</v>
      </c>
      <c r="B419" s="10" t="s">
        <v>1056</v>
      </c>
      <c r="C419" s="10" t="s">
        <v>76</v>
      </c>
      <c r="D419" s="11">
        <v>2024</v>
      </c>
      <c r="E419" s="10" t="s">
        <v>257</v>
      </c>
      <c r="F419" s="10" t="s">
        <v>83</v>
      </c>
      <c r="G419" s="10" t="s">
        <v>84</v>
      </c>
      <c r="H419" s="11">
        <v>13140</v>
      </c>
      <c r="I419" s="11">
        <v>1460</v>
      </c>
      <c r="J419" s="11">
        <v>1343</v>
      </c>
      <c r="K419" s="11">
        <v>12603</v>
      </c>
      <c r="L419" s="11">
        <v>0.111109701804898</v>
      </c>
      <c r="M419" s="11">
        <f t="shared" si="1"/>
        <v>11.111111111111111</v>
      </c>
      <c r="N419" s="11">
        <v>0.91986301369862999</v>
      </c>
      <c r="O419" s="11">
        <v>0.95912025468981899</v>
      </c>
      <c r="P419" s="11">
        <v>0.72635135135135098</v>
      </c>
      <c r="Q419" s="11">
        <v>0.78260869565217395</v>
      </c>
      <c r="R419" s="11">
        <v>0.84090909090909105</v>
      </c>
      <c r="S419" s="10" t="s">
        <v>84</v>
      </c>
      <c r="T419" s="10" t="s">
        <v>84</v>
      </c>
      <c r="U419" s="10"/>
      <c r="V419" s="10"/>
      <c r="W419" s="10"/>
      <c r="X419" s="10"/>
      <c r="Y419" s="10"/>
      <c r="Z419" s="10"/>
      <c r="AA419" s="10"/>
    </row>
    <row r="420" spans="1:27" ht="12.5" hidden="1" x14ac:dyDescent="0.25">
      <c r="A420" s="10" t="s">
        <v>12</v>
      </c>
      <c r="B420" s="10" t="s">
        <v>1360</v>
      </c>
      <c r="C420" s="10" t="s">
        <v>191</v>
      </c>
      <c r="D420" s="11">
        <v>2024</v>
      </c>
      <c r="E420" s="10" t="s">
        <v>124</v>
      </c>
      <c r="F420" s="10" t="s">
        <v>125</v>
      </c>
      <c r="G420" s="10" t="s">
        <v>84</v>
      </c>
      <c r="H420" s="12">
        <v>1587</v>
      </c>
      <c r="I420" s="11">
        <v>176</v>
      </c>
      <c r="J420" s="11">
        <v>0</v>
      </c>
      <c r="K420" s="11">
        <v>0</v>
      </c>
      <c r="L420" s="11">
        <v>0.11091271925217901</v>
      </c>
      <c r="M420" s="11">
        <f t="shared" si="1"/>
        <v>11.090107120352867</v>
      </c>
      <c r="N420" s="11">
        <v>0</v>
      </c>
      <c r="O420" s="11">
        <v>0</v>
      </c>
      <c r="P420" s="11">
        <v>0.83700980392156898</v>
      </c>
      <c r="Q420" s="11">
        <v>0.71428571428571397</v>
      </c>
      <c r="R420" s="11">
        <v>0.75193798449612403</v>
      </c>
      <c r="S420" s="10" t="s">
        <v>84</v>
      </c>
      <c r="T420" s="10" t="s">
        <v>84</v>
      </c>
      <c r="U420" s="10"/>
      <c r="V420" s="10"/>
      <c r="W420" s="10"/>
      <c r="X420" s="10"/>
      <c r="Y420" s="10"/>
      <c r="Z420" s="10"/>
      <c r="AA420" s="10"/>
    </row>
    <row r="421" spans="1:27" ht="12.5" hidden="1" x14ac:dyDescent="0.25">
      <c r="A421" s="10" t="s">
        <v>10</v>
      </c>
      <c r="B421" s="10" t="s">
        <v>1361</v>
      </c>
      <c r="C421" s="10" t="s">
        <v>191</v>
      </c>
      <c r="D421" s="11">
        <v>2024</v>
      </c>
      <c r="E421" s="10" t="s">
        <v>124</v>
      </c>
      <c r="F421" s="10" t="s">
        <v>125</v>
      </c>
      <c r="G421" s="10" t="s">
        <v>84</v>
      </c>
      <c r="H421" s="12">
        <v>373</v>
      </c>
      <c r="I421" s="11">
        <v>41</v>
      </c>
      <c r="J421" s="11">
        <v>41</v>
      </c>
      <c r="K421" s="11">
        <v>95</v>
      </c>
      <c r="L421" s="11">
        <v>0.109919571045576</v>
      </c>
      <c r="M421" s="11">
        <f t="shared" si="1"/>
        <v>10.991957104557642</v>
      </c>
      <c r="N421" s="11">
        <v>1</v>
      </c>
      <c r="O421" s="11">
        <v>0.25469168900804301</v>
      </c>
      <c r="P421" s="11">
        <v>0.83578431372549</v>
      </c>
      <c r="Q421" s="11">
        <v>0.72413793103448298</v>
      </c>
      <c r="R421" s="11">
        <v>0.75</v>
      </c>
      <c r="S421" s="10" t="s">
        <v>84</v>
      </c>
      <c r="T421" s="10" t="s">
        <v>84</v>
      </c>
      <c r="U421" s="10"/>
      <c r="V421" s="10"/>
      <c r="W421" s="10"/>
      <c r="X421" s="10"/>
      <c r="Y421" s="10"/>
      <c r="Z421" s="10"/>
      <c r="AA421" s="10"/>
    </row>
    <row r="422" spans="1:27" ht="12.5" x14ac:dyDescent="0.25">
      <c r="A422" s="10" t="s">
        <v>29</v>
      </c>
      <c r="B422" s="10" t="s">
        <v>679</v>
      </c>
      <c r="C422" s="10" t="s">
        <v>76</v>
      </c>
      <c r="D422" s="11">
        <v>2024</v>
      </c>
      <c r="E422" s="10" t="s">
        <v>124</v>
      </c>
      <c r="F422" s="10" t="s">
        <v>83</v>
      </c>
      <c r="G422" s="10" t="s">
        <v>84</v>
      </c>
      <c r="H422" s="11">
        <v>11987</v>
      </c>
      <c r="I422" s="11">
        <v>1314</v>
      </c>
      <c r="J422" s="11">
        <v>1453</v>
      </c>
      <c r="K422" s="11">
        <v>16338</v>
      </c>
      <c r="L422" s="11">
        <v>0.109621039898221</v>
      </c>
      <c r="M422" s="11">
        <f t="shared" si="1"/>
        <v>10.961875364978727</v>
      </c>
      <c r="N422" s="11">
        <v>1.1057838660578401</v>
      </c>
      <c r="O422" s="11">
        <v>1.3630049846705701</v>
      </c>
      <c r="P422" s="11">
        <v>0.72550675675675702</v>
      </c>
      <c r="Q422" s="11">
        <v>0.469387755102041</v>
      </c>
      <c r="R422" s="11">
        <v>0.61968680089485495</v>
      </c>
      <c r="S422" s="10" t="s">
        <v>84</v>
      </c>
      <c r="T422" s="10" t="s">
        <v>84</v>
      </c>
      <c r="U422" s="10"/>
      <c r="V422" s="10"/>
      <c r="W422" s="10"/>
      <c r="X422" s="10"/>
      <c r="Y422" s="10"/>
      <c r="Z422" s="10"/>
      <c r="AA422" s="10"/>
    </row>
    <row r="423" spans="1:27" ht="12.5" x14ac:dyDescent="0.25">
      <c r="A423" s="10" t="s">
        <v>52</v>
      </c>
      <c r="B423" s="10" t="s">
        <v>558</v>
      </c>
      <c r="C423" s="10" t="s">
        <v>76</v>
      </c>
      <c r="D423" s="11">
        <v>2024</v>
      </c>
      <c r="E423" s="10" t="s">
        <v>81</v>
      </c>
      <c r="F423" s="10" t="s">
        <v>83</v>
      </c>
      <c r="G423" s="10" t="s">
        <v>84</v>
      </c>
      <c r="H423" s="11">
        <v>18677</v>
      </c>
      <c r="I423" s="11">
        <v>2046</v>
      </c>
      <c r="J423" s="11">
        <v>1774</v>
      </c>
      <c r="K423" s="11">
        <v>16001</v>
      </c>
      <c r="L423" s="11">
        <v>0.109548456184187</v>
      </c>
      <c r="M423" s="11">
        <f t="shared" si="1"/>
        <v>10.95465010440649</v>
      </c>
      <c r="N423" s="11">
        <v>0.86705767350928598</v>
      </c>
      <c r="O423" s="11">
        <v>0.85673746207388901</v>
      </c>
      <c r="P423" s="11">
        <v>0.72466216216216195</v>
      </c>
      <c r="Q423" s="11">
        <v>0.61702127659574502</v>
      </c>
      <c r="R423" s="11">
        <v>0.77713178294573604</v>
      </c>
      <c r="S423" s="10" t="s">
        <v>84</v>
      </c>
      <c r="T423" s="10" t="s">
        <v>84</v>
      </c>
      <c r="U423" s="10"/>
      <c r="V423" s="10"/>
      <c r="W423" s="10"/>
      <c r="X423" s="10"/>
      <c r="Y423" s="10"/>
      <c r="Z423" s="10"/>
      <c r="AA423" s="10"/>
    </row>
    <row r="424" spans="1:27" ht="12.5" x14ac:dyDescent="0.25">
      <c r="A424" s="10" t="s">
        <v>6</v>
      </c>
      <c r="B424" s="10" t="s">
        <v>681</v>
      </c>
      <c r="C424" s="10" t="s">
        <v>76</v>
      </c>
      <c r="D424" s="11">
        <v>2024</v>
      </c>
      <c r="E424" s="10" t="s">
        <v>124</v>
      </c>
      <c r="F424" s="10" t="s">
        <v>83</v>
      </c>
      <c r="G424" s="10" t="s">
        <v>84</v>
      </c>
      <c r="H424" s="11">
        <v>11221</v>
      </c>
      <c r="I424" s="11">
        <v>1226</v>
      </c>
      <c r="J424" s="11">
        <v>1021</v>
      </c>
      <c r="K424" s="11">
        <v>12862</v>
      </c>
      <c r="L424" s="11">
        <v>0.10926185861016401</v>
      </c>
      <c r="M424" s="11">
        <f t="shared" si="1"/>
        <v>10.925942429373496</v>
      </c>
      <c r="N424" s="11">
        <v>0.83278955954322997</v>
      </c>
      <c r="O424" s="11">
        <v>1.1462691887797201</v>
      </c>
      <c r="P424" s="11">
        <v>0.72381756756756799</v>
      </c>
      <c r="Q424" s="11">
        <v>0.83870967741935498</v>
      </c>
      <c r="R424" s="11">
        <v>0.61744966442952998</v>
      </c>
      <c r="S424" s="10" t="s">
        <v>84</v>
      </c>
      <c r="T424" s="10" t="s">
        <v>84</v>
      </c>
      <c r="U424" s="10"/>
      <c r="V424" s="10"/>
      <c r="W424" s="10"/>
      <c r="X424" s="10"/>
      <c r="Y424" s="10"/>
      <c r="Z424" s="10"/>
      <c r="AA424" s="10"/>
    </row>
    <row r="425" spans="1:27" ht="12.5" hidden="1" x14ac:dyDescent="0.25">
      <c r="A425" s="10" t="s">
        <v>58</v>
      </c>
      <c r="B425" s="10" t="s">
        <v>1362</v>
      </c>
      <c r="C425" s="10" t="s">
        <v>191</v>
      </c>
      <c r="D425" s="11">
        <v>2024</v>
      </c>
      <c r="E425" s="10" t="s">
        <v>124</v>
      </c>
      <c r="F425" s="10" t="s">
        <v>125</v>
      </c>
      <c r="G425" s="10" t="s">
        <v>84</v>
      </c>
      <c r="H425" s="12">
        <v>293</v>
      </c>
      <c r="I425" s="11">
        <v>32</v>
      </c>
      <c r="J425" s="11">
        <v>31</v>
      </c>
      <c r="K425" s="11">
        <v>682</v>
      </c>
      <c r="L425" s="11">
        <v>0.109215017064846</v>
      </c>
      <c r="M425" s="11">
        <f t="shared" si="1"/>
        <v>10.921501706484642</v>
      </c>
      <c r="N425" s="11">
        <v>0.96875</v>
      </c>
      <c r="O425" s="11">
        <v>2.3276450511945401</v>
      </c>
      <c r="P425" s="11">
        <v>0.83455882352941202</v>
      </c>
      <c r="Q425" s="11">
        <v>0.69811320754716999</v>
      </c>
      <c r="R425" s="11">
        <v>0.74806201550387597</v>
      </c>
      <c r="S425" s="10" t="s">
        <v>84</v>
      </c>
      <c r="T425" s="10" t="s">
        <v>84</v>
      </c>
      <c r="U425" s="10"/>
      <c r="V425" s="10"/>
      <c r="W425" s="10"/>
      <c r="X425" s="10"/>
      <c r="Y425" s="10"/>
      <c r="Z425" s="10"/>
      <c r="AA425" s="10"/>
    </row>
    <row r="426" spans="1:27" ht="12.5" x14ac:dyDescent="0.25">
      <c r="A426" s="10" t="s">
        <v>67</v>
      </c>
      <c r="B426" s="10" t="s">
        <v>560</v>
      </c>
      <c r="C426" s="10" t="s">
        <v>76</v>
      </c>
      <c r="D426" s="11">
        <v>2024</v>
      </c>
      <c r="E426" s="10" t="s">
        <v>81</v>
      </c>
      <c r="F426" s="10" t="s">
        <v>83</v>
      </c>
      <c r="G426" s="10" t="s">
        <v>84</v>
      </c>
      <c r="H426" s="11">
        <v>12620</v>
      </c>
      <c r="I426" s="11">
        <v>1378</v>
      </c>
      <c r="J426" s="11">
        <v>1326</v>
      </c>
      <c r="K426" s="11">
        <v>9540</v>
      </c>
      <c r="L426" s="11">
        <v>0.10919320117804</v>
      </c>
      <c r="M426" s="11">
        <f t="shared" si="1"/>
        <v>10.919175911251982</v>
      </c>
      <c r="N426" s="11">
        <v>0.96226415094339601</v>
      </c>
      <c r="O426" s="11">
        <v>0.755952931232584</v>
      </c>
      <c r="P426" s="11">
        <v>0.72297297297297303</v>
      </c>
      <c r="Q426" s="11">
        <v>0.80952380952380998</v>
      </c>
      <c r="R426" s="11">
        <v>0.775193798449612</v>
      </c>
      <c r="S426" s="10" t="s">
        <v>84</v>
      </c>
      <c r="T426" s="10" t="s">
        <v>84</v>
      </c>
      <c r="U426" s="10"/>
      <c r="V426" s="10"/>
      <c r="W426" s="10"/>
      <c r="X426" s="10"/>
      <c r="Y426" s="10"/>
      <c r="Z426" s="10"/>
      <c r="AA426" s="10"/>
    </row>
    <row r="427" spans="1:27" ht="12.5" x14ac:dyDescent="0.25">
      <c r="A427" s="10" t="s">
        <v>32</v>
      </c>
      <c r="B427" s="10" t="s">
        <v>562</v>
      </c>
      <c r="C427" s="10" t="s">
        <v>76</v>
      </c>
      <c r="D427" s="11">
        <v>2024</v>
      </c>
      <c r="E427" s="10" t="s">
        <v>81</v>
      </c>
      <c r="F427" s="10" t="s">
        <v>83</v>
      </c>
      <c r="G427" s="10" t="s">
        <v>84</v>
      </c>
      <c r="H427" s="11">
        <v>56463</v>
      </c>
      <c r="I427" s="11">
        <v>6163</v>
      </c>
      <c r="J427" s="11">
        <v>5266</v>
      </c>
      <c r="K427" s="11">
        <v>79501</v>
      </c>
      <c r="L427" s="11">
        <v>0.109151125515825</v>
      </c>
      <c r="M427" s="11">
        <f t="shared" si="1"/>
        <v>10.915112551582453</v>
      </c>
      <c r="N427" s="11">
        <v>0.85445399967548297</v>
      </c>
      <c r="O427" s="11">
        <v>1.4080194109416799</v>
      </c>
      <c r="P427" s="11">
        <v>0.72212837837837796</v>
      </c>
      <c r="Q427" s="11">
        <v>0.48275862068965503</v>
      </c>
      <c r="R427" s="11">
        <v>0.77325581395348797</v>
      </c>
      <c r="S427" s="10" t="s">
        <v>84</v>
      </c>
      <c r="T427" s="10" t="s">
        <v>84</v>
      </c>
      <c r="U427" s="10"/>
      <c r="V427" s="10"/>
      <c r="W427" s="10"/>
      <c r="X427" s="10"/>
      <c r="Y427" s="10"/>
      <c r="Z427" s="10"/>
      <c r="AA427" s="10"/>
    </row>
    <row r="428" spans="1:27" ht="12.5" hidden="1" x14ac:dyDescent="0.25">
      <c r="A428" s="10" t="s">
        <v>12</v>
      </c>
      <c r="B428" s="10" t="s">
        <v>1363</v>
      </c>
      <c r="C428" s="10" t="s">
        <v>191</v>
      </c>
      <c r="D428" s="11">
        <v>2024</v>
      </c>
      <c r="E428" s="10" t="s">
        <v>124</v>
      </c>
      <c r="F428" s="10" t="s">
        <v>125</v>
      </c>
      <c r="G428" s="10" t="s">
        <v>84</v>
      </c>
      <c r="H428" s="12">
        <v>514.33333333333303</v>
      </c>
      <c r="I428" s="11">
        <v>56</v>
      </c>
      <c r="J428" s="11">
        <v>34</v>
      </c>
      <c r="K428" s="11">
        <v>92</v>
      </c>
      <c r="L428" s="11">
        <v>0.108878807517822</v>
      </c>
      <c r="M428" s="11">
        <f t="shared" si="1"/>
        <v>10.887880751782248</v>
      </c>
      <c r="N428" s="11">
        <v>0.60714285714285698</v>
      </c>
      <c r="O428" s="11">
        <v>0.178872326636423</v>
      </c>
      <c r="P428" s="11">
        <v>0.83333333333333304</v>
      </c>
      <c r="Q428" s="11">
        <v>0.69841269841269804</v>
      </c>
      <c r="R428" s="11">
        <v>0.74612403100775204</v>
      </c>
      <c r="S428" s="10" t="s">
        <v>84</v>
      </c>
      <c r="T428" s="10" t="s">
        <v>84</v>
      </c>
      <c r="U428" s="10"/>
      <c r="V428" s="10"/>
      <c r="W428" s="10"/>
      <c r="X428" s="10"/>
      <c r="Y428" s="10"/>
      <c r="Z428" s="10"/>
      <c r="AA428" s="10"/>
    </row>
    <row r="429" spans="1:27" ht="12.5" x14ac:dyDescent="0.25">
      <c r="A429" s="10" t="s">
        <v>10</v>
      </c>
      <c r="B429" s="10" t="s">
        <v>683</v>
      </c>
      <c r="C429" s="10" t="s">
        <v>76</v>
      </c>
      <c r="D429" s="11">
        <v>2024</v>
      </c>
      <c r="E429" s="10" t="s">
        <v>124</v>
      </c>
      <c r="F429" s="10" t="s">
        <v>125</v>
      </c>
      <c r="G429" s="10" t="s">
        <v>84</v>
      </c>
      <c r="H429" s="11">
        <v>534</v>
      </c>
      <c r="I429" s="11">
        <v>58</v>
      </c>
      <c r="J429" s="11">
        <v>38</v>
      </c>
      <c r="K429" s="11">
        <v>659</v>
      </c>
      <c r="L429" s="11">
        <v>0.108597285067873</v>
      </c>
      <c r="M429" s="11">
        <f t="shared" si="1"/>
        <v>10.861423220973784</v>
      </c>
      <c r="N429" s="11">
        <v>0.65517241379310298</v>
      </c>
      <c r="O429" s="11">
        <v>1.23388984240911</v>
      </c>
      <c r="P429" s="11">
        <v>0.72128378378378399</v>
      </c>
      <c r="Q429" s="11">
        <v>0.6</v>
      </c>
      <c r="R429" s="11">
        <v>0.615212527964206</v>
      </c>
      <c r="S429" s="10" t="s">
        <v>84</v>
      </c>
      <c r="T429" s="10" t="s">
        <v>84</v>
      </c>
      <c r="U429" s="10"/>
      <c r="V429" s="10"/>
      <c r="W429" s="10"/>
      <c r="X429" s="10"/>
      <c r="Y429" s="10"/>
      <c r="Z429" s="10"/>
      <c r="AA429" s="10"/>
    </row>
    <row r="430" spans="1:27" ht="12.5" hidden="1" x14ac:dyDescent="0.25">
      <c r="A430" s="10" t="s">
        <v>29</v>
      </c>
      <c r="B430" s="10" t="s">
        <v>1364</v>
      </c>
      <c r="C430" s="10" t="s">
        <v>191</v>
      </c>
      <c r="D430" s="11">
        <v>2024</v>
      </c>
      <c r="E430" s="10" t="s">
        <v>124</v>
      </c>
      <c r="F430" s="10" t="s">
        <v>125</v>
      </c>
      <c r="G430" s="10" t="s">
        <v>84</v>
      </c>
      <c r="H430" s="12">
        <v>1315</v>
      </c>
      <c r="I430" s="11">
        <v>142</v>
      </c>
      <c r="J430" s="11">
        <v>141</v>
      </c>
      <c r="K430" s="11">
        <v>178</v>
      </c>
      <c r="L430" s="11">
        <v>0.10795742524075</v>
      </c>
      <c r="M430" s="11">
        <f t="shared" si="1"/>
        <v>10.798479087452471</v>
      </c>
      <c r="N430" s="11">
        <v>0.99295774647887303</v>
      </c>
      <c r="O430" s="11">
        <v>0.135326913329954</v>
      </c>
      <c r="P430" s="11">
        <v>0.83210784313725505</v>
      </c>
      <c r="Q430" s="11">
        <v>0.70422535211267601</v>
      </c>
      <c r="R430" s="11">
        <v>0.74418604651162801</v>
      </c>
      <c r="S430" s="10" t="s">
        <v>84</v>
      </c>
      <c r="T430" s="10" t="s">
        <v>84</v>
      </c>
      <c r="U430" s="10"/>
      <c r="V430" s="10"/>
      <c r="W430" s="10"/>
      <c r="X430" s="10"/>
      <c r="Y430" s="10"/>
      <c r="Z430" s="10"/>
      <c r="AA430" s="10"/>
    </row>
    <row r="431" spans="1:27" ht="12.5" x14ac:dyDescent="0.25">
      <c r="A431" s="10" t="s">
        <v>91</v>
      </c>
      <c r="B431" s="10" t="s">
        <v>564</v>
      </c>
      <c r="C431" s="10" t="s">
        <v>76</v>
      </c>
      <c r="D431" s="11">
        <v>2024</v>
      </c>
      <c r="E431" s="10" t="s">
        <v>81</v>
      </c>
      <c r="F431" s="10" t="s">
        <v>83</v>
      </c>
      <c r="G431" s="10" t="s">
        <v>84</v>
      </c>
      <c r="H431" s="11">
        <v>10345</v>
      </c>
      <c r="I431" s="11">
        <v>1116</v>
      </c>
      <c r="J431" s="11">
        <v>1028</v>
      </c>
      <c r="K431" s="11">
        <v>1200</v>
      </c>
      <c r="L431" s="11">
        <v>0.107881678159438</v>
      </c>
      <c r="M431" s="11">
        <f t="shared" si="1"/>
        <v>10.787820202996617</v>
      </c>
      <c r="N431" s="11">
        <v>0.92114695340501795</v>
      </c>
      <c r="O431" s="11">
        <v>0.116001804472514</v>
      </c>
      <c r="P431" s="11">
        <v>0.72043918918918903</v>
      </c>
      <c r="Q431" s="11">
        <v>0.86666666666666703</v>
      </c>
      <c r="R431" s="11">
        <v>0.77131782945736405</v>
      </c>
      <c r="S431" s="10" t="s">
        <v>84</v>
      </c>
      <c r="T431" s="10" t="s">
        <v>84</v>
      </c>
      <c r="U431" s="10"/>
      <c r="V431" s="10"/>
      <c r="W431" s="10"/>
      <c r="X431" s="10"/>
      <c r="Y431" s="10"/>
      <c r="Z431" s="10"/>
      <c r="AA431" s="10"/>
    </row>
    <row r="432" spans="1:27" ht="12.5" x14ac:dyDescent="0.25">
      <c r="A432" s="10" t="s">
        <v>13</v>
      </c>
      <c r="B432" s="10" t="s">
        <v>565</v>
      </c>
      <c r="C432" s="10" t="s">
        <v>76</v>
      </c>
      <c r="D432" s="11">
        <v>2024</v>
      </c>
      <c r="E432" s="10" t="s">
        <v>81</v>
      </c>
      <c r="F432" s="10" t="s">
        <v>83</v>
      </c>
      <c r="G432" s="10" t="s">
        <v>84</v>
      </c>
      <c r="H432" s="11">
        <v>110020</v>
      </c>
      <c r="I432" s="11">
        <v>11812</v>
      </c>
      <c r="J432" s="11">
        <v>8399</v>
      </c>
      <c r="K432" s="11">
        <v>248637</v>
      </c>
      <c r="L432" s="11">
        <v>0.107362135123712</v>
      </c>
      <c r="M432" s="11">
        <f t="shared" si="1"/>
        <v>10.73622977640429</v>
      </c>
      <c r="N432" s="11">
        <v>0.71105655265831402</v>
      </c>
      <c r="O432" s="11">
        <v>2.25992204459485</v>
      </c>
      <c r="P432" s="11">
        <v>0.71875</v>
      </c>
      <c r="Q432" s="11">
        <v>0.28571428571428598</v>
      </c>
      <c r="R432" s="11">
        <v>0.76937984496124001</v>
      </c>
      <c r="S432" s="10" t="s">
        <v>84</v>
      </c>
      <c r="T432" s="10" t="s">
        <v>84</v>
      </c>
      <c r="U432" s="10"/>
      <c r="V432" s="10"/>
      <c r="W432" s="10"/>
      <c r="X432" s="10"/>
      <c r="Y432" s="10"/>
      <c r="Z432" s="10"/>
      <c r="AA432" s="10"/>
    </row>
    <row r="433" spans="1:27" ht="12.5" hidden="1" x14ac:dyDescent="0.25">
      <c r="A433" s="10" t="s">
        <v>77</v>
      </c>
      <c r="B433" s="10" t="s">
        <v>1366</v>
      </c>
      <c r="C433" s="10" t="s">
        <v>191</v>
      </c>
      <c r="D433" s="11">
        <v>2024</v>
      </c>
      <c r="E433" s="10" t="s">
        <v>124</v>
      </c>
      <c r="F433" s="10" t="s">
        <v>125</v>
      </c>
      <c r="G433" s="10" t="s">
        <v>84</v>
      </c>
      <c r="H433" s="12">
        <v>1100</v>
      </c>
      <c r="I433" s="11">
        <v>118</v>
      </c>
      <c r="J433" s="11">
        <v>118</v>
      </c>
      <c r="K433" s="11">
        <v>3134</v>
      </c>
      <c r="L433" s="11">
        <v>0.10727272727272701</v>
      </c>
      <c r="M433" s="11">
        <f t="shared" si="1"/>
        <v>10.727272727272727</v>
      </c>
      <c r="N433" s="11">
        <v>1</v>
      </c>
      <c r="O433" s="11">
        <v>2.84909090909091</v>
      </c>
      <c r="P433" s="11">
        <v>0.83088235294117696</v>
      </c>
      <c r="Q433" s="11">
        <v>0.97826086956521696</v>
      </c>
      <c r="R433" s="11">
        <v>0.74224806201550397</v>
      </c>
      <c r="S433" s="10" t="s">
        <v>84</v>
      </c>
      <c r="T433" s="10" t="s">
        <v>84</v>
      </c>
      <c r="U433" s="10"/>
      <c r="V433" s="10"/>
      <c r="W433" s="10"/>
      <c r="X433" s="10"/>
      <c r="Y433" s="10"/>
      <c r="Z433" s="10"/>
      <c r="AA433" s="10"/>
    </row>
    <row r="434" spans="1:27" ht="12.5" hidden="1" x14ac:dyDescent="0.25">
      <c r="A434" s="10" t="s">
        <v>19</v>
      </c>
      <c r="B434" s="10" t="s">
        <v>1367</v>
      </c>
      <c r="C434" s="10" t="s">
        <v>191</v>
      </c>
      <c r="D434" s="11">
        <v>2024</v>
      </c>
      <c r="E434" s="10" t="s">
        <v>124</v>
      </c>
      <c r="F434" s="10" t="s">
        <v>125</v>
      </c>
      <c r="G434" s="10" t="s">
        <v>84</v>
      </c>
      <c r="H434" s="12">
        <v>1744</v>
      </c>
      <c r="I434" s="11">
        <v>185</v>
      </c>
      <c r="J434" s="11">
        <v>185</v>
      </c>
      <c r="K434" s="11">
        <v>600</v>
      </c>
      <c r="L434" s="11">
        <v>0.106108402638371</v>
      </c>
      <c r="M434" s="11">
        <f t="shared" si="1"/>
        <v>10.607798165137615</v>
      </c>
      <c r="N434" s="11">
        <v>1</v>
      </c>
      <c r="O434" s="11">
        <v>0.34413535990823102</v>
      </c>
      <c r="P434" s="11">
        <v>0.82965686274509798</v>
      </c>
      <c r="Q434" s="11">
        <v>0.63636363636363602</v>
      </c>
      <c r="R434" s="11">
        <v>0.74031007751938005</v>
      </c>
      <c r="S434" s="10" t="s">
        <v>84</v>
      </c>
      <c r="T434" s="10" t="s">
        <v>84</v>
      </c>
      <c r="U434" s="10"/>
      <c r="V434" s="10"/>
      <c r="W434" s="10"/>
      <c r="X434" s="10"/>
      <c r="Y434" s="10"/>
      <c r="Z434" s="10"/>
      <c r="AA434" s="10"/>
    </row>
    <row r="435" spans="1:27" ht="12.5" x14ac:dyDescent="0.25">
      <c r="A435" s="10" t="s">
        <v>19</v>
      </c>
      <c r="B435" s="10" t="s">
        <v>686</v>
      </c>
      <c r="C435" s="10" t="s">
        <v>76</v>
      </c>
      <c r="D435" s="11">
        <v>2024</v>
      </c>
      <c r="E435" s="10" t="s">
        <v>124</v>
      </c>
      <c r="F435" s="10" t="s">
        <v>83</v>
      </c>
      <c r="G435" s="10" t="s">
        <v>84</v>
      </c>
      <c r="H435" s="11">
        <v>8154</v>
      </c>
      <c r="I435" s="11">
        <v>865</v>
      </c>
      <c r="J435" s="11">
        <v>691</v>
      </c>
      <c r="K435" s="11">
        <v>5530</v>
      </c>
      <c r="L435" s="11">
        <v>0.106089409456062</v>
      </c>
      <c r="M435" s="11">
        <f t="shared" si="1"/>
        <v>10.608290409614913</v>
      </c>
      <c r="N435" s="11">
        <v>0.79884393063583803</v>
      </c>
      <c r="O435" s="11">
        <v>0.67823634022198998</v>
      </c>
      <c r="P435" s="11">
        <v>0.71790540540540504</v>
      </c>
      <c r="Q435" s="11">
        <v>0.61111111111111105</v>
      </c>
      <c r="R435" s="11">
        <v>0.61297539149888103</v>
      </c>
      <c r="S435" s="10" t="s">
        <v>84</v>
      </c>
      <c r="T435" s="10" t="s">
        <v>84</v>
      </c>
      <c r="U435" s="10"/>
      <c r="V435" s="10"/>
      <c r="W435" s="10"/>
      <c r="X435" s="10"/>
      <c r="Y435" s="10"/>
      <c r="Z435" s="10"/>
      <c r="AA435" s="10"/>
    </row>
    <row r="436" spans="1:27" ht="12.5" x14ac:dyDescent="0.25">
      <c r="A436" s="10" t="s">
        <v>86</v>
      </c>
      <c r="B436" s="10" t="s">
        <v>688</v>
      </c>
      <c r="C436" s="10" t="s">
        <v>76</v>
      </c>
      <c r="D436" s="11">
        <v>2024</v>
      </c>
      <c r="E436" s="10" t="s">
        <v>124</v>
      </c>
      <c r="F436" s="10" t="s">
        <v>83</v>
      </c>
      <c r="G436" s="10" t="s">
        <v>84</v>
      </c>
      <c r="H436" s="11">
        <v>11134</v>
      </c>
      <c r="I436" s="11">
        <v>1181</v>
      </c>
      <c r="J436" s="11">
        <v>1380</v>
      </c>
      <c r="K436" s="11">
        <v>3788</v>
      </c>
      <c r="L436" s="11">
        <v>0.10607069883016899</v>
      </c>
      <c r="M436" s="11">
        <f t="shared" si="1"/>
        <v>10.607149272498653</v>
      </c>
      <c r="N436" s="11">
        <v>1.1685012701100801</v>
      </c>
      <c r="O436" s="11">
        <v>0.34021660217500299</v>
      </c>
      <c r="P436" s="11">
        <v>0.71706081081081097</v>
      </c>
      <c r="Q436" s="11">
        <v>0.52173913043478304</v>
      </c>
      <c r="R436" s="11">
        <v>0.61073825503355705</v>
      </c>
      <c r="S436" s="10" t="s">
        <v>84</v>
      </c>
      <c r="T436" s="10" t="s">
        <v>84</v>
      </c>
      <c r="U436" s="10"/>
      <c r="V436" s="10"/>
      <c r="W436" s="10"/>
      <c r="X436" s="10"/>
      <c r="Y436" s="10"/>
      <c r="Z436" s="10"/>
      <c r="AA436" s="10"/>
    </row>
    <row r="437" spans="1:27" ht="12.5" hidden="1" x14ac:dyDescent="0.25">
      <c r="A437" s="10" t="s">
        <v>14</v>
      </c>
      <c r="B437" s="10" t="s">
        <v>1368</v>
      </c>
      <c r="C437" s="10" t="s">
        <v>191</v>
      </c>
      <c r="D437" s="11">
        <v>2024</v>
      </c>
      <c r="E437" s="10" t="s">
        <v>81</v>
      </c>
      <c r="F437" s="10" t="s">
        <v>83</v>
      </c>
      <c r="G437" s="10" t="s">
        <v>84</v>
      </c>
      <c r="H437" s="12">
        <v>180</v>
      </c>
      <c r="I437" s="11">
        <v>19</v>
      </c>
      <c r="J437" s="11">
        <v>17</v>
      </c>
      <c r="K437" s="11">
        <v>65</v>
      </c>
      <c r="L437" s="11">
        <v>0.105555555555556</v>
      </c>
      <c r="M437" s="11">
        <f t="shared" si="1"/>
        <v>10.555555555555555</v>
      </c>
      <c r="N437" s="11">
        <v>0.89473684210526305</v>
      </c>
      <c r="O437" s="11">
        <v>0.36111111111111099</v>
      </c>
      <c r="P437" s="11">
        <v>0.82843137254902</v>
      </c>
      <c r="Q437" s="11">
        <v>0.82978723404255295</v>
      </c>
      <c r="R437" s="11">
        <v>1</v>
      </c>
      <c r="S437" s="10" t="s">
        <v>84</v>
      </c>
      <c r="T437" s="10" t="s">
        <v>84</v>
      </c>
      <c r="U437" s="10"/>
      <c r="V437" s="10"/>
      <c r="W437" s="10"/>
      <c r="X437" s="10"/>
      <c r="Y437" s="10"/>
      <c r="Z437" s="10"/>
      <c r="AA437" s="10"/>
    </row>
    <row r="438" spans="1:27" ht="12.5" hidden="1" x14ac:dyDescent="0.25">
      <c r="A438" s="10" t="s">
        <v>29</v>
      </c>
      <c r="B438" s="10" t="s">
        <v>1369</v>
      </c>
      <c r="C438" s="10" t="s">
        <v>191</v>
      </c>
      <c r="D438" s="11">
        <v>2024</v>
      </c>
      <c r="E438" s="10" t="s">
        <v>257</v>
      </c>
      <c r="F438" s="10" t="s">
        <v>125</v>
      </c>
      <c r="G438" s="10" t="s">
        <v>84</v>
      </c>
      <c r="H438" s="12">
        <v>881.08333333333303</v>
      </c>
      <c r="I438" s="11">
        <v>93</v>
      </c>
      <c r="J438" s="11">
        <v>21</v>
      </c>
      <c r="K438" s="11">
        <v>534</v>
      </c>
      <c r="L438" s="11">
        <v>0.105551877423626</v>
      </c>
      <c r="M438" s="11">
        <f t="shared" si="1"/>
        <v>10.555187742362625</v>
      </c>
      <c r="N438" s="11">
        <v>0.225806451612903</v>
      </c>
      <c r="O438" s="11">
        <v>0.60607207036791799</v>
      </c>
      <c r="P438" s="11">
        <v>0.82720588235294101</v>
      </c>
      <c r="Q438" s="11">
        <v>0.69014084507042295</v>
      </c>
      <c r="R438" s="11">
        <v>0.94444444444444398</v>
      </c>
      <c r="S438" s="10" t="s">
        <v>84</v>
      </c>
      <c r="T438" s="10" t="s">
        <v>84</v>
      </c>
      <c r="U438" s="10"/>
      <c r="V438" s="10"/>
      <c r="W438" s="10"/>
      <c r="X438" s="10"/>
      <c r="Y438" s="10"/>
      <c r="Z438" s="10"/>
      <c r="AA438" s="10"/>
    </row>
    <row r="439" spans="1:27" ht="12.5" x14ac:dyDescent="0.25">
      <c r="A439" s="10" t="s">
        <v>36</v>
      </c>
      <c r="B439" s="10" t="s">
        <v>691</v>
      </c>
      <c r="C439" s="10" t="s">
        <v>76</v>
      </c>
      <c r="D439" s="11">
        <v>2024</v>
      </c>
      <c r="E439" s="10" t="s">
        <v>124</v>
      </c>
      <c r="F439" s="10" t="s">
        <v>83</v>
      </c>
      <c r="G439" s="10" t="s">
        <v>84</v>
      </c>
      <c r="H439" s="11">
        <v>891</v>
      </c>
      <c r="I439" s="11">
        <v>94</v>
      </c>
      <c r="J439" s="11">
        <v>64</v>
      </c>
      <c r="K439" s="11">
        <v>2253</v>
      </c>
      <c r="L439" s="11">
        <v>0.10554879760456599</v>
      </c>
      <c r="M439" s="11">
        <f t="shared" si="1"/>
        <v>10.549943883277217</v>
      </c>
      <c r="N439" s="11">
        <v>0.680851063829787</v>
      </c>
      <c r="O439" s="11">
        <v>2.5298025638626398</v>
      </c>
      <c r="P439" s="11">
        <v>0.71621621621621601</v>
      </c>
      <c r="Q439" s="11">
        <v>0.46808510638297901</v>
      </c>
      <c r="R439" s="11">
        <v>0.60850111856823297</v>
      </c>
      <c r="S439" s="10" t="s">
        <v>84</v>
      </c>
      <c r="T439" s="10" t="s">
        <v>84</v>
      </c>
      <c r="U439" s="10"/>
      <c r="V439" s="10"/>
      <c r="W439" s="10"/>
      <c r="X439" s="10"/>
      <c r="Y439" s="10"/>
      <c r="Z439" s="10"/>
      <c r="AA439" s="10"/>
    </row>
    <row r="440" spans="1:27" ht="12.5" x14ac:dyDescent="0.25">
      <c r="A440" s="10" t="s">
        <v>12</v>
      </c>
      <c r="B440" s="10" t="s">
        <v>693</v>
      </c>
      <c r="C440" s="10" t="s">
        <v>76</v>
      </c>
      <c r="D440" s="11">
        <v>2024</v>
      </c>
      <c r="E440" s="10" t="s">
        <v>124</v>
      </c>
      <c r="F440" s="10" t="s">
        <v>125</v>
      </c>
      <c r="G440" s="10" t="s">
        <v>84</v>
      </c>
      <c r="H440" s="11">
        <v>531</v>
      </c>
      <c r="I440" s="11">
        <v>56</v>
      </c>
      <c r="J440" s="11">
        <v>29</v>
      </c>
      <c r="K440" s="11">
        <v>178</v>
      </c>
      <c r="L440" s="11">
        <v>0.105511069241639</v>
      </c>
      <c r="M440" s="11">
        <f t="shared" si="1"/>
        <v>10.546139359698682</v>
      </c>
      <c r="N440" s="11">
        <v>0.51785714285714302</v>
      </c>
      <c r="O440" s="11">
        <v>0.335374470089496</v>
      </c>
      <c r="P440" s="11">
        <v>0.71537162162162204</v>
      </c>
      <c r="Q440" s="11">
        <v>0.63888888888888895</v>
      </c>
      <c r="R440" s="11">
        <v>0.60626398210290799</v>
      </c>
      <c r="S440" s="10" t="s">
        <v>84</v>
      </c>
      <c r="T440" s="10" t="s">
        <v>84</v>
      </c>
      <c r="U440" s="10"/>
      <c r="V440" s="10"/>
      <c r="W440" s="10"/>
      <c r="X440" s="10"/>
      <c r="Y440" s="10"/>
      <c r="Z440" s="10"/>
      <c r="AA440" s="10"/>
    </row>
    <row r="441" spans="1:27" ht="12.5" x14ac:dyDescent="0.25">
      <c r="A441" s="10" t="s">
        <v>6</v>
      </c>
      <c r="B441" s="10" t="s">
        <v>696</v>
      </c>
      <c r="C441" s="10" t="s">
        <v>76</v>
      </c>
      <c r="D441" s="11">
        <v>2024</v>
      </c>
      <c r="E441" s="10" t="s">
        <v>124</v>
      </c>
      <c r="F441" s="10" t="s">
        <v>125</v>
      </c>
      <c r="G441" s="10" t="s">
        <v>84</v>
      </c>
      <c r="H441" s="11">
        <v>4910</v>
      </c>
      <c r="I441" s="11">
        <v>518</v>
      </c>
      <c r="J441" s="11">
        <v>463</v>
      </c>
      <c r="K441" s="11">
        <v>7357</v>
      </c>
      <c r="L441" s="11">
        <v>0.10550972604134801</v>
      </c>
      <c r="M441" s="11">
        <f t="shared" si="1"/>
        <v>10.549898167006109</v>
      </c>
      <c r="N441" s="11">
        <v>0.89382239382239403</v>
      </c>
      <c r="O441" s="11">
        <v>1.4985232712088801</v>
      </c>
      <c r="P441" s="11">
        <v>0.71452702702702697</v>
      </c>
      <c r="Q441" s="11">
        <v>0.80645161290322598</v>
      </c>
      <c r="R441" s="11">
        <v>0.60402684563758402</v>
      </c>
      <c r="S441" s="10" t="s">
        <v>84</v>
      </c>
      <c r="T441" s="10" t="s">
        <v>84</v>
      </c>
      <c r="U441" s="10"/>
      <c r="V441" s="10"/>
      <c r="W441" s="10"/>
      <c r="X441" s="10"/>
      <c r="Y441" s="10"/>
      <c r="Z441" s="10"/>
      <c r="AA441" s="10"/>
    </row>
    <row r="442" spans="1:27" ht="12.5" x14ac:dyDescent="0.25">
      <c r="A442" s="10" t="s">
        <v>10</v>
      </c>
      <c r="B442" s="10" t="s">
        <v>568</v>
      </c>
      <c r="C442" s="10" t="s">
        <v>76</v>
      </c>
      <c r="D442" s="11">
        <v>2024</v>
      </c>
      <c r="E442" s="10" t="s">
        <v>81</v>
      </c>
      <c r="F442" s="10" t="s">
        <v>83</v>
      </c>
      <c r="G442" s="10" t="s">
        <v>84</v>
      </c>
      <c r="H442" s="11">
        <v>6504</v>
      </c>
      <c r="I442" s="11">
        <v>686</v>
      </c>
      <c r="J442" s="11">
        <v>542</v>
      </c>
      <c r="K442" s="11">
        <v>20880</v>
      </c>
      <c r="L442" s="11">
        <v>0.105472203359428</v>
      </c>
      <c r="M442" s="11">
        <f t="shared" si="1"/>
        <v>10.547355473554736</v>
      </c>
      <c r="N442" s="11">
        <v>0.790087463556851</v>
      </c>
      <c r="O442" s="11">
        <v>3.2102909710566401</v>
      </c>
      <c r="P442" s="11">
        <v>0.71368243243243201</v>
      </c>
      <c r="Q442" s="11">
        <v>0.56666666666666698</v>
      </c>
      <c r="R442" s="11">
        <v>0.76744186046511598</v>
      </c>
      <c r="S442" s="10" t="s">
        <v>84</v>
      </c>
      <c r="T442" s="10" t="s">
        <v>84</v>
      </c>
      <c r="U442" s="10"/>
      <c r="V442" s="10"/>
      <c r="W442" s="10"/>
      <c r="X442" s="10"/>
      <c r="Y442" s="10"/>
      <c r="Z442" s="10"/>
      <c r="AA442" s="10"/>
    </row>
    <row r="443" spans="1:27" ht="12.5" hidden="1" x14ac:dyDescent="0.25">
      <c r="A443" s="10" t="s">
        <v>101</v>
      </c>
      <c r="B443" s="10" t="s">
        <v>1371</v>
      </c>
      <c r="C443" s="10" t="s">
        <v>191</v>
      </c>
      <c r="D443" s="11">
        <v>2024</v>
      </c>
      <c r="E443" s="10" t="s">
        <v>124</v>
      </c>
      <c r="F443" s="10" t="s">
        <v>125</v>
      </c>
      <c r="G443" s="10" t="s">
        <v>84</v>
      </c>
      <c r="H443" s="12">
        <v>1898</v>
      </c>
      <c r="I443" s="11">
        <v>200</v>
      </c>
      <c r="J443" s="11">
        <v>96</v>
      </c>
      <c r="K443" s="11">
        <v>329</v>
      </c>
      <c r="L443" s="11">
        <v>0.10540184453227899</v>
      </c>
      <c r="M443" s="11">
        <f t="shared" si="1"/>
        <v>10.537407797681771</v>
      </c>
      <c r="N443" s="11">
        <v>0.48</v>
      </c>
      <c r="O443" s="11">
        <v>0.17338603425559901</v>
      </c>
      <c r="P443" s="11">
        <v>0.82598039215686303</v>
      </c>
      <c r="Q443" s="11">
        <v>0.8</v>
      </c>
      <c r="R443" s="11">
        <v>0.73837209302325602</v>
      </c>
      <c r="S443" s="10" t="s">
        <v>84</v>
      </c>
      <c r="T443" s="10" t="s">
        <v>84</v>
      </c>
      <c r="U443" s="10"/>
      <c r="V443" s="10"/>
      <c r="W443" s="10"/>
      <c r="X443" s="10"/>
      <c r="Y443" s="10"/>
      <c r="Z443" s="10"/>
      <c r="AA443" s="10"/>
    </row>
    <row r="444" spans="1:27" ht="12.5" x14ac:dyDescent="0.25">
      <c r="A444" s="10" t="s">
        <v>103</v>
      </c>
      <c r="B444" s="10" t="s">
        <v>1372</v>
      </c>
      <c r="C444" s="10" t="s">
        <v>76</v>
      </c>
      <c r="D444" s="11">
        <v>2024</v>
      </c>
      <c r="E444" s="10" t="s">
        <v>257</v>
      </c>
      <c r="F444" s="10" t="s">
        <v>83</v>
      </c>
      <c r="G444" s="10" t="s">
        <v>84</v>
      </c>
      <c r="H444" s="11">
        <v>142108</v>
      </c>
      <c r="I444" s="11">
        <v>14965</v>
      </c>
      <c r="J444" s="11">
        <v>13461</v>
      </c>
      <c r="K444" s="11">
        <v>374124</v>
      </c>
      <c r="L444" s="11">
        <v>0.105307231119993</v>
      </c>
      <c r="M444" s="11">
        <f t="shared" si="1"/>
        <v>10.530723111999324</v>
      </c>
      <c r="N444" s="11">
        <v>0.899498830604744</v>
      </c>
      <c r="O444" s="11">
        <v>2.6326737410983201</v>
      </c>
      <c r="P444" s="11">
        <v>0.71283783783783805</v>
      </c>
      <c r="Q444" s="11">
        <v>0.73913043478260898</v>
      </c>
      <c r="R444" s="11">
        <v>0.81818181818181801</v>
      </c>
      <c r="S444" s="10" t="s">
        <v>84</v>
      </c>
      <c r="T444" s="10" t="s">
        <v>84</v>
      </c>
      <c r="U444" s="10"/>
      <c r="V444" s="10"/>
      <c r="W444" s="10"/>
      <c r="X444" s="10"/>
      <c r="Y444" s="10"/>
      <c r="Z444" s="10"/>
      <c r="AA444" s="10"/>
    </row>
    <row r="445" spans="1:27" ht="12.5" x14ac:dyDescent="0.25">
      <c r="A445" s="10" t="s">
        <v>86</v>
      </c>
      <c r="B445" s="10" t="s">
        <v>570</v>
      </c>
      <c r="C445" s="10" t="s">
        <v>76</v>
      </c>
      <c r="D445" s="11">
        <v>2024</v>
      </c>
      <c r="E445" s="10" t="s">
        <v>81</v>
      </c>
      <c r="F445" s="10" t="s">
        <v>83</v>
      </c>
      <c r="G445" s="10" t="s">
        <v>84</v>
      </c>
      <c r="H445" s="11">
        <v>78924</v>
      </c>
      <c r="I445" s="11">
        <v>8288</v>
      </c>
      <c r="J445" s="11">
        <v>7344</v>
      </c>
      <c r="K445" s="11">
        <v>82854</v>
      </c>
      <c r="L445" s="11">
        <v>0.10501208437204</v>
      </c>
      <c r="M445" s="11">
        <f t="shared" si="1"/>
        <v>10.501241700876793</v>
      </c>
      <c r="N445" s="11">
        <v>0.88610038610038599</v>
      </c>
      <c r="O445" s="11">
        <v>1.0497914139190401</v>
      </c>
      <c r="P445" s="11">
        <v>0.71199324324324298</v>
      </c>
      <c r="Q445" s="11">
        <v>0.5</v>
      </c>
      <c r="R445" s="11">
        <v>0.76550387596899205</v>
      </c>
      <c r="S445" s="10" t="s">
        <v>84</v>
      </c>
      <c r="T445" s="10" t="s">
        <v>84</v>
      </c>
      <c r="U445" s="10"/>
      <c r="V445" s="10"/>
      <c r="W445" s="10"/>
      <c r="X445" s="10"/>
      <c r="Y445" s="10"/>
      <c r="Z445" s="10"/>
      <c r="AA445" s="10"/>
    </row>
    <row r="446" spans="1:27" ht="12.5" x14ac:dyDescent="0.25">
      <c r="A446" s="10" t="s">
        <v>12</v>
      </c>
      <c r="B446" s="10" t="s">
        <v>572</v>
      </c>
      <c r="C446" s="10" t="s">
        <v>76</v>
      </c>
      <c r="D446" s="11">
        <v>2024</v>
      </c>
      <c r="E446" s="10" t="s">
        <v>81</v>
      </c>
      <c r="F446" s="10" t="s">
        <v>83</v>
      </c>
      <c r="G446" s="10" t="s">
        <v>84</v>
      </c>
      <c r="H446" s="11">
        <v>95238</v>
      </c>
      <c r="I446" s="11">
        <v>9982</v>
      </c>
      <c r="J446" s="11">
        <v>8702</v>
      </c>
      <c r="K446" s="11">
        <v>39995</v>
      </c>
      <c r="L446" s="11">
        <v>0.104811104811105</v>
      </c>
      <c r="M446" s="11">
        <f t="shared" si="1"/>
        <v>10.48111048111048</v>
      </c>
      <c r="N446" s="11">
        <v>0.87176918453215801</v>
      </c>
      <c r="O446" s="11">
        <v>0.41994791994792002</v>
      </c>
      <c r="P446" s="11">
        <v>0.71114864864864902</v>
      </c>
      <c r="Q446" s="11">
        <v>0.625</v>
      </c>
      <c r="R446" s="11">
        <v>0.76356589147286802</v>
      </c>
      <c r="S446" s="10" t="s">
        <v>84</v>
      </c>
      <c r="T446" s="10" t="s">
        <v>84</v>
      </c>
      <c r="U446" s="10"/>
      <c r="V446" s="10"/>
      <c r="W446" s="10"/>
      <c r="X446" s="10"/>
      <c r="Y446" s="10"/>
      <c r="Z446" s="10"/>
      <c r="AA446" s="10"/>
    </row>
    <row r="447" spans="1:27" ht="12.5" x14ac:dyDescent="0.25">
      <c r="A447" s="10" t="s">
        <v>104</v>
      </c>
      <c r="B447" s="10" t="s">
        <v>575</v>
      </c>
      <c r="C447" s="10" t="s">
        <v>76</v>
      </c>
      <c r="D447" s="11">
        <v>2024</v>
      </c>
      <c r="E447" s="10" t="s">
        <v>81</v>
      </c>
      <c r="F447" s="10" t="s">
        <v>83</v>
      </c>
      <c r="G447" s="10" t="s">
        <v>84</v>
      </c>
      <c r="H447" s="11">
        <v>32575</v>
      </c>
      <c r="I447" s="11">
        <v>3411</v>
      </c>
      <c r="J447" s="11">
        <v>3269</v>
      </c>
      <c r="K447" s="11">
        <v>5937</v>
      </c>
      <c r="L447" s="11">
        <v>0.10471139899156599</v>
      </c>
      <c r="M447" s="11">
        <f t="shared" si="1"/>
        <v>10.471220260936301</v>
      </c>
      <c r="N447" s="11">
        <v>0.95836997947815905</v>
      </c>
      <c r="O447" s="11">
        <v>0.18225493280941801</v>
      </c>
      <c r="P447" s="11">
        <v>0.71030405405405395</v>
      </c>
      <c r="Q447" s="11">
        <v>0.75862068965517204</v>
      </c>
      <c r="R447" s="11">
        <v>0.76162790697674398</v>
      </c>
      <c r="S447" s="10" t="s">
        <v>84</v>
      </c>
      <c r="T447" s="10" t="s">
        <v>84</v>
      </c>
      <c r="U447" s="10"/>
      <c r="V447" s="10"/>
      <c r="W447" s="10"/>
      <c r="X447" s="10"/>
      <c r="Y447" s="10"/>
      <c r="Z447" s="10"/>
      <c r="AA447" s="10"/>
    </row>
    <row r="448" spans="1:27" ht="12.5" x14ac:dyDescent="0.25">
      <c r="A448" s="10" t="s">
        <v>42</v>
      </c>
      <c r="B448" s="10" t="s">
        <v>699</v>
      </c>
      <c r="C448" s="10" t="s">
        <v>76</v>
      </c>
      <c r="D448" s="11">
        <v>2024</v>
      </c>
      <c r="E448" s="10" t="s">
        <v>124</v>
      </c>
      <c r="F448" s="10" t="s">
        <v>83</v>
      </c>
      <c r="G448" s="10" t="s">
        <v>84</v>
      </c>
      <c r="H448" s="11">
        <v>13331</v>
      </c>
      <c r="I448" s="11">
        <v>1394</v>
      </c>
      <c r="J448" s="11">
        <v>1268</v>
      </c>
      <c r="K448" s="11">
        <v>25278</v>
      </c>
      <c r="L448" s="11">
        <v>0.104571567885876</v>
      </c>
      <c r="M448" s="11">
        <f t="shared" si="1"/>
        <v>10.456829945240417</v>
      </c>
      <c r="N448" s="11">
        <v>0.90961262553802003</v>
      </c>
      <c r="O448" s="11">
        <v>1.89624109972682</v>
      </c>
      <c r="P448" s="11">
        <v>0.70945945945945899</v>
      </c>
      <c r="Q448" s="11">
        <v>0.69047619047619002</v>
      </c>
      <c r="R448" s="11">
        <v>0.60178970917226005</v>
      </c>
      <c r="S448" s="10" t="s">
        <v>84</v>
      </c>
      <c r="T448" s="10" t="s">
        <v>84</v>
      </c>
      <c r="U448" s="10"/>
      <c r="V448" s="10"/>
      <c r="W448" s="10"/>
      <c r="X448" s="10"/>
      <c r="Y448" s="10"/>
      <c r="Z448" s="10"/>
      <c r="AA448" s="10"/>
    </row>
    <row r="449" spans="1:27" ht="12.5" x14ac:dyDescent="0.25">
      <c r="A449" s="10" t="s">
        <v>62</v>
      </c>
      <c r="B449" s="10" t="s">
        <v>701</v>
      </c>
      <c r="C449" s="10" t="s">
        <v>76</v>
      </c>
      <c r="D449" s="11">
        <v>2024</v>
      </c>
      <c r="E449" s="10" t="s">
        <v>124</v>
      </c>
      <c r="F449" s="10" t="s">
        <v>83</v>
      </c>
      <c r="G449" s="10" t="s">
        <v>84</v>
      </c>
      <c r="H449" s="11">
        <v>14931</v>
      </c>
      <c r="I449" s="11">
        <v>1558</v>
      </c>
      <c r="J449" s="11">
        <v>990</v>
      </c>
      <c r="K449" s="11">
        <v>40640</v>
      </c>
      <c r="L449" s="11">
        <v>0.104347826086957</v>
      </c>
      <c r="M449" s="11">
        <f t="shared" si="1"/>
        <v>10.434666130868662</v>
      </c>
      <c r="N449" s="11">
        <v>0.63543003851091096</v>
      </c>
      <c r="O449" s="11">
        <v>2.7218842440140598</v>
      </c>
      <c r="P449" s="11">
        <v>0.70861486486486502</v>
      </c>
      <c r="Q449" s="11">
        <v>0.86111111111111105</v>
      </c>
      <c r="R449" s="11">
        <v>0.59955257270693496</v>
      </c>
      <c r="S449" s="10" t="s">
        <v>84</v>
      </c>
      <c r="T449" s="10" t="s">
        <v>84</v>
      </c>
      <c r="U449" s="10"/>
      <c r="V449" s="10"/>
      <c r="W449" s="10"/>
      <c r="X449" s="10"/>
      <c r="Y449" s="10"/>
      <c r="Z449" s="10"/>
      <c r="AA449" s="10"/>
    </row>
    <row r="450" spans="1:27" ht="12.5" hidden="1" x14ac:dyDescent="0.25">
      <c r="A450" s="10" t="s">
        <v>52</v>
      </c>
      <c r="B450" s="10" t="s">
        <v>1374</v>
      </c>
      <c r="C450" s="10" t="s">
        <v>191</v>
      </c>
      <c r="D450" s="11">
        <v>2024</v>
      </c>
      <c r="E450" s="10" t="s">
        <v>124</v>
      </c>
      <c r="F450" s="10" t="s">
        <v>125</v>
      </c>
      <c r="G450" s="10" t="s">
        <v>84</v>
      </c>
      <c r="H450" s="12">
        <v>289.75</v>
      </c>
      <c r="I450" s="11">
        <v>30</v>
      </c>
      <c r="J450" s="11">
        <v>29</v>
      </c>
      <c r="K450" s="11">
        <v>527</v>
      </c>
      <c r="L450" s="11">
        <v>0.103537532355479</v>
      </c>
      <c r="M450" s="11">
        <f t="shared" si="1"/>
        <v>10.353753235547886</v>
      </c>
      <c r="N450" s="11">
        <v>0.96666666666666701</v>
      </c>
      <c r="O450" s="11">
        <v>1.8188093183779099</v>
      </c>
      <c r="P450" s="11">
        <v>0.82230392156862697</v>
      </c>
      <c r="Q450" s="11">
        <v>0.82142857142857095</v>
      </c>
      <c r="R450" s="11">
        <v>0.73643410852713198</v>
      </c>
      <c r="S450" s="10" t="s">
        <v>84</v>
      </c>
      <c r="T450" s="10" t="s">
        <v>84</v>
      </c>
      <c r="U450" s="10"/>
      <c r="V450" s="10"/>
      <c r="W450" s="10"/>
      <c r="X450" s="10"/>
      <c r="Y450" s="10"/>
      <c r="Z450" s="10"/>
      <c r="AA450" s="10"/>
    </row>
    <row r="451" spans="1:27" ht="12.5" x14ac:dyDescent="0.25">
      <c r="A451" s="10" t="s">
        <v>10</v>
      </c>
      <c r="B451" s="10" t="s">
        <v>576</v>
      </c>
      <c r="C451" s="10" t="s">
        <v>76</v>
      </c>
      <c r="D451" s="11">
        <v>2024</v>
      </c>
      <c r="E451" s="10" t="s">
        <v>81</v>
      </c>
      <c r="F451" s="10" t="s">
        <v>83</v>
      </c>
      <c r="G451" s="10" t="s">
        <v>84</v>
      </c>
      <c r="H451" s="11">
        <v>15977</v>
      </c>
      <c r="I451" s="11">
        <v>1654</v>
      </c>
      <c r="J451" s="11">
        <v>1452</v>
      </c>
      <c r="K451" s="11">
        <v>3579</v>
      </c>
      <c r="L451" s="11">
        <v>0.10352651536884699</v>
      </c>
      <c r="M451" s="11">
        <f t="shared" si="1"/>
        <v>10.352381548475934</v>
      </c>
      <c r="N451" s="11">
        <v>0.87787182587666301</v>
      </c>
      <c r="O451" s="11">
        <v>0.224015355807197</v>
      </c>
      <c r="P451" s="11">
        <v>0.70777027027026995</v>
      </c>
      <c r="Q451" s="11">
        <v>0.53333333333333299</v>
      </c>
      <c r="R451" s="11">
        <v>0.75968992248061995</v>
      </c>
      <c r="S451" s="10" t="s">
        <v>84</v>
      </c>
      <c r="T451" s="10" t="s">
        <v>84</v>
      </c>
      <c r="U451" s="10"/>
      <c r="V451" s="10"/>
      <c r="W451" s="10"/>
      <c r="X451" s="10"/>
      <c r="Y451" s="10"/>
      <c r="Z451" s="10"/>
      <c r="AA451" s="10"/>
    </row>
    <row r="452" spans="1:27" ht="12.5" x14ac:dyDescent="0.25">
      <c r="A452" s="10" t="s">
        <v>26</v>
      </c>
      <c r="B452" s="10" t="s">
        <v>578</v>
      </c>
      <c r="C452" s="10" t="s">
        <v>76</v>
      </c>
      <c r="D452" s="11">
        <v>2024</v>
      </c>
      <c r="E452" s="10" t="s">
        <v>81</v>
      </c>
      <c r="F452" s="10" t="s">
        <v>83</v>
      </c>
      <c r="G452" s="10" t="s">
        <v>84</v>
      </c>
      <c r="H452" s="11">
        <v>8385</v>
      </c>
      <c r="I452" s="11">
        <v>868</v>
      </c>
      <c r="J452" s="11">
        <v>648</v>
      </c>
      <c r="K452" s="11">
        <v>11949</v>
      </c>
      <c r="L452" s="11">
        <v>0.10352127374101799</v>
      </c>
      <c r="M452" s="11">
        <f t="shared" si="1"/>
        <v>10.351818723911748</v>
      </c>
      <c r="N452" s="11">
        <v>0.74654377880184297</v>
      </c>
      <c r="O452" s="11">
        <v>1.4250872119025599</v>
      </c>
      <c r="P452" s="11">
        <v>0.70692567567567599</v>
      </c>
      <c r="Q452" s="11">
        <v>0.42307692307692302</v>
      </c>
      <c r="R452" s="11">
        <v>0.75775193798449603</v>
      </c>
      <c r="S452" s="10" t="s">
        <v>84</v>
      </c>
      <c r="T452" s="10" t="s">
        <v>84</v>
      </c>
      <c r="U452" s="10"/>
      <c r="V452" s="10"/>
      <c r="W452" s="10"/>
      <c r="X452" s="10"/>
      <c r="Y452" s="10"/>
      <c r="Z452" s="10"/>
      <c r="AA452" s="10"/>
    </row>
    <row r="453" spans="1:27" ht="12.5" hidden="1" x14ac:dyDescent="0.25">
      <c r="A453" s="10" t="s">
        <v>36</v>
      </c>
      <c r="B453" s="10" t="s">
        <v>1376</v>
      </c>
      <c r="C453" s="10" t="s">
        <v>191</v>
      </c>
      <c r="D453" s="11">
        <v>2024</v>
      </c>
      <c r="E453" s="10" t="s">
        <v>124</v>
      </c>
      <c r="F453" s="10" t="s">
        <v>125</v>
      </c>
      <c r="G453" s="10" t="s">
        <v>84</v>
      </c>
      <c r="H453" s="12">
        <v>232.083333333333</v>
      </c>
      <c r="I453" s="11">
        <v>24</v>
      </c>
      <c r="J453" s="11">
        <v>17</v>
      </c>
      <c r="K453" s="11">
        <v>51</v>
      </c>
      <c r="L453" s="11">
        <v>0.103411131059246</v>
      </c>
      <c r="M453" s="11">
        <f t="shared" si="1"/>
        <v>10.341113105924611</v>
      </c>
      <c r="N453" s="11">
        <v>0.70833333333333304</v>
      </c>
      <c r="O453" s="11">
        <v>0.21974865350089801</v>
      </c>
      <c r="P453" s="11">
        <v>0.82107843137254899</v>
      </c>
      <c r="Q453" s="11">
        <v>0.67500000000000004</v>
      </c>
      <c r="R453" s="11">
        <v>0.73449612403100795</v>
      </c>
      <c r="S453" s="10" t="s">
        <v>84</v>
      </c>
      <c r="T453" s="10" t="s">
        <v>84</v>
      </c>
      <c r="U453" s="10"/>
      <c r="V453" s="10"/>
      <c r="W453" s="10"/>
      <c r="X453" s="10"/>
      <c r="Y453" s="10"/>
      <c r="Z453" s="10"/>
      <c r="AA453" s="10"/>
    </row>
    <row r="454" spans="1:27" ht="12.5" x14ac:dyDescent="0.25">
      <c r="A454" s="10" t="s">
        <v>26</v>
      </c>
      <c r="B454" s="10" t="s">
        <v>704</v>
      </c>
      <c r="C454" s="10" t="s">
        <v>76</v>
      </c>
      <c r="D454" s="11">
        <v>2024</v>
      </c>
      <c r="E454" s="10" t="s">
        <v>124</v>
      </c>
      <c r="F454" s="10" t="s">
        <v>125</v>
      </c>
      <c r="G454" s="10" t="s">
        <v>84</v>
      </c>
      <c r="H454" s="11">
        <v>12540</v>
      </c>
      <c r="I454" s="11">
        <v>1295</v>
      </c>
      <c r="J454" s="11">
        <v>731</v>
      </c>
      <c r="K454" s="11">
        <v>33472</v>
      </c>
      <c r="L454" s="11">
        <v>0.103267478718526</v>
      </c>
      <c r="M454" s="11">
        <f t="shared" si="1"/>
        <v>10.32695374800638</v>
      </c>
      <c r="N454" s="11">
        <v>0.56447876447876399</v>
      </c>
      <c r="O454" s="11">
        <v>2.66916528777337</v>
      </c>
      <c r="P454" s="11">
        <v>0.70608108108108103</v>
      </c>
      <c r="Q454" s="11">
        <v>0.38461538461538503</v>
      </c>
      <c r="R454" s="11">
        <v>0.59731543624161099</v>
      </c>
      <c r="S454" s="10" t="s">
        <v>84</v>
      </c>
      <c r="T454" s="10" t="s">
        <v>84</v>
      </c>
      <c r="U454" s="10"/>
      <c r="V454" s="10"/>
      <c r="W454" s="10"/>
      <c r="X454" s="10"/>
      <c r="Y454" s="10"/>
      <c r="Z454" s="10"/>
      <c r="AA454" s="10"/>
    </row>
    <row r="455" spans="1:27" ht="12.5" x14ac:dyDescent="0.25">
      <c r="A455" s="10" t="s">
        <v>12</v>
      </c>
      <c r="B455" s="10" t="s">
        <v>580</v>
      </c>
      <c r="C455" s="10" t="s">
        <v>76</v>
      </c>
      <c r="D455" s="11">
        <v>2024</v>
      </c>
      <c r="E455" s="10" t="s">
        <v>81</v>
      </c>
      <c r="F455" s="10" t="s">
        <v>83</v>
      </c>
      <c r="G455" s="10" t="s">
        <v>84</v>
      </c>
      <c r="H455" s="11">
        <v>1455</v>
      </c>
      <c r="I455" s="11">
        <v>150</v>
      </c>
      <c r="J455" s="11">
        <v>143</v>
      </c>
      <c r="K455" s="11">
        <v>179</v>
      </c>
      <c r="L455" s="11">
        <v>0.10309278350515499</v>
      </c>
      <c r="M455" s="11">
        <f t="shared" si="1"/>
        <v>10.309278350515463</v>
      </c>
      <c r="N455" s="11">
        <v>0.95333333333333303</v>
      </c>
      <c r="O455" s="11">
        <v>0.123024054982818</v>
      </c>
      <c r="P455" s="11">
        <v>0.70523648648648696</v>
      </c>
      <c r="Q455" s="11">
        <v>0.61111111111111105</v>
      </c>
      <c r="R455" s="11">
        <v>0.75581395348837199</v>
      </c>
      <c r="S455" s="10" t="s">
        <v>84</v>
      </c>
      <c r="T455" s="10" t="s">
        <v>84</v>
      </c>
      <c r="U455" s="10"/>
      <c r="V455" s="10"/>
      <c r="W455" s="10"/>
      <c r="X455" s="10"/>
      <c r="Y455" s="10"/>
      <c r="Z455" s="10"/>
      <c r="AA455" s="10"/>
    </row>
    <row r="456" spans="1:27" ht="12.5" x14ac:dyDescent="0.25">
      <c r="A456" s="10" t="s">
        <v>19</v>
      </c>
      <c r="B456" s="10" t="s">
        <v>707</v>
      </c>
      <c r="C456" s="10" t="s">
        <v>76</v>
      </c>
      <c r="D456" s="11">
        <v>2024</v>
      </c>
      <c r="E456" s="10" t="s">
        <v>124</v>
      </c>
      <c r="F456" s="10" t="s">
        <v>83</v>
      </c>
      <c r="G456" s="10" t="s">
        <v>84</v>
      </c>
      <c r="H456" s="11">
        <v>2818</v>
      </c>
      <c r="I456" s="11">
        <v>290</v>
      </c>
      <c r="J456" s="11">
        <v>232</v>
      </c>
      <c r="K456" s="11">
        <v>1889</v>
      </c>
      <c r="L456" s="11">
        <v>0.10292508355269001</v>
      </c>
      <c r="M456" s="11">
        <f t="shared" si="1"/>
        <v>10.290986515259048</v>
      </c>
      <c r="N456" s="11">
        <v>0.8</v>
      </c>
      <c r="O456" s="11">
        <v>0.67043269941734895</v>
      </c>
      <c r="P456" s="11">
        <v>0.704391891891892</v>
      </c>
      <c r="Q456" s="11">
        <v>0.55555555555555602</v>
      </c>
      <c r="R456" s="11">
        <v>0.59507829977628601</v>
      </c>
      <c r="S456" s="10" t="s">
        <v>84</v>
      </c>
      <c r="T456" s="10" t="s">
        <v>84</v>
      </c>
      <c r="U456" s="10"/>
      <c r="V456" s="10"/>
      <c r="W456" s="10"/>
      <c r="X456" s="10"/>
      <c r="Y456" s="10"/>
      <c r="Z456" s="10"/>
      <c r="AA456" s="10"/>
    </row>
    <row r="457" spans="1:27" ht="12.5" x14ac:dyDescent="0.25">
      <c r="A457" s="10" t="s">
        <v>10</v>
      </c>
      <c r="B457" s="10" t="s">
        <v>709</v>
      </c>
      <c r="C457" s="10" t="s">
        <v>76</v>
      </c>
      <c r="D457" s="11">
        <v>2024</v>
      </c>
      <c r="E457" s="10" t="s">
        <v>124</v>
      </c>
      <c r="F457" s="10" t="s">
        <v>83</v>
      </c>
      <c r="G457" s="10" t="s">
        <v>84</v>
      </c>
      <c r="H457" s="11">
        <v>19640</v>
      </c>
      <c r="I457" s="11">
        <v>1996</v>
      </c>
      <c r="J457" s="11">
        <v>1622</v>
      </c>
      <c r="K457" s="11">
        <v>21489</v>
      </c>
      <c r="L457" s="11">
        <v>0.101631484035218</v>
      </c>
      <c r="M457" s="11">
        <f t="shared" si="1"/>
        <v>10.162932790224033</v>
      </c>
      <c r="N457" s="11">
        <v>0.81262525050100198</v>
      </c>
      <c r="O457" s="11">
        <v>1.0941678158481001</v>
      </c>
      <c r="P457" s="11">
        <v>0.70354729729729704</v>
      </c>
      <c r="Q457" s="11">
        <v>0.5</v>
      </c>
      <c r="R457" s="11">
        <v>0.59284116331096204</v>
      </c>
      <c r="S457" s="10" t="s">
        <v>84</v>
      </c>
      <c r="T457" s="10" t="s">
        <v>84</v>
      </c>
      <c r="U457" s="10"/>
      <c r="V457" s="10"/>
      <c r="W457" s="10"/>
      <c r="X457" s="10"/>
      <c r="Y457" s="10"/>
      <c r="Z457" s="10"/>
      <c r="AA457" s="10"/>
    </row>
    <row r="458" spans="1:27" ht="12.5" x14ac:dyDescent="0.25">
      <c r="A458" s="10" t="s">
        <v>25</v>
      </c>
      <c r="B458" s="10" t="s">
        <v>711</v>
      </c>
      <c r="C458" s="10" t="s">
        <v>76</v>
      </c>
      <c r="D458" s="11">
        <v>2024</v>
      </c>
      <c r="E458" s="10" t="s">
        <v>124</v>
      </c>
      <c r="F458" s="10" t="s">
        <v>83</v>
      </c>
      <c r="G458" s="10" t="s">
        <v>84</v>
      </c>
      <c r="H458" s="11">
        <v>11091</v>
      </c>
      <c r="I458" s="11">
        <v>1126</v>
      </c>
      <c r="J458" s="11">
        <v>1068</v>
      </c>
      <c r="K458" s="11">
        <v>13370</v>
      </c>
      <c r="L458" s="11">
        <v>0.101523758001984</v>
      </c>
      <c r="M458" s="11">
        <f t="shared" si="1"/>
        <v>10.152375800198358</v>
      </c>
      <c r="N458" s="11">
        <v>0.94849023090586104</v>
      </c>
      <c r="O458" s="11">
        <v>1.20548192227933</v>
      </c>
      <c r="P458" s="11">
        <v>0.70270270270270296</v>
      </c>
      <c r="Q458" s="11">
        <v>0.6875</v>
      </c>
      <c r="R458" s="11">
        <v>0.59060402684563795</v>
      </c>
      <c r="S458" s="10" t="s">
        <v>84</v>
      </c>
      <c r="T458" s="10" t="s">
        <v>84</v>
      </c>
      <c r="U458" s="10"/>
      <c r="V458" s="10"/>
      <c r="W458" s="10"/>
      <c r="X458" s="10"/>
      <c r="Y458" s="10"/>
      <c r="Z458" s="10"/>
      <c r="AA458" s="10"/>
    </row>
    <row r="459" spans="1:27" ht="12.5" x14ac:dyDescent="0.25">
      <c r="A459" s="10" t="s">
        <v>19</v>
      </c>
      <c r="B459" s="10" t="s">
        <v>714</v>
      </c>
      <c r="C459" s="10" t="s">
        <v>76</v>
      </c>
      <c r="D459" s="11">
        <v>2024</v>
      </c>
      <c r="E459" s="10" t="s">
        <v>124</v>
      </c>
      <c r="F459" s="10" t="s">
        <v>83</v>
      </c>
      <c r="G459" s="10" t="s">
        <v>84</v>
      </c>
      <c r="H459" s="11">
        <v>2673</v>
      </c>
      <c r="I459" s="11">
        <v>271</v>
      </c>
      <c r="J459" s="11">
        <v>208</v>
      </c>
      <c r="K459" s="11">
        <v>1769</v>
      </c>
      <c r="L459" s="11">
        <v>0.101400018708491</v>
      </c>
      <c r="M459" s="11">
        <f t="shared" si="1"/>
        <v>10.13842124953236</v>
      </c>
      <c r="N459" s="11">
        <v>0.76752767527675303</v>
      </c>
      <c r="O459" s="11">
        <v>0.66190639518568195</v>
      </c>
      <c r="P459" s="11">
        <v>0.701858108108108</v>
      </c>
      <c r="Q459" s="11">
        <v>0.5</v>
      </c>
      <c r="R459" s="11">
        <v>0.58836689038031298</v>
      </c>
      <c r="S459" s="10" t="s">
        <v>84</v>
      </c>
      <c r="T459" s="10" t="s">
        <v>84</v>
      </c>
      <c r="U459" s="10"/>
      <c r="V459" s="10"/>
      <c r="W459" s="10"/>
      <c r="X459" s="10"/>
      <c r="Y459" s="10"/>
      <c r="Z459" s="10"/>
      <c r="AA459" s="10"/>
    </row>
    <row r="460" spans="1:27" ht="12.5" x14ac:dyDescent="0.25">
      <c r="A460" s="10" t="s">
        <v>92</v>
      </c>
      <c r="B460" s="10" t="s">
        <v>716</v>
      </c>
      <c r="C460" s="10" t="s">
        <v>76</v>
      </c>
      <c r="D460" s="11">
        <v>2024</v>
      </c>
      <c r="E460" s="10" t="s">
        <v>124</v>
      </c>
      <c r="F460" s="10" t="s">
        <v>83</v>
      </c>
      <c r="G460" s="10" t="s">
        <v>84</v>
      </c>
      <c r="H460" s="11">
        <v>15040</v>
      </c>
      <c r="I460" s="11">
        <v>1525</v>
      </c>
      <c r="J460" s="11">
        <v>1294</v>
      </c>
      <c r="K460" s="11">
        <v>14463</v>
      </c>
      <c r="L460" s="11">
        <v>0.101396276595745</v>
      </c>
      <c r="M460" s="11">
        <f t="shared" si="1"/>
        <v>10.139627659574469</v>
      </c>
      <c r="N460" s="11">
        <v>0.848524590163934</v>
      </c>
      <c r="O460" s="11">
        <v>0.96163563829787202</v>
      </c>
      <c r="P460" s="11">
        <v>0.70101351351351304</v>
      </c>
      <c r="Q460" s="11">
        <v>1</v>
      </c>
      <c r="R460" s="11">
        <v>0.586129753914989</v>
      </c>
      <c r="S460" s="10" t="s">
        <v>84</v>
      </c>
      <c r="T460" s="10" t="s">
        <v>84</v>
      </c>
      <c r="U460" s="10"/>
      <c r="V460" s="10"/>
      <c r="W460" s="10"/>
      <c r="X460" s="10"/>
      <c r="Y460" s="10"/>
      <c r="Z460" s="10"/>
      <c r="AA460" s="10"/>
    </row>
    <row r="461" spans="1:27" ht="12.5" x14ac:dyDescent="0.25">
      <c r="A461" s="10" t="s">
        <v>77</v>
      </c>
      <c r="B461" s="10" t="s">
        <v>718</v>
      </c>
      <c r="C461" s="10" t="s">
        <v>76</v>
      </c>
      <c r="D461" s="11">
        <v>2024</v>
      </c>
      <c r="E461" s="10" t="s">
        <v>124</v>
      </c>
      <c r="F461" s="10" t="s">
        <v>125</v>
      </c>
      <c r="G461" s="10" t="s">
        <v>84</v>
      </c>
      <c r="H461" s="11">
        <v>1678</v>
      </c>
      <c r="I461" s="11">
        <v>170</v>
      </c>
      <c r="J461" s="11">
        <v>134</v>
      </c>
      <c r="K461" s="11">
        <v>2879</v>
      </c>
      <c r="L461" s="11">
        <v>0.101306053533297</v>
      </c>
      <c r="M461" s="11">
        <f t="shared" si="1"/>
        <v>10.131108462455304</v>
      </c>
      <c r="N461" s="11">
        <v>0.78823529411764703</v>
      </c>
      <c r="O461" s="11">
        <v>1.7156478124844801</v>
      </c>
      <c r="P461" s="11">
        <v>0.70016891891891897</v>
      </c>
      <c r="Q461" s="11">
        <v>0.89285714285714302</v>
      </c>
      <c r="R461" s="11">
        <v>0.58389261744966403</v>
      </c>
      <c r="S461" s="10" t="s">
        <v>84</v>
      </c>
      <c r="T461" s="10" t="s">
        <v>84</v>
      </c>
      <c r="U461" s="10"/>
      <c r="V461" s="10"/>
      <c r="W461" s="10"/>
      <c r="X461" s="10"/>
      <c r="Y461" s="10"/>
      <c r="Z461" s="10"/>
      <c r="AA461" s="10"/>
    </row>
    <row r="462" spans="1:27" ht="12.5" x14ac:dyDescent="0.25">
      <c r="A462" s="10" t="s">
        <v>109</v>
      </c>
      <c r="B462" s="10" t="s">
        <v>721</v>
      </c>
      <c r="C462" s="10" t="s">
        <v>76</v>
      </c>
      <c r="D462" s="11">
        <v>2024</v>
      </c>
      <c r="E462" s="10" t="s">
        <v>124</v>
      </c>
      <c r="F462" s="10" t="s">
        <v>83</v>
      </c>
      <c r="G462" s="10" t="s">
        <v>84</v>
      </c>
      <c r="H462" s="11">
        <v>11633</v>
      </c>
      <c r="I462" s="11">
        <v>1178</v>
      </c>
      <c r="J462" s="11">
        <v>451</v>
      </c>
      <c r="K462" s="11">
        <v>12804</v>
      </c>
      <c r="L462" s="11">
        <v>0.101262195733463</v>
      </c>
      <c r="M462" s="11">
        <f t="shared" si="1"/>
        <v>10.1263646522823</v>
      </c>
      <c r="N462" s="11">
        <v>0.38285229202037402</v>
      </c>
      <c r="O462" s="11">
        <v>1.1006461410621899</v>
      </c>
      <c r="P462" s="11">
        <v>0.69932432432432401</v>
      </c>
      <c r="Q462" s="11">
        <v>0.77777777777777801</v>
      </c>
      <c r="R462" s="11">
        <v>0.58165548098433995</v>
      </c>
      <c r="S462" s="10" t="s">
        <v>84</v>
      </c>
      <c r="T462" s="10" t="s">
        <v>84</v>
      </c>
      <c r="U462" s="10"/>
      <c r="V462" s="10"/>
      <c r="W462" s="10"/>
      <c r="X462" s="10"/>
      <c r="Y462" s="10"/>
      <c r="Z462" s="10"/>
      <c r="AA462" s="10"/>
    </row>
    <row r="463" spans="1:27" ht="12.5" hidden="1" x14ac:dyDescent="0.25">
      <c r="A463" s="10" t="s">
        <v>16</v>
      </c>
      <c r="B463" s="10" t="s">
        <v>1378</v>
      </c>
      <c r="C463" s="10" t="s">
        <v>191</v>
      </c>
      <c r="D463" s="11">
        <v>2024</v>
      </c>
      <c r="E463" s="10" t="s">
        <v>124</v>
      </c>
      <c r="F463" s="10" t="s">
        <v>125</v>
      </c>
      <c r="G463" s="10" t="s">
        <v>84</v>
      </c>
      <c r="H463" s="12">
        <v>20084</v>
      </c>
      <c r="I463" s="11">
        <v>2018</v>
      </c>
      <c r="J463" s="11">
        <v>1622</v>
      </c>
      <c r="K463" s="11">
        <v>2393</v>
      </c>
      <c r="L463" s="11">
        <v>0.10048049393781</v>
      </c>
      <c r="M463" s="11">
        <f t="shared" si="1"/>
        <v>10.04779924317865</v>
      </c>
      <c r="N463" s="11">
        <v>0.80376610505450896</v>
      </c>
      <c r="O463" s="11">
        <v>0.11915253815321</v>
      </c>
      <c r="P463" s="11">
        <v>0.81985294117647001</v>
      </c>
      <c r="Q463" s="11">
        <v>0.91666666666666696</v>
      </c>
      <c r="R463" s="11">
        <v>0.73255813953488402</v>
      </c>
      <c r="S463" s="10" t="s">
        <v>84</v>
      </c>
      <c r="T463" s="10" t="s">
        <v>84</v>
      </c>
      <c r="U463" s="10"/>
      <c r="V463" s="10"/>
      <c r="W463" s="10"/>
      <c r="X463" s="10"/>
      <c r="Y463" s="10"/>
      <c r="Z463" s="10"/>
      <c r="AA463" s="10"/>
    </row>
    <row r="464" spans="1:27" ht="12.5" x14ac:dyDescent="0.25">
      <c r="A464" s="10" t="s">
        <v>36</v>
      </c>
      <c r="B464" s="10" t="s">
        <v>723</v>
      </c>
      <c r="C464" s="10" t="s">
        <v>76</v>
      </c>
      <c r="D464" s="11">
        <v>2024</v>
      </c>
      <c r="E464" s="10" t="s">
        <v>124</v>
      </c>
      <c r="F464" s="10" t="s">
        <v>125</v>
      </c>
      <c r="G464" s="10" t="s">
        <v>84</v>
      </c>
      <c r="H464" s="11">
        <v>2937</v>
      </c>
      <c r="I464" s="11">
        <v>295</v>
      </c>
      <c r="J464" s="11">
        <v>295</v>
      </c>
      <c r="K464" s="11">
        <v>1003</v>
      </c>
      <c r="L464" s="11">
        <v>0.100442628532516</v>
      </c>
      <c r="M464" s="11">
        <f t="shared" si="1"/>
        <v>10.044262853251617</v>
      </c>
      <c r="N464" s="11">
        <v>1</v>
      </c>
      <c r="O464" s="11">
        <v>0.34150493701055501</v>
      </c>
      <c r="P464" s="11">
        <v>0.69847972972973005</v>
      </c>
      <c r="Q464" s="11">
        <v>0.44680851063829802</v>
      </c>
      <c r="R464" s="11">
        <v>0.57941834451901597</v>
      </c>
      <c r="S464" s="10" t="s">
        <v>84</v>
      </c>
      <c r="T464" s="10" t="s">
        <v>84</v>
      </c>
      <c r="U464" s="10"/>
      <c r="V464" s="10"/>
      <c r="W464" s="10"/>
      <c r="X464" s="10"/>
      <c r="Y464" s="10"/>
      <c r="Z464" s="10"/>
      <c r="AA464" s="10"/>
    </row>
    <row r="465" spans="1:27" ht="12.5" hidden="1" x14ac:dyDescent="0.25">
      <c r="A465" s="10" t="s">
        <v>10</v>
      </c>
      <c r="B465" s="10" t="s">
        <v>1379</v>
      </c>
      <c r="C465" s="10" t="s">
        <v>191</v>
      </c>
      <c r="D465" s="11">
        <v>2024</v>
      </c>
      <c r="E465" s="10" t="s">
        <v>124</v>
      </c>
      <c r="F465" s="10" t="s">
        <v>125</v>
      </c>
      <c r="G465" s="10" t="s">
        <v>84</v>
      </c>
      <c r="H465" s="12">
        <v>4068</v>
      </c>
      <c r="I465" s="11">
        <v>408</v>
      </c>
      <c r="J465" s="11">
        <v>354</v>
      </c>
      <c r="K465" s="11">
        <v>0</v>
      </c>
      <c r="L465" s="11">
        <v>0.100303204130132</v>
      </c>
      <c r="M465" s="11">
        <f t="shared" si="1"/>
        <v>10.029498525073747</v>
      </c>
      <c r="N465" s="11">
        <v>0.86764705882352999</v>
      </c>
      <c r="O465" s="11">
        <v>0</v>
      </c>
      <c r="P465" s="11">
        <v>0.81740196078431404</v>
      </c>
      <c r="Q465" s="11">
        <v>0.68965517241379304</v>
      </c>
      <c r="R465" s="11">
        <v>0.73062015503875999</v>
      </c>
      <c r="S465" s="10" t="s">
        <v>84</v>
      </c>
      <c r="T465" s="10" t="s">
        <v>84</v>
      </c>
      <c r="U465" s="10"/>
      <c r="V465" s="10"/>
      <c r="W465" s="10"/>
      <c r="X465" s="10"/>
      <c r="Y465" s="10"/>
      <c r="Z465" s="10"/>
      <c r="AA465" s="10"/>
    </row>
    <row r="466" spans="1:27" ht="12.5" x14ac:dyDescent="0.25">
      <c r="A466" s="10" t="s">
        <v>34</v>
      </c>
      <c r="B466" s="10" t="s">
        <v>725</v>
      </c>
      <c r="C466" s="10" t="s">
        <v>76</v>
      </c>
      <c r="D466" s="11">
        <v>2024</v>
      </c>
      <c r="E466" s="10" t="s">
        <v>124</v>
      </c>
      <c r="F466" s="10" t="s">
        <v>83</v>
      </c>
      <c r="G466" s="10" t="s">
        <v>84</v>
      </c>
      <c r="H466" s="11">
        <v>12188</v>
      </c>
      <c r="I466" s="11">
        <v>1222</v>
      </c>
      <c r="J466" s="11">
        <v>1165</v>
      </c>
      <c r="K466" s="11">
        <v>18536</v>
      </c>
      <c r="L466" s="11">
        <v>0.100259811294954</v>
      </c>
      <c r="M466" s="11">
        <f t="shared" si="1"/>
        <v>10.026255333114539</v>
      </c>
      <c r="N466" s="11">
        <v>0.95335515548281502</v>
      </c>
      <c r="O466" s="11">
        <v>1.5207985778750199</v>
      </c>
      <c r="P466" s="11">
        <v>0.69763513513513498</v>
      </c>
      <c r="Q466" s="11">
        <v>1</v>
      </c>
      <c r="R466" s="11">
        <v>0.577181208053691</v>
      </c>
      <c r="S466" s="10" t="s">
        <v>84</v>
      </c>
      <c r="T466" s="10" t="s">
        <v>84</v>
      </c>
      <c r="U466" s="10"/>
      <c r="V466" s="10"/>
      <c r="W466" s="10"/>
      <c r="X466" s="10"/>
      <c r="Y466" s="10"/>
      <c r="Z466" s="10"/>
      <c r="AA466" s="10"/>
    </row>
    <row r="467" spans="1:27" ht="12.5" hidden="1" x14ac:dyDescent="0.25">
      <c r="A467" s="10" t="s">
        <v>10</v>
      </c>
      <c r="B467" s="10" t="s">
        <v>1381</v>
      </c>
      <c r="C467" s="10" t="s">
        <v>191</v>
      </c>
      <c r="D467" s="11">
        <v>2024</v>
      </c>
      <c r="E467" s="10" t="s">
        <v>124</v>
      </c>
      <c r="F467" s="10" t="s">
        <v>125</v>
      </c>
      <c r="G467" s="10" t="s">
        <v>84</v>
      </c>
      <c r="H467" s="12">
        <v>250.333333333333</v>
      </c>
      <c r="I467" s="11">
        <v>25</v>
      </c>
      <c r="J467" s="11">
        <v>24</v>
      </c>
      <c r="K467" s="11">
        <v>317</v>
      </c>
      <c r="L467" s="11">
        <v>9.9866844207723002E-2</v>
      </c>
      <c r="M467" s="11">
        <f t="shared" si="1"/>
        <v>9.9866844207723169</v>
      </c>
      <c r="N467" s="11">
        <v>0.96</v>
      </c>
      <c r="O467" s="11">
        <v>1.2663115845539299</v>
      </c>
      <c r="P467" s="11">
        <v>0.81617647058823495</v>
      </c>
      <c r="Q467" s="11">
        <v>0.65517241379310298</v>
      </c>
      <c r="R467" s="11">
        <v>0.72868217054263595</v>
      </c>
      <c r="S467" s="10" t="s">
        <v>84</v>
      </c>
      <c r="T467" s="10" t="s">
        <v>84</v>
      </c>
      <c r="U467" s="10"/>
      <c r="V467" s="10"/>
      <c r="W467" s="10"/>
      <c r="X467" s="10"/>
      <c r="Y467" s="10"/>
      <c r="Z467" s="10"/>
      <c r="AA467" s="10"/>
    </row>
    <row r="468" spans="1:27" ht="12.5" hidden="1" x14ac:dyDescent="0.25">
      <c r="A468" s="10" t="s">
        <v>36</v>
      </c>
      <c r="B468" s="10" t="s">
        <v>1382</v>
      </c>
      <c r="C468" s="10" t="s">
        <v>191</v>
      </c>
      <c r="D468" s="11">
        <v>2024</v>
      </c>
      <c r="E468" s="10" t="s">
        <v>124</v>
      </c>
      <c r="F468" s="10" t="s">
        <v>125</v>
      </c>
      <c r="G468" s="10" t="s">
        <v>84</v>
      </c>
      <c r="H468" s="12">
        <v>60.0833333333333</v>
      </c>
      <c r="I468" s="11">
        <v>6</v>
      </c>
      <c r="J468" s="11">
        <v>1</v>
      </c>
      <c r="K468" s="11">
        <v>6</v>
      </c>
      <c r="L468" s="11">
        <v>9.9861303744798902E-2</v>
      </c>
      <c r="M468" s="11">
        <f t="shared" si="1"/>
        <v>9.9861303744798935</v>
      </c>
      <c r="N468" s="11">
        <v>0.16666666666666699</v>
      </c>
      <c r="O468" s="11">
        <v>9.9861303744798902E-2</v>
      </c>
      <c r="P468" s="11">
        <v>0.81495098039215697</v>
      </c>
      <c r="Q468" s="11">
        <v>0.65</v>
      </c>
      <c r="R468" s="11">
        <v>0.72674418604651203</v>
      </c>
      <c r="S468" s="10" t="s">
        <v>84</v>
      </c>
      <c r="T468" s="10" t="s">
        <v>84</v>
      </c>
      <c r="U468" s="10"/>
      <c r="V468" s="10"/>
      <c r="W468" s="10"/>
      <c r="X468" s="10"/>
      <c r="Y468" s="10"/>
      <c r="Z468" s="10"/>
      <c r="AA468" s="10"/>
    </row>
    <row r="469" spans="1:27" ht="12.5" x14ac:dyDescent="0.25">
      <c r="A469" s="10" t="s">
        <v>58</v>
      </c>
      <c r="B469" s="10" t="s">
        <v>582</v>
      </c>
      <c r="C469" s="10" t="s">
        <v>76</v>
      </c>
      <c r="D469" s="11">
        <v>2024</v>
      </c>
      <c r="E469" s="10" t="s">
        <v>81</v>
      </c>
      <c r="F469" s="10" t="s">
        <v>83</v>
      </c>
      <c r="G469" s="10" t="s">
        <v>84</v>
      </c>
      <c r="H469" s="11">
        <v>63616</v>
      </c>
      <c r="I469" s="11">
        <v>6351</v>
      </c>
      <c r="J469" s="11">
        <v>5769</v>
      </c>
      <c r="K469" s="11">
        <v>101142</v>
      </c>
      <c r="L469" s="11">
        <v>9.9833113700133896E-2</v>
      </c>
      <c r="M469" s="11">
        <f t="shared" si="1"/>
        <v>9.9833375251509047</v>
      </c>
      <c r="N469" s="11">
        <v>0.90836088804912596</v>
      </c>
      <c r="O469" s="11">
        <v>1.5898788829883399</v>
      </c>
      <c r="P469" s="11">
        <v>0.69679054054054101</v>
      </c>
      <c r="Q469" s="11">
        <v>0.75675675675675702</v>
      </c>
      <c r="R469" s="11">
        <v>0.75387596899224796</v>
      </c>
      <c r="S469" s="10" t="s">
        <v>84</v>
      </c>
      <c r="T469" s="10" t="s">
        <v>84</v>
      </c>
      <c r="U469" s="10"/>
      <c r="V469" s="10"/>
      <c r="W469" s="10"/>
      <c r="X469" s="10"/>
      <c r="Y469" s="10"/>
      <c r="Z469" s="10"/>
      <c r="AA469" s="10"/>
    </row>
    <row r="470" spans="1:27" ht="12.5" x14ac:dyDescent="0.25">
      <c r="A470" s="10" t="s">
        <v>58</v>
      </c>
      <c r="B470" s="10" t="s">
        <v>585</v>
      </c>
      <c r="C470" s="10" t="s">
        <v>76</v>
      </c>
      <c r="D470" s="11">
        <v>2024</v>
      </c>
      <c r="E470" s="10" t="s">
        <v>81</v>
      </c>
      <c r="F470" s="10" t="s">
        <v>83</v>
      </c>
      <c r="G470" s="10" t="s">
        <v>84</v>
      </c>
      <c r="H470" s="11">
        <v>23887</v>
      </c>
      <c r="I470" s="11">
        <v>2371</v>
      </c>
      <c r="J470" s="11">
        <v>2164</v>
      </c>
      <c r="K470" s="11">
        <v>44277</v>
      </c>
      <c r="L470" s="11">
        <v>9.9258664899091201E-2</v>
      </c>
      <c r="M470" s="11">
        <f t="shared" si="1"/>
        <v>9.9259011177628</v>
      </c>
      <c r="N470" s="11">
        <v>0.91269506537325995</v>
      </c>
      <c r="O470" s="11">
        <v>1.85359591131888</v>
      </c>
      <c r="P470" s="11">
        <v>0.69594594594594605</v>
      </c>
      <c r="Q470" s="11">
        <v>0.72972972972973005</v>
      </c>
      <c r="R470" s="11">
        <v>0.75193798449612403</v>
      </c>
      <c r="S470" s="10" t="s">
        <v>84</v>
      </c>
      <c r="T470" s="10" t="s">
        <v>84</v>
      </c>
      <c r="U470" s="10"/>
      <c r="V470" s="10"/>
      <c r="W470" s="10"/>
      <c r="X470" s="10"/>
      <c r="Y470" s="10"/>
      <c r="Z470" s="10"/>
      <c r="AA470" s="10"/>
    </row>
    <row r="471" spans="1:27" ht="12.5" x14ac:dyDescent="0.25">
      <c r="A471" s="10" t="s">
        <v>110</v>
      </c>
      <c r="B471" s="10" t="s">
        <v>1133</v>
      </c>
      <c r="C471" s="10" t="s">
        <v>76</v>
      </c>
      <c r="D471" s="11">
        <v>2024</v>
      </c>
      <c r="E471" s="10" t="s">
        <v>257</v>
      </c>
      <c r="F471" s="10" t="s">
        <v>83</v>
      </c>
      <c r="G471" s="10" t="s">
        <v>84</v>
      </c>
      <c r="H471" s="11">
        <v>29025</v>
      </c>
      <c r="I471" s="11">
        <v>2857</v>
      </c>
      <c r="J471" s="11">
        <v>2744</v>
      </c>
      <c r="K471" s="11">
        <v>59174</v>
      </c>
      <c r="L471" s="11">
        <v>9.8433516319452394E-2</v>
      </c>
      <c r="M471" s="11">
        <f t="shared" si="1"/>
        <v>9.8432385874246346</v>
      </c>
      <c r="N471" s="11">
        <v>0.96044802240112004</v>
      </c>
      <c r="O471" s="11">
        <v>2.0387486505730799</v>
      </c>
      <c r="P471" s="11">
        <v>0.69341216216216195</v>
      </c>
      <c r="Q471" s="11">
        <v>0.84848484848484895</v>
      </c>
      <c r="R471" s="11">
        <v>0.79545454545454497</v>
      </c>
      <c r="S471" s="10" t="s">
        <v>84</v>
      </c>
      <c r="T471" s="10" t="s">
        <v>84</v>
      </c>
      <c r="U471" s="10"/>
      <c r="V471" s="10"/>
      <c r="W471" s="10"/>
      <c r="X471" s="10"/>
      <c r="Y471" s="10"/>
      <c r="Z471" s="10"/>
      <c r="AA471" s="10"/>
    </row>
    <row r="472" spans="1:27" ht="12.5" x14ac:dyDescent="0.25">
      <c r="A472" s="10" t="s">
        <v>29</v>
      </c>
      <c r="B472" s="10" t="s">
        <v>727</v>
      </c>
      <c r="C472" s="10" t="s">
        <v>76</v>
      </c>
      <c r="D472" s="11">
        <v>2024</v>
      </c>
      <c r="E472" s="10" t="s">
        <v>124</v>
      </c>
      <c r="F472" s="10" t="s">
        <v>83</v>
      </c>
      <c r="G472" s="10" t="s">
        <v>84</v>
      </c>
      <c r="H472" s="11">
        <v>24509</v>
      </c>
      <c r="I472" s="11">
        <v>2410</v>
      </c>
      <c r="J472" s="11">
        <v>2304</v>
      </c>
      <c r="K472" s="11">
        <v>20577</v>
      </c>
      <c r="L472" s="11">
        <v>9.8331225264188707E-2</v>
      </c>
      <c r="M472" s="11">
        <f t="shared" si="1"/>
        <v>9.8331225264188671</v>
      </c>
      <c r="N472" s="11">
        <v>0.95601659751037305</v>
      </c>
      <c r="O472" s="11">
        <v>0.83956913786772203</v>
      </c>
      <c r="P472" s="11">
        <v>0.69256756756756799</v>
      </c>
      <c r="Q472" s="11">
        <v>0.42857142857142899</v>
      </c>
      <c r="R472" s="11">
        <v>0.57494407158836702</v>
      </c>
      <c r="S472" s="10" t="s">
        <v>84</v>
      </c>
      <c r="T472" s="10" t="s">
        <v>84</v>
      </c>
      <c r="U472" s="10"/>
      <c r="V472" s="10"/>
      <c r="W472" s="10"/>
      <c r="X472" s="10"/>
      <c r="Y472" s="10"/>
      <c r="Z472" s="10"/>
      <c r="AA472" s="10"/>
    </row>
    <row r="473" spans="1:27" ht="12.5" x14ac:dyDescent="0.25">
      <c r="A473" s="10" t="s">
        <v>58</v>
      </c>
      <c r="B473" s="10" t="s">
        <v>728</v>
      </c>
      <c r="C473" s="10" t="s">
        <v>76</v>
      </c>
      <c r="D473" s="11">
        <v>2024</v>
      </c>
      <c r="E473" s="10" t="s">
        <v>124</v>
      </c>
      <c r="F473" s="10" t="s">
        <v>125</v>
      </c>
      <c r="G473" s="10" t="s">
        <v>84</v>
      </c>
      <c r="H473" s="11">
        <v>4668</v>
      </c>
      <c r="I473" s="11">
        <v>458</v>
      </c>
      <c r="J473" s="11">
        <v>336</v>
      </c>
      <c r="K473" s="11">
        <v>1200</v>
      </c>
      <c r="L473" s="11">
        <v>9.8109569967332499E-2</v>
      </c>
      <c r="M473" s="11">
        <f t="shared" si="1"/>
        <v>9.8114824335904025</v>
      </c>
      <c r="N473" s="11">
        <v>0.73362445414847199</v>
      </c>
      <c r="O473" s="11">
        <v>0.25705564183580598</v>
      </c>
      <c r="P473" s="11">
        <v>0.69172297297297303</v>
      </c>
      <c r="Q473" s="11">
        <v>0.67567567567567599</v>
      </c>
      <c r="R473" s="11">
        <v>0.57270693512304205</v>
      </c>
      <c r="S473" s="10" t="s">
        <v>84</v>
      </c>
      <c r="T473" s="10" t="s">
        <v>84</v>
      </c>
      <c r="U473" s="10"/>
      <c r="V473" s="10"/>
      <c r="W473" s="10"/>
      <c r="X473" s="10"/>
      <c r="Y473" s="10"/>
      <c r="Z473" s="10"/>
      <c r="AA473" s="10"/>
    </row>
    <row r="474" spans="1:27" ht="12.5" x14ac:dyDescent="0.25">
      <c r="A474" s="10" t="s">
        <v>58</v>
      </c>
      <c r="B474" s="10" t="s">
        <v>586</v>
      </c>
      <c r="C474" s="10" t="s">
        <v>76</v>
      </c>
      <c r="D474" s="11">
        <v>2024</v>
      </c>
      <c r="E474" s="10" t="s">
        <v>81</v>
      </c>
      <c r="F474" s="10" t="s">
        <v>83</v>
      </c>
      <c r="G474" s="10" t="s">
        <v>84</v>
      </c>
      <c r="H474" s="11">
        <v>32056</v>
      </c>
      <c r="I474" s="11">
        <v>3125</v>
      </c>
      <c r="J474" s="11">
        <v>2495</v>
      </c>
      <c r="K474" s="11">
        <v>21200</v>
      </c>
      <c r="L474" s="11">
        <v>9.7486917255704297E-2</v>
      </c>
      <c r="M474" s="11">
        <f t="shared" si="1"/>
        <v>9.7485650112303457</v>
      </c>
      <c r="N474" s="11">
        <v>0.7984</v>
      </c>
      <c r="O474" s="11">
        <v>0.66135124666269796</v>
      </c>
      <c r="P474" s="11">
        <v>0.69087837837837796</v>
      </c>
      <c r="Q474" s="11">
        <v>0.64864864864864902</v>
      </c>
      <c r="R474" s="11">
        <v>0.75</v>
      </c>
      <c r="S474" s="10" t="s">
        <v>84</v>
      </c>
      <c r="T474" s="10" t="s">
        <v>84</v>
      </c>
      <c r="U474" s="10"/>
      <c r="V474" s="10"/>
      <c r="W474" s="10"/>
      <c r="X474" s="10"/>
      <c r="Y474" s="10"/>
      <c r="Z474" s="10"/>
      <c r="AA474" s="10"/>
    </row>
    <row r="475" spans="1:27" ht="12.5" x14ac:dyDescent="0.25">
      <c r="A475" s="10" t="s">
        <v>62</v>
      </c>
      <c r="B475" s="10" t="s">
        <v>730</v>
      </c>
      <c r="C475" s="10" t="s">
        <v>76</v>
      </c>
      <c r="D475" s="11">
        <v>2024</v>
      </c>
      <c r="E475" s="10" t="s">
        <v>124</v>
      </c>
      <c r="F475" s="10" t="s">
        <v>125</v>
      </c>
      <c r="G475" s="10" t="s">
        <v>84</v>
      </c>
      <c r="H475" s="11">
        <v>5578</v>
      </c>
      <c r="I475" s="11">
        <v>543</v>
      </c>
      <c r="J475" s="11">
        <v>498</v>
      </c>
      <c r="K475" s="11">
        <v>4055</v>
      </c>
      <c r="L475" s="11">
        <v>9.7348173601255E-2</v>
      </c>
      <c r="M475" s="11">
        <f t="shared" si="1"/>
        <v>9.7346719254212974</v>
      </c>
      <c r="N475" s="11">
        <v>0.91712707182320397</v>
      </c>
      <c r="O475" s="11">
        <v>0.72697392993202403</v>
      </c>
      <c r="P475" s="11">
        <v>0.69003378378378399</v>
      </c>
      <c r="Q475" s="11">
        <v>0.83333333333333304</v>
      </c>
      <c r="R475" s="11">
        <v>0.57046979865771796</v>
      </c>
      <c r="S475" s="10" t="s">
        <v>84</v>
      </c>
      <c r="T475" s="10" t="s">
        <v>84</v>
      </c>
      <c r="U475" s="10"/>
      <c r="V475" s="10"/>
      <c r="W475" s="10"/>
      <c r="X475" s="10"/>
      <c r="Y475" s="10"/>
      <c r="Z475" s="10"/>
      <c r="AA475" s="10"/>
    </row>
    <row r="476" spans="1:27" ht="12.5" hidden="1" x14ac:dyDescent="0.25">
      <c r="A476" s="10" t="s">
        <v>77</v>
      </c>
      <c r="B476" s="10" t="s">
        <v>1383</v>
      </c>
      <c r="C476" s="10" t="s">
        <v>191</v>
      </c>
      <c r="D476" s="11">
        <v>2024</v>
      </c>
      <c r="E476" s="10" t="s">
        <v>124</v>
      </c>
      <c r="F476" s="10" t="s">
        <v>125</v>
      </c>
      <c r="G476" s="10" t="s">
        <v>84</v>
      </c>
      <c r="H476" s="12">
        <v>423.25</v>
      </c>
      <c r="I476" s="11">
        <v>41</v>
      </c>
      <c r="J476" s="11">
        <v>34</v>
      </c>
      <c r="K476" s="11">
        <v>1044</v>
      </c>
      <c r="L476" s="11">
        <v>9.6869462492616701E-2</v>
      </c>
      <c r="M476" s="11">
        <f t="shared" si="1"/>
        <v>9.6869462492616663</v>
      </c>
      <c r="N476" s="11">
        <v>0.82926829268292701</v>
      </c>
      <c r="O476" s="11">
        <v>2.46662728883638</v>
      </c>
      <c r="P476" s="11">
        <v>0.81372549019607798</v>
      </c>
      <c r="Q476" s="11">
        <v>0.95652173913043503</v>
      </c>
      <c r="R476" s="11">
        <v>0.724806201550388</v>
      </c>
      <c r="S476" s="10" t="s">
        <v>84</v>
      </c>
      <c r="T476" s="10" t="s">
        <v>84</v>
      </c>
      <c r="U476" s="10"/>
      <c r="V476" s="10"/>
      <c r="W476" s="10"/>
      <c r="X476" s="10"/>
      <c r="Y476" s="10"/>
      <c r="Z476" s="10"/>
      <c r="AA476" s="10"/>
    </row>
    <row r="477" spans="1:27" ht="12.5" hidden="1" x14ac:dyDescent="0.25">
      <c r="A477" s="10" t="s">
        <v>12</v>
      </c>
      <c r="B477" s="10" t="s">
        <v>1384</v>
      </c>
      <c r="C477" s="10" t="s">
        <v>191</v>
      </c>
      <c r="D477" s="11">
        <v>2024</v>
      </c>
      <c r="E477" s="10" t="s">
        <v>124</v>
      </c>
      <c r="F477" s="10" t="s">
        <v>125</v>
      </c>
      <c r="G477" s="10" t="s">
        <v>84</v>
      </c>
      <c r="H477" s="12">
        <v>217</v>
      </c>
      <c r="I477" s="11">
        <v>21</v>
      </c>
      <c r="J477" s="11">
        <v>18</v>
      </c>
      <c r="K477" s="11">
        <v>35</v>
      </c>
      <c r="L477" s="11">
        <v>9.6774193548387094E-2</v>
      </c>
      <c r="M477" s="11">
        <f t="shared" si="1"/>
        <v>9.67741935483871</v>
      </c>
      <c r="N477" s="11">
        <v>0.85714285714285698</v>
      </c>
      <c r="O477" s="11">
        <v>0.16129032258064499</v>
      </c>
      <c r="P477" s="11">
        <v>0.8125</v>
      </c>
      <c r="Q477" s="11">
        <v>0.66666666666666696</v>
      </c>
      <c r="R477" s="11">
        <v>0.72286821705426396</v>
      </c>
      <c r="S477" s="10" t="s">
        <v>84</v>
      </c>
      <c r="T477" s="10" t="s">
        <v>84</v>
      </c>
      <c r="U477" s="10"/>
      <c r="V477" s="10"/>
      <c r="W477" s="10"/>
      <c r="X477" s="10"/>
      <c r="Y477" s="10"/>
      <c r="Z477" s="10"/>
      <c r="AA477" s="10"/>
    </row>
    <row r="478" spans="1:27" ht="12.5" x14ac:dyDescent="0.25">
      <c r="A478" s="10" t="s">
        <v>52</v>
      </c>
      <c r="B478" s="10" t="s">
        <v>589</v>
      </c>
      <c r="C478" s="10" t="s">
        <v>76</v>
      </c>
      <c r="D478" s="11">
        <v>2024</v>
      </c>
      <c r="E478" s="10" t="s">
        <v>81</v>
      </c>
      <c r="F478" s="10" t="s">
        <v>83</v>
      </c>
      <c r="G478" s="10" t="s">
        <v>84</v>
      </c>
      <c r="H478" s="11">
        <v>9993</v>
      </c>
      <c r="I478" s="11">
        <v>960</v>
      </c>
      <c r="J478" s="11">
        <v>859</v>
      </c>
      <c r="K478" s="11">
        <v>10784</v>
      </c>
      <c r="L478" s="11">
        <v>9.6067247072951098E-2</v>
      </c>
      <c r="M478" s="11">
        <f t="shared" si="1"/>
        <v>9.6067247072951076</v>
      </c>
      <c r="N478" s="11">
        <v>0.89479166666666698</v>
      </c>
      <c r="O478" s="11">
        <v>1.0791554087861499</v>
      </c>
      <c r="P478" s="11">
        <v>0.68834459459459496</v>
      </c>
      <c r="Q478" s="11">
        <v>0.59574468085106402</v>
      </c>
      <c r="R478" s="11">
        <v>0.74806201550387597</v>
      </c>
      <c r="S478" s="10" t="s">
        <v>84</v>
      </c>
      <c r="T478" s="10" t="s">
        <v>84</v>
      </c>
      <c r="U478" s="10"/>
      <c r="V478" s="10"/>
      <c r="W478" s="10"/>
      <c r="X478" s="10"/>
      <c r="Y478" s="10"/>
      <c r="Z478" s="10"/>
      <c r="AA478" s="10"/>
    </row>
    <row r="479" spans="1:27" ht="12.5" x14ac:dyDescent="0.25">
      <c r="A479" s="10" t="s">
        <v>77</v>
      </c>
      <c r="B479" s="10" t="s">
        <v>733</v>
      </c>
      <c r="C479" s="10" t="s">
        <v>76</v>
      </c>
      <c r="D479" s="11">
        <v>2024</v>
      </c>
      <c r="E479" s="10" t="s">
        <v>124</v>
      </c>
      <c r="F479" s="10" t="s">
        <v>83</v>
      </c>
      <c r="G479" s="10" t="s">
        <v>84</v>
      </c>
      <c r="H479" s="11">
        <v>58444</v>
      </c>
      <c r="I479" s="11">
        <v>5594</v>
      </c>
      <c r="J479" s="11">
        <v>4053</v>
      </c>
      <c r="K479" s="11">
        <v>132761</v>
      </c>
      <c r="L479" s="11">
        <v>9.5715420294897297E-2</v>
      </c>
      <c r="M479" s="11">
        <f t="shared" si="1"/>
        <v>9.571555677229485</v>
      </c>
      <c r="N479" s="11">
        <v>0.72452627815516601</v>
      </c>
      <c r="O479" s="11">
        <v>2.2715900811174201</v>
      </c>
      <c r="P479" s="11">
        <v>0.6875</v>
      </c>
      <c r="Q479" s="11">
        <v>0.85714285714285698</v>
      </c>
      <c r="R479" s="11">
        <v>0.56823266219239399</v>
      </c>
      <c r="S479" s="10" t="s">
        <v>84</v>
      </c>
      <c r="T479" s="10" t="s">
        <v>84</v>
      </c>
      <c r="U479" s="10"/>
      <c r="V479" s="10"/>
      <c r="W479" s="10"/>
      <c r="X479" s="10"/>
      <c r="Y479" s="10"/>
      <c r="Z479" s="10"/>
      <c r="AA479" s="10"/>
    </row>
    <row r="480" spans="1:27" ht="12.5" x14ac:dyDescent="0.25">
      <c r="A480" s="10" t="s">
        <v>12</v>
      </c>
      <c r="B480" s="10" t="s">
        <v>591</v>
      </c>
      <c r="C480" s="10" t="s">
        <v>76</v>
      </c>
      <c r="D480" s="11">
        <v>2024</v>
      </c>
      <c r="E480" s="10" t="s">
        <v>81</v>
      </c>
      <c r="F480" s="10" t="s">
        <v>83</v>
      </c>
      <c r="G480" s="10" t="s">
        <v>84</v>
      </c>
      <c r="H480" s="11">
        <v>26333</v>
      </c>
      <c r="I480" s="11">
        <v>2514</v>
      </c>
      <c r="J480" s="11">
        <v>2387</v>
      </c>
      <c r="K480" s="11">
        <v>6419</v>
      </c>
      <c r="L480" s="11">
        <v>9.5468958664295306E-2</v>
      </c>
      <c r="M480" s="11">
        <f t="shared" si="1"/>
        <v>9.5469562905859569</v>
      </c>
      <c r="N480" s="11">
        <v>0.949482895783612</v>
      </c>
      <c r="O480" s="11">
        <v>0.243761036462256</v>
      </c>
      <c r="P480" s="11">
        <v>0.68665540540540504</v>
      </c>
      <c r="Q480" s="11">
        <v>0.59722222222222199</v>
      </c>
      <c r="R480" s="11">
        <v>0.74612403100775204</v>
      </c>
      <c r="S480" s="10" t="s">
        <v>84</v>
      </c>
      <c r="T480" s="10" t="s">
        <v>84</v>
      </c>
      <c r="U480" s="10"/>
      <c r="V480" s="10"/>
      <c r="W480" s="10"/>
      <c r="X480" s="10"/>
      <c r="Y480" s="10"/>
      <c r="Z480" s="10"/>
      <c r="AA480" s="10"/>
    </row>
    <row r="481" spans="1:27" ht="12.5" hidden="1" x14ac:dyDescent="0.25">
      <c r="A481" s="10" t="s">
        <v>36</v>
      </c>
      <c r="B481" s="10" t="s">
        <v>1385</v>
      </c>
      <c r="C481" s="10" t="s">
        <v>191</v>
      </c>
      <c r="D481" s="11">
        <v>2024</v>
      </c>
      <c r="E481" s="10" t="s">
        <v>124</v>
      </c>
      <c r="F481" s="10" t="s">
        <v>125</v>
      </c>
      <c r="G481" s="10" t="s">
        <v>84</v>
      </c>
      <c r="H481" s="12">
        <v>1443</v>
      </c>
      <c r="I481" s="11">
        <v>137</v>
      </c>
      <c r="J481" s="11">
        <v>82</v>
      </c>
      <c r="K481" s="11">
        <v>562</v>
      </c>
      <c r="L481" s="11">
        <v>9.49410949410949E-2</v>
      </c>
      <c r="M481" s="11">
        <f t="shared" si="1"/>
        <v>9.4941094941094946</v>
      </c>
      <c r="N481" s="11">
        <v>0.59854014598540195</v>
      </c>
      <c r="O481" s="11">
        <v>0.38946638946638901</v>
      </c>
      <c r="P481" s="11">
        <v>0.81127450980392202</v>
      </c>
      <c r="Q481" s="11">
        <v>0.625</v>
      </c>
      <c r="R481" s="11">
        <v>0.72093023255814004</v>
      </c>
      <c r="S481" s="10" t="s">
        <v>84</v>
      </c>
      <c r="T481" s="10" t="s">
        <v>84</v>
      </c>
      <c r="U481" s="10"/>
      <c r="V481" s="10"/>
      <c r="W481" s="10"/>
      <c r="X481" s="10"/>
      <c r="Y481" s="10"/>
      <c r="Z481" s="10"/>
      <c r="AA481" s="10"/>
    </row>
    <row r="482" spans="1:27" ht="12.5" x14ac:dyDescent="0.25">
      <c r="A482" s="10" t="s">
        <v>103</v>
      </c>
      <c r="B482" s="10" t="s">
        <v>736</v>
      </c>
      <c r="C482" s="10" t="s">
        <v>76</v>
      </c>
      <c r="D482" s="11">
        <v>2024</v>
      </c>
      <c r="E482" s="10" t="s">
        <v>124</v>
      </c>
      <c r="F482" s="10" t="s">
        <v>83</v>
      </c>
      <c r="G482" s="10" t="s">
        <v>84</v>
      </c>
      <c r="H482" s="11">
        <v>23539</v>
      </c>
      <c r="I482" s="11">
        <v>2231</v>
      </c>
      <c r="J482" s="11">
        <v>2085</v>
      </c>
      <c r="K482" s="11">
        <v>22392</v>
      </c>
      <c r="L482" s="11">
        <v>9.4777535472542404E-2</v>
      </c>
      <c r="M482" s="11">
        <f t="shared" si="1"/>
        <v>9.4778877607374987</v>
      </c>
      <c r="N482" s="11">
        <v>0.934558493948902</v>
      </c>
      <c r="O482" s="11">
        <v>0.951258885836472</v>
      </c>
      <c r="P482" s="11">
        <v>0.68496621621621601</v>
      </c>
      <c r="Q482" s="11">
        <v>0.69565217391304301</v>
      </c>
      <c r="R482" s="11">
        <v>0.56599552572706902</v>
      </c>
      <c r="S482" s="10" t="s">
        <v>84</v>
      </c>
      <c r="T482" s="10" t="s">
        <v>84</v>
      </c>
      <c r="U482" s="10"/>
      <c r="V482" s="10"/>
      <c r="W482" s="10"/>
      <c r="X482" s="10"/>
      <c r="Y482" s="10"/>
      <c r="Z482" s="10"/>
      <c r="AA482" s="10"/>
    </row>
    <row r="483" spans="1:27" ht="12.5" x14ac:dyDescent="0.25">
      <c r="A483" s="10" t="s">
        <v>58</v>
      </c>
      <c r="B483" s="10" t="s">
        <v>738</v>
      </c>
      <c r="C483" s="10" t="s">
        <v>76</v>
      </c>
      <c r="D483" s="11">
        <v>2024</v>
      </c>
      <c r="E483" s="10" t="s">
        <v>124</v>
      </c>
      <c r="F483" s="10" t="s">
        <v>83</v>
      </c>
      <c r="G483" s="10" t="s">
        <v>84</v>
      </c>
      <c r="H483" s="11">
        <v>28439</v>
      </c>
      <c r="I483" s="11">
        <v>2695</v>
      </c>
      <c r="J483" s="11">
        <v>2695</v>
      </c>
      <c r="K483" s="11">
        <v>17820</v>
      </c>
      <c r="L483" s="11">
        <v>9.4765342960288795E-2</v>
      </c>
      <c r="M483" s="11">
        <f t="shared" si="1"/>
        <v>9.476423221632265</v>
      </c>
      <c r="N483" s="11">
        <v>1</v>
      </c>
      <c r="O483" s="11">
        <v>0.62661165549252196</v>
      </c>
      <c r="P483" s="11">
        <v>0.68412162162162204</v>
      </c>
      <c r="Q483" s="11">
        <v>0.62162162162162204</v>
      </c>
      <c r="R483" s="11">
        <v>0.56375838926174504</v>
      </c>
      <c r="S483" s="10" t="s">
        <v>84</v>
      </c>
      <c r="T483" s="10" t="s">
        <v>84</v>
      </c>
      <c r="U483" s="10"/>
      <c r="V483" s="10"/>
      <c r="W483" s="10"/>
      <c r="X483" s="10"/>
      <c r="Y483" s="10"/>
      <c r="Z483" s="10"/>
      <c r="AA483" s="10"/>
    </row>
    <row r="484" spans="1:27" ht="12.5" x14ac:dyDescent="0.25">
      <c r="A484" s="10" t="s">
        <v>25</v>
      </c>
      <c r="B484" s="10" t="s">
        <v>742</v>
      </c>
      <c r="C484" s="10" t="s">
        <v>76</v>
      </c>
      <c r="D484" s="11">
        <v>2024</v>
      </c>
      <c r="E484" s="10" t="s">
        <v>124</v>
      </c>
      <c r="F484" s="10" t="s">
        <v>125</v>
      </c>
      <c r="G484" s="10" t="s">
        <v>84</v>
      </c>
      <c r="H484" s="11">
        <v>5949</v>
      </c>
      <c r="I484" s="11">
        <v>560</v>
      </c>
      <c r="J484" s="11">
        <v>464</v>
      </c>
      <c r="K484" s="11">
        <v>7868</v>
      </c>
      <c r="L484" s="11">
        <v>9.4138742575367002E-2</v>
      </c>
      <c r="M484" s="11">
        <f t="shared" si="1"/>
        <v>9.4133467809715921</v>
      </c>
      <c r="N484" s="11">
        <v>0.82857142857142896</v>
      </c>
      <c r="O484" s="11">
        <v>1.32264933318391</v>
      </c>
      <c r="P484" s="11">
        <v>0.68243243243243201</v>
      </c>
      <c r="Q484" s="11">
        <v>0.5625</v>
      </c>
      <c r="R484" s="11">
        <v>0.56152125279642096</v>
      </c>
      <c r="S484" s="10" t="s">
        <v>84</v>
      </c>
      <c r="T484" s="10" t="s">
        <v>84</v>
      </c>
      <c r="U484" s="10"/>
      <c r="V484" s="10"/>
      <c r="W484" s="10"/>
      <c r="X484" s="10"/>
      <c r="Y484" s="10"/>
      <c r="Z484" s="10"/>
      <c r="AA484" s="10"/>
    </row>
    <row r="485" spans="1:27" ht="12.5" hidden="1" x14ac:dyDescent="0.25">
      <c r="A485" s="10" t="s">
        <v>32</v>
      </c>
      <c r="B485" s="10" t="s">
        <v>1386</v>
      </c>
      <c r="C485" s="10" t="s">
        <v>191</v>
      </c>
      <c r="D485" s="11">
        <v>2024</v>
      </c>
      <c r="E485" s="10" t="s">
        <v>124</v>
      </c>
      <c r="F485" s="10" t="s">
        <v>125</v>
      </c>
      <c r="G485" s="10" t="s">
        <v>84</v>
      </c>
      <c r="H485" s="12">
        <v>5698</v>
      </c>
      <c r="I485" s="11">
        <v>536</v>
      </c>
      <c r="J485" s="11">
        <v>390</v>
      </c>
      <c r="K485" s="11">
        <v>675</v>
      </c>
      <c r="L485" s="11">
        <v>9.4065342654070003E-2</v>
      </c>
      <c r="M485" s="11">
        <f t="shared" si="1"/>
        <v>9.4068094068094066</v>
      </c>
      <c r="N485" s="11">
        <v>0.72761194029850795</v>
      </c>
      <c r="O485" s="11">
        <v>0.11845915352891299</v>
      </c>
      <c r="P485" s="11">
        <v>0.81004901960784303</v>
      </c>
      <c r="Q485" s="11">
        <v>0.92857142857142905</v>
      </c>
      <c r="R485" s="11">
        <v>0.718992248062015</v>
      </c>
      <c r="S485" s="10" t="s">
        <v>84</v>
      </c>
      <c r="T485" s="10" t="s">
        <v>84</v>
      </c>
      <c r="U485" s="10"/>
      <c r="V485" s="10"/>
      <c r="W485" s="10"/>
      <c r="X485" s="10"/>
      <c r="Y485" s="10"/>
      <c r="Z485" s="10"/>
      <c r="AA485" s="10"/>
    </row>
    <row r="486" spans="1:27" ht="12.5" hidden="1" x14ac:dyDescent="0.25">
      <c r="A486" s="10" t="s">
        <v>58</v>
      </c>
      <c r="B486" s="10" t="s">
        <v>1387</v>
      </c>
      <c r="C486" s="10" t="s">
        <v>191</v>
      </c>
      <c r="D486" s="11">
        <v>2024</v>
      </c>
      <c r="E486" s="10" t="s">
        <v>124</v>
      </c>
      <c r="F486" s="10" t="s">
        <v>125</v>
      </c>
      <c r="G486" s="10" t="s">
        <v>84</v>
      </c>
      <c r="H486" s="12">
        <v>234.25</v>
      </c>
      <c r="I486" s="11">
        <v>22</v>
      </c>
      <c r="J486" s="11">
        <v>19</v>
      </c>
      <c r="K486" s="11">
        <v>513</v>
      </c>
      <c r="L486" s="11">
        <v>9.3916755602988303E-2</v>
      </c>
      <c r="M486" s="11">
        <f t="shared" si="1"/>
        <v>9.3916755602988253</v>
      </c>
      <c r="N486" s="11">
        <v>0.86363636363636398</v>
      </c>
      <c r="O486" s="11">
        <v>2.1899679829242298</v>
      </c>
      <c r="P486" s="11">
        <v>0.80882352941176505</v>
      </c>
      <c r="Q486" s="11">
        <v>0.660377358490566</v>
      </c>
      <c r="R486" s="11">
        <v>0.71705426356589197</v>
      </c>
      <c r="S486" s="10" t="s">
        <v>84</v>
      </c>
      <c r="T486" s="10" t="s">
        <v>84</v>
      </c>
      <c r="U486" s="10"/>
      <c r="V486" s="10"/>
      <c r="W486" s="10"/>
      <c r="X486" s="10"/>
      <c r="Y486" s="10"/>
      <c r="Z486" s="10"/>
      <c r="AA486" s="10"/>
    </row>
    <row r="487" spans="1:27" ht="12.5" hidden="1" x14ac:dyDescent="0.25">
      <c r="A487" s="10" t="s">
        <v>58</v>
      </c>
      <c r="B487" s="10" t="s">
        <v>1389</v>
      </c>
      <c r="C487" s="10" t="s">
        <v>191</v>
      </c>
      <c r="D487" s="11">
        <v>2024</v>
      </c>
      <c r="E487" s="10" t="s">
        <v>124</v>
      </c>
      <c r="F487" s="10" t="s">
        <v>125</v>
      </c>
      <c r="G487" s="10" t="s">
        <v>84</v>
      </c>
      <c r="H487" s="12">
        <v>138.5</v>
      </c>
      <c r="I487" s="11">
        <v>13</v>
      </c>
      <c r="J487" s="11">
        <v>12</v>
      </c>
      <c r="K487" s="11">
        <v>126</v>
      </c>
      <c r="L487" s="11">
        <v>9.3862815884476494E-2</v>
      </c>
      <c r="M487" s="11">
        <f t="shared" si="1"/>
        <v>9.3862815884476536</v>
      </c>
      <c r="N487" s="11">
        <v>0.92307692307692302</v>
      </c>
      <c r="O487" s="11">
        <v>0.90974729241877295</v>
      </c>
      <c r="P487" s="11">
        <v>0.80759803921568596</v>
      </c>
      <c r="Q487" s="11">
        <v>0.64150943396226401</v>
      </c>
      <c r="R487" s="11">
        <v>0.71511627906976705</v>
      </c>
      <c r="S487" s="10" t="s">
        <v>84</v>
      </c>
      <c r="T487" s="10" t="s">
        <v>84</v>
      </c>
      <c r="U487" s="10"/>
      <c r="V487" s="10"/>
      <c r="W487" s="10"/>
      <c r="X487" s="10"/>
      <c r="Y487" s="10"/>
      <c r="Z487" s="10"/>
      <c r="AA487" s="10"/>
    </row>
    <row r="488" spans="1:27" ht="12.5" x14ac:dyDescent="0.25">
      <c r="A488" s="10" t="s">
        <v>16</v>
      </c>
      <c r="B488" s="10" t="s">
        <v>592</v>
      </c>
      <c r="C488" s="10" t="s">
        <v>76</v>
      </c>
      <c r="D488" s="11">
        <v>2024</v>
      </c>
      <c r="E488" s="10" t="s">
        <v>81</v>
      </c>
      <c r="F488" s="10" t="s">
        <v>83</v>
      </c>
      <c r="G488" s="10" t="s">
        <v>84</v>
      </c>
      <c r="H488" s="11">
        <v>29884</v>
      </c>
      <c r="I488" s="11">
        <v>2800</v>
      </c>
      <c r="J488" s="11">
        <v>404</v>
      </c>
      <c r="K488" s="11">
        <v>3047</v>
      </c>
      <c r="L488" s="11">
        <v>9.3694577984005004E-2</v>
      </c>
      <c r="M488" s="11">
        <f t="shared" si="1"/>
        <v>9.3695623075893444</v>
      </c>
      <c r="N488" s="11">
        <v>0.14428571428571399</v>
      </c>
      <c r="O488" s="11">
        <v>0.10195977825616501</v>
      </c>
      <c r="P488" s="11">
        <v>0.68158783783783805</v>
      </c>
      <c r="Q488" s="11">
        <v>0.36666666666666697</v>
      </c>
      <c r="R488" s="11">
        <v>0.74418604651162801</v>
      </c>
      <c r="S488" s="10" t="s">
        <v>84</v>
      </c>
      <c r="T488" s="10" t="s">
        <v>84</v>
      </c>
      <c r="U488" s="10"/>
      <c r="V488" s="10"/>
      <c r="W488" s="10"/>
      <c r="X488" s="10"/>
      <c r="Y488" s="10"/>
      <c r="Z488" s="10"/>
      <c r="AA488" s="10"/>
    </row>
    <row r="489" spans="1:27" ht="12.5" hidden="1" x14ac:dyDescent="0.25">
      <c r="A489" s="10" t="s">
        <v>55</v>
      </c>
      <c r="B489" s="10" t="s">
        <v>1390</v>
      </c>
      <c r="C489" s="10" t="s">
        <v>191</v>
      </c>
      <c r="D489" s="11">
        <v>2024</v>
      </c>
      <c r="E489" s="10" t="s">
        <v>124</v>
      </c>
      <c r="F489" s="10" t="s">
        <v>83</v>
      </c>
      <c r="G489" s="10" t="s">
        <v>84</v>
      </c>
      <c r="H489" s="12">
        <v>4551</v>
      </c>
      <c r="I489" s="11">
        <v>426</v>
      </c>
      <c r="J489" s="11">
        <v>266</v>
      </c>
      <c r="K489" s="11">
        <v>10317</v>
      </c>
      <c r="L489" s="11">
        <v>9.3602373017907498E-2</v>
      </c>
      <c r="M489" s="11">
        <f t="shared" si="1"/>
        <v>9.3605800922874103</v>
      </c>
      <c r="N489" s="11">
        <v>0.62441314553990601</v>
      </c>
      <c r="O489" s="11">
        <v>2.26689127329989</v>
      </c>
      <c r="P489" s="11">
        <v>0.80637254901960798</v>
      </c>
      <c r="Q489" s="11">
        <v>0.81481481481481499</v>
      </c>
      <c r="R489" s="11">
        <v>0.71317829457364301</v>
      </c>
      <c r="S489" s="10" t="s">
        <v>84</v>
      </c>
      <c r="T489" s="10" t="s">
        <v>84</v>
      </c>
      <c r="U489" s="10"/>
      <c r="V489" s="10"/>
      <c r="W489" s="10"/>
      <c r="X489" s="10"/>
      <c r="Y489" s="10"/>
      <c r="Z489" s="10"/>
      <c r="AA489" s="10"/>
    </row>
    <row r="490" spans="1:27" ht="12.5" x14ac:dyDescent="0.25">
      <c r="A490" s="10" t="s">
        <v>55</v>
      </c>
      <c r="B490" s="10" t="s">
        <v>744</v>
      </c>
      <c r="C490" s="10" t="s">
        <v>76</v>
      </c>
      <c r="D490" s="11">
        <v>2024</v>
      </c>
      <c r="E490" s="10" t="s">
        <v>124</v>
      </c>
      <c r="F490" s="10" t="s">
        <v>83</v>
      </c>
      <c r="G490" s="10" t="s">
        <v>84</v>
      </c>
      <c r="H490" s="11">
        <v>4553</v>
      </c>
      <c r="I490" s="11">
        <v>426</v>
      </c>
      <c r="J490" s="11">
        <v>266</v>
      </c>
      <c r="K490" s="11">
        <v>9817</v>
      </c>
      <c r="L490" s="11">
        <v>9.3564682626839493E-2</v>
      </c>
      <c r="M490" s="11">
        <f t="shared" si="1"/>
        <v>9.3564682626839453</v>
      </c>
      <c r="N490" s="11">
        <v>0.62441314553990601</v>
      </c>
      <c r="O490" s="11">
        <v>2.1561607731166301</v>
      </c>
      <c r="P490" s="11">
        <v>0.68074324324324298</v>
      </c>
      <c r="Q490" s="11">
        <v>0.63636363636363602</v>
      </c>
      <c r="R490" s="11">
        <v>0.55928411633109598</v>
      </c>
      <c r="S490" s="10" t="s">
        <v>84</v>
      </c>
      <c r="T490" s="10" t="s">
        <v>84</v>
      </c>
      <c r="U490" s="10"/>
      <c r="V490" s="10"/>
      <c r="W490" s="10"/>
      <c r="X490" s="10"/>
      <c r="Y490" s="10"/>
      <c r="Z490" s="10"/>
      <c r="AA490" s="10"/>
    </row>
    <row r="491" spans="1:27" ht="12.5" x14ac:dyDescent="0.25">
      <c r="A491" s="10" t="s">
        <v>26</v>
      </c>
      <c r="B491" s="10" t="s">
        <v>594</v>
      </c>
      <c r="C491" s="10" t="s">
        <v>76</v>
      </c>
      <c r="D491" s="11">
        <v>2024</v>
      </c>
      <c r="E491" s="10" t="s">
        <v>81</v>
      </c>
      <c r="F491" s="10" t="s">
        <v>83</v>
      </c>
      <c r="G491" s="10" t="s">
        <v>84</v>
      </c>
      <c r="H491" s="11">
        <v>36355</v>
      </c>
      <c r="I491" s="11">
        <v>3398</v>
      </c>
      <c r="J491" s="11">
        <v>2845</v>
      </c>
      <c r="K491" s="11">
        <v>61949</v>
      </c>
      <c r="L491" s="11">
        <v>9.3468055453678603E-2</v>
      </c>
      <c r="M491" s="11">
        <f t="shared" si="1"/>
        <v>9.3467198459634169</v>
      </c>
      <c r="N491" s="11">
        <v>0.83725721012360199</v>
      </c>
      <c r="O491" s="11">
        <v>1.7040178243966799</v>
      </c>
      <c r="P491" s="11">
        <v>0.67989864864864902</v>
      </c>
      <c r="Q491" s="11">
        <v>0.34615384615384598</v>
      </c>
      <c r="R491" s="11">
        <v>0.74224806201550397</v>
      </c>
      <c r="S491" s="10" t="s">
        <v>84</v>
      </c>
      <c r="T491" s="10" t="s">
        <v>84</v>
      </c>
      <c r="U491" s="10"/>
      <c r="V491" s="10"/>
      <c r="W491" s="10"/>
      <c r="X491" s="10"/>
      <c r="Y491" s="10"/>
      <c r="Z491" s="10"/>
      <c r="AA491" s="10"/>
    </row>
    <row r="492" spans="1:27" ht="12.5" x14ac:dyDescent="0.25">
      <c r="A492" s="10" t="s">
        <v>58</v>
      </c>
      <c r="B492" s="10" t="s">
        <v>747</v>
      </c>
      <c r="C492" s="10" t="s">
        <v>76</v>
      </c>
      <c r="D492" s="11">
        <v>2024</v>
      </c>
      <c r="E492" s="10" t="s">
        <v>124</v>
      </c>
      <c r="F492" s="10" t="s">
        <v>83</v>
      </c>
      <c r="G492" s="10" t="s">
        <v>84</v>
      </c>
      <c r="H492" s="11">
        <v>6916</v>
      </c>
      <c r="I492" s="11">
        <v>646</v>
      </c>
      <c r="J492" s="11">
        <v>523</v>
      </c>
      <c r="K492" s="11">
        <v>4470</v>
      </c>
      <c r="L492" s="11">
        <v>9.3411095580083897E-2</v>
      </c>
      <c r="M492" s="11">
        <f t="shared" si="1"/>
        <v>9.3406593406593412</v>
      </c>
      <c r="N492" s="11">
        <v>0.80959752321981404</v>
      </c>
      <c r="O492" s="11">
        <v>0.64635850966404795</v>
      </c>
      <c r="P492" s="11">
        <v>0.67905405405405395</v>
      </c>
      <c r="Q492" s="11">
        <v>0.59459459459459496</v>
      </c>
      <c r="R492" s="11">
        <v>0.55704697986577201</v>
      </c>
      <c r="S492" s="10" t="s">
        <v>84</v>
      </c>
      <c r="T492" s="10" t="s">
        <v>84</v>
      </c>
      <c r="U492" s="10"/>
      <c r="V492" s="10"/>
      <c r="W492" s="10"/>
      <c r="X492" s="10"/>
      <c r="Y492" s="10"/>
      <c r="Z492" s="10"/>
      <c r="AA492" s="10"/>
    </row>
    <row r="493" spans="1:27" ht="12.5" hidden="1" x14ac:dyDescent="0.25">
      <c r="A493" s="10" t="s">
        <v>12</v>
      </c>
      <c r="B493" s="10" t="s">
        <v>1391</v>
      </c>
      <c r="C493" s="10" t="s">
        <v>191</v>
      </c>
      <c r="D493" s="11">
        <v>2024</v>
      </c>
      <c r="E493" s="10" t="s">
        <v>124</v>
      </c>
      <c r="F493" s="10" t="s">
        <v>125</v>
      </c>
      <c r="G493" s="10" t="s">
        <v>84</v>
      </c>
      <c r="H493" s="12">
        <v>1019</v>
      </c>
      <c r="I493" s="11">
        <v>95</v>
      </c>
      <c r="J493" s="11">
        <v>75</v>
      </c>
      <c r="K493" s="11">
        <v>1576</v>
      </c>
      <c r="L493" s="11">
        <v>9.3228655544651595E-2</v>
      </c>
      <c r="M493" s="11">
        <f t="shared" si="1"/>
        <v>9.322865554465162</v>
      </c>
      <c r="N493" s="11">
        <v>0.78947368421052599</v>
      </c>
      <c r="O493" s="11">
        <v>1.5466143277723301</v>
      </c>
      <c r="P493" s="11">
        <v>0.80514705882352999</v>
      </c>
      <c r="Q493" s="11">
        <v>0.65079365079365104</v>
      </c>
      <c r="R493" s="11">
        <v>0.71124031007751898</v>
      </c>
      <c r="S493" s="10" t="s">
        <v>84</v>
      </c>
      <c r="T493" s="10" t="s">
        <v>84</v>
      </c>
      <c r="U493" s="10"/>
      <c r="V493" s="10"/>
      <c r="W493" s="10"/>
      <c r="X493" s="10"/>
      <c r="Y493" s="10"/>
      <c r="Z493" s="10"/>
      <c r="AA493" s="10"/>
    </row>
    <row r="494" spans="1:27" ht="12.5" x14ac:dyDescent="0.25">
      <c r="A494" s="10" t="s">
        <v>109</v>
      </c>
      <c r="B494" s="10" t="s">
        <v>596</v>
      </c>
      <c r="C494" s="10" t="s">
        <v>76</v>
      </c>
      <c r="D494" s="11">
        <v>2024</v>
      </c>
      <c r="E494" s="10" t="s">
        <v>81</v>
      </c>
      <c r="F494" s="10" t="s">
        <v>83</v>
      </c>
      <c r="G494" s="10" t="s">
        <v>84</v>
      </c>
      <c r="H494" s="11">
        <v>20160</v>
      </c>
      <c r="I494" s="11">
        <v>1879</v>
      </c>
      <c r="J494" s="11">
        <v>1864</v>
      </c>
      <c r="K494" s="11">
        <v>2353</v>
      </c>
      <c r="L494" s="11">
        <v>9.3204750350323898E-2</v>
      </c>
      <c r="M494" s="11">
        <f t="shared" si="1"/>
        <v>9.3204365079365079</v>
      </c>
      <c r="N494" s="11">
        <v>0.99201703033528499</v>
      </c>
      <c r="O494" s="11">
        <v>0.11671675230139</v>
      </c>
      <c r="P494" s="11">
        <v>0.67820945945945899</v>
      </c>
      <c r="Q494" s="11">
        <v>0.72222222222222199</v>
      </c>
      <c r="R494" s="11">
        <v>0.74031007751938005</v>
      </c>
      <c r="S494" s="10" t="s">
        <v>84</v>
      </c>
      <c r="T494" s="10" t="s">
        <v>84</v>
      </c>
      <c r="U494" s="10"/>
      <c r="V494" s="10"/>
      <c r="W494" s="10"/>
      <c r="X494" s="10"/>
      <c r="Y494" s="10"/>
      <c r="Z494" s="10"/>
      <c r="AA494" s="10"/>
    </row>
    <row r="495" spans="1:27" ht="12.5" x14ac:dyDescent="0.25">
      <c r="A495" s="10" t="s">
        <v>34</v>
      </c>
      <c r="B495" s="10" t="s">
        <v>749</v>
      </c>
      <c r="C495" s="10" t="s">
        <v>76</v>
      </c>
      <c r="D495" s="11">
        <v>2024</v>
      </c>
      <c r="E495" s="10" t="s">
        <v>124</v>
      </c>
      <c r="F495" s="10" t="s">
        <v>83</v>
      </c>
      <c r="G495" s="10" t="s">
        <v>84</v>
      </c>
      <c r="H495" s="11">
        <v>5038</v>
      </c>
      <c r="I495" s="11">
        <v>468</v>
      </c>
      <c r="J495" s="11">
        <v>464</v>
      </c>
      <c r="K495" s="11">
        <v>15238</v>
      </c>
      <c r="L495" s="11">
        <v>9.2892469027573296E-2</v>
      </c>
      <c r="M495" s="11">
        <f t="shared" si="1"/>
        <v>9.2894005557761012</v>
      </c>
      <c r="N495" s="11">
        <v>0.99145299145299104</v>
      </c>
      <c r="O495" s="11">
        <v>3.0245629124832498</v>
      </c>
      <c r="P495" s="11">
        <v>0.67736486486486502</v>
      </c>
      <c r="Q495" s="11">
        <v>0.97959183673469397</v>
      </c>
      <c r="R495" s="11">
        <v>0.55480984340044703</v>
      </c>
      <c r="S495" s="10" t="s">
        <v>84</v>
      </c>
      <c r="T495" s="10" t="s">
        <v>84</v>
      </c>
      <c r="U495" s="10"/>
      <c r="V495" s="10"/>
      <c r="W495" s="10"/>
      <c r="X495" s="10"/>
      <c r="Y495" s="10"/>
      <c r="Z495" s="10"/>
      <c r="AA495" s="10"/>
    </row>
    <row r="496" spans="1:27" ht="12.5" x14ac:dyDescent="0.25">
      <c r="A496" s="10" t="s">
        <v>45</v>
      </c>
      <c r="B496" s="10" t="s">
        <v>751</v>
      </c>
      <c r="C496" s="10" t="s">
        <v>76</v>
      </c>
      <c r="D496" s="11">
        <v>2024</v>
      </c>
      <c r="E496" s="10" t="s">
        <v>124</v>
      </c>
      <c r="F496" s="10" t="s">
        <v>83</v>
      </c>
      <c r="G496" s="10" t="s">
        <v>84</v>
      </c>
      <c r="H496" s="11">
        <v>18868</v>
      </c>
      <c r="I496" s="11">
        <v>1748</v>
      </c>
      <c r="J496" s="11">
        <v>1429</v>
      </c>
      <c r="K496" s="11">
        <v>11347</v>
      </c>
      <c r="L496" s="11">
        <v>9.2641992756823596E-2</v>
      </c>
      <c r="M496" s="11">
        <f t="shared" si="1"/>
        <v>9.2643629425482299</v>
      </c>
      <c r="N496" s="11">
        <v>0.81750572082379902</v>
      </c>
      <c r="O496" s="11">
        <v>0.60137797014397998</v>
      </c>
      <c r="P496" s="11">
        <v>0.67652027027026995</v>
      </c>
      <c r="Q496" s="11">
        <v>0.8</v>
      </c>
      <c r="R496" s="11">
        <v>0.55257270693512295</v>
      </c>
      <c r="S496" s="10" t="s">
        <v>84</v>
      </c>
      <c r="T496" s="10" t="s">
        <v>84</v>
      </c>
      <c r="U496" s="10"/>
      <c r="V496" s="10"/>
      <c r="W496" s="10"/>
      <c r="X496" s="10"/>
      <c r="Y496" s="10"/>
      <c r="Z496" s="10"/>
      <c r="AA496" s="10"/>
    </row>
    <row r="497" spans="1:27" ht="12.5" hidden="1" x14ac:dyDescent="0.25">
      <c r="A497" s="10" t="s">
        <v>13</v>
      </c>
      <c r="B497" s="10" t="s">
        <v>1393</v>
      </c>
      <c r="C497" s="10" t="s">
        <v>191</v>
      </c>
      <c r="D497" s="11">
        <v>2024</v>
      </c>
      <c r="E497" s="10" t="s">
        <v>124</v>
      </c>
      <c r="F497" s="10" t="s">
        <v>125</v>
      </c>
      <c r="G497" s="10" t="s">
        <v>84</v>
      </c>
      <c r="H497" s="12">
        <v>3381</v>
      </c>
      <c r="I497" s="11">
        <v>313</v>
      </c>
      <c r="J497" s="11">
        <v>334</v>
      </c>
      <c r="K497" s="11">
        <v>0</v>
      </c>
      <c r="L497" s="11">
        <v>9.2589853571956801E-2</v>
      </c>
      <c r="M497" s="11">
        <f t="shared" si="1"/>
        <v>9.2576160899142259</v>
      </c>
      <c r="N497" s="11">
        <v>1.0670926517571899</v>
      </c>
      <c r="O497" s="11">
        <v>0</v>
      </c>
      <c r="P497" s="11">
        <v>0.80392156862745101</v>
      </c>
      <c r="Q497" s="11">
        <v>0.58620689655172398</v>
      </c>
      <c r="R497" s="11">
        <v>0.70930232558139505</v>
      </c>
      <c r="S497" s="10" t="s">
        <v>84</v>
      </c>
      <c r="T497" s="10" t="s">
        <v>84</v>
      </c>
      <c r="U497" s="10"/>
      <c r="V497" s="10"/>
      <c r="W497" s="10"/>
      <c r="X497" s="10"/>
      <c r="Y497" s="10"/>
      <c r="Z497" s="10"/>
      <c r="AA497" s="10"/>
    </row>
    <row r="498" spans="1:27" ht="12.5" x14ac:dyDescent="0.25">
      <c r="A498" s="10" t="s">
        <v>58</v>
      </c>
      <c r="B498" s="10" t="s">
        <v>598</v>
      </c>
      <c r="C498" s="10" t="s">
        <v>76</v>
      </c>
      <c r="D498" s="11">
        <v>2024</v>
      </c>
      <c r="E498" s="10" t="s">
        <v>81</v>
      </c>
      <c r="F498" s="10" t="s">
        <v>83</v>
      </c>
      <c r="G498" s="10" t="s">
        <v>84</v>
      </c>
      <c r="H498" s="11">
        <v>23979</v>
      </c>
      <c r="I498" s="11">
        <v>2218</v>
      </c>
      <c r="J498" s="11">
        <v>1876</v>
      </c>
      <c r="K498" s="11">
        <v>52608</v>
      </c>
      <c r="L498" s="11">
        <v>9.2496959165942694E-2</v>
      </c>
      <c r="M498" s="11">
        <f t="shared" si="1"/>
        <v>9.2497602068476592</v>
      </c>
      <c r="N498" s="11">
        <v>0.84580703336339003</v>
      </c>
      <c r="O498" s="11">
        <v>2.1939044309296301</v>
      </c>
      <c r="P498" s="11">
        <v>0.67567567567567599</v>
      </c>
      <c r="Q498" s="11">
        <v>0.56756756756756799</v>
      </c>
      <c r="R498" s="11">
        <v>0.73837209302325602</v>
      </c>
      <c r="S498" s="10" t="s">
        <v>84</v>
      </c>
      <c r="T498" s="10" t="s">
        <v>84</v>
      </c>
      <c r="U498" s="10"/>
      <c r="V498" s="10"/>
      <c r="W498" s="10"/>
      <c r="X498" s="10"/>
      <c r="Y498" s="10"/>
      <c r="Z498" s="10"/>
      <c r="AA498" s="10"/>
    </row>
    <row r="499" spans="1:27" ht="12.5" x14ac:dyDescent="0.25">
      <c r="A499" s="10" t="s">
        <v>52</v>
      </c>
      <c r="B499" s="10" t="s">
        <v>599</v>
      </c>
      <c r="C499" s="10" t="s">
        <v>76</v>
      </c>
      <c r="D499" s="11">
        <v>2024</v>
      </c>
      <c r="E499" s="10" t="s">
        <v>81</v>
      </c>
      <c r="F499" s="10" t="s">
        <v>83</v>
      </c>
      <c r="G499" s="10" t="s">
        <v>84</v>
      </c>
      <c r="H499" s="11">
        <v>72974</v>
      </c>
      <c r="I499" s="11">
        <v>6739</v>
      </c>
      <c r="J499" s="11">
        <v>6471</v>
      </c>
      <c r="K499" s="11">
        <v>15869</v>
      </c>
      <c r="L499" s="11">
        <v>9.2347959547236E-2</v>
      </c>
      <c r="M499" s="11">
        <f t="shared" si="1"/>
        <v>9.2347959547235998</v>
      </c>
      <c r="N499" s="11">
        <v>0.96023148835138705</v>
      </c>
      <c r="O499" s="11">
        <v>0.217461013511662</v>
      </c>
      <c r="P499" s="11">
        <v>0.67483108108108103</v>
      </c>
      <c r="Q499" s="11">
        <v>0.57446808510638303</v>
      </c>
      <c r="R499" s="11">
        <v>0.73643410852713198</v>
      </c>
      <c r="S499" s="10" t="s">
        <v>84</v>
      </c>
      <c r="T499" s="10" t="s">
        <v>84</v>
      </c>
      <c r="U499" s="10"/>
      <c r="V499" s="10"/>
      <c r="W499" s="10"/>
      <c r="X499" s="10"/>
      <c r="Y499" s="10"/>
      <c r="Z499" s="10"/>
      <c r="AA499" s="10"/>
    </row>
    <row r="500" spans="1:27" ht="12.5" x14ac:dyDescent="0.25">
      <c r="A500" s="10" t="s">
        <v>29</v>
      </c>
      <c r="B500" s="10" t="s">
        <v>754</v>
      </c>
      <c r="C500" s="10" t="s">
        <v>76</v>
      </c>
      <c r="D500" s="11">
        <v>2024</v>
      </c>
      <c r="E500" s="10" t="s">
        <v>124</v>
      </c>
      <c r="F500" s="10" t="s">
        <v>83</v>
      </c>
      <c r="G500" s="10" t="s">
        <v>84</v>
      </c>
      <c r="H500" s="11">
        <v>24081</v>
      </c>
      <c r="I500" s="11">
        <v>2220</v>
      </c>
      <c r="J500" s="11">
        <v>3789</v>
      </c>
      <c r="K500" s="11">
        <v>36022</v>
      </c>
      <c r="L500" s="11">
        <v>9.2187905528159905E-2</v>
      </c>
      <c r="M500" s="11">
        <f t="shared" si="1"/>
        <v>9.2188862588762923</v>
      </c>
      <c r="N500" s="11">
        <v>1.7067567567567601</v>
      </c>
      <c r="O500" s="11">
        <v>1.49585258240332</v>
      </c>
      <c r="P500" s="11">
        <v>0.67398648648648696</v>
      </c>
      <c r="Q500" s="11">
        <v>0.40816326530612201</v>
      </c>
      <c r="R500" s="11">
        <v>0.55033557046979897</v>
      </c>
      <c r="S500" s="10" t="s">
        <v>84</v>
      </c>
      <c r="T500" s="10" t="s">
        <v>84</v>
      </c>
      <c r="U500" s="10"/>
      <c r="V500" s="10"/>
      <c r="W500" s="10"/>
      <c r="X500" s="10"/>
      <c r="Y500" s="10"/>
      <c r="Z500" s="10"/>
      <c r="AA500" s="10"/>
    </row>
    <row r="501" spans="1:27" ht="12.5" x14ac:dyDescent="0.25">
      <c r="A501" s="10" t="s">
        <v>62</v>
      </c>
      <c r="B501" s="10" t="s">
        <v>601</v>
      </c>
      <c r="C501" s="10" t="s">
        <v>76</v>
      </c>
      <c r="D501" s="11">
        <v>2024</v>
      </c>
      <c r="E501" s="10" t="s">
        <v>81</v>
      </c>
      <c r="F501" s="10" t="s">
        <v>83</v>
      </c>
      <c r="G501" s="10" t="s">
        <v>84</v>
      </c>
      <c r="H501" s="11">
        <v>11781</v>
      </c>
      <c r="I501" s="11">
        <v>1081</v>
      </c>
      <c r="J501" s="11">
        <v>1016</v>
      </c>
      <c r="K501" s="11">
        <v>7075</v>
      </c>
      <c r="L501" s="11">
        <v>9.1758564344879806E-2</v>
      </c>
      <c r="M501" s="11">
        <f t="shared" si="1"/>
        <v>9.1757915287327041</v>
      </c>
      <c r="N501" s="11">
        <v>0.93987049028677105</v>
      </c>
      <c r="O501" s="11">
        <v>0.60054749559669196</v>
      </c>
      <c r="P501" s="11">
        <v>0.67145270270270296</v>
      </c>
      <c r="Q501" s="11">
        <v>0.80555555555555602</v>
      </c>
      <c r="R501" s="11">
        <v>0.73449612403100795</v>
      </c>
      <c r="S501" s="10" t="s">
        <v>84</v>
      </c>
      <c r="T501" s="10" t="s">
        <v>84</v>
      </c>
      <c r="U501" s="10"/>
      <c r="V501" s="10"/>
      <c r="W501" s="10"/>
      <c r="X501" s="10"/>
      <c r="Y501" s="10"/>
      <c r="Z501" s="10"/>
      <c r="AA501" s="10"/>
    </row>
    <row r="502" spans="1:27" ht="12.5" x14ac:dyDescent="0.25">
      <c r="A502" s="10" t="s">
        <v>58</v>
      </c>
      <c r="B502" s="10" t="s">
        <v>603</v>
      </c>
      <c r="C502" s="10" t="s">
        <v>76</v>
      </c>
      <c r="D502" s="11">
        <v>2024</v>
      </c>
      <c r="E502" s="10" t="s">
        <v>81</v>
      </c>
      <c r="F502" s="10" t="s">
        <v>125</v>
      </c>
      <c r="G502" s="10" t="s">
        <v>84</v>
      </c>
      <c r="H502" s="11">
        <v>13891</v>
      </c>
      <c r="I502" s="11">
        <v>1273</v>
      </c>
      <c r="J502" s="11">
        <v>1171</v>
      </c>
      <c r="K502" s="11">
        <v>19562</v>
      </c>
      <c r="L502" s="11">
        <v>9.1642070405298398E-2</v>
      </c>
      <c r="M502" s="11">
        <f t="shared" si="1"/>
        <v>9.1642070405298401</v>
      </c>
      <c r="N502" s="11">
        <v>0.91987431264729003</v>
      </c>
      <c r="O502" s="11">
        <v>1.4082499460082101</v>
      </c>
      <c r="P502" s="11">
        <v>0.670608108108108</v>
      </c>
      <c r="Q502" s="11">
        <v>0.54054054054054101</v>
      </c>
      <c r="R502" s="11">
        <v>0.73255813953488402</v>
      </c>
      <c r="S502" s="10" t="s">
        <v>84</v>
      </c>
      <c r="T502" s="10" t="s">
        <v>84</v>
      </c>
      <c r="U502" s="10"/>
      <c r="V502" s="10"/>
      <c r="W502" s="10"/>
      <c r="X502" s="10"/>
      <c r="Y502" s="10"/>
      <c r="Z502" s="10"/>
      <c r="AA502" s="10"/>
    </row>
    <row r="503" spans="1:27" ht="12.5" x14ac:dyDescent="0.25">
      <c r="A503" s="10" t="s">
        <v>92</v>
      </c>
      <c r="B503" s="10" t="s">
        <v>756</v>
      </c>
      <c r="C503" s="10" t="s">
        <v>76</v>
      </c>
      <c r="D503" s="11">
        <v>2024</v>
      </c>
      <c r="E503" s="10" t="s">
        <v>124</v>
      </c>
      <c r="F503" s="10" t="s">
        <v>83</v>
      </c>
      <c r="G503" s="10" t="s">
        <v>84</v>
      </c>
      <c r="H503" s="11">
        <v>23198</v>
      </c>
      <c r="I503" s="11">
        <v>2119</v>
      </c>
      <c r="J503" s="11">
        <v>2119</v>
      </c>
      <c r="K503" s="11">
        <v>43803</v>
      </c>
      <c r="L503" s="11">
        <v>9.13430970008514E-2</v>
      </c>
      <c r="M503" s="11">
        <f t="shared" si="1"/>
        <v>9.1344081386326401</v>
      </c>
      <c r="N503" s="11">
        <v>1</v>
      </c>
      <c r="O503" s="11">
        <v>1.88820277391614</v>
      </c>
      <c r="P503" s="11">
        <v>0.66976351351351304</v>
      </c>
      <c r="Q503" s="11">
        <v>0.94444444444444398</v>
      </c>
      <c r="R503" s="11">
        <v>0.548098434004474</v>
      </c>
      <c r="S503" s="10" t="s">
        <v>84</v>
      </c>
      <c r="T503" s="10" t="s">
        <v>84</v>
      </c>
      <c r="U503" s="10"/>
      <c r="V503" s="10"/>
      <c r="W503" s="10"/>
      <c r="X503" s="10"/>
      <c r="Y503" s="10"/>
      <c r="Z503" s="10"/>
      <c r="AA503" s="10"/>
    </row>
    <row r="504" spans="1:27" ht="12.5" x14ac:dyDescent="0.25">
      <c r="A504" s="10" t="s">
        <v>58</v>
      </c>
      <c r="B504" s="10" t="s">
        <v>759</v>
      </c>
      <c r="C504" s="10" t="s">
        <v>76</v>
      </c>
      <c r="D504" s="11">
        <v>2024</v>
      </c>
      <c r="E504" s="10" t="s">
        <v>124</v>
      </c>
      <c r="F504" s="10" t="s">
        <v>83</v>
      </c>
      <c r="G504" s="10" t="s">
        <v>84</v>
      </c>
      <c r="H504" s="11">
        <v>4816</v>
      </c>
      <c r="I504" s="11">
        <v>439</v>
      </c>
      <c r="J504" s="11">
        <v>364</v>
      </c>
      <c r="K504" s="11">
        <v>2970</v>
      </c>
      <c r="L504" s="11">
        <v>9.11607946286426E-2</v>
      </c>
      <c r="M504" s="11">
        <f t="shared" si="1"/>
        <v>9.1154485049833873</v>
      </c>
      <c r="N504" s="11">
        <v>0.82915717539863298</v>
      </c>
      <c r="O504" s="11">
        <v>0.61673703883159103</v>
      </c>
      <c r="P504" s="11">
        <v>0.66891891891891897</v>
      </c>
      <c r="Q504" s="11">
        <v>0.51351351351351304</v>
      </c>
      <c r="R504" s="11">
        <v>0.54586129753915003</v>
      </c>
      <c r="S504" s="10" t="s">
        <v>84</v>
      </c>
      <c r="T504" s="10" t="s">
        <v>84</v>
      </c>
      <c r="U504" s="10"/>
      <c r="V504" s="10"/>
      <c r="W504" s="10"/>
      <c r="X504" s="10"/>
      <c r="Y504" s="10"/>
      <c r="Z504" s="10"/>
      <c r="AA504" s="10"/>
    </row>
    <row r="505" spans="1:27" ht="12.5" x14ac:dyDescent="0.25">
      <c r="A505" s="10" t="s">
        <v>58</v>
      </c>
      <c r="B505" s="10" t="s">
        <v>760</v>
      </c>
      <c r="C505" s="10" t="s">
        <v>76</v>
      </c>
      <c r="D505" s="11">
        <v>2024</v>
      </c>
      <c r="E505" s="10" t="s">
        <v>124</v>
      </c>
      <c r="F505" s="10" t="s">
        <v>125</v>
      </c>
      <c r="G505" s="10" t="s">
        <v>84</v>
      </c>
      <c r="H505" s="11">
        <v>2601</v>
      </c>
      <c r="I505" s="11">
        <v>237</v>
      </c>
      <c r="J505" s="11">
        <v>198</v>
      </c>
      <c r="K505" s="11">
        <v>5289</v>
      </c>
      <c r="L505" s="11">
        <v>9.1121719906443202E-2</v>
      </c>
      <c r="M505" s="11">
        <f t="shared" si="1"/>
        <v>9.1118800461361023</v>
      </c>
      <c r="N505" s="11">
        <v>0.835443037974684</v>
      </c>
      <c r="O505" s="11">
        <v>2.03351382525392</v>
      </c>
      <c r="P505" s="11">
        <v>0.66807432432432401</v>
      </c>
      <c r="Q505" s="11">
        <v>0.48648648648648701</v>
      </c>
      <c r="R505" s="11">
        <v>0.54362416107382505</v>
      </c>
      <c r="S505" s="10" t="s">
        <v>84</v>
      </c>
      <c r="T505" s="10" t="s">
        <v>84</v>
      </c>
      <c r="U505" s="10"/>
      <c r="V505" s="10"/>
      <c r="W505" s="10"/>
      <c r="X505" s="10"/>
      <c r="Y505" s="10"/>
      <c r="Z505" s="10"/>
      <c r="AA505" s="10"/>
    </row>
    <row r="506" spans="1:27" ht="12.5" x14ac:dyDescent="0.25">
      <c r="A506" s="10" t="s">
        <v>36</v>
      </c>
      <c r="B506" s="10" t="s">
        <v>605</v>
      </c>
      <c r="C506" s="10" t="s">
        <v>76</v>
      </c>
      <c r="D506" s="11">
        <v>2024</v>
      </c>
      <c r="E506" s="10" t="s">
        <v>81</v>
      </c>
      <c r="F506" s="10" t="s">
        <v>83</v>
      </c>
      <c r="G506" s="10" t="s">
        <v>84</v>
      </c>
      <c r="H506" s="11">
        <v>10676</v>
      </c>
      <c r="I506" s="11">
        <v>972</v>
      </c>
      <c r="J506" s="11">
        <v>851</v>
      </c>
      <c r="K506" s="11">
        <v>0</v>
      </c>
      <c r="L506" s="11">
        <v>9.1043914014081198E-2</v>
      </c>
      <c r="M506" s="11">
        <f t="shared" si="1"/>
        <v>9.1045335331584862</v>
      </c>
      <c r="N506" s="11">
        <v>0.875514403292181</v>
      </c>
      <c r="O506" s="11">
        <v>0</v>
      </c>
      <c r="P506" s="11">
        <v>0.66722972972973005</v>
      </c>
      <c r="Q506" s="11">
        <v>0.42553191489361702</v>
      </c>
      <c r="R506" s="11">
        <v>0.73062015503875999</v>
      </c>
      <c r="S506" s="10" t="s">
        <v>84</v>
      </c>
      <c r="T506" s="10" t="s">
        <v>84</v>
      </c>
      <c r="U506" s="10"/>
      <c r="V506" s="10"/>
      <c r="W506" s="10"/>
      <c r="X506" s="10"/>
      <c r="Y506" s="10"/>
      <c r="Z506" s="10"/>
      <c r="AA506" s="10"/>
    </row>
    <row r="507" spans="1:27" ht="12.5" x14ac:dyDescent="0.25">
      <c r="A507" s="10" t="s">
        <v>49</v>
      </c>
      <c r="B507" s="10" t="s">
        <v>762</v>
      </c>
      <c r="C507" s="10" t="s">
        <v>76</v>
      </c>
      <c r="D507" s="11">
        <v>2024</v>
      </c>
      <c r="E507" s="10" t="s">
        <v>124</v>
      </c>
      <c r="F507" s="10" t="s">
        <v>83</v>
      </c>
      <c r="G507" s="10" t="s">
        <v>84</v>
      </c>
      <c r="H507" s="11">
        <v>11794</v>
      </c>
      <c r="I507" s="11">
        <v>1073</v>
      </c>
      <c r="J507" s="11">
        <v>831</v>
      </c>
      <c r="K507" s="11">
        <v>14692</v>
      </c>
      <c r="L507" s="11">
        <v>9.0975249588435197E-2</v>
      </c>
      <c r="M507" s="11">
        <f t="shared" si="1"/>
        <v>9.0978463625572328</v>
      </c>
      <c r="N507" s="11">
        <v>0.774464119291705</v>
      </c>
      <c r="O507" s="11">
        <v>1.2456741537309299</v>
      </c>
      <c r="P507" s="11">
        <v>0.66638513513513498</v>
      </c>
      <c r="Q507" s="11">
        <v>0.80769230769230804</v>
      </c>
      <c r="R507" s="11">
        <v>0.54138702460850097</v>
      </c>
      <c r="S507" s="10" t="s">
        <v>84</v>
      </c>
      <c r="T507" s="10" t="s">
        <v>84</v>
      </c>
      <c r="U507" s="10"/>
      <c r="V507" s="10"/>
      <c r="W507" s="10"/>
      <c r="X507" s="10"/>
      <c r="Y507" s="10"/>
      <c r="Z507" s="10"/>
      <c r="AA507" s="10"/>
    </row>
    <row r="508" spans="1:27" ht="12.5" hidden="1" x14ac:dyDescent="0.25">
      <c r="A508" s="10" t="s">
        <v>58</v>
      </c>
      <c r="B508" s="10" t="s">
        <v>1395</v>
      </c>
      <c r="C508" s="10" t="s">
        <v>191</v>
      </c>
      <c r="D508" s="11">
        <v>2024</v>
      </c>
      <c r="E508" s="10" t="s">
        <v>124</v>
      </c>
      <c r="F508" s="10" t="s">
        <v>125</v>
      </c>
      <c r="G508" s="10" t="s">
        <v>84</v>
      </c>
      <c r="H508" s="12">
        <v>583.5</v>
      </c>
      <c r="I508" s="11">
        <v>53</v>
      </c>
      <c r="J508" s="11">
        <v>47</v>
      </c>
      <c r="K508" s="11">
        <v>1248</v>
      </c>
      <c r="L508" s="11">
        <v>9.0831191088260502E-2</v>
      </c>
      <c r="M508" s="11">
        <f t="shared" si="1"/>
        <v>9.0831191088260503</v>
      </c>
      <c r="N508" s="11">
        <v>0.88679245283018904</v>
      </c>
      <c r="O508" s="11">
        <v>2.1388174807197902</v>
      </c>
      <c r="P508" s="11">
        <v>0.80269607843137303</v>
      </c>
      <c r="Q508" s="11">
        <v>0.62264150943396201</v>
      </c>
      <c r="R508" s="11">
        <v>0.70736434108527102</v>
      </c>
      <c r="S508" s="10" t="s">
        <v>84</v>
      </c>
      <c r="T508" s="10" t="s">
        <v>84</v>
      </c>
      <c r="U508" s="10"/>
      <c r="V508" s="10"/>
      <c r="W508" s="10"/>
      <c r="X508" s="10"/>
      <c r="Y508" s="10"/>
      <c r="Z508" s="10"/>
      <c r="AA508" s="10"/>
    </row>
    <row r="509" spans="1:27" ht="12.5" x14ac:dyDescent="0.25">
      <c r="A509" s="10" t="s">
        <v>16</v>
      </c>
      <c r="B509" s="10" t="s">
        <v>606</v>
      </c>
      <c r="C509" s="10" t="s">
        <v>76</v>
      </c>
      <c r="D509" s="11">
        <v>2024</v>
      </c>
      <c r="E509" s="10" t="s">
        <v>81</v>
      </c>
      <c r="F509" s="10" t="s">
        <v>83</v>
      </c>
      <c r="G509" s="10" t="s">
        <v>84</v>
      </c>
      <c r="H509" s="11">
        <v>227666</v>
      </c>
      <c r="I509" s="11">
        <v>20633</v>
      </c>
      <c r="J509" s="11">
        <v>18513</v>
      </c>
      <c r="K509" s="11">
        <v>133745</v>
      </c>
      <c r="L509" s="11">
        <v>9.0628575695483105E-2</v>
      </c>
      <c r="M509" s="11">
        <f t="shared" si="1"/>
        <v>9.0628376657032668</v>
      </c>
      <c r="N509" s="11">
        <v>0.89725197499151799</v>
      </c>
      <c r="O509" s="11">
        <v>0.58746274688083999</v>
      </c>
      <c r="P509" s="11">
        <v>0.66554054054054101</v>
      </c>
      <c r="Q509" s="11">
        <v>0.33333333333333298</v>
      </c>
      <c r="R509" s="11">
        <v>0.72868217054263595</v>
      </c>
      <c r="S509" s="10" t="s">
        <v>84</v>
      </c>
      <c r="T509" s="10" t="s">
        <v>84</v>
      </c>
      <c r="U509" s="10"/>
      <c r="V509" s="10"/>
      <c r="W509" s="10"/>
      <c r="X509" s="10"/>
      <c r="Y509" s="10"/>
      <c r="Z509" s="10"/>
      <c r="AA509" s="10"/>
    </row>
    <row r="510" spans="1:27" ht="12.5" hidden="1" x14ac:dyDescent="0.25">
      <c r="A510" s="10" t="s">
        <v>13</v>
      </c>
      <c r="B510" s="10" t="s">
        <v>1396</v>
      </c>
      <c r="C510" s="10" t="s">
        <v>191</v>
      </c>
      <c r="D510" s="11">
        <v>2024</v>
      </c>
      <c r="E510" s="10" t="s">
        <v>124</v>
      </c>
      <c r="F510" s="10" t="s">
        <v>125</v>
      </c>
      <c r="G510" s="10" t="s">
        <v>84</v>
      </c>
      <c r="H510" s="12">
        <v>265.16666666666703</v>
      </c>
      <c r="I510" s="11">
        <v>24</v>
      </c>
      <c r="J510" s="11">
        <v>23</v>
      </c>
      <c r="K510" s="11">
        <v>32</v>
      </c>
      <c r="L510" s="11">
        <v>9.0509113764927707E-2</v>
      </c>
      <c r="M510" s="11">
        <f t="shared" si="1"/>
        <v>9.0509113764927598</v>
      </c>
      <c r="N510" s="11">
        <v>0.95833333333333304</v>
      </c>
      <c r="O510" s="11">
        <v>0.120678818353237</v>
      </c>
      <c r="P510" s="11">
        <v>0.80147058823529405</v>
      </c>
      <c r="Q510" s="11">
        <v>0.568965517241379</v>
      </c>
      <c r="R510" s="11">
        <v>0.70542635658914699</v>
      </c>
      <c r="S510" s="10" t="s">
        <v>84</v>
      </c>
      <c r="T510" s="10" t="s">
        <v>84</v>
      </c>
      <c r="U510" s="10"/>
      <c r="V510" s="10"/>
      <c r="W510" s="10"/>
      <c r="X510" s="10"/>
      <c r="Y510" s="10"/>
      <c r="Z510" s="10"/>
      <c r="AA510" s="10"/>
    </row>
    <row r="511" spans="1:27" ht="12.5" x14ac:dyDescent="0.25">
      <c r="A511" s="10" t="s">
        <v>55</v>
      </c>
      <c r="B511" s="10" t="s">
        <v>765</v>
      </c>
      <c r="C511" s="10" t="s">
        <v>76</v>
      </c>
      <c r="D511" s="11">
        <v>2024</v>
      </c>
      <c r="E511" s="10" t="s">
        <v>124</v>
      </c>
      <c r="F511" s="10" t="s">
        <v>125</v>
      </c>
      <c r="G511" s="10" t="s">
        <v>84</v>
      </c>
      <c r="H511" s="11">
        <v>1549</v>
      </c>
      <c r="I511" s="11">
        <v>140</v>
      </c>
      <c r="J511" s="11">
        <v>85</v>
      </c>
      <c r="K511" s="11">
        <v>2553</v>
      </c>
      <c r="L511" s="11">
        <v>9.0366306277230898E-2</v>
      </c>
      <c r="M511" s="11">
        <f t="shared" si="1"/>
        <v>9.0380890897353119</v>
      </c>
      <c r="N511" s="11">
        <v>0.60714285714285698</v>
      </c>
      <c r="O511" s="11">
        <v>1.64789414232693</v>
      </c>
      <c r="P511" s="11">
        <v>0.66469594594594605</v>
      </c>
      <c r="Q511" s="11">
        <v>0.59090909090909105</v>
      </c>
      <c r="R511" s="11">
        <v>0.53914988814317699</v>
      </c>
      <c r="S511" s="10" t="s">
        <v>84</v>
      </c>
      <c r="T511" s="10" t="s">
        <v>84</v>
      </c>
      <c r="U511" s="10"/>
      <c r="V511" s="10"/>
      <c r="W511" s="10"/>
      <c r="X511" s="10"/>
      <c r="Y511" s="10"/>
      <c r="Z511" s="10"/>
      <c r="AA511" s="10"/>
    </row>
    <row r="512" spans="1:27" ht="12.5" x14ac:dyDescent="0.25">
      <c r="A512" s="10" t="s">
        <v>58</v>
      </c>
      <c r="B512" s="10" t="s">
        <v>768</v>
      </c>
      <c r="C512" s="10" t="s">
        <v>76</v>
      </c>
      <c r="D512" s="11">
        <v>2024</v>
      </c>
      <c r="E512" s="10" t="s">
        <v>124</v>
      </c>
      <c r="F512" s="10" t="s">
        <v>83</v>
      </c>
      <c r="G512" s="10" t="s">
        <v>84</v>
      </c>
      <c r="H512" s="11">
        <v>18858</v>
      </c>
      <c r="I512" s="11">
        <v>1701</v>
      </c>
      <c r="J512" s="11">
        <v>1385</v>
      </c>
      <c r="K512" s="11">
        <v>41139</v>
      </c>
      <c r="L512" s="11">
        <v>9.02024384531422E-2</v>
      </c>
      <c r="M512" s="11">
        <f t="shared" ref="M512:M766" si="2">(I512/H512)*100</f>
        <v>9.0200445434298437</v>
      </c>
      <c r="N512" s="11">
        <v>0.81422692533803598</v>
      </c>
      <c r="O512" s="11">
        <v>2.1815626781445099</v>
      </c>
      <c r="P512" s="11">
        <v>0.66385135135135098</v>
      </c>
      <c r="Q512" s="11">
        <v>0.45945945945945998</v>
      </c>
      <c r="R512" s="11">
        <v>0.53691275167785202</v>
      </c>
      <c r="S512" s="10" t="s">
        <v>84</v>
      </c>
      <c r="T512" s="10" t="s">
        <v>84</v>
      </c>
      <c r="U512" s="10"/>
      <c r="V512" s="10"/>
      <c r="W512" s="10"/>
      <c r="X512" s="10"/>
      <c r="Y512" s="10"/>
      <c r="Z512" s="10"/>
      <c r="AA512" s="10"/>
    </row>
    <row r="513" spans="1:27" ht="12.5" hidden="1" x14ac:dyDescent="0.25">
      <c r="A513" s="10" t="s">
        <v>36</v>
      </c>
      <c r="B513" s="10" t="s">
        <v>1397</v>
      </c>
      <c r="C513" s="10" t="s">
        <v>191</v>
      </c>
      <c r="D513" s="11">
        <v>2024</v>
      </c>
      <c r="E513" s="10" t="s">
        <v>124</v>
      </c>
      <c r="F513" s="10" t="s">
        <v>125</v>
      </c>
      <c r="G513" s="10" t="s">
        <v>84</v>
      </c>
      <c r="H513" s="12">
        <v>45458</v>
      </c>
      <c r="I513" s="11">
        <v>4100</v>
      </c>
      <c r="J513" s="11">
        <v>4100</v>
      </c>
      <c r="K513" s="11">
        <v>0</v>
      </c>
      <c r="L513" s="11">
        <v>9.0193145320955598E-2</v>
      </c>
      <c r="M513" s="11">
        <f t="shared" si="2"/>
        <v>9.0193145320955619</v>
      </c>
      <c r="N513" s="11">
        <v>1</v>
      </c>
      <c r="O513" s="11">
        <v>0</v>
      </c>
      <c r="P513" s="11">
        <v>0.80024509803921595</v>
      </c>
      <c r="Q513" s="11">
        <v>0.6</v>
      </c>
      <c r="R513" s="11">
        <v>0.70348837209302295</v>
      </c>
      <c r="S513" s="10" t="s">
        <v>84</v>
      </c>
      <c r="T513" s="10" t="s">
        <v>84</v>
      </c>
      <c r="U513" s="10"/>
      <c r="V513" s="10"/>
      <c r="W513" s="10"/>
      <c r="X513" s="10"/>
      <c r="Y513" s="10"/>
      <c r="Z513" s="10"/>
      <c r="AA513" s="10"/>
    </row>
    <row r="514" spans="1:27" ht="12.5" x14ac:dyDescent="0.25">
      <c r="A514" s="10" t="s">
        <v>12</v>
      </c>
      <c r="B514" s="10" t="s">
        <v>608</v>
      </c>
      <c r="C514" s="10" t="s">
        <v>76</v>
      </c>
      <c r="D514" s="11">
        <v>2024</v>
      </c>
      <c r="E514" s="10" t="s">
        <v>81</v>
      </c>
      <c r="F514" s="10" t="s">
        <v>83</v>
      </c>
      <c r="G514" s="10" t="s">
        <v>84</v>
      </c>
      <c r="H514" s="11">
        <v>2917</v>
      </c>
      <c r="I514" s="11">
        <v>263</v>
      </c>
      <c r="J514" s="11">
        <v>257</v>
      </c>
      <c r="K514" s="11">
        <v>4918</v>
      </c>
      <c r="L514" s="11">
        <v>9.0161124442920806E-2</v>
      </c>
      <c r="M514" s="11">
        <f t="shared" si="2"/>
        <v>9.0161124442920801</v>
      </c>
      <c r="N514" s="11">
        <v>0.97718631178707205</v>
      </c>
      <c r="O514" s="11">
        <v>1.68597874528625</v>
      </c>
      <c r="P514" s="11">
        <v>0.66300675675675702</v>
      </c>
      <c r="Q514" s="11">
        <v>0.58333333333333304</v>
      </c>
      <c r="R514" s="11">
        <v>0.72674418604651203</v>
      </c>
      <c r="S514" s="10" t="s">
        <v>84</v>
      </c>
      <c r="T514" s="10" t="s">
        <v>84</v>
      </c>
      <c r="U514" s="10"/>
      <c r="V514" s="10"/>
      <c r="W514" s="10"/>
      <c r="X514" s="10"/>
      <c r="Y514" s="10"/>
      <c r="Z514" s="10"/>
      <c r="AA514" s="10"/>
    </row>
    <row r="515" spans="1:27" ht="12.5" hidden="1" x14ac:dyDescent="0.25">
      <c r="A515" s="10" t="s">
        <v>19</v>
      </c>
      <c r="B515" s="10" t="s">
        <v>1398</v>
      </c>
      <c r="C515" s="10" t="s">
        <v>191</v>
      </c>
      <c r="D515" s="11">
        <v>2024</v>
      </c>
      <c r="E515" s="10" t="s">
        <v>124</v>
      </c>
      <c r="F515" s="10" t="s">
        <v>125</v>
      </c>
      <c r="G515" s="10" t="s">
        <v>84</v>
      </c>
      <c r="H515" s="12">
        <v>400</v>
      </c>
      <c r="I515" s="11">
        <v>36</v>
      </c>
      <c r="J515" s="11">
        <v>24</v>
      </c>
      <c r="K515" s="11">
        <v>192</v>
      </c>
      <c r="L515" s="11">
        <v>0.09</v>
      </c>
      <c r="M515" s="11">
        <f t="shared" si="2"/>
        <v>9</v>
      </c>
      <c r="N515" s="11">
        <v>0.66666666666666696</v>
      </c>
      <c r="O515" s="11">
        <v>0.48</v>
      </c>
      <c r="P515" s="11">
        <v>0.79901960784313697</v>
      </c>
      <c r="Q515" s="11">
        <v>0.54545454545454497</v>
      </c>
      <c r="R515" s="11">
        <v>0.70155038759689903</v>
      </c>
      <c r="S515" s="10" t="s">
        <v>84</v>
      </c>
      <c r="T515" s="10" t="s">
        <v>84</v>
      </c>
      <c r="U515" s="10"/>
      <c r="V515" s="10"/>
      <c r="W515" s="10"/>
      <c r="X515" s="10"/>
      <c r="Y515" s="10"/>
      <c r="Z515" s="10"/>
      <c r="AA515" s="10"/>
    </row>
    <row r="516" spans="1:27" ht="12.5" hidden="1" x14ac:dyDescent="0.25">
      <c r="A516" s="10" t="s">
        <v>58</v>
      </c>
      <c r="B516" s="10" t="s">
        <v>1399</v>
      </c>
      <c r="C516" s="10" t="s">
        <v>191</v>
      </c>
      <c r="D516" s="11">
        <v>2024</v>
      </c>
      <c r="E516" s="10" t="s">
        <v>124</v>
      </c>
      <c r="F516" s="10" t="s">
        <v>125</v>
      </c>
      <c r="G516" s="10" t="s">
        <v>84</v>
      </c>
      <c r="H516" s="12">
        <v>1068</v>
      </c>
      <c r="I516" s="11">
        <v>96</v>
      </c>
      <c r="J516" s="11">
        <v>82</v>
      </c>
      <c r="K516" s="11">
        <v>413</v>
      </c>
      <c r="L516" s="11">
        <v>8.98876404494382E-2</v>
      </c>
      <c r="M516" s="11">
        <f t="shared" si="2"/>
        <v>8.9887640449438209</v>
      </c>
      <c r="N516" s="11">
        <v>0.85416666666666696</v>
      </c>
      <c r="O516" s="11">
        <v>0.38670411985018699</v>
      </c>
      <c r="P516" s="11">
        <v>0.79779411764705899</v>
      </c>
      <c r="Q516" s="11">
        <v>0.60377358490566002</v>
      </c>
      <c r="R516" s="11">
        <v>0.69961240310077499</v>
      </c>
      <c r="S516" s="10" t="s">
        <v>84</v>
      </c>
      <c r="T516" s="10" t="s">
        <v>84</v>
      </c>
      <c r="U516" s="10"/>
      <c r="V516" s="10"/>
      <c r="W516" s="10"/>
      <c r="X516" s="10"/>
      <c r="Y516" s="10"/>
      <c r="Z516" s="10"/>
      <c r="AA516" s="10"/>
    </row>
    <row r="517" spans="1:27" ht="12.5" x14ac:dyDescent="0.25">
      <c r="A517" s="10" t="s">
        <v>42</v>
      </c>
      <c r="B517" s="10" t="s">
        <v>770</v>
      </c>
      <c r="C517" s="10" t="s">
        <v>76</v>
      </c>
      <c r="D517" s="11">
        <v>2024</v>
      </c>
      <c r="E517" s="10" t="s">
        <v>124</v>
      </c>
      <c r="F517" s="10" t="s">
        <v>83</v>
      </c>
      <c r="G517" s="10" t="s">
        <v>84</v>
      </c>
      <c r="H517" s="11">
        <v>4989</v>
      </c>
      <c r="I517" s="11">
        <v>448</v>
      </c>
      <c r="J517" s="11">
        <v>379</v>
      </c>
      <c r="K517" s="11">
        <v>9580</v>
      </c>
      <c r="L517" s="11">
        <v>8.9793055068397007E-2</v>
      </c>
      <c r="M517" s="11">
        <f t="shared" si="2"/>
        <v>8.9797554620164366</v>
      </c>
      <c r="N517" s="11">
        <v>0.84598214285714302</v>
      </c>
      <c r="O517" s="11">
        <v>1.9201282757929501</v>
      </c>
      <c r="P517" s="11">
        <v>0.66216216216216195</v>
      </c>
      <c r="Q517" s="11">
        <v>0.66666666666666696</v>
      </c>
      <c r="R517" s="11">
        <v>0.53467561521252804</v>
      </c>
      <c r="S517" s="10" t="s">
        <v>84</v>
      </c>
      <c r="T517" s="10" t="s">
        <v>84</v>
      </c>
      <c r="U517" s="10"/>
      <c r="V517" s="10"/>
      <c r="W517" s="10"/>
      <c r="X517" s="10"/>
      <c r="Y517" s="10"/>
      <c r="Z517" s="10"/>
      <c r="AA517" s="10"/>
    </row>
    <row r="518" spans="1:27" ht="12.5" x14ac:dyDescent="0.25">
      <c r="A518" s="10" t="s">
        <v>14</v>
      </c>
      <c r="B518" s="10" t="s">
        <v>772</v>
      </c>
      <c r="C518" s="10" t="s">
        <v>76</v>
      </c>
      <c r="D518" s="11">
        <v>2024</v>
      </c>
      <c r="E518" s="10" t="s">
        <v>124</v>
      </c>
      <c r="F518" s="10" t="s">
        <v>83</v>
      </c>
      <c r="G518" s="10" t="s">
        <v>84</v>
      </c>
      <c r="H518" s="11">
        <v>71737</v>
      </c>
      <c r="I518" s="11">
        <v>6423</v>
      </c>
      <c r="J518" s="11">
        <v>6557</v>
      </c>
      <c r="K518" s="11">
        <v>0</v>
      </c>
      <c r="L518" s="11">
        <v>8.95351781851806E-2</v>
      </c>
      <c r="M518" s="11">
        <f t="shared" si="2"/>
        <v>8.9535386202378131</v>
      </c>
      <c r="N518" s="11">
        <v>1.0208625252996999</v>
      </c>
      <c r="O518" s="11">
        <v>0</v>
      </c>
      <c r="P518" s="11">
        <v>0.66131756756756799</v>
      </c>
      <c r="Q518" s="11">
        <v>0.32142857142857101</v>
      </c>
      <c r="R518" s="11">
        <v>0.53243847874720396</v>
      </c>
      <c r="S518" s="10" t="s">
        <v>84</v>
      </c>
      <c r="T518" s="10" t="s">
        <v>84</v>
      </c>
      <c r="U518" s="10"/>
      <c r="V518" s="10"/>
      <c r="W518" s="10"/>
      <c r="X518" s="10"/>
      <c r="Y518" s="10"/>
      <c r="Z518" s="10"/>
      <c r="AA518" s="10"/>
    </row>
    <row r="519" spans="1:27" ht="12.5" hidden="1" x14ac:dyDescent="0.25">
      <c r="A519" s="10" t="s">
        <v>62</v>
      </c>
      <c r="B519" s="10" t="s">
        <v>1400</v>
      </c>
      <c r="C519" s="10" t="s">
        <v>191</v>
      </c>
      <c r="D519" s="11">
        <v>2024</v>
      </c>
      <c r="E519" s="10" t="s">
        <v>81</v>
      </c>
      <c r="F519" s="10" t="s">
        <v>125</v>
      </c>
      <c r="G519" s="10" t="s">
        <v>84</v>
      </c>
      <c r="H519" s="12">
        <v>1788</v>
      </c>
      <c r="I519" s="11">
        <v>160</v>
      </c>
      <c r="J519" s="11">
        <v>113</v>
      </c>
      <c r="K519" s="11">
        <v>728</v>
      </c>
      <c r="L519" s="11">
        <v>8.9493800689847997E-2</v>
      </c>
      <c r="M519" s="11">
        <f t="shared" si="2"/>
        <v>8.9485458612975393</v>
      </c>
      <c r="N519" s="11">
        <v>0.70625000000000004</v>
      </c>
      <c r="O519" s="11">
        <v>0.40719679313880902</v>
      </c>
      <c r="P519" s="11">
        <v>0.79534313725490202</v>
      </c>
      <c r="Q519" s="11">
        <v>1</v>
      </c>
      <c r="R519" s="11">
        <v>0.95833333333333304</v>
      </c>
      <c r="S519" s="10" t="s">
        <v>84</v>
      </c>
      <c r="T519" s="10" t="s">
        <v>84</v>
      </c>
      <c r="U519" s="10"/>
      <c r="V519" s="10"/>
      <c r="W519" s="10"/>
      <c r="X519" s="10"/>
      <c r="Y519" s="10"/>
      <c r="Z519" s="10"/>
      <c r="AA519" s="10"/>
    </row>
    <row r="520" spans="1:27" ht="12.5" hidden="1" x14ac:dyDescent="0.25">
      <c r="A520" s="10" t="s">
        <v>53</v>
      </c>
      <c r="B520" s="10" t="s">
        <v>1401</v>
      </c>
      <c r="C520" s="10" t="s">
        <v>191</v>
      </c>
      <c r="D520" s="11">
        <v>2024</v>
      </c>
      <c r="E520" s="10" t="s">
        <v>124</v>
      </c>
      <c r="F520" s="10" t="s">
        <v>125</v>
      </c>
      <c r="G520" s="10" t="s">
        <v>84</v>
      </c>
      <c r="H520" s="12">
        <v>89.6666666666667</v>
      </c>
      <c r="I520" s="11">
        <v>8</v>
      </c>
      <c r="J520" s="11">
        <v>8</v>
      </c>
      <c r="K520" s="11">
        <v>32</v>
      </c>
      <c r="L520" s="11">
        <v>8.9219330855018597E-2</v>
      </c>
      <c r="M520" s="11">
        <f t="shared" si="2"/>
        <v>8.9219330855018555</v>
      </c>
      <c r="N520" s="11">
        <v>1</v>
      </c>
      <c r="O520" s="11">
        <v>0.356877323420074</v>
      </c>
      <c r="P520" s="11">
        <v>0.79411764705882304</v>
      </c>
      <c r="Q520" s="11">
        <v>1</v>
      </c>
      <c r="R520" s="11">
        <v>0.69767441860465096</v>
      </c>
      <c r="S520" s="10" t="s">
        <v>84</v>
      </c>
      <c r="T520" s="10" t="s">
        <v>84</v>
      </c>
      <c r="U520" s="10"/>
      <c r="V520" s="10"/>
      <c r="W520" s="10"/>
      <c r="X520" s="10"/>
      <c r="Y520" s="10"/>
      <c r="Z520" s="10"/>
      <c r="AA520" s="10"/>
    </row>
    <row r="521" spans="1:27" ht="12.5" x14ac:dyDescent="0.25">
      <c r="A521" s="10" t="s">
        <v>86</v>
      </c>
      <c r="B521" s="10" t="s">
        <v>611</v>
      </c>
      <c r="C521" s="10" t="s">
        <v>76</v>
      </c>
      <c r="D521" s="11">
        <v>2024</v>
      </c>
      <c r="E521" s="10" t="s">
        <v>81</v>
      </c>
      <c r="F521" s="10" t="s">
        <v>83</v>
      </c>
      <c r="G521" s="10" t="s">
        <v>84</v>
      </c>
      <c r="H521" s="11">
        <v>41496</v>
      </c>
      <c r="I521" s="11">
        <v>3693</v>
      </c>
      <c r="J521" s="11">
        <v>3289</v>
      </c>
      <c r="K521" s="11">
        <v>79029</v>
      </c>
      <c r="L521" s="11">
        <v>8.8996172337203805E-2</v>
      </c>
      <c r="M521" s="11">
        <f t="shared" si="2"/>
        <v>8.8996529786003471</v>
      </c>
      <c r="N521" s="11">
        <v>0.890603845112375</v>
      </c>
      <c r="O521" s="11">
        <v>1.9044891696823401</v>
      </c>
      <c r="P521" s="11">
        <v>0.66047297297297303</v>
      </c>
      <c r="Q521" s="11">
        <v>0.47826086956521702</v>
      </c>
      <c r="R521" s="11">
        <v>0.724806201550388</v>
      </c>
      <c r="S521" s="10" t="s">
        <v>84</v>
      </c>
      <c r="T521" s="10" t="s">
        <v>84</v>
      </c>
      <c r="U521" s="10"/>
      <c r="V521" s="10"/>
      <c r="W521" s="10"/>
      <c r="X521" s="10"/>
      <c r="Y521" s="10"/>
      <c r="Z521" s="10"/>
      <c r="AA521" s="10"/>
    </row>
    <row r="522" spans="1:27" ht="12.5" x14ac:dyDescent="0.25">
      <c r="A522" s="10" t="s">
        <v>32</v>
      </c>
      <c r="B522" s="10" t="s">
        <v>775</v>
      </c>
      <c r="C522" s="10" t="s">
        <v>76</v>
      </c>
      <c r="D522" s="11">
        <v>2024</v>
      </c>
      <c r="E522" s="10" t="s">
        <v>124</v>
      </c>
      <c r="F522" s="10" t="s">
        <v>125</v>
      </c>
      <c r="G522" s="10" t="s">
        <v>84</v>
      </c>
      <c r="H522" s="11">
        <v>2663</v>
      </c>
      <c r="I522" s="11">
        <v>236</v>
      </c>
      <c r="J522" s="11">
        <v>181</v>
      </c>
      <c r="K522" s="11">
        <v>55</v>
      </c>
      <c r="L522" s="11">
        <v>8.8619081891291404E-2</v>
      </c>
      <c r="M522" s="11">
        <f t="shared" si="2"/>
        <v>8.8621855050694709</v>
      </c>
      <c r="N522" s="11">
        <v>0.76694915254237295</v>
      </c>
      <c r="O522" s="11">
        <v>2.0652752135682299E-2</v>
      </c>
      <c r="P522" s="11">
        <v>0.65962837837837796</v>
      </c>
      <c r="Q522" s="11">
        <v>0.41379310344827602</v>
      </c>
      <c r="R522" s="11">
        <v>0.53020134228187898</v>
      </c>
      <c r="S522" s="10" t="s">
        <v>84</v>
      </c>
      <c r="T522" s="10" t="s">
        <v>84</v>
      </c>
      <c r="U522" s="10"/>
      <c r="V522" s="10"/>
      <c r="W522" s="10"/>
      <c r="X522" s="10"/>
      <c r="Y522" s="10"/>
      <c r="Z522" s="10"/>
      <c r="AA522" s="10"/>
    </row>
    <row r="523" spans="1:27" ht="12.5" x14ac:dyDescent="0.25">
      <c r="A523" s="10" t="s">
        <v>36</v>
      </c>
      <c r="B523" s="10" t="s">
        <v>612</v>
      </c>
      <c r="C523" s="10" t="s">
        <v>76</v>
      </c>
      <c r="D523" s="11">
        <v>2024</v>
      </c>
      <c r="E523" s="10" t="s">
        <v>81</v>
      </c>
      <c r="F523" s="10" t="s">
        <v>83</v>
      </c>
      <c r="G523" s="10" t="s">
        <v>84</v>
      </c>
      <c r="H523" s="11">
        <v>15200</v>
      </c>
      <c r="I523" s="11">
        <v>1343</v>
      </c>
      <c r="J523" s="11">
        <v>1176</v>
      </c>
      <c r="K523" s="11">
        <v>38838</v>
      </c>
      <c r="L523" s="11">
        <v>8.83562319762278E-2</v>
      </c>
      <c r="M523" s="11">
        <f t="shared" si="2"/>
        <v>8.8355263157894743</v>
      </c>
      <c r="N523" s="11">
        <v>0.87565152643335797</v>
      </c>
      <c r="O523" s="11">
        <v>2.5551595960481999</v>
      </c>
      <c r="P523" s="11">
        <v>0.65878378378378399</v>
      </c>
      <c r="Q523" s="11">
        <v>0.40425531914893598</v>
      </c>
      <c r="R523" s="11">
        <v>0.72286821705426396</v>
      </c>
      <c r="S523" s="10" t="s">
        <v>84</v>
      </c>
      <c r="T523" s="10" t="s">
        <v>84</v>
      </c>
      <c r="U523" s="10"/>
      <c r="V523" s="10"/>
      <c r="W523" s="10"/>
      <c r="X523" s="10"/>
      <c r="Y523" s="10"/>
      <c r="Z523" s="10"/>
      <c r="AA523" s="10"/>
    </row>
    <row r="524" spans="1:27" ht="12.5" x14ac:dyDescent="0.25">
      <c r="A524" s="10" t="s">
        <v>19</v>
      </c>
      <c r="B524" s="10" t="s">
        <v>614</v>
      </c>
      <c r="C524" s="10" t="s">
        <v>76</v>
      </c>
      <c r="D524" s="11">
        <v>2024</v>
      </c>
      <c r="E524" s="10" t="s">
        <v>81</v>
      </c>
      <c r="F524" s="10" t="s">
        <v>83</v>
      </c>
      <c r="G524" s="10" t="s">
        <v>84</v>
      </c>
      <c r="H524" s="11">
        <v>9488</v>
      </c>
      <c r="I524" s="11">
        <v>838</v>
      </c>
      <c r="J524" s="11">
        <v>620</v>
      </c>
      <c r="K524" s="11">
        <v>0</v>
      </c>
      <c r="L524" s="11">
        <v>8.8322091062394595E-2</v>
      </c>
      <c r="M524" s="11">
        <f t="shared" si="2"/>
        <v>8.8322091062394605</v>
      </c>
      <c r="N524" s="11">
        <v>0.73985680190930803</v>
      </c>
      <c r="O524" s="11">
        <v>0</v>
      </c>
      <c r="P524" s="11">
        <v>0.65793918918918903</v>
      </c>
      <c r="Q524" s="11">
        <v>0.44444444444444398</v>
      </c>
      <c r="R524" s="11">
        <v>0.72093023255814004</v>
      </c>
      <c r="S524" s="10" t="s">
        <v>84</v>
      </c>
      <c r="T524" s="10" t="s">
        <v>84</v>
      </c>
      <c r="U524" s="10"/>
      <c r="V524" s="10"/>
      <c r="W524" s="10"/>
      <c r="X524" s="10"/>
      <c r="Y524" s="10"/>
      <c r="Z524" s="10"/>
      <c r="AA524" s="10"/>
    </row>
    <row r="525" spans="1:27" ht="12.5" x14ac:dyDescent="0.25">
      <c r="A525" s="10" t="s">
        <v>98</v>
      </c>
      <c r="B525" s="10" t="s">
        <v>778</v>
      </c>
      <c r="C525" s="10" t="s">
        <v>76</v>
      </c>
      <c r="D525" s="11">
        <v>2024</v>
      </c>
      <c r="E525" s="10" t="s">
        <v>124</v>
      </c>
      <c r="F525" s="10" t="s">
        <v>83</v>
      </c>
      <c r="G525" s="10" t="s">
        <v>84</v>
      </c>
      <c r="H525" s="11">
        <v>15076</v>
      </c>
      <c r="I525" s="11">
        <v>1331</v>
      </c>
      <c r="J525" s="11">
        <v>1093</v>
      </c>
      <c r="K525" s="11">
        <v>1455</v>
      </c>
      <c r="L525" s="11">
        <v>8.8285041511436402E-2</v>
      </c>
      <c r="M525" s="11">
        <f t="shared" si="2"/>
        <v>8.8286017511276196</v>
      </c>
      <c r="N525" s="11">
        <v>0.82118707738542496</v>
      </c>
      <c r="O525" s="11">
        <v>9.6509943951269703E-2</v>
      </c>
      <c r="P525" s="11">
        <v>0.65709459459459496</v>
      </c>
      <c r="Q525" s="11">
        <v>1</v>
      </c>
      <c r="R525" s="11">
        <v>0.52796420581655501</v>
      </c>
      <c r="S525" s="10" t="s">
        <v>84</v>
      </c>
      <c r="T525" s="10" t="s">
        <v>84</v>
      </c>
      <c r="U525" s="10"/>
      <c r="V525" s="10"/>
      <c r="W525" s="10"/>
      <c r="X525" s="10"/>
      <c r="Y525" s="10"/>
      <c r="Z525" s="10"/>
      <c r="AA525" s="10"/>
    </row>
    <row r="526" spans="1:27" ht="12.5" x14ac:dyDescent="0.25">
      <c r="A526" s="10" t="s">
        <v>109</v>
      </c>
      <c r="B526" s="10" t="s">
        <v>781</v>
      </c>
      <c r="C526" s="10" t="s">
        <v>76</v>
      </c>
      <c r="D526" s="11">
        <v>2024</v>
      </c>
      <c r="E526" s="10" t="s">
        <v>124</v>
      </c>
      <c r="F526" s="10" t="s">
        <v>83</v>
      </c>
      <c r="G526" s="10" t="s">
        <v>84</v>
      </c>
      <c r="H526" s="11">
        <v>2804</v>
      </c>
      <c r="I526" s="11">
        <v>247</v>
      </c>
      <c r="J526" s="11">
        <v>213</v>
      </c>
      <c r="K526" s="11">
        <v>1489</v>
      </c>
      <c r="L526" s="11">
        <v>8.8101536723835597E-2</v>
      </c>
      <c r="M526" s="11">
        <f t="shared" si="2"/>
        <v>8.808844507845933</v>
      </c>
      <c r="N526" s="11">
        <v>0.86234817813765197</v>
      </c>
      <c r="O526" s="11">
        <v>0.53110602502749504</v>
      </c>
      <c r="P526" s="11">
        <v>0.65625</v>
      </c>
      <c r="Q526" s="11">
        <v>0.66666666666666696</v>
      </c>
      <c r="R526" s="11">
        <v>0.52572706935123004</v>
      </c>
      <c r="S526" s="10" t="s">
        <v>84</v>
      </c>
      <c r="T526" s="10" t="s">
        <v>84</v>
      </c>
      <c r="U526" s="10"/>
      <c r="V526" s="10"/>
      <c r="W526" s="10"/>
      <c r="X526" s="10"/>
      <c r="Y526" s="10"/>
      <c r="Z526" s="10"/>
      <c r="AA526" s="10"/>
    </row>
    <row r="527" spans="1:27" ht="12.5" hidden="1" x14ac:dyDescent="0.25">
      <c r="A527" s="10" t="s">
        <v>42</v>
      </c>
      <c r="B527" s="10" t="s">
        <v>1403</v>
      </c>
      <c r="C527" s="10" t="s">
        <v>191</v>
      </c>
      <c r="D527" s="11">
        <v>2024</v>
      </c>
      <c r="E527" s="10" t="s">
        <v>124</v>
      </c>
      <c r="F527" s="10" t="s">
        <v>125</v>
      </c>
      <c r="G527" s="10" t="s">
        <v>84</v>
      </c>
      <c r="H527" s="12">
        <v>878.16666666666697</v>
      </c>
      <c r="I527" s="11">
        <v>77</v>
      </c>
      <c r="J527" s="11">
        <v>62</v>
      </c>
      <c r="K527" s="11">
        <v>16</v>
      </c>
      <c r="L527" s="11">
        <v>8.7682672233820494E-2</v>
      </c>
      <c r="M527" s="11">
        <f t="shared" si="2"/>
        <v>8.7682672233820433</v>
      </c>
      <c r="N527" s="11">
        <v>0.80519480519480502</v>
      </c>
      <c r="O527" s="11">
        <v>1.82197760485861E-2</v>
      </c>
      <c r="P527" s="11">
        <v>0.79044117647058798</v>
      </c>
      <c r="Q527" s="11">
        <v>1</v>
      </c>
      <c r="R527" s="11">
        <v>0.69573643410852704</v>
      </c>
      <c r="S527" s="10" t="s">
        <v>84</v>
      </c>
      <c r="T527" s="10" t="s">
        <v>84</v>
      </c>
      <c r="U527" s="10"/>
      <c r="V527" s="10"/>
      <c r="W527" s="10"/>
      <c r="X527" s="10"/>
      <c r="Y527" s="10"/>
      <c r="Z527" s="10"/>
      <c r="AA527" s="10"/>
    </row>
    <row r="528" spans="1:27" ht="12.5" hidden="1" x14ac:dyDescent="0.25">
      <c r="A528" s="10" t="s">
        <v>6</v>
      </c>
      <c r="B528" s="10" t="s">
        <v>1404</v>
      </c>
      <c r="C528" s="10" t="s">
        <v>191</v>
      </c>
      <c r="D528" s="11">
        <v>2024</v>
      </c>
      <c r="E528" s="10" t="s">
        <v>124</v>
      </c>
      <c r="F528" s="10" t="s">
        <v>125</v>
      </c>
      <c r="G528" s="10" t="s">
        <v>84</v>
      </c>
      <c r="H528" s="12">
        <v>1728</v>
      </c>
      <c r="I528" s="11">
        <v>151</v>
      </c>
      <c r="J528" s="11">
        <v>120</v>
      </c>
      <c r="K528" s="11">
        <v>2483</v>
      </c>
      <c r="L528" s="11">
        <v>8.7409551374819094E-2</v>
      </c>
      <c r="M528" s="11">
        <f t="shared" si="2"/>
        <v>8.7384259259259256</v>
      </c>
      <c r="N528" s="11">
        <v>0.79470198675496695</v>
      </c>
      <c r="O528" s="11">
        <v>1.4373371924746701</v>
      </c>
      <c r="P528" s="11">
        <v>0.78921568627451</v>
      </c>
      <c r="Q528" s="11">
        <v>1</v>
      </c>
      <c r="R528" s="11">
        <v>0.693798449612403</v>
      </c>
      <c r="S528" s="10" t="s">
        <v>84</v>
      </c>
      <c r="T528" s="10" t="s">
        <v>84</v>
      </c>
      <c r="U528" s="10"/>
      <c r="V528" s="10"/>
      <c r="W528" s="10"/>
      <c r="X528" s="10"/>
      <c r="Y528" s="10"/>
      <c r="Z528" s="10"/>
      <c r="AA528" s="10"/>
    </row>
    <row r="529" spans="1:27" ht="12.5" x14ac:dyDescent="0.25">
      <c r="A529" s="10" t="s">
        <v>110</v>
      </c>
      <c r="B529" s="10" t="s">
        <v>783</v>
      </c>
      <c r="C529" s="10" t="s">
        <v>76</v>
      </c>
      <c r="D529" s="11">
        <v>2024</v>
      </c>
      <c r="E529" s="10" t="s">
        <v>124</v>
      </c>
      <c r="F529" s="10" t="s">
        <v>83</v>
      </c>
      <c r="G529" s="10" t="s">
        <v>84</v>
      </c>
      <c r="H529" s="11">
        <v>29002</v>
      </c>
      <c r="I529" s="11">
        <v>2532</v>
      </c>
      <c r="J529" s="11">
        <v>2266</v>
      </c>
      <c r="K529" s="11">
        <v>8073</v>
      </c>
      <c r="L529" s="11">
        <v>8.73030695717886E-2</v>
      </c>
      <c r="M529" s="11">
        <f t="shared" si="2"/>
        <v>8.7304323839735183</v>
      </c>
      <c r="N529" s="11">
        <v>0.89494470774091595</v>
      </c>
      <c r="O529" s="11">
        <v>0.278356114001994</v>
      </c>
      <c r="P529" s="11">
        <v>0.65540540540540504</v>
      </c>
      <c r="Q529" s="11">
        <v>0.81818181818181801</v>
      </c>
      <c r="R529" s="11">
        <v>0.52348993288590595</v>
      </c>
      <c r="S529" s="10" t="s">
        <v>84</v>
      </c>
      <c r="T529" s="10" t="s">
        <v>84</v>
      </c>
      <c r="U529" s="10"/>
      <c r="V529" s="10"/>
      <c r="W529" s="10"/>
      <c r="X529" s="10"/>
      <c r="Y529" s="10"/>
      <c r="Z529" s="10"/>
      <c r="AA529" s="10"/>
    </row>
    <row r="530" spans="1:27" ht="12.5" x14ac:dyDescent="0.25">
      <c r="A530" s="10" t="s">
        <v>12</v>
      </c>
      <c r="B530" s="10" t="s">
        <v>617</v>
      </c>
      <c r="C530" s="10" t="s">
        <v>76</v>
      </c>
      <c r="D530" s="11">
        <v>2024</v>
      </c>
      <c r="E530" s="10" t="s">
        <v>81</v>
      </c>
      <c r="F530" s="10" t="s">
        <v>83</v>
      </c>
      <c r="G530" s="10" t="s">
        <v>84</v>
      </c>
      <c r="H530" s="11">
        <v>14015</v>
      </c>
      <c r="I530" s="11">
        <v>1223</v>
      </c>
      <c r="J530" s="11">
        <v>1260</v>
      </c>
      <c r="K530" s="11">
        <v>1446</v>
      </c>
      <c r="L530" s="11">
        <v>8.7261570660704904E-2</v>
      </c>
      <c r="M530" s="11">
        <f t="shared" si="2"/>
        <v>8.7263646093471294</v>
      </c>
      <c r="N530" s="11">
        <v>1.0302534750613199</v>
      </c>
      <c r="O530" s="11">
        <v>0.10317271559720299</v>
      </c>
      <c r="P530" s="11">
        <v>0.65456081081081097</v>
      </c>
      <c r="Q530" s="11">
        <v>0.56944444444444398</v>
      </c>
      <c r="R530" s="11">
        <v>0.718992248062015</v>
      </c>
      <c r="S530" s="10" t="s">
        <v>84</v>
      </c>
      <c r="T530" s="10" t="s">
        <v>84</v>
      </c>
      <c r="U530" s="10"/>
      <c r="V530" s="10"/>
      <c r="W530" s="10"/>
      <c r="X530" s="10"/>
      <c r="Y530" s="10"/>
      <c r="Z530" s="10"/>
      <c r="AA530" s="10"/>
    </row>
    <row r="531" spans="1:27" ht="12.5" hidden="1" x14ac:dyDescent="0.25">
      <c r="A531" s="10" t="s">
        <v>58</v>
      </c>
      <c r="B531" s="10" t="s">
        <v>1405</v>
      </c>
      <c r="C531" s="10" t="s">
        <v>191</v>
      </c>
      <c r="D531" s="11">
        <v>2024</v>
      </c>
      <c r="E531" s="10" t="s">
        <v>124</v>
      </c>
      <c r="F531" s="10" t="s">
        <v>125</v>
      </c>
      <c r="G531" s="10" t="s">
        <v>84</v>
      </c>
      <c r="H531" s="12">
        <v>481.91666666666703</v>
      </c>
      <c r="I531" s="11">
        <v>42</v>
      </c>
      <c r="J531" s="11">
        <v>33</v>
      </c>
      <c r="K531" s="11">
        <v>170</v>
      </c>
      <c r="L531" s="11">
        <v>8.7151997233269898E-2</v>
      </c>
      <c r="M531" s="11">
        <f t="shared" si="2"/>
        <v>8.7151997233269878</v>
      </c>
      <c r="N531" s="11">
        <v>0.78571428571428603</v>
      </c>
      <c r="O531" s="11">
        <v>0.35275808403942599</v>
      </c>
      <c r="P531" s="11">
        <v>0.78799019607843102</v>
      </c>
      <c r="Q531" s="11">
        <v>0.56603773584905703</v>
      </c>
      <c r="R531" s="11">
        <v>0.69186046511627897</v>
      </c>
      <c r="S531" s="10" t="s">
        <v>84</v>
      </c>
      <c r="T531" s="10" t="s">
        <v>84</v>
      </c>
      <c r="U531" s="10"/>
      <c r="V531" s="10"/>
      <c r="W531" s="10"/>
      <c r="X531" s="10"/>
      <c r="Y531" s="10"/>
      <c r="Z531" s="10"/>
      <c r="AA531" s="10"/>
    </row>
    <row r="532" spans="1:27" ht="12.5" x14ac:dyDescent="0.25">
      <c r="A532" s="10" t="s">
        <v>42</v>
      </c>
      <c r="B532" s="10" t="s">
        <v>619</v>
      </c>
      <c r="C532" s="10" t="s">
        <v>76</v>
      </c>
      <c r="D532" s="11">
        <v>2024</v>
      </c>
      <c r="E532" s="10" t="s">
        <v>81</v>
      </c>
      <c r="F532" s="10" t="s">
        <v>83</v>
      </c>
      <c r="G532" s="10" t="s">
        <v>84</v>
      </c>
      <c r="H532" s="11">
        <v>23221</v>
      </c>
      <c r="I532" s="11">
        <v>2018</v>
      </c>
      <c r="J532" s="11">
        <v>1939</v>
      </c>
      <c r="K532" s="11">
        <v>0</v>
      </c>
      <c r="L532" s="11">
        <v>8.69044073051954E-2</v>
      </c>
      <c r="M532" s="11">
        <f t="shared" si="2"/>
        <v>8.690409543086</v>
      </c>
      <c r="N532" s="11">
        <v>0.96085232903865203</v>
      </c>
      <c r="O532" s="11">
        <v>0</v>
      </c>
      <c r="P532" s="11">
        <v>0.65371621621621601</v>
      </c>
      <c r="Q532" s="11">
        <v>0.64285714285714302</v>
      </c>
      <c r="R532" s="11">
        <v>0.71705426356589197</v>
      </c>
      <c r="S532" s="10" t="s">
        <v>84</v>
      </c>
      <c r="T532" s="10" t="s">
        <v>84</v>
      </c>
      <c r="U532" s="10"/>
      <c r="V532" s="10"/>
      <c r="W532" s="10"/>
      <c r="X532" s="10"/>
      <c r="Y532" s="10"/>
      <c r="Z532" s="10"/>
      <c r="AA532" s="10"/>
    </row>
    <row r="533" spans="1:27" ht="12.5" x14ac:dyDescent="0.25">
      <c r="A533" s="10" t="s">
        <v>36</v>
      </c>
      <c r="B533" s="10" t="s">
        <v>786</v>
      </c>
      <c r="C533" s="10" t="s">
        <v>76</v>
      </c>
      <c r="D533" s="11">
        <v>2024</v>
      </c>
      <c r="E533" s="10" t="s">
        <v>124</v>
      </c>
      <c r="F533" s="10" t="s">
        <v>83</v>
      </c>
      <c r="G533" s="10" t="s">
        <v>84</v>
      </c>
      <c r="H533" s="11">
        <v>4063</v>
      </c>
      <c r="I533" s="11">
        <v>353</v>
      </c>
      <c r="J533" s="11">
        <v>353</v>
      </c>
      <c r="K533" s="11">
        <v>0</v>
      </c>
      <c r="L533" s="11">
        <v>8.6890525322557505E-2</v>
      </c>
      <c r="M533" s="11">
        <f t="shared" si="2"/>
        <v>8.6881614570514394</v>
      </c>
      <c r="N533" s="11">
        <v>1</v>
      </c>
      <c r="O533" s="11">
        <v>0</v>
      </c>
      <c r="P533" s="11">
        <v>0.65287162162162204</v>
      </c>
      <c r="Q533" s="11">
        <v>0.38297872340425498</v>
      </c>
      <c r="R533" s="11">
        <v>0.52125279642058198</v>
      </c>
      <c r="S533" s="10" t="s">
        <v>84</v>
      </c>
      <c r="T533" s="10" t="s">
        <v>84</v>
      </c>
      <c r="U533" s="10"/>
      <c r="V533" s="10"/>
      <c r="W533" s="10"/>
      <c r="X533" s="10"/>
      <c r="Y533" s="10"/>
      <c r="Z533" s="10"/>
      <c r="AA533" s="10"/>
    </row>
    <row r="534" spans="1:27" ht="12.5" hidden="1" x14ac:dyDescent="0.25">
      <c r="A534" s="10" t="s">
        <v>14</v>
      </c>
      <c r="B534" s="10" t="s">
        <v>1407</v>
      </c>
      <c r="C534" s="10" t="s">
        <v>191</v>
      </c>
      <c r="D534" s="11">
        <v>2024</v>
      </c>
      <c r="E534" s="10" t="s">
        <v>124</v>
      </c>
      <c r="F534" s="10" t="s">
        <v>125</v>
      </c>
      <c r="G534" s="10" t="s">
        <v>84</v>
      </c>
      <c r="H534" s="12">
        <v>218.75</v>
      </c>
      <c r="I534" s="11">
        <v>19</v>
      </c>
      <c r="J534" s="11">
        <v>15</v>
      </c>
      <c r="K534" s="11">
        <v>19</v>
      </c>
      <c r="L534" s="11">
        <v>8.6857142857142897E-2</v>
      </c>
      <c r="M534" s="11">
        <f t="shared" si="2"/>
        <v>8.6857142857142851</v>
      </c>
      <c r="N534" s="11">
        <v>0.78947368421052599</v>
      </c>
      <c r="O534" s="11">
        <v>8.6857142857142897E-2</v>
      </c>
      <c r="P534" s="11">
        <v>0.78676470588235303</v>
      </c>
      <c r="Q534" s="11">
        <v>0.78723404255319196</v>
      </c>
      <c r="R534" s="11">
        <v>0.68992248062015504</v>
      </c>
      <c r="S534" s="10" t="s">
        <v>84</v>
      </c>
      <c r="T534" s="10" t="s">
        <v>84</v>
      </c>
      <c r="U534" s="10"/>
      <c r="V534" s="10"/>
      <c r="W534" s="10"/>
      <c r="X534" s="10"/>
      <c r="Y534" s="10"/>
      <c r="Z534" s="10"/>
      <c r="AA534" s="10"/>
    </row>
    <row r="535" spans="1:27" ht="12.5" x14ac:dyDescent="0.25">
      <c r="A535" s="10" t="s">
        <v>12</v>
      </c>
      <c r="B535" s="10" t="s">
        <v>621</v>
      </c>
      <c r="C535" s="10" t="s">
        <v>76</v>
      </c>
      <c r="D535" s="11">
        <v>2024</v>
      </c>
      <c r="E535" s="10" t="s">
        <v>81</v>
      </c>
      <c r="F535" s="10" t="s">
        <v>83</v>
      </c>
      <c r="G535" s="10" t="s">
        <v>84</v>
      </c>
      <c r="H535" s="11">
        <v>17925</v>
      </c>
      <c r="I535" s="11">
        <v>1554</v>
      </c>
      <c r="J535" s="11">
        <v>1295</v>
      </c>
      <c r="K535" s="11">
        <v>9725</v>
      </c>
      <c r="L535" s="11">
        <v>8.6693754590845301E-2</v>
      </c>
      <c r="M535" s="11">
        <f t="shared" si="2"/>
        <v>8.6694560669456067</v>
      </c>
      <c r="N535" s="11">
        <v>0.83333333333333304</v>
      </c>
      <c r="O535" s="11">
        <v>0.54253330977861702</v>
      </c>
      <c r="P535" s="11">
        <v>0.65202702702702697</v>
      </c>
      <c r="Q535" s="11">
        <v>0.55555555555555602</v>
      </c>
      <c r="R535" s="11">
        <v>0.71511627906976705</v>
      </c>
      <c r="S535" s="10" t="s">
        <v>84</v>
      </c>
      <c r="T535" s="10" t="s">
        <v>84</v>
      </c>
      <c r="U535" s="10"/>
      <c r="V535" s="10"/>
      <c r="W535" s="10"/>
      <c r="X535" s="10"/>
      <c r="Y535" s="10"/>
      <c r="Z535" s="10"/>
      <c r="AA535" s="10"/>
    </row>
    <row r="536" spans="1:27" ht="12.5" x14ac:dyDescent="0.25">
      <c r="A536" s="10" t="s">
        <v>62</v>
      </c>
      <c r="B536" s="10" t="s">
        <v>624</v>
      </c>
      <c r="C536" s="10" t="s">
        <v>76</v>
      </c>
      <c r="D536" s="11">
        <v>2024</v>
      </c>
      <c r="E536" s="10" t="s">
        <v>81</v>
      </c>
      <c r="F536" s="10" t="s">
        <v>83</v>
      </c>
      <c r="G536" s="10" t="s">
        <v>84</v>
      </c>
      <c r="H536" s="11">
        <v>16088</v>
      </c>
      <c r="I536" s="11">
        <v>1392</v>
      </c>
      <c r="J536" s="11">
        <v>1175</v>
      </c>
      <c r="K536" s="11">
        <v>12843</v>
      </c>
      <c r="L536" s="11">
        <v>8.65259101174813E-2</v>
      </c>
      <c r="M536" s="11">
        <f t="shared" si="2"/>
        <v>8.6524117354549972</v>
      </c>
      <c r="N536" s="11">
        <v>0.84410919540229901</v>
      </c>
      <c r="O536" s="11">
        <v>0.79831340778650295</v>
      </c>
      <c r="P536" s="11">
        <v>0.65118243243243201</v>
      </c>
      <c r="Q536" s="11">
        <v>0.77777777777777801</v>
      </c>
      <c r="R536" s="11">
        <v>0.71317829457364301</v>
      </c>
      <c r="S536" s="10" t="s">
        <v>84</v>
      </c>
      <c r="T536" s="10" t="s">
        <v>84</v>
      </c>
      <c r="U536" s="10"/>
      <c r="V536" s="10"/>
      <c r="W536" s="10"/>
      <c r="X536" s="10"/>
      <c r="Y536" s="10"/>
      <c r="Z536" s="10"/>
      <c r="AA536" s="10"/>
    </row>
    <row r="537" spans="1:27" ht="12.5" x14ac:dyDescent="0.25">
      <c r="A537" s="10" t="s">
        <v>42</v>
      </c>
      <c r="B537" s="10" t="s">
        <v>626</v>
      </c>
      <c r="C537" s="10" t="s">
        <v>76</v>
      </c>
      <c r="D537" s="11">
        <v>2024</v>
      </c>
      <c r="E537" s="10" t="s">
        <v>81</v>
      </c>
      <c r="F537" s="10" t="s">
        <v>83</v>
      </c>
      <c r="G537" s="10" t="s">
        <v>84</v>
      </c>
      <c r="H537" s="11">
        <v>35779</v>
      </c>
      <c r="I537" s="11">
        <v>3072</v>
      </c>
      <c r="J537" s="11">
        <v>2185</v>
      </c>
      <c r="K537" s="11">
        <v>224</v>
      </c>
      <c r="L537" s="11">
        <v>8.5859621010266604E-2</v>
      </c>
      <c r="M537" s="11">
        <f t="shared" si="2"/>
        <v>8.5860420917297855</v>
      </c>
      <c r="N537" s="11">
        <v>0.71126302083333304</v>
      </c>
      <c r="O537" s="11">
        <v>6.2605973653319397E-3</v>
      </c>
      <c r="P537" s="11">
        <v>0.65033783783783805</v>
      </c>
      <c r="Q537" s="11">
        <v>0.61904761904761896</v>
      </c>
      <c r="R537" s="11">
        <v>0.71124031007751898</v>
      </c>
      <c r="S537" s="10" t="s">
        <v>84</v>
      </c>
      <c r="T537" s="10" t="s">
        <v>84</v>
      </c>
      <c r="U537" s="10"/>
      <c r="V537" s="10"/>
      <c r="W537" s="10"/>
      <c r="X537" s="10"/>
      <c r="Y537" s="10"/>
      <c r="Z537" s="10"/>
      <c r="AA537" s="10"/>
    </row>
    <row r="538" spans="1:27" ht="12.5" hidden="1" x14ac:dyDescent="0.25">
      <c r="A538" s="10" t="s">
        <v>62</v>
      </c>
      <c r="B538" s="10" t="s">
        <v>1408</v>
      </c>
      <c r="C538" s="10" t="s">
        <v>191</v>
      </c>
      <c r="D538" s="11">
        <v>2024</v>
      </c>
      <c r="E538" s="10" t="s">
        <v>124</v>
      </c>
      <c r="F538" s="10" t="s">
        <v>125</v>
      </c>
      <c r="G538" s="10" t="s">
        <v>84</v>
      </c>
      <c r="H538" s="12">
        <v>636.33333333333303</v>
      </c>
      <c r="I538" s="11">
        <v>54</v>
      </c>
      <c r="J538" s="11">
        <v>53</v>
      </c>
      <c r="K538" s="11">
        <v>133</v>
      </c>
      <c r="L538" s="11">
        <v>8.4861183865898401E-2</v>
      </c>
      <c r="M538" s="11">
        <f t="shared" si="2"/>
        <v>8.4861183865898422</v>
      </c>
      <c r="N538" s="11">
        <v>0.98148148148148195</v>
      </c>
      <c r="O538" s="11">
        <v>0.20900995285489801</v>
      </c>
      <c r="P538" s="11">
        <v>0.78553921568627405</v>
      </c>
      <c r="Q538" s="11">
        <v>0.96</v>
      </c>
      <c r="R538" s="11">
        <v>0.68798449612403101</v>
      </c>
      <c r="S538" s="10" t="s">
        <v>84</v>
      </c>
      <c r="T538" s="10" t="s">
        <v>84</v>
      </c>
      <c r="U538" s="10"/>
      <c r="V538" s="10"/>
      <c r="W538" s="10"/>
      <c r="X538" s="10"/>
      <c r="Y538" s="10"/>
      <c r="Z538" s="10"/>
      <c r="AA538" s="10"/>
    </row>
    <row r="539" spans="1:27" ht="12.5" x14ac:dyDescent="0.25">
      <c r="A539" s="10" t="s">
        <v>6</v>
      </c>
      <c r="B539" s="10" t="s">
        <v>788</v>
      </c>
      <c r="C539" s="10" t="s">
        <v>76</v>
      </c>
      <c r="D539" s="11">
        <v>2024</v>
      </c>
      <c r="E539" s="10" t="s">
        <v>124</v>
      </c>
      <c r="F539" s="10" t="s">
        <v>125</v>
      </c>
      <c r="G539" s="10" t="s">
        <v>84</v>
      </c>
      <c r="H539" s="11">
        <v>2097</v>
      </c>
      <c r="I539" s="11">
        <v>177</v>
      </c>
      <c r="J539" s="11">
        <v>142</v>
      </c>
      <c r="K539" s="11">
        <v>2922</v>
      </c>
      <c r="L539" s="11">
        <v>8.4409649087946598E-2</v>
      </c>
      <c r="M539" s="11">
        <f t="shared" si="2"/>
        <v>8.4406294706723894</v>
      </c>
      <c r="N539" s="11">
        <v>0.80225988700564999</v>
      </c>
      <c r="O539" s="11">
        <v>1.3934745459603399</v>
      </c>
      <c r="P539" s="11">
        <v>0.64949324324324298</v>
      </c>
      <c r="Q539" s="11">
        <v>0.77419354838709697</v>
      </c>
      <c r="R539" s="11">
        <v>0.519015659955257</v>
      </c>
      <c r="S539" s="10" t="s">
        <v>84</v>
      </c>
      <c r="T539" s="10" t="s">
        <v>84</v>
      </c>
      <c r="U539" s="10"/>
      <c r="V539" s="10"/>
      <c r="W539" s="10"/>
      <c r="X539" s="10"/>
      <c r="Y539" s="10"/>
      <c r="Z539" s="10"/>
      <c r="AA539" s="10"/>
    </row>
    <row r="540" spans="1:27" ht="12.5" hidden="1" x14ac:dyDescent="0.25">
      <c r="A540" s="10" t="s">
        <v>16</v>
      </c>
      <c r="B540" s="10" t="s">
        <v>1409</v>
      </c>
      <c r="C540" s="10" t="s">
        <v>191</v>
      </c>
      <c r="D540" s="11">
        <v>2024</v>
      </c>
      <c r="E540" s="10" t="s">
        <v>124</v>
      </c>
      <c r="F540" s="10" t="s">
        <v>125</v>
      </c>
      <c r="G540" s="10" t="s">
        <v>84</v>
      </c>
      <c r="H540" s="12">
        <v>640.08333333333303</v>
      </c>
      <c r="I540" s="11">
        <v>54</v>
      </c>
      <c r="J540" s="11">
        <v>44</v>
      </c>
      <c r="K540" s="11">
        <v>0</v>
      </c>
      <c r="L540" s="11">
        <v>8.4364015102200193E-2</v>
      </c>
      <c r="M540" s="11">
        <f t="shared" si="2"/>
        <v>8.436401510220028</v>
      </c>
      <c r="N540" s="11">
        <v>0.81481481481481499</v>
      </c>
      <c r="O540" s="11">
        <v>0</v>
      </c>
      <c r="P540" s="11">
        <v>0.78431372549019596</v>
      </c>
      <c r="Q540" s="11">
        <v>0.875</v>
      </c>
      <c r="R540" s="11">
        <v>0.68604651162790697</v>
      </c>
      <c r="S540" s="10" t="s">
        <v>84</v>
      </c>
      <c r="T540" s="10" t="s">
        <v>84</v>
      </c>
      <c r="U540" s="10"/>
      <c r="V540" s="10"/>
      <c r="W540" s="10"/>
      <c r="X540" s="10"/>
      <c r="Y540" s="10"/>
      <c r="Z540" s="10"/>
      <c r="AA540" s="10"/>
    </row>
    <row r="541" spans="1:27" ht="12.5" x14ac:dyDescent="0.25">
      <c r="A541" s="10" t="s">
        <v>82</v>
      </c>
      <c r="B541" s="10" t="s">
        <v>790</v>
      </c>
      <c r="C541" s="10" t="s">
        <v>76</v>
      </c>
      <c r="D541" s="11">
        <v>2024</v>
      </c>
      <c r="E541" s="10" t="s">
        <v>124</v>
      </c>
      <c r="F541" s="10" t="s">
        <v>83</v>
      </c>
      <c r="G541" s="10" t="s">
        <v>84</v>
      </c>
      <c r="H541" s="11">
        <v>12353</v>
      </c>
      <c r="I541" s="11">
        <v>1041</v>
      </c>
      <c r="J541" s="11">
        <v>981</v>
      </c>
      <c r="K541" s="11">
        <v>4854</v>
      </c>
      <c r="L541" s="11">
        <v>8.4268184915104502E-2</v>
      </c>
      <c r="M541" s="11">
        <f t="shared" si="2"/>
        <v>8.4271027280822466</v>
      </c>
      <c r="N541" s="11">
        <v>0.94236311239193105</v>
      </c>
      <c r="O541" s="11">
        <v>0.39292773254362801</v>
      </c>
      <c r="P541" s="11">
        <v>0.64864864864864902</v>
      </c>
      <c r="Q541" s="11">
        <v>0.96551724137931005</v>
      </c>
      <c r="R541" s="11">
        <v>0.51677852348993303</v>
      </c>
      <c r="S541" s="10" t="s">
        <v>84</v>
      </c>
      <c r="T541" s="10" t="s">
        <v>84</v>
      </c>
      <c r="U541" s="10"/>
      <c r="V541" s="10"/>
      <c r="W541" s="10"/>
      <c r="X541" s="10"/>
      <c r="Y541" s="10"/>
      <c r="Z541" s="10"/>
      <c r="AA541" s="10"/>
    </row>
    <row r="542" spans="1:27" ht="12.5" x14ac:dyDescent="0.25">
      <c r="A542" s="10" t="s">
        <v>62</v>
      </c>
      <c r="B542" s="10" t="s">
        <v>628</v>
      </c>
      <c r="C542" s="10" t="s">
        <v>76</v>
      </c>
      <c r="D542" s="11">
        <v>2024</v>
      </c>
      <c r="E542" s="10" t="s">
        <v>81</v>
      </c>
      <c r="F542" s="10" t="s">
        <v>83</v>
      </c>
      <c r="G542" s="10" t="s">
        <v>84</v>
      </c>
      <c r="H542" s="11">
        <v>130770</v>
      </c>
      <c r="I542" s="11">
        <v>11018</v>
      </c>
      <c r="J542" s="11">
        <v>9151</v>
      </c>
      <c r="K542" s="11">
        <v>151351</v>
      </c>
      <c r="L542" s="11">
        <v>8.4254691118387098E-2</v>
      </c>
      <c r="M542" s="11">
        <f t="shared" si="2"/>
        <v>8.4254798501185295</v>
      </c>
      <c r="N542" s="11">
        <v>0.83055000907605703</v>
      </c>
      <c r="O542" s="11">
        <v>1.1573817167779099</v>
      </c>
      <c r="P542" s="11">
        <v>0.64780405405405395</v>
      </c>
      <c r="Q542" s="11">
        <v>0.75</v>
      </c>
      <c r="R542" s="11">
        <v>0.70930232558139505</v>
      </c>
      <c r="S542" s="10" t="s">
        <v>84</v>
      </c>
      <c r="T542" s="10" t="s">
        <v>84</v>
      </c>
      <c r="U542" s="10"/>
      <c r="V542" s="10"/>
      <c r="W542" s="10"/>
      <c r="X542" s="10"/>
      <c r="Y542" s="10"/>
      <c r="Z542" s="10"/>
      <c r="AA542" s="10"/>
    </row>
    <row r="543" spans="1:27" ht="12.5" x14ac:dyDescent="0.25">
      <c r="A543" s="10" t="s">
        <v>65</v>
      </c>
      <c r="B543" s="10" t="s">
        <v>630</v>
      </c>
      <c r="C543" s="10" t="s">
        <v>76</v>
      </c>
      <c r="D543" s="11">
        <v>2024</v>
      </c>
      <c r="E543" s="10" t="s">
        <v>81</v>
      </c>
      <c r="F543" s="10" t="s">
        <v>83</v>
      </c>
      <c r="G543" s="10" t="s">
        <v>84</v>
      </c>
      <c r="H543" s="11">
        <v>16434</v>
      </c>
      <c r="I543" s="11">
        <v>1383</v>
      </c>
      <c r="J543" s="11">
        <v>1102</v>
      </c>
      <c r="K543" s="11">
        <v>12787</v>
      </c>
      <c r="L543" s="11">
        <v>8.4154801022270895E-2</v>
      </c>
      <c r="M543" s="11">
        <f t="shared" si="2"/>
        <v>8.4154801022270913</v>
      </c>
      <c r="N543" s="11">
        <v>0.79681851048445396</v>
      </c>
      <c r="O543" s="11">
        <v>0.77808202506997703</v>
      </c>
      <c r="P543" s="11">
        <v>0.64695945945945899</v>
      </c>
      <c r="Q543" s="11">
        <v>0.76923076923076905</v>
      </c>
      <c r="R543" s="11">
        <v>0.70736434108527102</v>
      </c>
      <c r="S543" s="10" t="s">
        <v>84</v>
      </c>
      <c r="T543" s="10" t="s">
        <v>84</v>
      </c>
      <c r="U543" s="10"/>
      <c r="V543" s="10"/>
      <c r="W543" s="10"/>
      <c r="X543" s="10"/>
      <c r="Y543" s="10"/>
      <c r="Z543" s="10"/>
      <c r="AA543" s="10"/>
    </row>
    <row r="544" spans="1:27" ht="12.5" x14ac:dyDescent="0.25">
      <c r="A544" s="10" t="s">
        <v>103</v>
      </c>
      <c r="B544" s="10" t="s">
        <v>1410</v>
      </c>
      <c r="C544" s="10" t="s">
        <v>76</v>
      </c>
      <c r="D544" s="11">
        <v>2024</v>
      </c>
      <c r="E544" s="10" t="s">
        <v>257</v>
      </c>
      <c r="F544" s="10" t="s">
        <v>83</v>
      </c>
      <c r="G544" s="10" t="s">
        <v>84</v>
      </c>
      <c r="H544" s="11">
        <v>107012</v>
      </c>
      <c r="I544" s="11">
        <v>8983</v>
      </c>
      <c r="J544" s="11">
        <v>8319</v>
      </c>
      <c r="K544" s="11">
        <v>115273</v>
      </c>
      <c r="L544" s="11">
        <v>8.3943791394274006E-2</v>
      </c>
      <c r="M544" s="11">
        <f t="shared" si="2"/>
        <v>8.3943856763727425</v>
      </c>
      <c r="N544" s="11">
        <v>0.92608260046754998</v>
      </c>
      <c r="O544" s="11">
        <v>1.0771961110310799</v>
      </c>
      <c r="P544" s="11">
        <v>0.64611486486486502</v>
      </c>
      <c r="Q544" s="11">
        <v>0.65217391304347805</v>
      </c>
      <c r="R544" s="11">
        <v>0.77272727272727304</v>
      </c>
      <c r="S544" s="10" t="s">
        <v>84</v>
      </c>
      <c r="T544" s="10" t="s">
        <v>84</v>
      </c>
      <c r="U544" s="10"/>
      <c r="V544" s="10"/>
      <c r="W544" s="10"/>
      <c r="X544" s="10"/>
      <c r="Y544" s="10"/>
      <c r="Z544" s="10"/>
      <c r="AA544" s="10"/>
    </row>
    <row r="545" spans="1:27" ht="12.5" hidden="1" x14ac:dyDescent="0.25">
      <c r="A545" s="10" t="s">
        <v>36</v>
      </c>
      <c r="B545" s="10" t="s">
        <v>1411</v>
      </c>
      <c r="C545" s="10" t="s">
        <v>191</v>
      </c>
      <c r="D545" s="11">
        <v>2024</v>
      </c>
      <c r="E545" s="10" t="s">
        <v>124</v>
      </c>
      <c r="F545" s="10" t="s">
        <v>125</v>
      </c>
      <c r="G545" s="10" t="s">
        <v>84</v>
      </c>
      <c r="H545" s="12">
        <v>1219</v>
      </c>
      <c r="I545" s="11">
        <v>102</v>
      </c>
      <c r="J545" s="11">
        <v>118</v>
      </c>
      <c r="K545" s="11">
        <v>288</v>
      </c>
      <c r="L545" s="11">
        <v>8.3675143560295304E-2</v>
      </c>
      <c r="M545" s="11">
        <f t="shared" si="2"/>
        <v>8.3675143560295311</v>
      </c>
      <c r="N545" s="11">
        <v>1.15686274509804</v>
      </c>
      <c r="O545" s="11">
        <v>0.23625922887612799</v>
      </c>
      <c r="P545" s="11">
        <v>0.78308823529411797</v>
      </c>
      <c r="Q545" s="11">
        <v>0.57499999999999996</v>
      </c>
      <c r="R545" s="11">
        <v>0.68410852713178305</v>
      </c>
      <c r="S545" s="10" t="s">
        <v>84</v>
      </c>
      <c r="T545" s="10" t="s">
        <v>84</v>
      </c>
      <c r="U545" s="10"/>
      <c r="V545" s="10"/>
      <c r="W545" s="10"/>
      <c r="X545" s="10"/>
      <c r="Y545" s="10"/>
      <c r="Z545" s="10"/>
      <c r="AA545" s="10"/>
    </row>
    <row r="546" spans="1:27" ht="12.5" x14ac:dyDescent="0.25">
      <c r="A546" s="10" t="s">
        <v>12</v>
      </c>
      <c r="B546" s="10" t="s">
        <v>793</v>
      </c>
      <c r="C546" s="10" t="s">
        <v>76</v>
      </c>
      <c r="D546" s="11">
        <v>2024</v>
      </c>
      <c r="E546" s="10" t="s">
        <v>124</v>
      </c>
      <c r="F546" s="10" t="s">
        <v>83</v>
      </c>
      <c r="G546" s="10" t="s">
        <v>84</v>
      </c>
      <c r="H546" s="11">
        <v>17915</v>
      </c>
      <c r="I546" s="11">
        <v>1497</v>
      </c>
      <c r="J546" s="11">
        <v>1621</v>
      </c>
      <c r="K546" s="11">
        <v>2206</v>
      </c>
      <c r="L546" s="11">
        <v>8.3559318091959905E-2</v>
      </c>
      <c r="M546" s="11">
        <f t="shared" si="2"/>
        <v>8.3561261512698852</v>
      </c>
      <c r="N546" s="11">
        <v>1.08283233132933</v>
      </c>
      <c r="O546" s="11">
        <v>0.123134172151545</v>
      </c>
      <c r="P546" s="11">
        <v>0.64527027027026995</v>
      </c>
      <c r="Q546" s="11">
        <v>0.54166666666666696</v>
      </c>
      <c r="R546" s="11">
        <v>0.51454138702460805</v>
      </c>
      <c r="S546" s="10" t="s">
        <v>84</v>
      </c>
      <c r="T546" s="10" t="s">
        <v>84</v>
      </c>
      <c r="U546" s="10"/>
      <c r="V546" s="10"/>
      <c r="W546" s="10"/>
      <c r="X546" s="10"/>
      <c r="Y546" s="10"/>
      <c r="Z546" s="10"/>
      <c r="AA546" s="10"/>
    </row>
    <row r="547" spans="1:27" ht="12.5" x14ac:dyDescent="0.25">
      <c r="A547" s="10" t="s">
        <v>34</v>
      </c>
      <c r="B547" s="10" t="s">
        <v>795</v>
      </c>
      <c r="C547" s="10" t="s">
        <v>76</v>
      </c>
      <c r="D547" s="11">
        <v>2024</v>
      </c>
      <c r="E547" s="10" t="s">
        <v>124</v>
      </c>
      <c r="F547" s="10" t="s">
        <v>83</v>
      </c>
      <c r="G547" s="10" t="s">
        <v>84</v>
      </c>
      <c r="H547" s="11">
        <v>10777</v>
      </c>
      <c r="I547" s="11">
        <v>900</v>
      </c>
      <c r="J547" s="11">
        <v>885</v>
      </c>
      <c r="K547" s="11">
        <v>6378</v>
      </c>
      <c r="L547" s="11">
        <v>8.3513764305598495E-2</v>
      </c>
      <c r="M547" s="11">
        <f t="shared" si="2"/>
        <v>8.3511181219263246</v>
      </c>
      <c r="N547" s="11">
        <v>0.98333333333333295</v>
      </c>
      <c r="O547" s="11">
        <v>0.59183420971234102</v>
      </c>
      <c r="P547" s="11">
        <v>0.64442567567567599</v>
      </c>
      <c r="Q547" s="11">
        <v>0.95918367346938804</v>
      </c>
      <c r="R547" s="11">
        <v>0.51230425055928397</v>
      </c>
      <c r="S547" s="10" t="s">
        <v>84</v>
      </c>
      <c r="T547" s="10" t="s">
        <v>84</v>
      </c>
      <c r="U547" s="10"/>
      <c r="V547" s="10"/>
      <c r="W547" s="10"/>
      <c r="X547" s="10"/>
      <c r="Y547" s="10"/>
      <c r="Z547" s="10"/>
      <c r="AA547" s="10"/>
    </row>
    <row r="548" spans="1:27" ht="12.5" x14ac:dyDescent="0.25">
      <c r="A548" s="10" t="s">
        <v>55</v>
      </c>
      <c r="B548" s="10" t="s">
        <v>632</v>
      </c>
      <c r="C548" s="10" t="s">
        <v>76</v>
      </c>
      <c r="D548" s="11">
        <v>2024</v>
      </c>
      <c r="E548" s="10" t="s">
        <v>81</v>
      </c>
      <c r="F548" s="10" t="s">
        <v>83</v>
      </c>
      <c r="G548" s="10" t="s">
        <v>84</v>
      </c>
      <c r="H548" s="11">
        <v>5758</v>
      </c>
      <c r="I548" s="11">
        <v>476</v>
      </c>
      <c r="J548" s="11">
        <v>423</v>
      </c>
      <c r="K548" s="11">
        <v>2228</v>
      </c>
      <c r="L548" s="11">
        <v>8.2666396515044094E-2</v>
      </c>
      <c r="M548" s="11">
        <f t="shared" si="2"/>
        <v>8.266759291420632</v>
      </c>
      <c r="N548" s="11">
        <v>0.88865546218487401</v>
      </c>
      <c r="O548" s="11">
        <v>0.38693430973848397</v>
      </c>
      <c r="P548" s="11">
        <v>0.64358108108108103</v>
      </c>
      <c r="Q548" s="11">
        <v>0.54545454545454497</v>
      </c>
      <c r="R548" s="11">
        <v>0.70542635658914699</v>
      </c>
      <c r="S548" s="10" t="s">
        <v>84</v>
      </c>
      <c r="T548" s="10" t="s">
        <v>84</v>
      </c>
      <c r="U548" s="10"/>
      <c r="V548" s="10"/>
      <c r="W548" s="10"/>
      <c r="X548" s="10"/>
      <c r="Y548" s="10"/>
      <c r="Z548" s="10"/>
      <c r="AA548" s="10"/>
    </row>
    <row r="549" spans="1:27" ht="12.5" x14ac:dyDescent="0.25">
      <c r="A549" s="10" t="s">
        <v>10</v>
      </c>
      <c r="B549" s="10" t="s">
        <v>635</v>
      </c>
      <c r="C549" s="10" t="s">
        <v>76</v>
      </c>
      <c r="D549" s="11">
        <v>2024</v>
      </c>
      <c r="E549" s="10" t="s">
        <v>81</v>
      </c>
      <c r="F549" s="10" t="s">
        <v>83</v>
      </c>
      <c r="G549" s="10" t="s">
        <v>84</v>
      </c>
      <c r="H549" s="11">
        <v>14842</v>
      </c>
      <c r="I549" s="11">
        <v>1221</v>
      </c>
      <c r="J549" s="11">
        <v>1093</v>
      </c>
      <c r="K549" s="11">
        <v>25684</v>
      </c>
      <c r="L549" s="11">
        <v>8.2266540897453194E-2</v>
      </c>
      <c r="M549" s="11">
        <f t="shared" si="2"/>
        <v>8.2266540897453186</v>
      </c>
      <c r="N549" s="11">
        <v>0.89516789516789497</v>
      </c>
      <c r="O549" s="11">
        <v>1.73049454251449</v>
      </c>
      <c r="P549" s="11">
        <v>0.64273648648648696</v>
      </c>
      <c r="Q549" s="11">
        <v>0.46666666666666701</v>
      </c>
      <c r="R549" s="11">
        <v>0.70348837209302295</v>
      </c>
      <c r="S549" s="10" t="s">
        <v>84</v>
      </c>
      <c r="T549" s="10" t="s">
        <v>84</v>
      </c>
      <c r="U549" s="10"/>
      <c r="V549" s="10"/>
      <c r="W549" s="10"/>
      <c r="X549" s="10"/>
      <c r="Y549" s="10"/>
      <c r="Z549" s="10"/>
      <c r="AA549" s="10"/>
    </row>
    <row r="550" spans="1:27" ht="12.5" x14ac:dyDescent="0.25">
      <c r="A550" s="10" t="s">
        <v>82</v>
      </c>
      <c r="B550" s="10" t="s">
        <v>799</v>
      </c>
      <c r="C550" s="10" t="s">
        <v>76</v>
      </c>
      <c r="D550" s="11">
        <v>2024</v>
      </c>
      <c r="E550" s="10" t="s">
        <v>124</v>
      </c>
      <c r="F550" s="10" t="s">
        <v>83</v>
      </c>
      <c r="G550" s="10" t="s">
        <v>84</v>
      </c>
      <c r="H550" s="11">
        <v>4117</v>
      </c>
      <c r="I550" s="11">
        <v>338</v>
      </c>
      <c r="J550" s="11">
        <v>223</v>
      </c>
      <c r="K550" s="11">
        <v>1426</v>
      </c>
      <c r="L550" s="11">
        <v>8.2095292069789105E-2</v>
      </c>
      <c r="M550" s="11">
        <f t="shared" si="2"/>
        <v>8.209861549672091</v>
      </c>
      <c r="N550" s="11">
        <v>0.65976331360946705</v>
      </c>
      <c r="O550" s="11">
        <v>0.34635469376189099</v>
      </c>
      <c r="P550" s="11">
        <v>0.641891891891892</v>
      </c>
      <c r="Q550" s="11">
        <v>0.94827586206896597</v>
      </c>
      <c r="R550" s="11">
        <v>0.51006711409395999</v>
      </c>
      <c r="S550" s="10" t="s">
        <v>84</v>
      </c>
      <c r="T550" s="10" t="s">
        <v>84</v>
      </c>
      <c r="U550" s="10"/>
      <c r="V550" s="10"/>
      <c r="W550" s="10"/>
      <c r="X550" s="10"/>
      <c r="Y550" s="10"/>
      <c r="Z550" s="10"/>
      <c r="AA550" s="10"/>
    </row>
    <row r="551" spans="1:27" ht="12.5" hidden="1" x14ac:dyDescent="0.25">
      <c r="A551" s="10" t="s">
        <v>10</v>
      </c>
      <c r="B551" s="10" t="s">
        <v>1412</v>
      </c>
      <c r="C551" s="10" t="s">
        <v>191</v>
      </c>
      <c r="D551" s="11">
        <v>2024</v>
      </c>
      <c r="E551" s="10" t="s">
        <v>124</v>
      </c>
      <c r="F551" s="10" t="s">
        <v>125</v>
      </c>
      <c r="G551" s="10" t="s">
        <v>84</v>
      </c>
      <c r="H551" s="12">
        <v>1660</v>
      </c>
      <c r="I551" s="11">
        <v>136</v>
      </c>
      <c r="J551" s="11">
        <v>112</v>
      </c>
      <c r="K551" s="11">
        <v>3620</v>
      </c>
      <c r="L551" s="11">
        <v>8.1927710843373497E-2</v>
      </c>
      <c r="M551" s="11">
        <f t="shared" si="2"/>
        <v>8.19277108433735</v>
      </c>
      <c r="N551" s="11">
        <v>0.82352941176470595</v>
      </c>
      <c r="O551" s="11">
        <v>2.18072289156627</v>
      </c>
      <c r="P551" s="11">
        <v>0.78063725490196101</v>
      </c>
      <c r="Q551" s="11">
        <v>0.62068965517241403</v>
      </c>
      <c r="R551" s="11">
        <v>0.68217054263565902</v>
      </c>
      <c r="S551" s="10" t="s">
        <v>84</v>
      </c>
      <c r="T551" s="10" t="s">
        <v>84</v>
      </c>
      <c r="U551" s="10"/>
      <c r="V551" s="10"/>
      <c r="W551" s="10"/>
      <c r="X551" s="10"/>
      <c r="Y551" s="10"/>
      <c r="Z551" s="10"/>
      <c r="AA551" s="10"/>
    </row>
    <row r="552" spans="1:27" ht="12.5" x14ac:dyDescent="0.25">
      <c r="A552" s="10" t="s">
        <v>58</v>
      </c>
      <c r="B552" s="10" t="s">
        <v>636</v>
      </c>
      <c r="C552" s="10" t="s">
        <v>76</v>
      </c>
      <c r="D552" s="11">
        <v>2024</v>
      </c>
      <c r="E552" s="10" t="s">
        <v>81</v>
      </c>
      <c r="F552" s="10" t="s">
        <v>83</v>
      </c>
      <c r="G552" s="10" t="s">
        <v>84</v>
      </c>
      <c r="H552" s="11">
        <v>16234</v>
      </c>
      <c r="I552" s="11">
        <v>1328</v>
      </c>
      <c r="J552" s="11">
        <v>1126</v>
      </c>
      <c r="K552" s="11">
        <v>9990</v>
      </c>
      <c r="L552" s="11">
        <v>8.1805301739184003E-2</v>
      </c>
      <c r="M552" s="11">
        <f t="shared" si="2"/>
        <v>8.1803622027842806</v>
      </c>
      <c r="N552" s="11">
        <v>0.84789156626506001</v>
      </c>
      <c r="O552" s="11">
        <v>0.61538777437835002</v>
      </c>
      <c r="P552" s="11">
        <v>0.64104729729729704</v>
      </c>
      <c r="Q552" s="11">
        <v>0.43243243243243201</v>
      </c>
      <c r="R552" s="11">
        <v>0.70155038759689903</v>
      </c>
      <c r="S552" s="10" t="s">
        <v>84</v>
      </c>
      <c r="T552" s="10" t="s">
        <v>84</v>
      </c>
      <c r="U552" s="10"/>
      <c r="V552" s="10"/>
      <c r="W552" s="10"/>
      <c r="X552" s="10"/>
      <c r="Y552" s="10"/>
      <c r="Z552" s="10"/>
      <c r="AA552" s="10"/>
    </row>
    <row r="553" spans="1:27" ht="12.5" x14ac:dyDescent="0.25">
      <c r="A553" s="10" t="s">
        <v>58</v>
      </c>
      <c r="B553" s="10" t="s">
        <v>638</v>
      </c>
      <c r="C553" s="10" t="s">
        <v>76</v>
      </c>
      <c r="D553" s="11">
        <v>2024</v>
      </c>
      <c r="E553" s="10" t="s">
        <v>81</v>
      </c>
      <c r="F553" s="10" t="s">
        <v>83</v>
      </c>
      <c r="G553" s="10" t="s">
        <v>84</v>
      </c>
      <c r="H553" s="11">
        <v>48399</v>
      </c>
      <c r="I553" s="11">
        <v>3958</v>
      </c>
      <c r="J553" s="11">
        <v>3428</v>
      </c>
      <c r="K553" s="11">
        <v>96205</v>
      </c>
      <c r="L553" s="11">
        <v>8.1779253180620001E-2</v>
      </c>
      <c r="M553" s="11">
        <f t="shared" si="2"/>
        <v>8.1778549143577344</v>
      </c>
      <c r="N553" s="11">
        <v>0.86609398686205197</v>
      </c>
      <c r="O553" s="11">
        <v>1.9877647933909901</v>
      </c>
      <c r="P553" s="11">
        <v>0.64020270270270296</v>
      </c>
      <c r="Q553" s="11">
        <v>0.40540540540540498</v>
      </c>
      <c r="R553" s="11">
        <v>0.69961240310077499</v>
      </c>
      <c r="S553" s="10" t="s">
        <v>84</v>
      </c>
      <c r="T553" s="10" t="s">
        <v>84</v>
      </c>
      <c r="U553" s="10"/>
      <c r="V553" s="10"/>
      <c r="W553" s="10"/>
      <c r="X553" s="10"/>
      <c r="Y553" s="10"/>
      <c r="Z553" s="10"/>
      <c r="AA553" s="10"/>
    </row>
    <row r="554" spans="1:27" ht="12.5" x14ac:dyDescent="0.25">
      <c r="A554" s="10" t="s">
        <v>42</v>
      </c>
      <c r="B554" s="10" t="s">
        <v>640</v>
      </c>
      <c r="C554" s="10" t="s">
        <v>76</v>
      </c>
      <c r="D554" s="11">
        <v>2024</v>
      </c>
      <c r="E554" s="10" t="s">
        <v>81</v>
      </c>
      <c r="F554" s="10" t="s">
        <v>83</v>
      </c>
      <c r="G554" s="10" t="s">
        <v>84</v>
      </c>
      <c r="H554" s="11">
        <v>18897</v>
      </c>
      <c r="I554" s="11">
        <v>1544</v>
      </c>
      <c r="J554" s="11">
        <v>1509</v>
      </c>
      <c r="K554" s="11">
        <v>3854</v>
      </c>
      <c r="L554" s="11">
        <v>8.1704289386997295E-2</v>
      </c>
      <c r="M554" s="11">
        <f t="shared" si="2"/>
        <v>8.1706090913901672</v>
      </c>
      <c r="N554" s="11">
        <v>0.97733160621761705</v>
      </c>
      <c r="O554" s="11">
        <v>0.20394321975225899</v>
      </c>
      <c r="P554" s="11">
        <v>0.639358108108108</v>
      </c>
      <c r="Q554" s="11">
        <v>0.59523809523809501</v>
      </c>
      <c r="R554" s="11">
        <v>0.69767441860465096</v>
      </c>
      <c r="S554" s="10" t="s">
        <v>84</v>
      </c>
      <c r="T554" s="10" t="s">
        <v>84</v>
      </c>
      <c r="U554" s="10"/>
      <c r="V554" s="10"/>
      <c r="W554" s="10"/>
      <c r="X554" s="10"/>
      <c r="Y554" s="10"/>
      <c r="Z554" s="10"/>
      <c r="AA554" s="10"/>
    </row>
    <row r="555" spans="1:27" ht="12.5" x14ac:dyDescent="0.25">
      <c r="A555" s="10" t="s">
        <v>42</v>
      </c>
      <c r="B555" s="10" t="s">
        <v>802</v>
      </c>
      <c r="C555" s="10" t="s">
        <v>76</v>
      </c>
      <c r="D555" s="11">
        <v>2024</v>
      </c>
      <c r="E555" s="10" t="s">
        <v>124</v>
      </c>
      <c r="F555" s="10" t="s">
        <v>83</v>
      </c>
      <c r="G555" s="10" t="s">
        <v>84</v>
      </c>
      <c r="H555" s="11">
        <v>9641</v>
      </c>
      <c r="I555" s="11">
        <v>787</v>
      </c>
      <c r="J555" s="11">
        <v>12</v>
      </c>
      <c r="K555" s="11">
        <v>18936</v>
      </c>
      <c r="L555" s="11">
        <v>8.1634064328749104E-2</v>
      </c>
      <c r="M555" s="11">
        <f t="shared" si="2"/>
        <v>8.16305362514262</v>
      </c>
      <c r="N555" s="11">
        <v>1.52477763659466E-2</v>
      </c>
      <c r="O555" s="11">
        <v>1.96419649571689</v>
      </c>
      <c r="P555" s="11">
        <v>0.63851351351351304</v>
      </c>
      <c r="Q555" s="11">
        <v>0.57142857142857095</v>
      </c>
      <c r="R555" s="11">
        <v>0.50782997762863502</v>
      </c>
      <c r="S555" s="10" t="s">
        <v>84</v>
      </c>
      <c r="T555" s="10" t="s">
        <v>84</v>
      </c>
      <c r="U555" s="10"/>
      <c r="V555" s="10"/>
      <c r="W555" s="10"/>
      <c r="X555" s="10"/>
      <c r="Y555" s="10"/>
      <c r="Z555" s="10"/>
      <c r="AA555" s="10"/>
    </row>
    <row r="556" spans="1:27" ht="12.5" x14ac:dyDescent="0.25">
      <c r="A556" s="10" t="s">
        <v>10</v>
      </c>
      <c r="B556" s="10" t="s">
        <v>462</v>
      </c>
      <c r="C556" s="10" t="s">
        <v>76</v>
      </c>
      <c r="D556" s="11">
        <v>2024</v>
      </c>
      <c r="E556" s="10" t="s">
        <v>81</v>
      </c>
      <c r="F556" s="10" t="s">
        <v>83</v>
      </c>
      <c r="G556" s="10" t="s">
        <v>84</v>
      </c>
      <c r="H556" s="11">
        <v>135</v>
      </c>
      <c r="I556" s="11">
        <v>11</v>
      </c>
      <c r="J556" s="11">
        <v>4</v>
      </c>
      <c r="K556" s="11">
        <v>75</v>
      </c>
      <c r="L556" s="11">
        <v>8.1531809759110604E-2</v>
      </c>
      <c r="M556" s="11">
        <f t="shared" si="2"/>
        <v>8.1481481481481488</v>
      </c>
      <c r="N556" s="11">
        <v>0.36363636363636398</v>
      </c>
      <c r="O556" s="11">
        <v>0.55589870290302701</v>
      </c>
      <c r="P556" s="11">
        <v>0.63766891891891897</v>
      </c>
      <c r="Q556" s="11">
        <v>0.43333333333333302</v>
      </c>
      <c r="R556" s="11">
        <v>0.69573643410852704</v>
      </c>
      <c r="S556" s="10" t="s">
        <v>84</v>
      </c>
      <c r="T556" s="10" t="s">
        <v>84</v>
      </c>
      <c r="U556" s="10"/>
      <c r="V556" s="10"/>
      <c r="W556" s="10"/>
      <c r="X556" s="10"/>
      <c r="Y556" s="10"/>
      <c r="Z556" s="10"/>
      <c r="AA556" s="10"/>
    </row>
    <row r="557" spans="1:27" ht="12.5" x14ac:dyDescent="0.25">
      <c r="A557" s="10" t="s">
        <v>55</v>
      </c>
      <c r="B557" s="10" t="s">
        <v>805</v>
      </c>
      <c r="C557" s="10" t="s">
        <v>76</v>
      </c>
      <c r="D557" s="11">
        <v>2024</v>
      </c>
      <c r="E557" s="10" t="s">
        <v>124</v>
      </c>
      <c r="F557" s="10" t="s">
        <v>83</v>
      </c>
      <c r="G557" s="10" t="s">
        <v>84</v>
      </c>
      <c r="H557" s="11">
        <v>7433</v>
      </c>
      <c r="I557" s="11">
        <v>606</v>
      </c>
      <c r="J557" s="11">
        <v>575</v>
      </c>
      <c r="K557" s="11">
        <v>6670</v>
      </c>
      <c r="L557" s="11">
        <v>8.1525577641005001E-2</v>
      </c>
      <c r="M557" s="11">
        <f t="shared" si="2"/>
        <v>8.1528319655589936</v>
      </c>
      <c r="N557" s="11">
        <v>0.94884488448844895</v>
      </c>
      <c r="O557" s="11">
        <v>0.89731947667574796</v>
      </c>
      <c r="P557" s="11">
        <v>0.63682432432432401</v>
      </c>
      <c r="Q557" s="11">
        <v>0.5</v>
      </c>
      <c r="R557" s="11">
        <v>0.50559284116331105</v>
      </c>
      <c r="S557" s="10" t="s">
        <v>84</v>
      </c>
      <c r="T557" s="10" t="s">
        <v>84</v>
      </c>
      <c r="U557" s="10"/>
      <c r="V557" s="10"/>
      <c r="W557" s="10"/>
      <c r="X557" s="10"/>
      <c r="Y557" s="10"/>
      <c r="Z557" s="10"/>
      <c r="AA557" s="10"/>
    </row>
    <row r="558" spans="1:27" ht="12.5" hidden="1" x14ac:dyDescent="0.25">
      <c r="A558" s="10" t="s">
        <v>14</v>
      </c>
      <c r="B558" s="10" t="s">
        <v>1413</v>
      </c>
      <c r="C558" s="10" t="s">
        <v>191</v>
      </c>
      <c r="D558" s="11">
        <v>2024</v>
      </c>
      <c r="E558" s="10" t="s">
        <v>124</v>
      </c>
      <c r="F558" s="10" t="s">
        <v>125</v>
      </c>
      <c r="G558" s="10" t="s">
        <v>84</v>
      </c>
      <c r="H558" s="12">
        <v>21623</v>
      </c>
      <c r="I558" s="11">
        <v>1756</v>
      </c>
      <c r="J558" s="11">
        <v>1642</v>
      </c>
      <c r="K558" s="11">
        <v>5757</v>
      </c>
      <c r="L558" s="11">
        <v>8.1210761813367893E-2</v>
      </c>
      <c r="M558" s="11">
        <f t="shared" si="2"/>
        <v>8.1209822873791797</v>
      </c>
      <c r="N558" s="11">
        <v>0.93507972665148098</v>
      </c>
      <c r="O558" s="11">
        <v>0.26624735521615001</v>
      </c>
      <c r="P558" s="11">
        <v>0.77941176470588203</v>
      </c>
      <c r="Q558" s="11">
        <v>0.76595744680851097</v>
      </c>
      <c r="R558" s="11">
        <v>0.68023255813953498</v>
      </c>
      <c r="S558" s="10" t="s">
        <v>84</v>
      </c>
      <c r="T558" s="10" t="s">
        <v>84</v>
      </c>
      <c r="U558" s="10"/>
      <c r="V558" s="10"/>
      <c r="W558" s="10"/>
      <c r="X558" s="10"/>
      <c r="Y558" s="10"/>
      <c r="Z558" s="10"/>
      <c r="AA558" s="10"/>
    </row>
    <row r="559" spans="1:27" ht="12.5" x14ac:dyDescent="0.25">
      <c r="A559" s="10" t="s">
        <v>12</v>
      </c>
      <c r="B559" s="10" t="s">
        <v>643</v>
      </c>
      <c r="C559" s="10" t="s">
        <v>76</v>
      </c>
      <c r="D559" s="11">
        <v>2024</v>
      </c>
      <c r="E559" s="10" t="s">
        <v>81</v>
      </c>
      <c r="F559" s="10" t="s">
        <v>83</v>
      </c>
      <c r="G559" s="10" t="s">
        <v>84</v>
      </c>
      <c r="H559" s="11">
        <v>26729</v>
      </c>
      <c r="I559" s="11">
        <v>2160</v>
      </c>
      <c r="J559" s="11">
        <v>1941</v>
      </c>
      <c r="K559" s="11">
        <v>41212</v>
      </c>
      <c r="L559" s="11">
        <v>8.0812615747236097E-2</v>
      </c>
      <c r="M559" s="11">
        <f t="shared" si="2"/>
        <v>8.0811104044296442</v>
      </c>
      <c r="N559" s="11">
        <v>0.89861111111111103</v>
      </c>
      <c r="O559" s="11">
        <v>1.54187477785884</v>
      </c>
      <c r="P559" s="11">
        <v>0.63597972972973005</v>
      </c>
      <c r="Q559" s="11">
        <v>0.52777777777777801</v>
      </c>
      <c r="R559" s="11">
        <v>0.693798449612403</v>
      </c>
      <c r="S559" s="10" t="s">
        <v>84</v>
      </c>
      <c r="T559" s="10" t="s">
        <v>84</v>
      </c>
      <c r="U559" s="10"/>
      <c r="V559" s="10"/>
      <c r="W559" s="10"/>
      <c r="X559" s="10"/>
      <c r="Y559" s="10"/>
      <c r="Z559" s="10"/>
      <c r="AA559" s="10"/>
    </row>
    <row r="560" spans="1:27" ht="12.5" hidden="1" x14ac:dyDescent="0.25">
      <c r="A560" s="10" t="s">
        <v>29</v>
      </c>
      <c r="B560" s="10" t="s">
        <v>1414</v>
      </c>
      <c r="C560" s="10" t="s">
        <v>191</v>
      </c>
      <c r="D560" s="11">
        <v>2024</v>
      </c>
      <c r="E560" s="10" t="s">
        <v>124</v>
      </c>
      <c r="F560" s="10" t="s">
        <v>125</v>
      </c>
      <c r="G560" s="10" t="s">
        <v>84</v>
      </c>
      <c r="H560" s="12">
        <v>1908</v>
      </c>
      <c r="I560" s="11">
        <v>154</v>
      </c>
      <c r="J560" s="11">
        <v>137</v>
      </c>
      <c r="K560" s="11">
        <v>154</v>
      </c>
      <c r="L560" s="11">
        <v>8.0730418068236401E-2</v>
      </c>
      <c r="M560" s="11">
        <f t="shared" si="2"/>
        <v>8.0712788259958081</v>
      </c>
      <c r="N560" s="11">
        <v>0.88961038961038996</v>
      </c>
      <c r="O560" s="11">
        <v>8.0730418068236401E-2</v>
      </c>
      <c r="P560" s="11">
        <v>0.77696078431372595</v>
      </c>
      <c r="Q560" s="11">
        <v>0.676056338028169</v>
      </c>
      <c r="R560" s="11">
        <v>0.67829457364341095</v>
      </c>
      <c r="S560" s="10" t="s">
        <v>84</v>
      </c>
      <c r="T560" s="10" t="s">
        <v>84</v>
      </c>
      <c r="U560" s="10"/>
      <c r="V560" s="10"/>
      <c r="W560" s="10"/>
      <c r="X560" s="10"/>
      <c r="Y560" s="10"/>
      <c r="Z560" s="10"/>
      <c r="AA560" s="10"/>
    </row>
    <row r="561" spans="1:27" ht="12.5" x14ac:dyDescent="0.25">
      <c r="A561" s="10" t="s">
        <v>65</v>
      </c>
      <c r="B561" s="10" t="s">
        <v>645</v>
      </c>
      <c r="C561" s="10" t="s">
        <v>76</v>
      </c>
      <c r="D561" s="11">
        <v>2024</v>
      </c>
      <c r="E561" s="10" t="s">
        <v>81</v>
      </c>
      <c r="F561" s="10" t="s">
        <v>83</v>
      </c>
      <c r="G561" s="10" t="s">
        <v>84</v>
      </c>
      <c r="H561" s="11">
        <v>3884</v>
      </c>
      <c r="I561" s="11">
        <v>313</v>
      </c>
      <c r="J561" s="11">
        <v>244</v>
      </c>
      <c r="K561" s="11">
        <v>3570</v>
      </c>
      <c r="L561" s="11">
        <v>8.0595669806664799E-2</v>
      </c>
      <c r="M561" s="11">
        <f t="shared" si="2"/>
        <v>8.0587023686920691</v>
      </c>
      <c r="N561" s="11">
        <v>0.77955271565495199</v>
      </c>
      <c r="O561" s="11">
        <v>0.919254125270905</v>
      </c>
      <c r="P561" s="11">
        <v>0.63513513513513498</v>
      </c>
      <c r="Q561" s="11">
        <v>0.69230769230769196</v>
      </c>
      <c r="R561" s="11">
        <v>0.69186046511627897</v>
      </c>
      <c r="S561" s="10" t="s">
        <v>84</v>
      </c>
      <c r="T561" s="10" t="s">
        <v>84</v>
      </c>
      <c r="U561" s="10"/>
      <c r="V561" s="10"/>
      <c r="W561" s="10"/>
      <c r="X561" s="10"/>
      <c r="Y561" s="10"/>
      <c r="Z561" s="10"/>
      <c r="AA561" s="10"/>
    </row>
    <row r="562" spans="1:27" ht="12.5" x14ac:dyDescent="0.25">
      <c r="A562" s="10" t="s">
        <v>58</v>
      </c>
      <c r="B562" s="10" t="s">
        <v>647</v>
      </c>
      <c r="C562" s="10" t="s">
        <v>76</v>
      </c>
      <c r="D562" s="11">
        <v>2024</v>
      </c>
      <c r="E562" s="10" t="s">
        <v>81</v>
      </c>
      <c r="F562" s="10" t="s">
        <v>83</v>
      </c>
      <c r="G562" s="10" t="s">
        <v>84</v>
      </c>
      <c r="H562" s="11">
        <v>59189</v>
      </c>
      <c r="I562" s="11">
        <v>4760</v>
      </c>
      <c r="J562" s="11">
        <v>4178</v>
      </c>
      <c r="K562" s="11">
        <v>80922</v>
      </c>
      <c r="L562" s="11">
        <v>8.0419782252739394E-2</v>
      </c>
      <c r="M562" s="11">
        <f t="shared" si="2"/>
        <v>8.0420348375542758</v>
      </c>
      <c r="N562" s="11">
        <v>0.877731092436975</v>
      </c>
      <c r="O562" s="11">
        <v>1.36717008812105</v>
      </c>
      <c r="P562" s="11">
        <v>0.63429054054054101</v>
      </c>
      <c r="Q562" s="11">
        <v>0.37837837837837801</v>
      </c>
      <c r="R562" s="11">
        <v>0.68992248062015504</v>
      </c>
      <c r="S562" s="10" t="s">
        <v>84</v>
      </c>
      <c r="T562" s="10" t="s">
        <v>84</v>
      </c>
      <c r="U562" s="10"/>
      <c r="V562" s="10"/>
      <c r="W562" s="10"/>
      <c r="X562" s="10"/>
      <c r="Y562" s="10"/>
      <c r="Z562" s="10"/>
      <c r="AA562" s="10"/>
    </row>
    <row r="563" spans="1:27" ht="12.5" x14ac:dyDescent="0.25">
      <c r="A563" s="10" t="s">
        <v>12</v>
      </c>
      <c r="B563" s="10" t="s">
        <v>649</v>
      </c>
      <c r="C563" s="10" t="s">
        <v>76</v>
      </c>
      <c r="D563" s="11">
        <v>2024</v>
      </c>
      <c r="E563" s="10" t="s">
        <v>81</v>
      </c>
      <c r="F563" s="10" t="s">
        <v>83</v>
      </c>
      <c r="G563" s="10" t="s">
        <v>84</v>
      </c>
      <c r="H563" s="11">
        <v>11519</v>
      </c>
      <c r="I563" s="11">
        <v>924</v>
      </c>
      <c r="J563" s="11">
        <v>828</v>
      </c>
      <c r="K563" s="11">
        <v>27508</v>
      </c>
      <c r="L563" s="11">
        <v>8.0215876782394196E-2</v>
      </c>
      <c r="M563" s="11">
        <f t="shared" si="2"/>
        <v>8.021529646670718</v>
      </c>
      <c r="N563" s="11">
        <v>0.89610389610389596</v>
      </c>
      <c r="O563" s="11">
        <v>2.3880717949460002</v>
      </c>
      <c r="P563" s="11">
        <v>0.63344594594594605</v>
      </c>
      <c r="Q563" s="11">
        <v>0.51388888888888895</v>
      </c>
      <c r="R563" s="11">
        <v>0.68798449612403101</v>
      </c>
      <c r="S563" s="10" t="s">
        <v>84</v>
      </c>
      <c r="T563" s="10" t="s">
        <v>84</v>
      </c>
      <c r="U563" s="10"/>
      <c r="V563" s="10"/>
      <c r="W563" s="10"/>
      <c r="X563" s="10"/>
      <c r="Y563" s="10"/>
      <c r="Z563" s="10"/>
      <c r="AA563" s="10"/>
    </row>
    <row r="564" spans="1:27" ht="12.5" x14ac:dyDescent="0.25">
      <c r="A564" s="10" t="s">
        <v>65</v>
      </c>
      <c r="B564" s="10" t="s">
        <v>652</v>
      </c>
      <c r="C564" s="10" t="s">
        <v>76</v>
      </c>
      <c r="D564" s="11">
        <v>2024</v>
      </c>
      <c r="E564" s="10" t="s">
        <v>81</v>
      </c>
      <c r="F564" s="10" t="s">
        <v>83</v>
      </c>
      <c r="G564" s="10" t="s">
        <v>84</v>
      </c>
      <c r="H564" s="11">
        <v>20442</v>
      </c>
      <c r="I564" s="11">
        <v>1638</v>
      </c>
      <c r="J564" s="11">
        <v>1115</v>
      </c>
      <c r="K564" s="11">
        <v>58266</v>
      </c>
      <c r="L564" s="11">
        <v>8.0129472529891596E-2</v>
      </c>
      <c r="M564" s="11">
        <f t="shared" si="2"/>
        <v>8.0129145876137375</v>
      </c>
      <c r="N564" s="11">
        <v>0.68070818070818095</v>
      </c>
      <c r="O564" s="11">
        <v>2.8503198085632899</v>
      </c>
      <c r="P564" s="11">
        <v>0.63260135135135098</v>
      </c>
      <c r="Q564" s="11">
        <v>0.61538461538461497</v>
      </c>
      <c r="R564" s="11">
        <v>0.68604651162790697</v>
      </c>
      <c r="S564" s="10" t="s">
        <v>84</v>
      </c>
      <c r="T564" s="10" t="s">
        <v>84</v>
      </c>
      <c r="U564" s="10"/>
      <c r="V564" s="10"/>
      <c r="W564" s="10"/>
      <c r="X564" s="10"/>
      <c r="Y564" s="10"/>
      <c r="Z564" s="10"/>
      <c r="AA564" s="10"/>
    </row>
    <row r="565" spans="1:27" ht="12.5" x14ac:dyDescent="0.25">
      <c r="A565" s="10" t="s">
        <v>19</v>
      </c>
      <c r="B565" s="10" t="s">
        <v>654</v>
      </c>
      <c r="C565" s="10" t="s">
        <v>76</v>
      </c>
      <c r="D565" s="11">
        <v>2024</v>
      </c>
      <c r="E565" s="10" t="s">
        <v>81</v>
      </c>
      <c r="F565" s="10" t="s">
        <v>83</v>
      </c>
      <c r="G565" s="10" t="s">
        <v>84</v>
      </c>
      <c r="H565" s="11">
        <v>10969</v>
      </c>
      <c r="I565" s="11">
        <v>877</v>
      </c>
      <c r="J565" s="11">
        <v>468</v>
      </c>
      <c r="K565" s="11">
        <v>4334</v>
      </c>
      <c r="L565" s="11">
        <v>7.9951986264424998E-2</v>
      </c>
      <c r="M565" s="11">
        <f t="shared" si="2"/>
        <v>7.9952593673078676</v>
      </c>
      <c r="N565" s="11">
        <v>0.53363740022804995</v>
      </c>
      <c r="O565" s="11">
        <v>0.39511049996581299</v>
      </c>
      <c r="P565" s="11">
        <v>0.63175675675675702</v>
      </c>
      <c r="Q565" s="11">
        <v>0.38888888888888901</v>
      </c>
      <c r="R565" s="11">
        <v>0.68410852713178305</v>
      </c>
      <c r="S565" s="10" t="s">
        <v>84</v>
      </c>
      <c r="T565" s="10" t="s">
        <v>84</v>
      </c>
      <c r="U565" s="10"/>
      <c r="V565" s="10"/>
      <c r="W565" s="10"/>
      <c r="X565" s="10"/>
      <c r="Y565" s="10"/>
      <c r="Z565" s="10"/>
      <c r="AA565" s="10"/>
    </row>
    <row r="566" spans="1:27" ht="12.5" x14ac:dyDescent="0.25">
      <c r="A566" s="10" t="s">
        <v>29</v>
      </c>
      <c r="B566" s="10" t="s">
        <v>807</v>
      </c>
      <c r="C566" s="10" t="s">
        <v>76</v>
      </c>
      <c r="D566" s="11">
        <v>2024</v>
      </c>
      <c r="E566" s="10" t="s">
        <v>124</v>
      </c>
      <c r="F566" s="10" t="s">
        <v>83</v>
      </c>
      <c r="G566" s="10" t="s">
        <v>84</v>
      </c>
      <c r="H566" s="11">
        <v>16607</v>
      </c>
      <c r="I566" s="11">
        <v>1327</v>
      </c>
      <c r="J566" s="11">
        <v>1167</v>
      </c>
      <c r="K566" s="11">
        <v>26135</v>
      </c>
      <c r="L566" s="11">
        <v>7.99052617845709E-2</v>
      </c>
      <c r="M566" s="11">
        <f t="shared" si="2"/>
        <v>7.9906063708074901</v>
      </c>
      <c r="N566" s="11">
        <v>0.87942727957799505</v>
      </c>
      <c r="O566" s="11">
        <v>1.57371817388075</v>
      </c>
      <c r="P566" s="11">
        <v>0.63091216216216195</v>
      </c>
      <c r="Q566" s="11">
        <v>0.38775510204081598</v>
      </c>
      <c r="R566" s="11">
        <v>0.50335570469798696</v>
      </c>
      <c r="S566" s="10" t="s">
        <v>84</v>
      </c>
      <c r="T566" s="10" t="s">
        <v>84</v>
      </c>
      <c r="U566" s="10"/>
      <c r="V566" s="10"/>
      <c r="W566" s="10"/>
      <c r="X566" s="10"/>
      <c r="Y566" s="10"/>
      <c r="Z566" s="10"/>
      <c r="AA566" s="10"/>
    </row>
    <row r="567" spans="1:27" ht="12.5" hidden="1" x14ac:dyDescent="0.25">
      <c r="A567" s="10" t="s">
        <v>10</v>
      </c>
      <c r="B567" s="10" t="s">
        <v>1416</v>
      </c>
      <c r="C567" s="10" t="s">
        <v>191</v>
      </c>
      <c r="D567" s="11">
        <v>2024</v>
      </c>
      <c r="E567" s="10" t="s">
        <v>124</v>
      </c>
      <c r="F567" s="10" t="s">
        <v>125</v>
      </c>
      <c r="G567" s="10" t="s">
        <v>84</v>
      </c>
      <c r="H567" s="12">
        <v>402.41666666666703</v>
      </c>
      <c r="I567" s="11">
        <v>32</v>
      </c>
      <c r="J567" s="11">
        <v>19</v>
      </c>
      <c r="K567" s="11">
        <v>642</v>
      </c>
      <c r="L567" s="11">
        <v>7.9519569268999807E-2</v>
      </c>
      <c r="M567" s="11">
        <f t="shared" si="2"/>
        <v>7.9519569268999728</v>
      </c>
      <c r="N567" s="11">
        <v>0.59375</v>
      </c>
      <c r="O567" s="11">
        <v>1.59536135845931</v>
      </c>
      <c r="P567" s="11">
        <v>0.77450980392156898</v>
      </c>
      <c r="Q567" s="11">
        <v>0.58620689655172398</v>
      </c>
      <c r="R567" s="11">
        <v>0.67635658914728702</v>
      </c>
      <c r="S567" s="10" t="s">
        <v>84</v>
      </c>
      <c r="T567" s="10" t="s">
        <v>84</v>
      </c>
      <c r="U567" s="10"/>
      <c r="V567" s="10"/>
      <c r="W567" s="10"/>
      <c r="X567" s="10"/>
      <c r="Y567" s="10"/>
      <c r="Z567" s="10"/>
      <c r="AA567" s="10"/>
    </row>
    <row r="568" spans="1:27" ht="12.5" hidden="1" x14ac:dyDescent="0.25">
      <c r="A568" s="10" t="s">
        <v>13</v>
      </c>
      <c r="B568" s="10" t="s">
        <v>1417</v>
      </c>
      <c r="C568" s="10" t="s">
        <v>191</v>
      </c>
      <c r="D568" s="11">
        <v>2024</v>
      </c>
      <c r="E568" s="10" t="s">
        <v>257</v>
      </c>
      <c r="F568" s="10" t="s">
        <v>125</v>
      </c>
      <c r="G568" s="10" t="s">
        <v>84</v>
      </c>
      <c r="H568" s="12">
        <v>1170</v>
      </c>
      <c r="I568" s="11">
        <v>93</v>
      </c>
      <c r="J568" s="11">
        <v>23</v>
      </c>
      <c r="K568" s="11">
        <v>262</v>
      </c>
      <c r="L568" s="11">
        <v>7.9458882164471306E-2</v>
      </c>
      <c r="M568" s="11">
        <f t="shared" si="2"/>
        <v>7.948717948717948</v>
      </c>
      <c r="N568" s="11">
        <v>0.247311827956989</v>
      </c>
      <c r="O568" s="11">
        <v>0.223851904592382</v>
      </c>
      <c r="P568" s="11">
        <v>0.77328431372549</v>
      </c>
      <c r="Q568" s="11">
        <v>0.55172413793103403</v>
      </c>
      <c r="R568" s="11">
        <v>0.91666666666666696</v>
      </c>
      <c r="S568" s="10" t="s">
        <v>84</v>
      </c>
      <c r="T568" s="10" t="s">
        <v>84</v>
      </c>
      <c r="U568" s="10"/>
      <c r="V568" s="10"/>
      <c r="W568" s="10"/>
      <c r="X568" s="10"/>
      <c r="Y568" s="10"/>
      <c r="Z568" s="10"/>
      <c r="AA568" s="10"/>
    </row>
    <row r="569" spans="1:27" ht="12.5" x14ac:dyDescent="0.25">
      <c r="A569" s="10" t="s">
        <v>58</v>
      </c>
      <c r="B569" s="10" t="s">
        <v>810</v>
      </c>
      <c r="C569" s="10" t="s">
        <v>76</v>
      </c>
      <c r="D569" s="11">
        <v>2024</v>
      </c>
      <c r="E569" s="10" t="s">
        <v>124</v>
      </c>
      <c r="F569" s="10" t="s">
        <v>83</v>
      </c>
      <c r="G569" s="10" t="s">
        <v>84</v>
      </c>
      <c r="H569" s="11">
        <v>12260</v>
      </c>
      <c r="I569" s="11">
        <v>974</v>
      </c>
      <c r="J569" s="11">
        <v>685</v>
      </c>
      <c r="K569" s="11">
        <v>34149</v>
      </c>
      <c r="L569" s="11">
        <v>7.9444810734021695E-2</v>
      </c>
      <c r="M569" s="11">
        <f t="shared" si="2"/>
        <v>7.9445350734094617</v>
      </c>
      <c r="N569" s="11">
        <v>0.70328542094455804</v>
      </c>
      <c r="O569" s="11">
        <v>2.7853807410227001</v>
      </c>
      <c r="P569" s="11">
        <v>0.63006756756756799</v>
      </c>
      <c r="Q569" s="11">
        <v>0.35135135135135098</v>
      </c>
      <c r="R569" s="11">
        <v>0.50111856823266199</v>
      </c>
      <c r="S569" s="10" t="s">
        <v>84</v>
      </c>
      <c r="T569" s="10" t="s">
        <v>84</v>
      </c>
      <c r="U569" s="10"/>
      <c r="V569" s="10"/>
      <c r="W569" s="10"/>
      <c r="X569" s="10"/>
      <c r="Y569" s="10"/>
      <c r="Z569" s="10"/>
      <c r="AA569" s="10"/>
    </row>
    <row r="570" spans="1:27" ht="12.5" hidden="1" x14ac:dyDescent="0.25">
      <c r="A570" s="10" t="s">
        <v>13</v>
      </c>
      <c r="B570" s="10" t="s">
        <v>1418</v>
      </c>
      <c r="C570" s="10" t="s">
        <v>191</v>
      </c>
      <c r="D570" s="11">
        <v>2024</v>
      </c>
      <c r="E570" s="10" t="s">
        <v>124</v>
      </c>
      <c r="F570" s="10" t="s">
        <v>125</v>
      </c>
      <c r="G570" s="10" t="s">
        <v>84</v>
      </c>
      <c r="H570" s="12">
        <v>391.08333333333297</v>
      </c>
      <c r="I570" s="11">
        <v>31</v>
      </c>
      <c r="J570" s="11">
        <v>25</v>
      </c>
      <c r="K570" s="11">
        <v>31</v>
      </c>
      <c r="L570" s="11">
        <v>7.9266993394417201E-2</v>
      </c>
      <c r="M570" s="11">
        <f t="shared" si="2"/>
        <v>7.9266993394417282</v>
      </c>
      <c r="N570" s="11">
        <v>0.80645161290322598</v>
      </c>
      <c r="O570" s="11">
        <v>7.9266993394417201E-2</v>
      </c>
      <c r="P570" s="11">
        <v>0.77083333333333304</v>
      </c>
      <c r="Q570" s="11">
        <v>0.53448275862068995</v>
      </c>
      <c r="R570" s="11">
        <v>0.67441860465116299</v>
      </c>
      <c r="S570" s="10" t="s">
        <v>84</v>
      </c>
      <c r="T570" s="10" t="s">
        <v>84</v>
      </c>
      <c r="U570" s="10"/>
      <c r="V570" s="10"/>
      <c r="W570" s="10"/>
      <c r="X570" s="10"/>
      <c r="Y570" s="10"/>
      <c r="Z570" s="10"/>
      <c r="AA570" s="10"/>
    </row>
    <row r="571" spans="1:27" ht="12.5" x14ac:dyDescent="0.25">
      <c r="A571" s="10" t="s">
        <v>29</v>
      </c>
      <c r="B571" s="10" t="s">
        <v>813</v>
      </c>
      <c r="C571" s="10" t="s">
        <v>76</v>
      </c>
      <c r="D571" s="11">
        <v>2024</v>
      </c>
      <c r="E571" s="10" t="s">
        <v>124</v>
      </c>
      <c r="F571" s="10" t="s">
        <v>83</v>
      </c>
      <c r="G571" s="10" t="s">
        <v>84</v>
      </c>
      <c r="H571" s="11">
        <v>35935</v>
      </c>
      <c r="I571" s="11">
        <v>2837</v>
      </c>
      <c r="J571" s="11">
        <v>1996</v>
      </c>
      <c r="K571" s="11">
        <v>57450</v>
      </c>
      <c r="L571" s="11">
        <v>7.89481007374426E-2</v>
      </c>
      <c r="M571" s="11">
        <f t="shared" si="2"/>
        <v>7.8948100737442601</v>
      </c>
      <c r="N571" s="11">
        <v>0.70356009869580505</v>
      </c>
      <c r="O571" s="11">
        <v>1.5987199109503301</v>
      </c>
      <c r="P571" s="11">
        <v>0.62837837837837796</v>
      </c>
      <c r="Q571" s="11">
        <v>0.36734693877551</v>
      </c>
      <c r="R571" s="11">
        <v>0.49888143176733801</v>
      </c>
      <c r="S571" s="10" t="s">
        <v>84</v>
      </c>
      <c r="T571" s="10" t="s">
        <v>84</v>
      </c>
      <c r="U571" s="10"/>
      <c r="V571" s="10"/>
      <c r="W571" s="10"/>
      <c r="X571" s="10"/>
      <c r="Y571" s="10"/>
      <c r="Z571" s="10"/>
      <c r="AA571" s="10"/>
    </row>
    <row r="572" spans="1:27" ht="12.5" x14ac:dyDescent="0.25">
      <c r="A572" s="10" t="s">
        <v>26</v>
      </c>
      <c r="B572" s="10" t="s">
        <v>656</v>
      </c>
      <c r="C572" s="10" t="s">
        <v>76</v>
      </c>
      <c r="D572" s="11">
        <v>2024</v>
      </c>
      <c r="E572" s="10" t="s">
        <v>81</v>
      </c>
      <c r="F572" s="10" t="s">
        <v>83</v>
      </c>
      <c r="G572" s="10" t="s">
        <v>84</v>
      </c>
      <c r="H572" s="11">
        <v>12125</v>
      </c>
      <c r="I572" s="11">
        <v>956</v>
      </c>
      <c r="J572" s="11">
        <v>651</v>
      </c>
      <c r="K572" s="11">
        <v>22293</v>
      </c>
      <c r="L572" s="11">
        <v>7.8847528454390498E-2</v>
      </c>
      <c r="M572" s="11">
        <f t="shared" si="2"/>
        <v>7.8845360824742263</v>
      </c>
      <c r="N572" s="11">
        <v>0.68096234309623405</v>
      </c>
      <c r="O572" s="11">
        <v>1.83864848518172</v>
      </c>
      <c r="P572" s="11">
        <v>0.62668918918918903</v>
      </c>
      <c r="Q572" s="11">
        <v>0.30769230769230799</v>
      </c>
      <c r="R572" s="11">
        <v>0.68217054263565902</v>
      </c>
      <c r="S572" s="10" t="s">
        <v>84</v>
      </c>
      <c r="T572" s="10" t="s">
        <v>84</v>
      </c>
      <c r="U572" s="10"/>
      <c r="V572" s="10"/>
      <c r="W572" s="10"/>
      <c r="X572" s="10"/>
      <c r="Y572" s="10"/>
      <c r="Z572" s="10"/>
      <c r="AA572" s="10"/>
    </row>
    <row r="573" spans="1:27" ht="12.5" x14ac:dyDescent="0.25">
      <c r="A573" s="10" t="s">
        <v>29</v>
      </c>
      <c r="B573" s="10" t="s">
        <v>816</v>
      </c>
      <c r="C573" s="10" t="s">
        <v>76</v>
      </c>
      <c r="D573" s="11">
        <v>2024</v>
      </c>
      <c r="E573" s="10" t="s">
        <v>124</v>
      </c>
      <c r="F573" s="10" t="s">
        <v>83</v>
      </c>
      <c r="G573" s="10" t="s">
        <v>84</v>
      </c>
      <c r="H573" s="11">
        <v>12125</v>
      </c>
      <c r="I573" s="11">
        <v>956</v>
      </c>
      <c r="J573" s="11">
        <v>651</v>
      </c>
      <c r="K573" s="11">
        <v>22293</v>
      </c>
      <c r="L573" s="11">
        <v>7.8847528454390498E-2</v>
      </c>
      <c r="M573" s="11">
        <f t="shared" si="2"/>
        <v>7.8845360824742263</v>
      </c>
      <c r="N573" s="11">
        <v>0.68096234309623405</v>
      </c>
      <c r="O573" s="11">
        <v>1.83864848518172</v>
      </c>
      <c r="P573" s="11">
        <v>0.62668918918918903</v>
      </c>
      <c r="Q573" s="11">
        <v>0.34693877551020402</v>
      </c>
      <c r="R573" s="11">
        <v>0.49664429530201298</v>
      </c>
      <c r="S573" s="10" t="s">
        <v>84</v>
      </c>
      <c r="T573" s="10" t="s">
        <v>84</v>
      </c>
      <c r="U573" s="10"/>
      <c r="V573" s="10"/>
      <c r="W573" s="10"/>
      <c r="X573" s="10"/>
      <c r="Y573" s="10"/>
      <c r="Z573" s="10"/>
      <c r="AA573" s="10"/>
    </row>
    <row r="574" spans="1:27" ht="12.5" x14ac:dyDescent="0.25">
      <c r="A574" s="10" t="s">
        <v>29</v>
      </c>
      <c r="B574" s="10" t="s">
        <v>818</v>
      </c>
      <c r="C574" s="10" t="s">
        <v>76</v>
      </c>
      <c r="D574" s="11">
        <v>2024</v>
      </c>
      <c r="E574" s="10" t="s">
        <v>124</v>
      </c>
      <c r="F574" s="10" t="s">
        <v>83</v>
      </c>
      <c r="G574" s="10" t="s">
        <v>84</v>
      </c>
      <c r="H574" s="11">
        <v>11612</v>
      </c>
      <c r="I574" s="11">
        <v>914</v>
      </c>
      <c r="J574" s="11">
        <v>639</v>
      </c>
      <c r="K574" s="11">
        <v>5151</v>
      </c>
      <c r="L574" s="11">
        <v>7.87088533107521E-2</v>
      </c>
      <c r="M574" s="11">
        <f t="shared" si="2"/>
        <v>7.8711677574922492</v>
      </c>
      <c r="N574" s="11">
        <v>0.69912472647702395</v>
      </c>
      <c r="O574" s="11">
        <v>0.44357691838477498</v>
      </c>
      <c r="P574" s="11">
        <v>0.62584459459459496</v>
      </c>
      <c r="Q574" s="11">
        <v>0.32653061224489799</v>
      </c>
      <c r="R574" s="11">
        <v>0.49440715883668901</v>
      </c>
      <c r="S574" s="10" t="s">
        <v>84</v>
      </c>
      <c r="T574" s="10" t="s">
        <v>84</v>
      </c>
      <c r="U574" s="10"/>
      <c r="V574" s="10"/>
      <c r="W574" s="10"/>
      <c r="X574" s="10"/>
      <c r="Y574" s="10"/>
      <c r="Z574" s="10"/>
      <c r="AA574" s="10"/>
    </row>
    <row r="575" spans="1:27" ht="12.5" hidden="1" x14ac:dyDescent="0.25">
      <c r="A575" s="10" t="s">
        <v>13</v>
      </c>
      <c r="B575" s="10" t="s">
        <v>1419</v>
      </c>
      <c r="C575" s="10" t="s">
        <v>191</v>
      </c>
      <c r="D575" s="11">
        <v>2024</v>
      </c>
      <c r="E575" s="10" t="s">
        <v>124</v>
      </c>
      <c r="F575" s="10" t="s">
        <v>125</v>
      </c>
      <c r="G575" s="10" t="s">
        <v>84</v>
      </c>
      <c r="H575" s="12">
        <v>826.33333333333303</v>
      </c>
      <c r="I575" s="11">
        <v>65</v>
      </c>
      <c r="J575" s="11">
        <v>48</v>
      </c>
      <c r="K575" s="11">
        <v>77</v>
      </c>
      <c r="L575" s="11">
        <v>7.8660750302541299E-2</v>
      </c>
      <c r="M575" s="11">
        <f t="shared" si="2"/>
        <v>7.8660750302541382</v>
      </c>
      <c r="N575" s="11">
        <v>0.73846153846153895</v>
      </c>
      <c r="O575" s="11">
        <v>9.3182734973779699E-2</v>
      </c>
      <c r="P575" s="11">
        <v>0.76838235294117696</v>
      </c>
      <c r="Q575" s="11">
        <v>0.51724137931034497</v>
      </c>
      <c r="R575" s="11">
        <v>0.67248062015503896</v>
      </c>
      <c r="S575" s="10" t="s">
        <v>84</v>
      </c>
      <c r="T575" s="10" t="s">
        <v>84</v>
      </c>
      <c r="U575" s="10"/>
      <c r="V575" s="10"/>
      <c r="W575" s="10"/>
      <c r="X575" s="10"/>
      <c r="Y575" s="10"/>
      <c r="Z575" s="10"/>
      <c r="AA575" s="10"/>
    </row>
    <row r="576" spans="1:27" ht="12.5" x14ac:dyDescent="0.25">
      <c r="A576" s="10" t="s">
        <v>6</v>
      </c>
      <c r="B576" s="10" t="s">
        <v>820</v>
      </c>
      <c r="C576" s="10" t="s">
        <v>76</v>
      </c>
      <c r="D576" s="11">
        <v>2024</v>
      </c>
      <c r="E576" s="10" t="s">
        <v>124</v>
      </c>
      <c r="F576" s="10" t="s">
        <v>83</v>
      </c>
      <c r="G576" s="10" t="s">
        <v>84</v>
      </c>
      <c r="H576" s="11">
        <v>13526</v>
      </c>
      <c r="I576" s="11">
        <v>1062</v>
      </c>
      <c r="J576" s="11">
        <v>847</v>
      </c>
      <c r="K576" s="11">
        <v>21848</v>
      </c>
      <c r="L576" s="11">
        <v>7.8513516843687597E-2</v>
      </c>
      <c r="M576" s="11">
        <f t="shared" si="2"/>
        <v>7.8515451722608303</v>
      </c>
      <c r="N576" s="11">
        <v>0.79755178907721302</v>
      </c>
      <c r="O576" s="11">
        <v>1.61521969491609</v>
      </c>
      <c r="P576" s="11">
        <v>0.625</v>
      </c>
      <c r="Q576" s="11">
        <v>0.74193548387096797</v>
      </c>
      <c r="R576" s="11">
        <v>0.49217002237136498</v>
      </c>
      <c r="S576" s="10" t="s">
        <v>84</v>
      </c>
      <c r="T576" s="10" t="s">
        <v>84</v>
      </c>
      <c r="U576" s="10"/>
      <c r="V576" s="10"/>
      <c r="W576" s="10"/>
      <c r="X576" s="10"/>
      <c r="Y576" s="10"/>
      <c r="Z576" s="10"/>
      <c r="AA576" s="10"/>
    </row>
    <row r="577" spans="1:27" ht="12.5" x14ac:dyDescent="0.25">
      <c r="A577" s="10" t="s">
        <v>12</v>
      </c>
      <c r="B577" s="10" t="s">
        <v>657</v>
      </c>
      <c r="C577" s="10" t="s">
        <v>76</v>
      </c>
      <c r="D577" s="11">
        <v>2024</v>
      </c>
      <c r="E577" s="10" t="s">
        <v>81</v>
      </c>
      <c r="F577" s="10" t="s">
        <v>83</v>
      </c>
      <c r="G577" s="10" t="s">
        <v>84</v>
      </c>
      <c r="H577" s="11">
        <v>381494</v>
      </c>
      <c r="I577" s="11">
        <v>29867</v>
      </c>
      <c r="J577" s="11">
        <v>26739</v>
      </c>
      <c r="K577" s="11">
        <v>133634</v>
      </c>
      <c r="L577" s="11">
        <v>7.8289618113009704E-2</v>
      </c>
      <c r="M577" s="11">
        <f t="shared" si="2"/>
        <v>7.828956680839017</v>
      </c>
      <c r="N577" s="11">
        <v>0.89526902601533498</v>
      </c>
      <c r="O577" s="11">
        <v>0.350291453005456</v>
      </c>
      <c r="P577" s="11">
        <v>0.62415540540540504</v>
      </c>
      <c r="Q577" s="11">
        <v>0.5</v>
      </c>
      <c r="R577" s="11">
        <v>0.68023255813953498</v>
      </c>
      <c r="S577" s="10" t="s">
        <v>84</v>
      </c>
      <c r="T577" s="10" t="s">
        <v>84</v>
      </c>
      <c r="U577" s="10"/>
      <c r="V577" s="10"/>
      <c r="W577" s="10"/>
      <c r="X577" s="10"/>
      <c r="Y577" s="10"/>
      <c r="Z577" s="10"/>
      <c r="AA577" s="10"/>
    </row>
    <row r="578" spans="1:27" ht="12.5" hidden="1" x14ac:dyDescent="0.25">
      <c r="A578" s="10" t="s">
        <v>12</v>
      </c>
      <c r="B578" s="10" t="s">
        <v>1420</v>
      </c>
      <c r="C578" s="10" t="s">
        <v>191</v>
      </c>
      <c r="D578" s="11">
        <v>2024</v>
      </c>
      <c r="E578" s="10" t="s">
        <v>124</v>
      </c>
      <c r="F578" s="10" t="s">
        <v>125</v>
      </c>
      <c r="G578" s="10" t="s">
        <v>84</v>
      </c>
      <c r="H578" s="12">
        <v>970.91666666666697</v>
      </c>
      <c r="I578" s="11">
        <v>76</v>
      </c>
      <c r="J578" s="11">
        <v>55</v>
      </c>
      <c r="K578" s="11">
        <v>1120</v>
      </c>
      <c r="L578" s="11">
        <v>7.8276542786026998E-2</v>
      </c>
      <c r="M578" s="11">
        <f t="shared" si="2"/>
        <v>7.8276542786026928</v>
      </c>
      <c r="N578" s="11">
        <v>0.72368421052631604</v>
      </c>
      <c r="O578" s="11">
        <v>1.15354905158356</v>
      </c>
      <c r="P578" s="11">
        <v>0.76715686274509798</v>
      </c>
      <c r="Q578" s="11">
        <v>0.634920634920635</v>
      </c>
      <c r="R578" s="11">
        <v>0.67054263565891503</v>
      </c>
      <c r="S578" s="10" t="s">
        <v>84</v>
      </c>
      <c r="T578" s="10" t="s">
        <v>84</v>
      </c>
      <c r="U578" s="10"/>
      <c r="V578" s="10"/>
      <c r="W578" s="10"/>
      <c r="X578" s="10"/>
      <c r="Y578" s="10"/>
      <c r="Z578" s="10"/>
      <c r="AA578" s="10"/>
    </row>
    <row r="579" spans="1:27" ht="12.5" hidden="1" x14ac:dyDescent="0.25">
      <c r="A579" s="10" t="s">
        <v>32</v>
      </c>
      <c r="B579" s="10" t="s">
        <v>1421</v>
      </c>
      <c r="C579" s="10" t="s">
        <v>191</v>
      </c>
      <c r="D579" s="11">
        <v>2024</v>
      </c>
      <c r="E579" s="10" t="s">
        <v>124</v>
      </c>
      <c r="F579" s="10" t="s">
        <v>125</v>
      </c>
      <c r="G579" s="10" t="s">
        <v>84</v>
      </c>
      <c r="H579" s="12">
        <v>12266</v>
      </c>
      <c r="I579" s="11">
        <v>959</v>
      </c>
      <c r="J579" s="11">
        <v>592</v>
      </c>
      <c r="K579" s="11">
        <v>0</v>
      </c>
      <c r="L579" s="11">
        <v>7.8185190469396496E-2</v>
      </c>
      <c r="M579" s="11">
        <f t="shared" si="2"/>
        <v>7.818359693461602</v>
      </c>
      <c r="N579" s="11">
        <v>0.61730969760166798</v>
      </c>
      <c r="O579" s="11">
        <v>0</v>
      </c>
      <c r="P579" s="11">
        <v>0.76593137254902</v>
      </c>
      <c r="Q579" s="11">
        <v>0.85714285714285698</v>
      </c>
      <c r="R579" s="11">
        <v>0.668604651162791</v>
      </c>
      <c r="S579" s="10" t="s">
        <v>84</v>
      </c>
      <c r="T579" s="10" t="s">
        <v>84</v>
      </c>
      <c r="U579" s="10"/>
      <c r="V579" s="10"/>
      <c r="W579" s="10"/>
      <c r="X579" s="10"/>
      <c r="Y579" s="10"/>
      <c r="Z579" s="10"/>
      <c r="AA579" s="10"/>
    </row>
    <row r="580" spans="1:27" ht="12.5" hidden="1" x14ac:dyDescent="0.25">
      <c r="A580" s="10" t="s">
        <v>14</v>
      </c>
      <c r="B580" s="10" t="s">
        <v>1422</v>
      </c>
      <c r="C580" s="10" t="s">
        <v>191</v>
      </c>
      <c r="D580" s="11">
        <v>2024</v>
      </c>
      <c r="E580" s="10" t="s">
        <v>257</v>
      </c>
      <c r="F580" s="10" t="s">
        <v>125</v>
      </c>
      <c r="G580" s="10" t="s">
        <v>84</v>
      </c>
      <c r="H580" s="12">
        <v>7440</v>
      </c>
      <c r="I580" s="11">
        <v>580</v>
      </c>
      <c r="J580" s="11">
        <v>324</v>
      </c>
      <c r="K580" s="11">
        <v>5425</v>
      </c>
      <c r="L580" s="11">
        <v>7.79569892473118E-2</v>
      </c>
      <c r="M580" s="11">
        <f t="shared" si="2"/>
        <v>7.795698924731183</v>
      </c>
      <c r="N580" s="11">
        <v>0.55862068965517198</v>
      </c>
      <c r="O580" s="11">
        <v>0.72916666666666696</v>
      </c>
      <c r="P580" s="11">
        <v>0.76470588235294101</v>
      </c>
      <c r="Q580" s="11">
        <v>0.70212765957446799</v>
      </c>
      <c r="R580" s="11">
        <v>0.88888888888888895</v>
      </c>
      <c r="S580" s="10" t="s">
        <v>84</v>
      </c>
      <c r="T580" s="10" t="s">
        <v>84</v>
      </c>
      <c r="U580" s="10"/>
      <c r="V580" s="10"/>
      <c r="W580" s="10"/>
      <c r="X580" s="10"/>
      <c r="Y580" s="10"/>
      <c r="Z580" s="10"/>
      <c r="AA580" s="10"/>
    </row>
    <row r="581" spans="1:27" ht="12.5" x14ac:dyDescent="0.25">
      <c r="A581" s="10" t="s">
        <v>12</v>
      </c>
      <c r="B581" s="10" t="s">
        <v>659</v>
      </c>
      <c r="C581" s="10" t="s">
        <v>76</v>
      </c>
      <c r="D581" s="11">
        <v>2024</v>
      </c>
      <c r="E581" s="10" t="s">
        <v>81</v>
      </c>
      <c r="F581" s="10" t="s">
        <v>83</v>
      </c>
      <c r="G581" s="10" t="s">
        <v>84</v>
      </c>
      <c r="H581" s="11">
        <v>47693</v>
      </c>
      <c r="I581" s="11">
        <v>3717</v>
      </c>
      <c r="J581" s="11">
        <v>3297</v>
      </c>
      <c r="K581" s="11">
        <v>62833</v>
      </c>
      <c r="L581" s="11">
        <v>7.7935965445662905E-2</v>
      </c>
      <c r="M581" s="11">
        <f t="shared" si="2"/>
        <v>7.7935965445662889</v>
      </c>
      <c r="N581" s="11">
        <v>0.88700564971751406</v>
      </c>
      <c r="O581" s="11">
        <v>1.3174470048015401</v>
      </c>
      <c r="P581" s="11">
        <v>0.62331081081081097</v>
      </c>
      <c r="Q581" s="11">
        <v>0.48611111111111099</v>
      </c>
      <c r="R581" s="11">
        <v>0.67829457364341095</v>
      </c>
      <c r="S581" s="10" t="s">
        <v>84</v>
      </c>
      <c r="T581" s="10" t="s">
        <v>84</v>
      </c>
      <c r="U581" s="10"/>
      <c r="V581" s="10"/>
      <c r="W581" s="10"/>
      <c r="X581" s="10"/>
      <c r="Y581" s="10"/>
      <c r="Z581" s="10"/>
      <c r="AA581" s="10"/>
    </row>
    <row r="582" spans="1:27" ht="12.5" x14ac:dyDescent="0.25">
      <c r="A582" s="10" t="s">
        <v>12</v>
      </c>
      <c r="B582" s="10" t="s">
        <v>661</v>
      </c>
      <c r="C582" s="10" t="s">
        <v>76</v>
      </c>
      <c r="D582" s="11">
        <v>2024</v>
      </c>
      <c r="E582" s="10" t="s">
        <v>81</v>
      </c>
      <c r="F582" s="10" t="s">
        <v>83</v>
      </c>
      <c r="G582" s="10" t="s">
        <v>84</v>
      </c>
      <c r="H582" s="11">
        <v>18275</v>
      </c>
      <c r="I582" s="11">
        <v>1423</v>
      </c>
      <c r="J582" s="11">
        <v>1300</v>
      </c>
      <c r="K582" s="11">
        <v>16590</v>
      </c>
      <c r="L582" s="11">
        <v>7.7867002284572995E-2</v>
      </c>
      <c r="M582" s="11">
        <f t="shared" si="2"/>
        <v>7.7865937072503417</v>
      </c>
      <c r="N582" s="11">
        <v>0.91356289529163703</v>
      </c>
      <c r="O582" s="11">
        <v>0.90780995636055195</v>
      </c>
      <c r="P582" s="11">
        <v>0.62246621621621601</v>
      </c>
      <c r="Q582" s="11">
        <v>0.47222222222222199</v>
      </c>
      <c r="R582" s="11">
        <v>0.67635658914728702</v>
      </c>
      <c r="S582" s="10" t="s">
        <v>84</v>
      </c>
      <c r="T582" s="10" t="s">
        <v>84</v>
      </c>
      <c r="U582" s="10"/>
      <c r="V582" s="10"/>
      <c r="W582" s="10"/>
      <c r="X582" s="10"/>
      <c r="Y582" s="10"/>
      <c r="Z582" s="10"/>
      <c r="AA582" s="10"/>
    </row>
    <row r="583" spans="1:27" ht="12.5" hidden="1" x14ac:dyDescent="0.25">
      <c r="A583" s="10" t="s">
        <v>52</v>
      </c>
      <c r="B583" s="10" t="s">
        <v>1423</v>
      </c>
      <c r="C583" s="10" t="s">
        <v>191</v>
      </c>
      <c r="D583" s="11">
        <v>2024</v>
      </c>
      <c r="E583" s="10" t="s">
        <v>124</v>
      </c>
      <c r="F583" s="10" t="s">
        <v>125</v>
      </c>
      <c r="G583" s="10" t="s">
        <v>84</v>
      </c>
      <c r="H583" s="12">
        <v>76340</v>
      </c>
      <c r="I583" s="11">
        <v>5939</v>
      </c>
      <c r="J583" s="11">
        <v>0</v>
      </c>
      <c r="K583" s="11">
        <v>18046</v>
      </c>
      <c r="L583" s="11">
        <v>7.7797123597958706E-2</v>
      </c>
      <c r="M583" s="11">
        <f t="shared" si="2"/>
        <v>7.7796698978255172</v>
      </c>
      <c r="N583" s="11">
        <v>0</v>
      </c>
      <c r="O583" s="11">
        <v>0.23639112518079899</v>
      </c>
      <c r="P583" s="11">
        <v>0.76225490196078405</v>
      </c>
      <c r="Q583" s="11">
        <v>0.78571428571428603</v>
      </c>
      <c r="R583" s="11">
        <v>0.66666666666666696</v>
      </c>
      <c r="S583" s="10" t="s">
        <v>84</v>
      </c>
      <c r="T583" s="10" t="s">
        <v>84</v>
      </c>
      <c r="U583" s="10"/>
      <c r="V583" s="10"/>
      <c r="W583" s="10"/>
      <c r="X583" s="10"/>
      <c r="Y583" s="10"/>
      <c r="Z583" s="10"/>
      <c r="AA583" s="10"/>
    </row>
    <row r="584" spans="1:27" ht="12.5" x14ac:dyDescent="0.25">
      <c r="A584" s="10" t="s">
        <v>52</v>
      </c>
      <c r="B584" s="10" t="s">
        <v>822</v>
      </c>
      <c r="C584" s="10" t="s">
        <v>76</v>
      </c>
      <c r="D584" s="11">
        <v>2024</v>
      </c>
      <c r="E584" s="10" t="s">
        <v>124</v>
      </c>
      <c r="F584" s="10" t="s">
        <v>83</v>
      </c>
      <c r="G584" s="10" t="s">
        <v>84</v>
      </c>
      <c r="H584" s="11">
        <v>104562</v>
      </c>
      <c r="I584" s="11">
        <v>8131</v>
      </c>
      <c r="J584" s="11">
        <v>0</v>
      </c>
      <c r="K584" s="11">
        <v>24717</v>
      </c>
      <c r="L584" s="11">
        <v>7.7762351902297397E-2</v>
      </c>
      <c r="M584" s="11">
        <f t="shared" si="2"/>
        <v>7.7762475851647821</v>
      </c>
      <c r="N584" s="11">
        <v>0</v>
      </c>
      <c r="O584" s="11">
        <v>0.23638569080913599</v>
      </c>
      <c r="P584" s="11">
        <v>0.62162162162162204</v>
      </c>
      <c r="Q584" s="11">
        <v>0.53191489361702105</v>
      </c>
      <c r="R584" s="11">
        <v>0.48993288590604001</v>
      </c>
      <c r="S584" s="10" t="s">
        <v>84</v>
      </c>
      <c r="T584" s="10" t="s">
        <v>84</v>
      </c>
      <c r="U584" s="10"/>
      <c r="V584" s="10"/>
      <c r="W584" s="10"/>
      <c r="X584" s="10"/>
      <c r="Y584" s="10"/>
      <c r="Z584" s="10"/>
      <c r="AA584" s="10"/>
    </row>
    <row r="585" spans="1:27" ht="12.5" x14ac:dyDescent="0.25">
      <c r="A585" s="10" t="s">
        <v>12</v>
      </c>
      <c r="B585" s="10" t="s">
        <v>663</v>
      </c>
      <c r="C585" s="10" t="s">
        <v>76</v>
      </c>
      <c r="D585" s="11">
        <v>2024</v>
      </c>
      <c r="E585" s="10" t="s">
        <v>81</v>
      </c>
      <c r="F585" s="10" t="s">
        <v>83</v>
      </c>
      <c r="G585" s="10" t="s">
        <v>84</v>
      </c>
      <c r="H585" s="11">
        <v>21752</v>
      </c>
      <c r="I585" s="11">
        <v>1687</v>
      </c>
      <c r="J585" s="11">
        <v>1343</v>
      </c>
      <c r="K585" s="11">
        <v>34461</v>
      </c>
      <c r="L585" s="11">
        <v>7.7555492556297095E-2</v>
      </c>
      <c r="M585" s="11">
        <f t="shared" si="2"/>
        <v>7.7556086796616412</v>
      </c>
      <c r="N585" s="11">
        <v>0.79608772969768804</v>
      </c>
      <c r="O585" s="11">
        <v>1.5842559745006199</v>
      </c>
      <c r="P585" s="11">
        <v>0.62077702702702697</v>
      </c>
      <c r="Q585" s="11">
        <v>0.45833333333333298</v>
      </c>
      <c r="R585" s="11">
        <v>0.67441860465116299</v>
      </c>
      <c r="S585" s="10" t="s">
        <v>84</v>
      </c>
      <c r="T585" s="10" t="s">
        <v>84</v>
      </c>
      <c r="U585" s="10"/>
      <c r="V585" s="10"/>
      <c r="W585" s="10"/>
      <c r="X585" s="10"/>
      <c r="Y585" s="10"/>
      <c r="Z585" s="10"/>
      <c r="AA585" s="10"/>
    </row>
    <row r="586" spans="1:27" ht="12.5" x14ac:dyDescent="0.25">
      <c r="A586" s="10" t="s">
        <v>26</v>
      </c>
      <c r="B586" s="10" t="s">
        <v>664</v>
      </c>
      <c r="C586" s="10" t="s">
        <v>76</v>
      </c>
      <c r="D586" s="11">
        <v>2024</v>
      </c>
      <c r="E586" s="10" t="s">
        <v>81</v>
      </c>
      <c r="F586" s="10" t="s">
        <v>83</v>
      </c>
      <c r="G586" s="10" t="s">
        <v>84</v>
      </c>
      <c r="H586" s="11">
        <v>21415</v>
      </c>
      <c r="I586" s="11">
        <v>1654</v>
      </c>
      <c r="J586" s="11">
        <v>1278</v>
      </c>
      <c r="K586" s="11">
        <v>12424</v>
      </c>
      <c r="L586" s="11">
        <v>7.7235281985827797E-2</v>
      </c>
      <c r="M586" s="11">
        <f t="shared" si="2"/>
        <v>7.7235582535605891</v>
      </c>
      <c r="N586" s="11">
        <v>0.77267230955260002</v>
      </c>
      <c r="O586" s="11">
        <v>0.58015184001930098</v>
      </c>
      <c r="P586" s="11">
        <v>0.61993243243243201</v>
      </c>
      <c r="Q586" s="11">
        <v>0.269230769230769</v>
      </c>
      <c r="R586" s="11">
        <v>0.67248062015503896</v>
      </c>
      <c r="S586" s="10" t="s">
        <v>84</v>
      </c>
      <c r="T586" s="10" t="s">
        <v>84</v>
      </c>
      <c r="U586" s="10"/>
      <c r="V586" s="10"/>
      <c r="W586" s="10"/>
      <c r="X586" s="10"/>
      <c r="Y586" s="10"/>
      <c r="Z586" s="10"/>
      <c r="AA586" s="10"/>
    </row>
    <row r="587" spans="1:27" ht="12.5" hidden="1" x14ac:dyDescent="0.25">
      <c r="A587" s="10" t="s">
        <v>52</v>
      </c>
      <c r="B587" s="10" t="s">
        <v>1424</v>
      </c>
      <c r="C587" s="10" t="s">
        <v>191</v>
      </c>
      <c r="D587" s="11">
        <v>2024</v>
      </c>
      <c r="E587" s="10" t="s">
        <v>124</v>
      </c>
      <c r="F587" s="10" t="s">
        <v>125</v>
      </c>
      <c r="G587" s="10" t="s">
        <v>84</v>
      </c>
      <c r="H587" s="12">
        <v>259</v>
      </c>
      <c r="I587" s="11">
        <v>20</v>
      </c>
      <c r="J587" s="11">
        <v>18</v>
      </c>
      <c r="K587" s="11">
        <v>31</v>
      </c>
      <c r="L587" s="11">
        <v>7.7220077220077205E-2</v>
      </c>
      <c r="M587" s="11">
        <f t="shared" si="2"/>
        <v>7.7220077220077217</v>
      </c>
      <c r="N587" s="11">
        <v>0.9</v>
      </c>
      <c r="O587" s="11">
        <v>0.11969111969111999</v>
      </c>
      <c r="P587" s="11">
        <v>0.75857843137254899</v>
      </c>
      <c r="Q587" s="11">
        <v>0.75</v>
      </c>
      <c r="R587" s="11">
        <v>0.66472868217054304</v>
      </c>
      <c r="S587" s="10" t="s">
        <v>84</v>
      </c>
      <c r="T587" s="10" t="s">
        <v>84</v>
      </c>
      <c r="U587" s="10"/>
      <c r="V587" s="10"/>
      <c r="W587" s="10"/>
      <c r="X587" s="10"/>
      <c r="Y587" s="10"/>
      <c r="Z587" s="10"/>
      <c r="AA587" s="10"/>
    </row>
    <row r="588" spans="1:27" ht="12.5" x14ac:dyDescent="0.25">
      <c r="A588" s="10" t="s">
        <v>82</v>
      </c>
      <c r="B588" s="10" t="s">
        <v>824</v>
      </c>
      <c r="C588" s="10" t="s">
        <v>76</v>
      </c>
      <c r="D588" s="11">
        <v>2024</v>
      </c>
      <c r="E588" s="10" t="s">
        <v>124</v>
      </c>
      <c r="F588" s="10" t="s">
        <v>83</v>
      </c>
      <c r="G588" s="10" t="s">
        <v>84</v>
      </c>
      <c r="H588" s="11">
        <v>965</v>
      </c>
      <c r="I588" s="11">
        <v>74</v>
      </c>
      <c r="J588" s="11">
        <v>71</v>
      </c>
      <c r="K588" s="11">
        <v>236</v>
      </c>
      <c r="L588" s="11">
        <v>7.6717062634989203E-2</v>
      </c>
      <c r="M588" s="11">
        <f t="shared" si="2"/>
        <v>7.6683937823834203</v>
      </c>
      <c r="N588" s="11">
        <v>0.95945945945945899</v>
      </c>
      <c r="O588" s="11">
        <v>0.24466522678185701</v>
      </c>
      <c r="P588" s="11">
        <v>0.61824324324324298</v>
      </c>
      <c r="Q588" s="11">
        <v>0.931034482758621</v>
      </c>
      <c r="R588" s="11">
        <v>0.48769574944071598</v>
      </c>
      <c r="S588" s="10" t="s">
        <v>84</v>
      </c>
      <c r="T588" s="10" t="s">
        <v>84</v>
      </c>
      <c r="U588" s="10"/>
      <c r="V588" s="10"/>
      <c r="W588" s="10"/>
      <c r="X588" s="10"/>
      <c r="Y588" s="10"/>
      <c r="Z588" s="10"/>
      <c r="AA588" s="10"/>
    </row>
    <row r="589" spans="1:27" ht="12.5" hidden="1" x14ac:dyDescent="0.25">
      <c r="A589" s="10" t="s">
        <v>14</v>
      </c>
      <c r="B589" s="10" t="s">
        <v>1425</v>
      </c>
      <c r="C589" s="10" t="s">
        <v>191</v>
      </c>
      <c r="D589" s="11">
        <v>2024</v>
      </c>
      <c r="E589" s="10" t="s">
        <v>124</v>
      </c>
      <c r="F589" s="10" t="s">
        <v>125</v>
      </c>
      <c r="G589" s="10" t="s">
        <v>84</v>
      </c>
      <c r="H589" s="12">
        <v>1346</v>
      </c>
      <c r="I589" s="11">
        <v>103</v>
      </c>
      <c r="J589" s="11">
        <v>93</v>
      </c>
      <c r="K589" s="11">
        <v>103</v>
      </c>
      <c r="L589" s="11">
        <v>7.6504085169596406E-2</v>
      </c>
      <c r="M589" s="11">
        <f t="shared" si="2"/>
        <v>7.6523031203566125</v>
      </c>
      <c r="N589" s="11">
        <v>0.90291262135922301</v>
      </c>
      <c r="O589" s="11">
        <v>7.6504085169596406E-2</v>
      </c>
      <c r="P589" s="11">
        <v>0.75735294117647001</v>
      </c>
      <c r="Q589" s="11">
        <v>0.680851063829787</v>
      </c>
      <c r="R589" s="11">
        <v>0.662790697674419</v>
      </c>
      <c r="S589" s="10" t="s">
        <v>84</v>
      </c>
      <c r="T589" s="10" t="s">
        <v>84</v>
      </c>
      <c r="U589" s="10"/>
      <c r="V589" s="10"/>
      <c r="W589" s="10"/>
      <c r="X589" s="10"/>
      <c r="Y589" s="10"/>
      <c r="Z589" s="10"/>
      <c r="AA589" s="10"/>
    </row>
    <row r="590" spans="1:27" ht="12.5" x14ac:dyDescent="0.25">
      <c r="A590" s="10" t="s">
        <v>86</v>
      </c>
      <c r="B590" s="10" t="s">
        <v>667</v>
      </c>
      <c r="C590" s="10" t="s">
        <v>76</v>
      </c>
      <c r="D590" s="11">
        <v>2024</v>
      </c>
      <c r="E590" s="10" t="s">
        <v>81</v>
      </c>
      <c r="F590" s="10" t="s">
        <v>83</v>
      </c>
      <c r="G590" s="10" t="s">
        <v>84</v>
      </c>
      <c r="H590" s="11">
        <v>65661</v>
      </c>
      <c r="I590" s="11">
        <v>5017</v>
      </c>
      <c r="J590" s="11">
        <v>4115</v>
      </c>
      <c r="K590" s="11">
        <v>15841</v>
      </c>
      <c r="L590" s="11">
        <v>7.64079966697465E-2</v>
      </c>
      <c r="M590" s="11">
        <f t="shared" si="2"/>
        <v>7.6407608778422507</v>
      </c>
      <c r="N590" s="11">
        <v>0.82021128164241597</v>
      </c>
      <c r="O590" s="11">
        <v>0.24125554619203801</v>
      </c>
      <c r="P590" s="11">
        <v>0.61739864864864902</v>
      </c>
      <c r="Q590" s="11">
        <v>0.45652173913043498</v>
      </c>
      <c r="R590" s="11">
        <v>0.67054263565891503</v>
      </c>
      <c r="S590" s="10" t="s">
        <v>84</v>
      </c>
      <c r="T590" s="10" t="s">
        <v>84</v>
      </c>
      <c r="U590" s="10"/>
      <c r="V590" s="10"/>
      <c r="W590" s="10"/>
      <c r="X590" s="10"/>
      <c r="Y590" s="10"/>
      <c r="Z590" s="10"/>
      <c r="AA590" s="10"/>
    </row>
    <row r="591" spans="1:27" ht="12.5" hidden="1" x14ac:dyDescent="0.25">
      <c r="A591" s="10" t="s">
        <v>65</v>
      </c>
      <c r="B591" s="10" t="s">
        <v>1426</v>
      </c>
      <c r="C591" s="10" t="s">
        <v>191</v>
      </c>
      <c r="D591" s="11">
        <v>2024</v>
      </c>
      <c r="E591" s="10" t="s">
        <v>124</v>
      </c>
      <c r="F591" s="10" t="s">
        <v>125</v>
      </c>
      <c r="G591" s="10" t="s">
        <v>84</v>
      </c>
      <c r="H591" s="12">
        <v>39220</v>
      </c>
      <c r="I591" s="11">
        <v>2985</v>
      </c>
      <c r="J591" s="11">
        <v>1639</v>
      </c>
      <c r="K591" s="11">
        <v>81967</v>
      </c>
      <c r="L591" s="11">
        <v>7.61086428566876E-2</v>
      </c>
      <c r="M591" s="11">
        <f t="shared" si="2"/>
        <v>7.610912799592044</v>
      </c>
      <c r="N591" s="11">
        <v>0.54907872696817395</v>
      </c>
      <c r="O591" s="11">
        <v>2.0899152861085799</v>
      </c>
      <c r="P591" s="11">
        <v>0.75612745098039202</v>
      </c>
      <c r="Q591" s="11">
        <v>0.77777777777777801</v>
      </c>
      <c r="R591" s="11">
        <v>0.66085271317829497</v>
      </c>
      <c r="S591" s="10" t="s">
        <v>84</v>
      </c>
      <c r="T591" s="10" t="s">
        <v>84</v>
      </c>
      <c r="U591" s="10"/>
      <c r="V591" s="10"/>
      <c r="W591" s="10"/>
      <c r="X591" s="10"/>
      <c r="Y591" s="10"/>
      <c r="Z591" s="10"/>
      <c r="AA591" s="10"/>
    </row>
    <row r="592" spans="1:27" ht="12.5" x14ac:dyDescent="0.25">
      <c r="A592" s="10" t="s">
        <v>103</v>
      </c>
      <c r="B592" s="10" t="s">
        <v>1300</v>
      </c>
      <c r="C592" s="10" t="s">
        <v>76</v>
      </c>
      <c r="D592" s="11">
        <v>2024</v>
      </c>
      <c r="E592" s="10" t="s">
        <v>257</v>
      </c>
      <c r="F592" s="10" t="s">
        <v>83</v>
      </c>
      <c r="G592" s="10" t="s">
        <v>84</v>
      </c>
      <c r="H592" s="11">
        <v>76383</v>
      </c>
      <c r="I592" s="11">
        <v>5812</v>
      </c>
      <c r="J592" s="11">
        <v>5369</v>
      </c>
      <c r="K592" s="11">
        <v>92167</v>
      </c>
      <c r="L592" s="11">
        <v>7.6090478543912099E-2</v>
      </c>
      <c r="M592" s="11">
        <f t="shared" si="2"/>
        <v>7.6090229501328839</v>
      </c>
      <c r="N592" s="11">
        <v>0.92377838953888503</v>
      </c>
      <c r="O592" s="11">
        <v>1.2066467887055601</v>
      </c>
      <c r="P592" s="11">
        <v>0.61655405405405395</v>
      </c>
      <c r="Q592" s="11">
        <v>0.60869565217391297</v>
      </c>
      <c r="R592" s="11">
        <v>0.75</v>
      </c>
      <c r="S592" s="10" t="s">
        <v>84</v>
      </c>
      <c r="T592" s="10" t="s">
        <v>84</v>
      </c>
      <c r="U592" s="10"/>
      <c r="V592" s="10"/>
      <c r="W592" s="10"/>
      <c r="X592" s="10"/>
      <c r="Y592" s="10"/>
      <c r="Z592" s="10"/>
      <c r="AA592" s="10"/>
    </row>
    <row r="593" spans="1:27" ht="12.5" hidden="1" x14ac:dyDescent="0.25">
      <c r="A593" s="10" t="s">
        <v>58</v>
      </c>
      <c r="B593" s="10" t="s">
        <v>1427</v>
      </c>
      <c r="C593" s="10" t="s">
        <v>191</v>
      </c>
      <c r="D593" s="11">
        <v>2024</v>
      </c>
      <c r="E593" s="10" t="s">
        <v>124</v>
      </c>
      <c r="F593" s="10" t="s">
        <v>125</v>
      </c>
      <c r="G593" s="10" t="s">
        <v>84</v>
      </c>
      <c r="H593" s="12">
        <v>447.83333333333297</v>
      </c>
      <c r="I593" s="11">
        <v>34</v>
      </c>
      <c r="J593" s="11">
        <v>28</v>
      </c>
      <c r="K593" s="11">
        <v>700</v>
      </c>
      <c r="L593" s="11">
        <v>7.5921101600297705E-2</v>
      </c>
      <c r="M593" s="11">
        <f t="shared" si="2"/>
        <v>7.5921101600297787</v>
      </c>
      <c r="N593" s="11">
        <v>0.82352941176470595</v>
      </c>
      <c r="O593" s="11">
        <v>1.5630815035355401</v>
      </c>
      <c r="P593" s="11">
        <v>0.75490196078431404</v>
      </c>
      <c r="Q593" s="11">
        <v>0.52830188679245305</v>
      </c>
      <c r="R593" s="11">
        <v>0.65891472868217005</v>
      </c>
      <c r="S593" s="10" t="s">
        <v>84</v>
      </c>
      <c r="T593" s="10" t="s">
        <v>84</v>
      </c>
      <c r="U593" s="10"/>
      <c r="V593" s="10"/>
      <c r="W593" s="10"/>
      <c r="X593" s="10"/>
      <c r="Y593" s="10"/>
      <c r="Z593" s="10"/>
      <c r="AA593" s="10"/>
    </row>
    <row r="594" spans="1:27" ht="12.5" hidden="1" x14ac:dyDescent="0.25">
      <c r="A594" s="10" t="s">
        <v>29</v>
      </c>
      <c r="B594" s="10" t="s">
        <v>1428</v>
      </c>
      <c r="C594" s="10" t="s">
        <v>191</v>
      </c>
      <c r="D594" s="11">
        <v>2024</v>
      </c>
      <c r="E594" s="10" t="s">
        <v>124</v>
      </c>
      <c r="F594" s="10" t="s">
        <v>125</v>
      </c>
      <c r="G594" s="10" t="s">
        <v>84</v>
      </c>
      <c r="H594" s="12">
        <v>4326</v>
      </c>
      <c r="I594" s="11">
        <v>328</v>
      </c>
      <c r="J594" s="11">
        <v>114</v>
      </c>
      <c r="K594" s="11">
        <v>0</v>
      </c>
      <c r="L594" s="11">
        <v>7.5829383886255902E-2</v>
      </c>
      <c r="M594" s="11">
        <f t="shared" si="2"/>
        <v>7.5820619509939906</v>
      </c>
      <c r="N594" s="11">
        <v>0.34756097560975602</v>
      </c>
      <c r="O594" s="11">
        <v>0</v>
      </c>
      <c r="P594" s="11">
        <v>0.75367647058823495</v>
      </c>
      <c r="Q594" s="11">
        <v>0.66197183098591506</v>
      </c>
      <c r="R594" s="11">
        <v>0.65697674418604601</v>
      </c>
      <c r="S594" s="10" t="s">
        <v>84</v>
      </c>
      <c r="T594" s="10" t="s">
        <v>84</v>
      </c>
      <c r="U594" s="10"/>
      <c r="V594" s="10"/>
      <c r="W594" s="10"/>
      <c r="X594" s="10"/>
      <c r="Y594" s="10"/>
      <c r="Z594" s="10"/>
      <c r="AA594" s="10"/>
    </row>
    <row r="595" spans="1:27" ht="12.5" x14ac:dyDescent="0.25">
      <c r="A595" s="10" t="s">
        <v>12</v>
      </c>
      <c r="B595" s="10" t="s">
        <v>827</v>
      </c>
      <c r="C595" s="10" t="s">
        <v>76</v>
      </c>
      <c r="D595" s="11">
        <v>2024</v>
      </c>
      <c r="E595" s="10" t="s">
        <v>124</v>
      </c>
      <c r="F595" s="10" t="s">
        <v>83</v>
      </c>
      <c r="G595" s="10" t="s">
        <v>84</v>
      </c>
      <c r="H595" s="11">
        <v>52155</v>
      </c>
      <c r="I595" s="11">
        <v>3947</v>
      </c>
      <c r="J595" s="11">
        <v>2753</v>
      </c>
      <c r="K595" s="11">
        <v>7462</v>
      </c>
      <c r="L595" s="11">
        <v>7.5678387624049506E-2</v>
      </c>
      <c r="M595" s="11">
        <f t="shared" si="2"/>
        <v>7.5678266705013906</v>
      </c>
      <c r="N595" s="11">
        <v>0.69749176589814998</v>
      </c>
      <c r="O595" s="11">
        <v>0.14307375942504599</v>
      </c>
      <c r="P595" s="11">
        <v>0.61570945945945899</v>
      </c>
      <c r="Q595" s="11">
        <v>0.44444444444444398</v>
      </c>
      <c r="R595" s="11">
        <v>0.485458612975392</v>
      </c>
      <c r="S595" s="10" t="s">
        <v>84</v>
      </c>
      <c r="T595" s="10" t="s">
        <v>84</v>
      </c>
      <c r="U595" s="10"/>
      <c r="V595" s="10"/>
      <c r="W595" s="10"/>
      <c r="X595" s="10"/>
      <c r="Y595" s="10"/>
      <c r="Z595" s="10"/>
      <c r="AA595" s="10"/>
    </row>
    <row r="596" spans="1:27" ht="12.5" x14ac:dyDescent="0.25">
      <c r="A596" s="10" t="s">
        <v>26</v>
      </c>
      <c r="B596" s="10" t="s">
        <v>829</v>
      </c>
      <c r="C596" s="10" t="s">
        <v>76</v>
      </c>
      <c r="D596" s="11">
        <v>2024</v>
      </c>
      <c r="E596" s="10" t="s">
        <v>124</v>
      </c>
      <c r="F596" s="10" t="s">
        <v>83</v>
      </c>
      <c r="G596" s="10" t="s">
        <v>84</v>
      </c>
      <c r="H596" s="11">
        <v>28709</v>
      </c>
      <c r="I596" s="11">
        <v>2171</v>
      </c>
      <c r="J596" s="11">
        <v>1919</v>
      </c>
      <c r="K596" s="11">
        <v>34219</v>
      </c>
      <c r="L596" s="11">
        <v>7.5619787932530796E-2</v>
      </c>
      <c r="M596" s="11">
        <f t="shared" si="2"/>
        <v>7.5620885436622665</v>
      </c>
      <c r="N596" s="11">
        <v>0.883924458774758</v>
      </c>
      <c r="O596" s="11">
        <v>1.19190857819589</v>
      </c>
      <c r="P596" s="11">
        <v>0.61486486486486502</v>
      </c>
      <c r="Q596" s="11">
        <v>0.230769230769231</v>
      </c>
      <c r="R596" s="11">
        <v>0.48322147651006703</v>
      </c>
      <c r="S596" s="10" t="s">
        <v>84</v>
      </c>
      <c r="T596" s="10" t="s">
        <v>84</v>
      </c>
      <c r="U596" s="10"/>
      <c r="V596" s="10"/>
      <c r="W596" s="10"/>
      <c r="X596" s="10"/>
      <c r="Y596" s="10"/>
      <c r="Z596" s="10"/>
      <c r="AA596" s="10"/>
    </row>
    <row r="597" spans="1:27" ht="12.5" hidden="1" x14ac:dyDescent="0.25">
      <c r="A597" s="10" t="s">
        <v>29</v>
      </c>
      <c r="B597" s="10" t="s">
        <v>1430</v>
      </c>
      <c r="C597" s="10" t="s">
        <v>191</v>
      </c>
      <c r="D597" s="11">
        <v>2024</v>
      </c>
      <c r="E597" s="10" t="s">
        <v>257</v>
      </c>
      <c r="F597" s="10" t="s">
        <v>125</v>
      </c>
      <c r="G597" s="10" t="s">
        <v>84</v>
      </c>
      <c r="H597" s="12">
        <v>10517</v>
      </c>
      <c r="I597" s="11">
        <v>794</v>
      </c>
      <c r="J597" s="11">
        <v>955</v>
      </c>
      <c r="K597" s="11">
        <v>1958</v>
      </c>
      <c r="L597" s="11">
        <v>7.5495618274883894E-2</v>
      </c>
      <c r="M597" s="11">
        <f t="shared" si="2"/>
        <v>7.5496814680992674</v>
      </c>
      <c r="N597" s="11">
        <v>1.2027707808564201</v>
      </c>
      <c r="O597" s="11">
        <v>0.18617181433529301</v>
      </c>
      <c r="P597" s="11">
        <v>0.75245098039215697</v>
      </c>
      <c r="Q597" s="11">
        <v>0.647887323943662</v>
      </c>
      <c r="R597" s="11">
        <v>0.86111111111111105</v>
      </c>
      <c r="S597" s="10" t="s">
        <v>84</v>
      </c>
      <c r="T597" s="10" t="s">
        <v>84</v>
      </c>
      <c r="U597" s="10"/>
      <c r="V597" s="10"/>
      <c r="W597" s="10"/>
      <c r="X597" s="10"/>
      <c r="Y597" s="10"/>
      <c r="Z597" s="10"/>
      <c r="AA597" s="10"/>
    </row>
    <row r="598" spans="1:27" ht="12.5" x14ac:dyDescent="0.25">
      <c r="A598" s="10" t="s">
        <v>49</v>
      </c>
      <c r="B598" s="10" t="s">
        <v>831</v>
      </c>
      <c r="C598" s="10" t="s">
        <v>76</v>
      </c>
      <c r="D598" s="11">
        <v>2024</v>
      </c>
      <c r="E598" s="10" t="s">
        <v>124</v>
      </c>
      <c r="F598" s="10" t="s">
        <v>83</v>
      </c>
      <c r="G598" s="10" t="s">
        <v>84</v>
      </c>
      <c r="H598" s="11">
        <v>6094</v>
      </c>
      <c r="I598" s="11">
        <v>460</v>
      </c>
      <c r="J598" s="11">
        <v>407</v>
      </c>
      <c r="K598" s="11">
        <v>3344</v>
      </c>
      <c r="L598" s="11">
        <v>7.5484082704299293E-2</v>
      </c>
      <c r="M598" s="11">
        <f t="shared" si="2"/>
        <v>7.5484082704299311</v>
      </c>
      <c r="N598" s="11">
        <v>0.88478260869565195</v>
      </c>
      <c r="O598" s="11">
        <v>0.54873646209386295</v>
      </c>
      <c r="P598" s="11">
        <v>0.61402027027026995</v>
      </c>
      <c r="Q598" s="11">
        <v>0.76923076923076905</v>
      </c>
      <c r="R598" s="11">
        <v>0.480984340044743</v>
      </c>
      <c r="S598" s="10" t="s">
        <v>84</v>
      </c>
      <c r="T598" s="10" t="s">
        <v>84</v>
      </c>
      <c r="U598" s="10"/>
      <c r="V598" s="10"/>
      <c r="W598" s="10"/>
      <c r="X598" s="10"/>
      <c r="Y598" s="10"/>
      <c r="Z598" s="10"/>
      <c r="AA598" s="10"/>
    </row>
    <row r="599" spans="1:27" ht="12.5" x14ac:dyDescent="0.25">
      <c r="A599" s="10" t="s">
        <v>16</v>
      </c>
      <c r="B599" s="10" t="s">
        <v>834</v>
      </c>
      <c r="C599" s="10" t="s">
        <v>76</v>
      </c>
      <c r="D599" s="11">
        <v>2024</v>
      </c>
      <c r="E599" s="10" t="s">
        <v>124</v>
      </c>
      <c r="F599" s="10" t="s">
        <v>125</v>
      </c>
      <c r="G599" s="10" t="s">
        <v>84</v>
      </c>
      <c r="H599" s="11">
        <v>1749</v>
      </c>
      <c r="I599" s="11">
        <v>132</v>
      </c>
      <c r="J599" s="11">
        <v>75</v>
      </c>
      <c r="K599" s="11">
        <v>0</v>
      </c>
      <c r="L599" s="11">
        <v>7.5460911819351106E-2</v>
      </c>
      <c r="M599" s="11">
        <f t="shared" si="2"/>
        <v>7.5471698113207548</v>
      </c>
      <c r="N599" s="11">
        <v>0.56818181818181801</v>
      </c>
      <c r="O599" s="11">
        <v>0</v>
      </c>
      <c r="P599" s="11">
        <v>0.61317567567567599</v>
      </c>
      <c r="Q599" s="11">
        <v>0.3</v>
      </c>
      <c r="R599" s="11">
        <v>0.47874720357941802</v>
      </c>
      <c r="S599" s="10" t="s">
        <v>84</v>
      </c>
      <c r="T599" s="10" t="s">
        <v>84</v>
      </c>
      <c r="U599" s="10"/>
      <c r="V599" s="10"/>
      <c r="W599" s="10"/>
      <c r="X599" s="10"/>
      <c r="Y599" s="10"/>
      <c r="Z599" s="10"/>
      <c r="AA599" s="10"/>
    </row>
    <row r="600" spans="1:27" ht="12.5" x14ac:dyDescent="0.25">
      <c r="A600" s="10" t="s">
        <v>86</v>
      </c>
      <c r="B600" s="10" t="s">
        <v>836</v>
      </c>
      <c r="C600" s="10" t="s">
        <v>76</v>
      </c>
      <c r="D600" s="11">
        <v>2024</v>
      </c>
      <c r="E600" s="10" t="s">
        <v>124</v>
      </c>
      <c r="F600" s="10" t="s">
        <v>83</v>
      </c>
      <c r="G600" s="10" t="s">
        <v>84</v>
      </c>
      <c r="H600" s="11">
        <v>8737</v>
      </c>
      <c r="I600" s="11">
        <v>658</v>
      </c>
      <c r="J600" s="11">
        <v>624</v>
      </c>
      <c r="K600" s="11">
        <v>4149</v>
      </c>
      <c r="L600" s="11">
        <v>7.5311173637274104E-2</v>
      </c>
      <c r="M600" s="11">
        <f t="shared" si="2"/>
        <v>7.5311891953759869</v>
      </c>
      <c r="N600" s="11">
        <v>0.948328267477204</v>
      </c>
      <c r="O600" s="11">
        <v>0.47487243073107899</v>
      </c>
      <c r="P600" s="11">
        <v>0.61233108108108103</v>
      </c>
      <c r="Q600" s="11">
        <v>0.434782608695652</v>
      </c>
      <c r="R600" s="11">
        <v>0.47651006711409399</v>
      </c>
      <c r="S600" s="10" t="s">
        <v>84</v>
      </c>
      <c r="T600" s="10" t="s">
        <v>84</v>
      </c>
      <c r="U600" s="10"/>
      <c r="V600" s="10"/>
      <c r="W600" s="10"/>
      <c r="X600" s="10"/>
      <c r="Y600" s="10"/>
      <c r="Z600" s="10"/>
      <c r="AA600" s="10"/>
    </row>
    <row r="601" spans="1:27" ht="12.5" x14ac:dyDescent="0.25">
      <c r="A601" s="10" t="s">
        <v>19</v>
      </c>
      <c r="B601" s="10" t="s">
        <v>669</v>
      </c>
      <c r="C601" s="10" t="s">
        <v>76</v>
      </c>
      <c r="D601" s="11">
        <v>2024</v>
      </c>
      <c r="E601" s="10" t="s">
        <v>81</v>
      </c>
      <c r="F601" s="10" t="s">
        <v>83</v>
      </c>
      <c r="G601" s="10" t="s">
        <v>84</v>
      </c>
      <c r="H601" s="11">
        <v>28934</v>
      </c>
      <c r="I601" s="11">
        <v>2175</v>
      </c>
      <c r="J601" s="11">
        <v>1835</v>
      </c>
      <c r="K601" s="11">
        <v>3124</v>
      </c>
      <c r="L601" s="11">
        <v>7.5169996515107404E-2</v>
      </c>
      <c r="M601" s="11">
        <f t="shared" si="2"/>
        <v>7.5171079007396138</v>
      </c>
      <c r="N601" s="11">
        <v>0.84367816091953995</v>
      </c>
      <c r="O601" s="11">
        <v>0.10796830763825099</v>
      </c>
      <c r="P601" s="11">
        <v>0.61148648648648696</v>
      </c>
      <c r="Q601" s="11">
        <v>0.33333333333333298</v>
      </c>
      <c r="R601" s="11">
        <v>0.668604651162791</v>
      </c>
      <c r="S601" s="10" t="s">
        <v>84</v>
      </c>
      <c r="T601" s="10" t="s">
        <v>84</v>
      </c>
      <c r="U601" s="10"/>
      <c r="V601" s="10"/>
      <c r="W601" s="10"/>
      <c r="X601" s="10"/>
      <c r="Y601" s="10"/>
      <c r="Z601" s="10"/>
      <c r="AA601" s="10"/>
    </row>
    <row r="602" spans="1:27" ht="12.5" x14ac:dyDescent="0.25">
      <c r="A602" s="10" t="s">
        <v>110</v>
      </c>
      <c r="B602" s="10" t="s">
        <v>1323</v>
      </c>
      <c r="C602" s="10" t="s">
        <v>76</v>
      </c>
      <c r="D602" s="11">
        <v>2024</v>
      </c>
      <c r="E602" s="10" t="s">
        <v>257</v>
      </c>
      <c r="F602" s="10" t="s">
        <v>83</v>
      </c>
      <c r="G602" s="10" t="s">
        <v>84</v>
      </c>
      <c r="H602" s="11">
        <v>48263</v>
      </c>
      <c r="I602" s="11">
        <v>3627</v>
      </c>
      <c r="J602" s="11">
        <v>3289</v>
      </c>
      <c r="K602" s="11">
        <v>42648</v>
      </c>
      <c r="L602" s="11">
        <v>7.5150996108116305E-2</v>
      </c>
      <c r="M602" s="11">
        <f t="shared" si="2"/>
        <v>7.515073658910552</v>
      </c>
      <c r="N602" s="11">
        <v>0.90681003584229403</v>
      </c>
      <c r="O602" s="11">
        <v>0.88366134050701495</v>
      </c>
      <c r="P602" s="11">
        <v>0.610641891891892</v>
      </c>
      <c r="Q602" s="11">
        <v>0.78787878787878796</v>
      </c>
      <c r="R602" s="11">
        <v>0.72727272727272696</v>
      </c>
      <c r="S602" s="10" t="s">
        <v>84</v>
      </c>
      <c r="T602" s="10" t="s">
        <v>84</v>
      </c>
      <c r="U602" s="10"/>
      <c r="V602" s="10"/>
      <c r="W602" s="10"/>
      <c r="X602" s="10"/>
      <c r="Y602" s="10"/>
      <c r="Z602" s="10"/>
      <c r="AA602" s="10"/>
    </row>
    <row r="603" spans="1:27" ht="12.5" x14ac:dyDescent="0.25">
      <c r="A603" s="10" t="s">
        <v>104</v>
      </c>
      <c r="B603" s="10" t="s">
        <v>839</v>
      </c>
      <c r="C603" s="10" t="s">
        <v>76</v>
      </c>
      <c r="D603" s="11">
        <v>2024</v>
      </c>
      <c r="E603" s="10" t="s">
        <v>124</v>
      </c>
      <c r="F603" s="10" t="s">
        <v>125</v>
      </c>
      <c r="G603" s="10" t="s">
        <v>84</v>
      </c>
      <c r="H603" s="11">
        <v>4021</v>
      </c>
      <c r="I603" s="11">
        <v>302</v>
      </c>
      <c r="J603" s="11">
        <v>290</v>
      </c>
      <c r="K603" s="11">
        <v>6718</v>
      </c>
      <c r="L603" s="11">
        <v>7.5099469496021198E-2</v>
      </c>
      <c r="M603" s="11">
        <f t="shared" si="2"/>
        <v>7.5105695100721208</v>
      </c>
      <c r="N603" s="11">
        <v>0.96026490066225201</v>
      </c>
      <c r="O603" s="11">
        <v>1.6705901856763901</v>
      </c>
      <c r="P603" s="11">
        <v>0.60979729729729704</v>
      </c>
      <c r="Q603" s="11">
        <v>0.72413793103448298</v>
      </c>
      <c r="R603" s="11">
        <v>0.47427293064877002</v>
      </c>
      <c r="S603" s="10" t="s">
        <v>84</v>
      </c>
      <c r="T603" s="10" t="s">
        <v>84</v>
      </c>
      <c r="U603" s="10"/>
      <c r="V603" s="10"/>
      <c r="W603" s="10"/>
      <c r="X603" s="10"/>
      <c r="Y603" s="10"/>
      <c r="Z603" s="10"/>
      <c r="AA603" s="10"/>
    </row>
    <row r="604" spans="1:27" ht="12.5" x14ac:dyDescent="0.25">
      <c r="A604" s="10" t="s">
        <v>49</v>
      </c>
      <c r="B604" s="10" t="s">
        <v>842</v>
      </c>
      <c r="C604" s="10" t="s">
        <v>76</v>
      </c>
      <c r="D604" s="11">
        <v>2024</v>
      </c>
      <c r="E604" s="10" t="s">
        <v>124</v>
      </c>
      <c r="F604" s="10" t="s">
        <v>83</v>
      </c>
      <c r="G604" s="10" t="s">
        <v>84</v>
      </c>
      <c r="H604" s="11">
        <v>26587</v>
      </c>
      <c r="I604" s="11">
        <v>1996</v>
      </c>
      <c r="J604" s="11">
        <v>1849</v>
      </c>
      <c r="K604" s="11">
        <v>38501</v>
      </c>
      <c r="L604" s="11">
        <v>7.5075696312038101E-2</v>
      </c>
      <c r="M604" s="11">
        <f t="shared" si="2"/>
        <v>7.5074284424718849</v>
      </c>
      <c r="N604" s="11">
        <v>0.92635270541082204</v>
      </c>
      <c r="O604" s="11">
        <v>1.44814097380249</v>
      </c>
      <c r="P604" s="11">
        <v>0.60895270270270296</v>
      </c>
      <c r="Q604" s="11">
        <v>0.73076923076923095</v>
      </c>
      <c r="R604" s="11">
        <v>0.47203579418344499</v>
      </c>
      <c r="S604" s="10" t="s">
        <v>84</v>
      </c>
      <c r="T604" s="10" t="s">
        <v>84</v>
      </c>
      <c r="U604" s="10"/>
      <c r="V604" s="10"/>
      <c r="W604" s="10"/>
      <c r="X604" s="10"/>
      <c r="Y604" s="10"/>
      <c r="Z604" s="10"/>
      <c r="AA604" s="10"/>
    </row>
    <row r="605" spans="1:27" ht="12.5" hidden="1" x14ac:dyDescent="0.25">
      <c r="A605" s="10" t="s">
        <v>53</v>
      </c>
      <c r="B605" s="10" t="s">
        <v>1431</v>
      </c>
      <c r="C605" s="10" t="s">
        <v>191</v>
      </c>
      <c r="D605" s="11">
        <v>2024</v>
      </c>
      <c r="E605" s="10" t="s">
        <v>124</v>
      </c>
      <c r="F605" s="10" t="s">
        <v>125</v>
      </c>
      <c r="G605" s="10" t="s">
        <v>84</v>
      </c>
      <c r="H605" s="12">
        <v>174</v>
      </c>
      <c r="I605" s="11">
        <v>13</v>
      </c>
      <c r="J605" s="11">
        <v>0</v>
      </c>
      <c r="K605" s="11">
        <v>489</v>
      </c>
      <c r="L605" s="11">
        <v>7.4712643678160898E-2</v>
      </c>
      <c r="M605" s="11">
        <f t="shared" si="2"/>
        <v>7.4712643678160928</v>
      </c>
      <c r="N605" s="11">
        <v>0</v>
      </c>
      <c r="O605" s="11">
        <v>2.81034482758621</v>
      </c>
      <c r="P605" s="11">
        <v>0.75122549019607798</v>
      </c>
      <c r="Q605" s="11">
        <v>0.967741935483871</v>
      </c>
      <c r="R605" s="11">
        <v>0.65503875968992298</v>
      </c>
      <c r="S605" s="10" t="s">
        <v>84</v>
      </c>
      <c r="T605" s="10" t="s">
        <v>84</v>
      </c>
      <c r="U605" s="10"/>
      <c r="V605" s="10"/>
      <c r="W605" s="10"/>
      <c r="X605" s="10"/>
      <c r="Y605" s="10"/>
      <c r="Z605" s="10"/>
      <c r="AA605" s="10"/>
    </row>
    <row r="606" spans="1:27" ht="12.5" x14ac:dyDescent="0.25">
      <c r="A606" s="10" t="s">
        <v>42</v>
      </c>
      <c r="B606" s="10" t="s">
        <v>843</v>
      </c>
      <c r="C606" s="10" t="s">
        <v>76</v>
      </c>
      <c r="D606" s="11">
        <v>2024</v>
      </c>
      <c r="E606" s="10" t="s">
        <v>124</v>
      </c>
      <c r="F606" s="10" t="s">
        <v>83</v>
      </c>
      <c r="G606" s="10" t="s">
        <v>84</v>
      </c>
      <c r="H606" s="11">
        <v>11683</v>
      </c>
      <c r="I606" s="11">
        <v>872</v>
      </c>
      <c r="J606" s="11">
        <v>725</v>
      </c>
      <c r="K606" s="11">
        <v>8410</v>
      </c>
      <c r="L606" s="11">
        <v>7.4640493038119093E-2</v>
      </c>
      <c r="M606" s="11">
        <f t="shared" si="2"/>
        <v>7.4638363434049477</v>
      </c>
      <c r="N606" s="11">
        <v>0.83142201834862395</v>
      </c>
      <c r="O606" s="11">
        <v>0.71986989271855695</v>
      </c>
      <c r="P606" s="11">
        <v>0.608108108108108</v>
      </c>
      <c r="Q606" s="11">
        <v>0.547619047619048</v>
      </c>
      <c r="R606" s="11">
        <v>0.46979865771812102</v>
      </c>
      <c r="S606" s="10" t="s">
        <v>84</v>
      </c>
      <c r="T606" s="10" t="s">
        <v>84</v>
      </c>
      <c r="U606" s="10"/>
      <c r="V606" s="10"/>
      <c r="W606" s="10"/>
      <c r="X606" s="10"/>
      <c r="Y606" s="10"/>
      <c r="Z606" s="10"/>
      <c r="AA606" s="10"/>
    </row>
    <row r="607" spans="1:27" ht="12.5" hidden="1" x14ac:dyDescent="0.25">
      <c r="A607" s="10" t="s">
        <v>42</v>
      </c>
      <c r="B607" s="10" t="s">
        <v>1432</v>
      </c>
      <c r="C607" s="10" t="s">
        <v>191</v>
      </c>
      <c r="D607" s="11">
        <v>2024</v>
      </c>
      <c r="E607" s="10" t="s">
        <v>124</v>
      </c>
      <c r="F607" s="10" t="s">
        <v>125</v>
      </c>
      <c r="G607" s="10" t="s">
        <v>84</v>
      </c>
      <c r="H607" s="12">
        <v>2122</v>
      </c>
      <c r="I607" s="11">
        <v>158</v>
      </c>
      <c r="J607" s="11">
        <v>140</v>
      </c>
      <c r="K607" s="11">
        <v>0</v>
      </c>
      <c r="L607" s="11">
        <v>7.4463906998664703E-2</v>
      </c>
      <c r="M607" s="11">
        <f t="shared" si="2"/>
        <v>7.4458058435438259</v>
      </c>
      <c r="N607" s="11">
        <v>0.886075949367089</v>
      </c>
      <c r="O607" s="11">
        <v>0</v>
      </c>
      <c r="P607" s="11">
        <v>0.75</v>
      </c>
      <c r="Q607" s="11">
        <v>0.952380952380952</v>
      </c>
      <c r="R607" s="11">
        <v>0.65310077519379806</v>
      </c>
      <c r="S607" s="10" t="s">
        <v>84</v>
      </c>
      <c r="T607" s="10" t="s">
        <v>84</v>
      </c>
      <c r="U607" s="10"/>
      <c r="V607" s="10"/>
      <c r="W607" s="10"/>
      <c r="X607" s="10"/>
      <c r="Y607" s="10"/>
      <c r="Z607" s="10"/>
      <c r="AA607" s="10"/>
    </row>
    <row r="608" spans="1:27" ht="12.5" x14ac:dyDescent="0.25">
      <c r="A608" s="10" t="s">
        <v>12</v>
      </c>
      <c r="B608" s="10" t="s">
        <v>671</v>
      </c>
      <c r="C608" s="10" t="s">
        <v>76</v>
      </c>
      <c r="D608" s="11">
        <v>2024</v>
      </c>
      <c r="E608" s="10" t="s">
        <v>81</v>
      </c>
      <c r="F608" s="10" t="s">
        <v>83</v>
      </c>
      <c r="G608" s="10" t="s">
        <v>84</v>
      </c>
      <c r="H608" s="11">
        <v>7568</v>
      </c>
      <c r="I608" s="11">
        <v>563</v>
      </c>
      <c r="J608" s="11">
        <v>464</v>
      </c>
      <c r="K608" s="11">
        <v>4659</v>
      </c>
      <c r="L608" s="11">
        <v>7.4392177589852004E-2</v>
      </c>
      <c r="M608" s="11">
        <f t="shared" si="2"/>
        <v>7.4392177589852002</v>
      </c>
      <c r="N608" s="11">
        <v>0.82415630550621699</v>
      </c>
      <c r="O608" s="11">
        <v>0.61561839323467205</v>
      </c>
      <c r="P608" s="11">
        <v>0.60726351351351304</v>
      </c>
      <c r="Q608" s="11">
        <v>0.43055555555555602</v>
      </c>
      <c r="R608" s="11">
        <v>0.66666666666666696</v>
      </c>
      <c r="S608" s="10" t="s">
        <v>84</v>
      </c>
      <c r="T608" s="10" t="s">
        <v>84</v>
      </c>
      <c r="U608" s="10"/>
      <c r="V608" s="10"/>
      <c r="W608" s="10"/>
      <c r="X608" s="10"/>
      <c r="Y608" s="10"/>
      <c r="Z608" s="10"/>
      <c r="AA608" s="10"/>
    </row>
    <row r="609" spans="1:27" ht="12.5" x14ac:dyDescent="0.25">
      <c r="A609" s="10" t="s">
        <v>34</v>
      </c>
      <c r="B609" s="10" t="s">
        <v>845</v>
      </c>
      <c r="C609" s="10" t="s">
        <v>76</v>
      </c>
      <c r="D609" s="11">
        <v>2024</v>
      </c>
      <c r="E609" s="10" t="s">
        <v>124</v>
      </c>
      <c r="F609" s="10" t="s">
        <v>83</v>
      </c>
      <c r="G609" s="10" t="s">
        <v>84</v>
      </c>
      <c r="H609" s="11">
        <v>6633</v>
      </c>
      <c r="I609" s="11">
        <v>493</v>
      </c>
      <c r="J609" s="11">
        <v>493</v>
      </c>
      <c r="K609" s="11">
        <v>6472</v>
      </c>
      <c r="L609" s="11">
        <v>7.4324409211402404E-2</v>
      </c>
      <c r="M609" s="11">
        <f t="shared" si="2"/>
        <v>7.4325342982059395</v>
      </c>
      <c r="N609" s="11">
        <v>1</v>
      </c>
      <c r="O609" s="11">
        <v>0.97571516514441503</v>
      </c>
      <c r="P609" s="11">
        <v>0.60641891891891897</v>
      </c>
      <c r="Q609" s="11">
        <v>0.93877551020408201</v>
      </c>
      <c r="R609" s="11">
        <v>0.46756152125279599</v>
      </c>
      <c r="S609" s="10" t="s">
        <v>84</v>
      </c>
      <c r="T609" s="10" t="s">
        <v>84</v>
      </c>
      <c r="U609" s="10"/>
      <c r="V609" s="10"/>
      <c r="W609" s="10"/>
      <c r="X609" s="10"/>
      <c r="Y609" s="10"/>
      <c r="Z609" s="10"/>
      <c r="AA609" s="10"/>
    </row>
    <row r="610" spans="1:27" ht="12.5" x14ac:dyDescent="0.25">
      <c r="A610" s="10" t="s">
        <v>12</v>
      </c>
      <c r="B610" s="10" t="s">
        <v>673</v>
      </c>
      <c r="C610" s="10" t="s">
        <v>76</v>
      </c>
      <c r="D610" s="11">
        <v>2024</v>
      </c>
      <c r="E610" s="10" t="s">
        <v>81</v>
      </c>
      <c r="F610" s="10" t="s">
        <v>83</v>
      </c>
      <c r="G610" s="10" t="s">
        <v>84</v>
      </c>
      <c r="H610" s="11">
        <v>19569</v>
      </c>
      <c r="I610" s="11">
        <v>1453</v>
      </c>
      <c r="J610" s="11">
        <v>1406</v>
      </c>
      <c r="K610" s="11">
        <v>1550</v>
      </c>
      <c r="L610" s="11">
        <v>7.4249140871520403E-2</v>
      </c>
      <c r="M610" s="11">
        <f t="shared" si="2"/>
        <v>7.425008942715519</v>
      </c>
      <c r="N610" s="11">
        <v>0.96765313145216802</v>
      </c>
      <c r="O610" s="11">
        <v>7.9205897006783599E-2</v>
      </c>
      <c r="P610" s="11">
        <v>0.60557432432432401</v>
      </c>
      <c r="Q610" s="11">
        <v>0.41666666666666702</v>
      </c>
      <c r="R610" s="11">
        <v>0.66472868217054304</v>
      </c>
      <c r="S610" s="10" t="s">
        <v>84</v>
      </c>
      <c r="T610" s="10" t="s">
        <v>84</v>
      </c>
      <c r="U610" s="10"/>
      <c r="V610" s="10"/>
      <c r="W610" s="10"/>
      <c r="X610" s="10"/>
      <c r="Y610" s="10"/>
      <c r="Z610" s="10"/>
      <c r="AA610" s="10"/>
    </row>
    <row r="611" spans="1:27" ht="12.5" hidden="1" x14ac:dyDescent="0.25">
      <c r="A611" s="10" t="s">
        <v>36</v>
      </c>
      <c r="B611" s="10" t="s">
        <v>1433</v>
      </c>
      <c r="C611" s="10" t="s">
        <v>191</v>
      </c>
      <c r="D611" s="11">
        <v>2024</v>
      </c>
      <c r="E611" s="10" t="s">
        <v>124</v>
      </c>
      <c r="F611" s="10" t="s">
        <v>125</v>
      </c>
      <c r="G611" s="10" t="s">
        <v>84</v>
      </c>
      <c r="H611" s="12">
        <v>256.83333333333297</v>
      </c>
      <c r="I611" s="11">
        <v>19</v>
      </c>
      <c r="J611" s="11">
        <v>17</v>
      </c>
      <c r="K611" s="11">
        <v>17</v>
      </c>
      <c r="L611" s="11">
        <v>7.3977936404931902E-2</v>
      </c>
      <c r="M611" s="11">
        <f t="shared" si="2"/>
        <v>7.3977936404931972</v>
      </c>
      <c r="N611" s="11">
        <v>0.89473684210526305</v>
      </c>
      <c r="O611" s="11">
        <v>6.6190785204412697E-2</v>
      </c>
      <c r="P611" s="11">
        <v>0.74877450980392202</v>
      </c>
      <c r="Q611" s="11">
        <v>0.52500000000000002</v>
      </c>
      <c r="R611" s="11">
        <v>0.65116279069767402</v>
      </c>
      <c r="S611" s="10" t="s">
        <v>84</v>
      </c>
      <c r="T611" s="10" t="s">
        <v>84</v>
      </c>
      <c r="U611" s="10"/>
      <c r="V611" s="10"/>
      <c r="W611" s="10"/>
      <c r="X611" s="10"/>
      <c r="Y611" s="10"/>
      <c r="Z611" s="10"/>
      <c r="AA611" s="10"/>
    </row>
    <row r="612" spans="1:27" ht="12.5" hidden="1" x14ac:dyDescent="0.25">
      <c r="A612" s="10" t="s">
        <v>77</v>
      </c>
      <c r="B612" s="10" t="s">
        <v>1434</v>
      </c>
      <c r="C612" s="10" t="s">
        <v>191</v>
      </c>
      <c r="D612" s="11">
        <v>2024</v>
      </c>
      <c r="E612" s="10" t="s">
        <v>124</v>
      </c>
      <c r="F612" s="10" t="s">
        <v>125</v>
      </c>
      <c r="G612" s="10" t="s">
        <v>84</v>
      </c>
      <c r="H612" s="12">
        <v>203</v>
      </c>
      <c r="I612" s="11">
        <v>15</v>
      </c>
      <c r="J612" s="11">
        <v>13</v>
      </c>
      <c r="K612" s="11">
        <v>192</v>
      </c>
      <c r="L612" s="11">
        <v>7.3891625615763595E-2</v>
      </c>
      <c r="M612" s="11">
        <f t="shared" si="2"/>
        <v>7.389162561576355</v>
      </c>
      <c r="N612" s="11">
        <v>0.86666666666666703</v>
      </c>
      <c r="O612" s="11">
        <v>0.94581280788177302</v>
      </c>
      <c r="P612" s="11">
        <v>0.74632352941176505</v>
      </c>
      <c r="Q612" s="11">
        <v>0.934782608695652</v>
      </c>
      <c r="R612" s="11">
        <v>0.64922480620154999</v>
      </c>
      <c r="S612" s="10" t="s">
        <v>84</v>
      </c>
      <c r="T612" s="10" t="s">
        <v>84</v>
      </c>
      <c r="U612" s="10"/>
      <c r="V612" s="10"/>
      <c r="W612" s="10"/>
      <c r="X612" s="10"/>
      <c r="Y612" s="10"/>
      <c r="Z612" s="10"/>
      <c r="AA612" s="10"/>
    </row>
    <row r="613" spans="1:27" ht="12.5" hidden="1" x14ac:dyDescent="0.25">
      <c r="A613" s="10" t="s">
        <v>77</v>
      </c>
      <c r="B613" s="10" t="s">
        <v>1435</v>
      </c>
      <c r="C613" s="10" t="s">
        <v>191</v>
      </c>
      <c r="D613" s="11">
        <v>2024</v>
      </c>
      <c r="E613" s="10" t="s">
        <v>124</v>
      </c>
      <c r="F613" s="10" t="s">
        <v>125</v>
      </c>
      <c r="G613" s="10" t="s">
        <v>84</v>
      </c>
      <c r="H613" s="12">
        <v>2204</v>
      </c>
      <c r="I613" s="11">
        <v>161</v>
      </c>
      <c r="J613" s="11">
        <v>152</v>
      </c>
      <c r="K613" s="11">
        <v>2501</v>
      </c>
      <c r="L613" s="11">
        <v>7.3062814355406E-2</v>
      </c>
      <c r="M613" s="11">
        <f t="shared" si="2"/>
        <v>7.304900181488204</v>
      </c>
      <c r="N613" s="11">
        <v>0.94409937888198803</v>
      </c>
      <c r="O613" s="11">
        <v>1.1349695571606899</v>
      </c>
      <c r="P613" s="11">
        <v>0.74509803921568596</v>
      </c>
      <c r="Q613" s="11">
        <v>0.91304347826086996</v>
      </c>
      <c r="R613" s="11">
        <v>0.64728682170542595</v>
      </c>
      <c r="S613" s="10" t="s">
        <v>84</v>
      </c>
      <c r="T613" s="10" t="s">
        <v>84</v>
      </c>
      <c r="U613" s="10"/>
      <c r="V613" s="10"/>
      <c r="W613" s="10"/>
      <c r="X613" s="10"/>
      <c r="Y613" s="10"/>
      <c r="Z613" s="10"/>
      <c r="AA613" s="10"/>
    </row>
    <row r="614" spans="1:27" ht="12.5" x14ac:dyDescent="0.25">
      <c r="A614" s="10" t="s">
        <v>101</v>
      </c>
      <c r="B614" s="10" t="s">
        <v>1339</v>
      </c>
      <c r="C614" s="10" t="s">
        <v>76</v>
      </c>
      <c r="D614" s="11">
        <v>2024</v>
      </c>
      <c r="E614" s="10" t="s">
        <v>1340</v>
      </c>
      <c r="F614" s="10" t="s">
        <v>83</v>
      </c>
      <c r="G614" s="10" t="s">
        <v>84</v>
      </c>
      <c r="H614" s="11">
        <v>11462</v>
      </c>
      <c r="I614" s="11">
        <v>835</v>
      </c>
      <c r="J614" s="11">
        <v>645</v>
      </c>
      <c r="K614" s="11">
        <v>966</v>
      </c>
      <c r="L614" s="11">
        <v>7.2849945108075298E-2</v>
      </c>
      <c r="M614" s="11">
        <f t="shared" si="2"/>
        <v>7.2849415459780147</v>
      </c>
      <c r="N614" s="11">
        <v>0.77245508982035904</v>
      </c>
      <c r="O614" s="11">
        <v>8.4279098172934996E-2</v>
      </c>
      <c r="P614" s="11">
        <v>0.60472972972973005</v>
      </c>
      <c r="Q614" s="11">
        <v>0.71428571428571397</v>
      </c>
      <c r="R614" s="11">
        <v>1</v>
      </c>
      <c r="S614" s="10" t="s">
        <v>84</v>
      </c>
      <c r="T614" s="10" t="s">
        <v>84</v>
      </c>
      <c r="U614" s="10"/>
      <c r="V614" s="10"/>
      <c r="W614" s="10"/>
      <c r="X614" s="10"/>
      <c r="Y614" s="10"/>
      <c r="Z614" s="10"/>
      <c r="AA614" s="10"/>
    </row>
    <row r="615" spans="1:27" ht="12.5" x14ac:dyDescent="0.25">
      <c r="A615" s="10" t="s">
        <v>52</v>
      </c>
      <c r="B615" s="10" t="s">
        <v>847</v>
      </c>
      <c r="C615" s="10" t="s">
        <v>76</v>
      </c>
      <c r="D615" s="11">
        <v>2024</v>
      </c>
      <c r="E615" s="10" t="s">
        <v>124</v>
      </c>
      <c r="F615" s="10" t="s">
        <v>125</v>
      </c>
      <c r="G615" s="10" t="s">
        <v>84</v>
      </c>
      <c r="H615" s="11">
        <v>1363</v>
      </c>
      <c r="I615" s="11">
        <v>99</v>
      </c>
      <c r="J615" s="11">
        <v>96</v>
      </c>
      <c r="K615" s="11">
        <v>261</v>
      </c>
      <c r="L615" s="11">
        <v>7.2633895818048397E-2</v>
      </c>
      <c r="M615" s="11">
        <f t="shared" si="2"/>
        <v>7.2633895818048426</v>
      </c>
      <c r="N615" s="11">
        <v>0.96969696969696995</v>
      </c>
      <c r="O615" s="11">
        <v>0.19148936170212799</v>
      </c>
      <c r="P615" s="11">
        <v>0.60388513513513498</v>
      </c>
      <c r="Q615" s="11">
        <v>0.51063829787234005</v>
      </c>
      <c r="R615" s="11">
        <v>0.46532438478747201</v>
      </c>
      <c r="S615" s="10" t="s">
        <v>84</v>
      </c>
      <c r="T615" s="10" t="s">
        <v>84</v>
      </c>
      <c r="U615" s="10"/>
      <c r="V615" s="10"/>
      <c r="W615" s="10"/>
      <c r="X615" s="10"/>
      <c r="Y615" s="10"/>
      <c r="Z615" s="10"/>
      <c r="AA615" s="10"/>
    </row>
    <row r="616" spans="1:27" ht="12.5" x14ac:dyDescent="0.25">
      <c r="A616" s="10" t="s">
        <v>62</v>
      </c>
      <c r="B616" s="10" t="s">
        <v>849</v>
      </c>
      <c r="C616" s="10" t="s">
        <v>76</v>
      </c>
      <c r="D616" s="11">
        <v>2024</v>
      </c>
      <c r="E616" s="10" t="s">
        <v>124</v>
      </c>
      <c r="F616" s="10" t="s">
        <v>83</v>
      </c>
      <c r="G616" s="10" t="s">
        <v>84</v>
      </c>
      <c r="H616" s="11">
        <v>8118</v>
      </c>
      <c r="I616" s="11">
        <v>588</v>
      </c>
      <c r="J616" s="11">
        <v>533</v>
      </c>
      <c r="K616" s="11">
        <v>10653</v>
      </c>
      <c r="L616" s="11">
        <v>7.2429402888553596E-2</v>
      </c>
      <c r="M616" s="11">
        <f t="shared" si="2"/>
        <v>7.2431633407243163</v>
      </c>
      <c r="N616" s="11">
        <v>0.906462585034014</v>
      </c>
      <c r="O616" s="11">
        <v>1.31222862070027</v>
      </c>
      <c r="P616" s="11">
        <v>0.60304054054054101</v>
      </c>
      <c r="Q616" s="11">
        <v>0.72222222222222199</v>
      </c>
      <c r="R616" s="11">
        <v>0.46308724832214798</v>
      </c>
      <c r="S616" s="10" t="s">
        <v>84</v>
      </c>
      <c r="T616" s="10" t="s">
        <v>84</v>
      </c>
      <c r="U616" s="10"/>
      <c r="V616" s="10"/>
      <c r="W616" s="10"/>
      <c r="X616" s="10"/>
      <c r="Y616" s="10"/>
      <c r="Z616" s="10"/>
      <c r="AA616" s="10"/>
    </row>
    <row r="617" spans="1:27" ht="12.5" x14ac:dyDescent="0.25">
      <c r="A617" s="10" t="s">
        <v>109</v>
      </c>
      <c r="B617" s="10" t="s">
        <v>852</v>
      </c>
      <c r="C617" s="10" t="s">
        <v>76</v>
      </c>
      <c r="D617" s="11">
        <v>2024</v>
      </c>
      <c r="E617" s="10" t="s">
        <v>124</v>
      </c>
      <c r="F617" s="10" t="s">
        <v>83</v>
      </c>
      <c r="G617" s="10" t="s">
        <v>84</v>
      </c>
      <c r="H617" s="11">
        <v>7470</v>
      </c>
      <c r="I617" s="11">
        <v>538</v>
      </c>
      <c r="J617" s="11">
        <v>538</v>
      </c>
      <c r="K617" s="11">
        <v>570</v>
      </c>
      <c r="L617" s="11">
        <v>7.2024632959971399E-2</v>
      </c>
      <c r="M617" s="11">
        <f t="shared" si="2"/>
        <v>7.2021419009370815</v>
      </c>
      <c r="N617" s="11">
        <v>1</v>
      </c>
      <c r="O617" s="11">
        <v>7.6308625998482704E-2</v>
      </c>
      <c r="P617" s="11">
        <v>0.60219594594594605</v>
      </c>
      <c r="Q617" s="11">
        <v>0.61111111111111105</v>
      </c>
      <c r="R617" s="11">
        <v>0.46085011185682301</v>
      </c>
      <c r="S617" s="10" t="s">
        <v>84</v>
      </c>
      <c r="T617" s="10" t="s">
        <v>84</v>
      </c>
      <c r="U617" s="10"/>
      <c r="V617" s="10"/>
      <c r="W617" s="10"/>
      <c r="X617" s="10"/>
      <c r="Y617" s="10"/>
      <c r="Z617" s="10"/>
      <c r="AA617" s="10"/>
    </row>
    <row r="618" spans="1:27" ht="12.5" x14ac:dyDescent="0.25">
      <c r="A618" s="10" t="s">
        <v>104</v>
      </c>
      <c r="B618" s="10" t="s">
        <v>675</v>
      </c>
      <c r="C618" s="10" t="s">
        <v>76</v>
      </c>
      <c r="D618" s="11">
        <v>2024</v>
      </c>
      <c r="E618" s="10" t="s">
        <v>81</v>
      </c>
      <c r="F618" s="10" t="s">
        <v>83</v>
      </c>
      <c r="G618" s="10" t="s">
        <v>84</v>
      </c>
      <c r="H618" s="11">
        <v>165008</v>
      </c>
      <c r="I618" s="11">
        <v>11857</v>
      </c>
      <c r="J618" s="11">
        <v>12984</v>
      </c>
      <c r="K618" s="11">
        <v>91114</v>
      </c>
      <c r="L618" s="11">
        <v>7.1857303527969194E-2</v>
      </c>
      <c r="M618" s="11">
        <f t="shared" si="2"/>
        <v>7.1857122078929514</v>
      </c>
      <c r="N618" s="11">
        <v>1.09504933794383</v>
      </c>
      <c r="O618" s="11">
        <v>0.55218068260499098</v>
      </c>
      <c r="P618" s="11">
        <v>0.60135135135135098</v>
      </c>
      <c r="Q618" s="11">
        <v>0.68965517241379304</v>
      </c>
      <c r="R618" s="11">
        <v>0.662790697674419</v>
      </c>
      <c r="S618" s="10" t="s">
        <v>84</v>
      </c>
      <c r="T618" s="10" t="s">
        <v>84</v>
      </c>
      <c r="U618" s="10"/>
      <c r="V618" s="10"/>
      <c r="W618" s="10"/>
      <c r="X618" s="10"/>
      <c r="Y618" s="10"/>
      <c r="Z618" s="10"/>
      <c r="AA618" s="10"/>
    </row>
    <row r="619" spans="1:27" ht="12.5" hidden="1" x14ac:dyDescent="0.25">
      <c r="A619" s="10" t="s">
        <v>14</v>
      </c>
      <c r="B619" s="10" t="s">
        <v>1437</v>
      </c>
      <c r="C619" s="10" t="s">
        <v>191</v>
      </c>
      <c r="D619" s="11">
        <v>2024</v>
      </c>
      <c r="E619" s="10" t="s">
        <v>124</v>
      </c>
      <c r="F619" s="10" t="s">
        <v>125</v>
      </c>
      <c r="G619" s="10" t="s">
        <v>84</v>
      </c>
      <c r="H619" s="12">
        <v>2966</v>
      </c>
      <c r="I619" s="11">
        <v>213</v>
      </c>
      <c r="J619" s="11">
        <v>116</v>
      </c>
      <c r="K619" s="11">
        <v>225</v>
      </c>
      <c r="L619" s="11">
        <v>7.1815908516197902E-2</v>
      </c>
      <c r="M619" s="11">
        <f t="shared" si="2"/>
        <v>7.1813890761968979</v>
      </c>
      <c r="N619" s="11">
        <v>0.54460093896713602</v>
      </c>
      <c r="O619" s="11">
        <v>7.5861875193166797E-2</v>
      </c>
      <c r="P619" s="11">
        <v>0.74387254901960798</v>
      </c>
      <c r="Q619" s="11">
        <v>0.659574468085106</v>
      </c>
      <c r="R619" s="11">
        <v>0.64534883720930203</v>
      </c>
      <c r="S619" s="10" t="s">
        <v>84</v>
      </c>
      <c r="T619" s="10" t="s">
        <v>84</v>
      </c>
      <c r="U619" s="10"/>
      <c r="V619" s="10"/>
      <c r="W619" s="10"/>
      <c r="X619" s="10"/>
      <c r="Y619" s="10"/>
      <c r="Z619" s="10"/>
      <c r="AA619" s="10"/>
    </row>
    <row r="620" spans="1:27" ht="12.5" hidden="1" x14ac:dyDescent="0.25">
      <c r="A620" s="10" t="s">
        <v>32</v>
      </c>
      <c r="B620" s="10" t="s">
        <v>1438</v>
      </c>
      <c r="C620" s="10" t="s">
        <v>191</v>
      </c>
      <c r="D620" s="11">
        <v>2024</v>
      </c>
      <c r="E620" s="10" t="s">
        <v>257</v>
      </c>
      <c r="F620" s="10" t="s">
        <v>125</v>
      </c>
      <c r="G620" s="10" t="s">
        <v>84</v>
      </c>
      <c r="H620" s="12">
        <v>13454</v>
      </c>
      <c r="I620" s="11">
        <v>966</v>
      </c>
      <c r="J620" s="11">
        <v>474</v>
      </c>
      <c r="K620" s="11">
        <v>2673</v>
      </c>
      <c r="L620" s="11">
        <v>7.1800208116545305E-2</v>
      </c>
      <c r="M620" s="11">
        <f t="shared" si="2"/>
        <v>7.1800208116545265</v>
      </c>
      <c r="N620" s="11">
        <v>0.49068322981366502</v>
      </c>
      <c r="O620" s="11">
        <v>0.198676973390813</v>
      </c>
      <c r="P620" s="11">
        <v>0.74264705882352999</v>
      </c>
      <c r="Q620" s="11">
        <v>0.78571428571428603</v>
      </c>
      <c r="R620" s="11">
        <v>0.83333333333333304</v>
      </c>
      <c r="S620" s="10" t="s">
        <v>84</v>
      </c>
      <c r="T620" s="10" t="s">
        <v>84</v>
      </c>
      <c r="U620" s="10"/>
      <c r="V620" s="10"/>
      <c r="W620" s="10"/>
      <c r="X620" s="10"/>
      <c r="Y620" s="10"/>
      <c r="Z620" s="10"/>
      <c r="AA620" s="10"/>
    </row>
    <row r="621" spans="1:27" ht="12.5" x14ac:dyDescent="0.25">
      <c r="A621" s="10" t="s">
        <v>34</v>
      </c>
      <c r="B621" s="10" t="s">
        <v>677</v>
      </c>
      <c r="C621" s="10" t="s">
        <v>76</v>
      </c>
      <c r="D621" s="11">
        <v>2024</v>
      </c>
      <c r="E621" s="10" t="s">
        <v>81</v>
      </c>
      <c r="F621" s="10" t="s">
        <v>83</v>
      </c>
      <c r="G621" s="10" t="s">
        <v>84</v>
      </c>
      <c r="H621" s="11">
        <v>7789</v>
      </c>
      <c r="I621" s="11">
        <v>559</v>
      </c>
      <c r="J621" s="11">
        <v>497</v>
      </c>
      <c r="K621" s="11">
        <v>6515</v>
      </c>
      <c r="L621" s="11">
        <v>7.1764038813347197E-2</v>
      </c>
      <c r="M621" s="11">
        <f t="shared" si="2"/>
        <v>7.176787777635127</v>
      </c>
      <c r="N621" s="11">
        <v>0.88908765652951705</v>
      </c>
      <c r="O621" s="11">
        <v>0.836391257368438</v>
      </c>
      <c r="P621" s="11">
        <v>0.60050675675675702</v>
      </c>
      <c r="Q621" s="11">
        <v>0.91836734693877597</v>
      </c>
      <c r="R621" s="11">
        <v>0.66085271317829497</v>
      </c>
      <c r="S621" s="10" t="s">
        <v>84</v>
      </c>
      <c r="T621" s="10" t="s">
        <v>84</v>
      </c>
      <c r="U621" s="10"/>
      <c r="V621" s="10"/>
      <c r="W621" s="10"/>
      <c r="X621" s="10"/>
      <c r="Y621" s="10"/>
      <c r="Z621" s="10"/>
      <c r="AA621" s="10"/>
    </row>
    <row r="622" spans="1:27" ht="12.5" x14ac:dyDescent="0.25">
      <c r="A622" s="10" t="s">
        <v>14</v>
      </c>
      <c r="B622" s="10" t="s">
        <v>678</v>
      </c>
      <c r="C622" s="10" t="s">
        <v>76</v>
      </c>
      <c r="D622" s="11">
        <v>2024</v>
      </c>
      <c r="E622" s="10" t="s">
        <v>81</v>
      </c>
      <c r="F622" s="10" t="s">
        <v>83</v>
      </c>
      <c r="G622" s="10" t="s">
        <v>84</v>
      </c>
      <c r="H622" s="11">
        <v>36748</v>
      </c>
      <c r="I622" s="11">
        <v>2624</v>
      </c>
      <c r="J622" s="11">
        <v>2385</v>
      </c>
      <c r="K622" s="11">
        <v>74353</v>
      </c>
      <c r="L622" s="11">
        <v>7.1405408469867898E-2</v>
      </c>
      <c r="M622" s="11">
        <f t="shared" si="2"/>
        <v>7.1405246544029604</v>
      </c>
      <c r="N622" s="11">
        <v>0.90891768292682895</v>
      </c>
      <c r="O622" s="11">
        <v>2.0233255853506402</v>
      </c>
      <c r="P622" s="11">
        <v>0.59966216216216195</v>
      </c>
      <c r="Q622" s="11">
        <v>0.28571428571428598</v>
      </c>
      <c r="R622" s="11">
        <v>0.65891472868217005</v>
      </c>
      <c r="S622" s="10" t="s">
        <v>84</v>
      </c>
      <c r="T622" s="10" t="s">
        <v>84</v>
      </c>
      <c r="U622" s="10"/>
      <c r="V622" s="10"/>
      <c r="W622" s="10"/>
      <c r="X622" s="10"/>
      <c r="Y622" s="10"/>
      <c r="Z622" s="10"/>
      <c r="AA622" s="10"/>
    </row>
    <row r="623" spans="1:27" ht="12.5" hidden="1" x14ac:dyDescent="0.25">
      <c r="A623" s="10" t="s">
        <v>13</v>
      </c>
      <c r="B623" s="10" t="s">
        <v>1439</v>
      </c>
      <c r="C623" s="10" t="s">
        <v>191</v>
      </c>
      <c r="D623" s="11">
        <v>2024</v>
      </c>
      <c r="E623" s="10" t="s">
        <v>124</v>
      </c>
      <c r="F623" s="10" t="s">
        <v>125</v>
      </c>
      <c r="G623" s="10" t="s">
        <v>84</v>
      </c>
      <c r="H623" s="12">
        <v>336.25</v>
      </c>
      <c r="I623" s="11">
        <v>24</v>
      </c>
      <c r="J623" s="11">
        <v>18</v>
      </c>
      <c r="K623" s="11">
        <v>180</v>
      </c>
      <c r="L623" s="11">
        <v>7.13754646840149E-2</v>
      </c>
      <c r="M623" s="11">
        <f t="shared" si="2"/>
        <v>7.1375464684014869</v>
      </c>
      <c r="N623" s="11">
        <v>0.75</v>
      </c>
      <c r="O623" s="11">
        <v>0.53531598513011103</v>
      </c>
      <c r="P623" s="11">
        <v>0.74142156862745101</v>
      </c>
      <c r="Q623" s="11">
        <v>0.48275862068965503</v>
      </c>
      <c r="R623" s="11">
        <v>0.64341085271317799</v>
      </c>
      <c r="S623" s="10" t="s">
        <v>84</v>
      </c>
      <c r="T623" s="10" t="s">
        <v>84</v>
      </c>
      <c r="U623" s="10"/>
      <c r="V623" s="10"/>
      <c r="W623" s="10"/>
      <c r="X623" s="10"/>
      <c r="Y623" s="10"/>
      <c r="Z623" s="10"/>
      <c r="AA623" s="10"/>
    </row>
    <row r="624" spans="1:27" ht="12.5" x14ac:dyDescent="0.25">
      <c r="A624" s="10" t="s">
        <v>36</v>
      </c>
      <c r="B624" s="10" t="s">
        <v>680</v>
      </c>
      <c r="C624" s="10" t="s">
        <v>76</v>
      </c>
      <c r="D624" s="11">
        <v>2024</v>
      </c>
      <c r="E624" s="10" t="s">
        <v>81</v>
      </c>
      <c r="F624" s="10" t="s">
        <v>125</v>
      </c>
      <c r="G624" s="10" t="s">
        <v>84</v>
      </c>
      <c r="H624" s="11">
        <v>21056</v>
      </c>
      <c r="I624" s="11">
        <v>1502</v>
      </c>
      <c r="J624" s="11">
        <v>1253</v>
      </c>
      <c r="K624" s="11">
        <v>12333</v>
      </c>
      <c r="L624" s="11">
        <v>7.1333586626139797E-2</v>
      </c>
      <c r="M624" s="11">
        <f t="shared" si="2"/>
        <v>7.1333586626139809</v>
      </c>
      <c r="N624" s="11">
        <v>0.83422103861518004</v>
      </c>
      <c r="O624" s="11">
        <v>0.58572378419452897</v>
      </c>
      <c r="P624" s="11">
        <v>0.59881756756756799</v>
      </c>
      <c r="Q624" s="11">
        <v>0.340425531914894</v>
      </c>
      <c r="R624" s="11">
        <v>0.65697674418604601</v>
      </c>
      <c r="S624" s="10" t="s">
        <v>84</v>
      </c>
      <c r="T624" s="10" t="s">
        <v>84</v>
      </c>
      <c r="U624" s="10"/>
      <c r="V624" s="10"/>
      <c r="W624" s="10"/>
      <c r="X624" s="10"/>
      <c r="Y624" s="10"/>
      <c r="Z624" s="10"/>
      <c r="AA624" s="10"/>
    </row>
    <row r="625" spans="1:27" ht="12.5" hidden="1" x14ac:dyDescent="0.25">
      <c r="A625" s="10" t="s">
        <v>16</v>
      </c>
      <c r="B625" s="10" t="s">
        <v>1440</v>
      </c>
      <c r="C625" s="10" t="s">
        <v>191</v>
      </c>
      <c r="D625" s="11">
        <v>2024</v>
      </c>
      <c r="E625" s="10" t="s">
        <v>124</v>
      </c>
      <c r="F625" s="10" t="s">
        <v>125</v>
      </c>
      <c r="G625" s="10" t="s">
        <v>84</v>
      </c>
      <c r="H625" s="12">
        <v>46568</v>
      </c>
      <c r="I625" s="11">
        <v>3314</v>
      </c>
      <c r="J625" s="11">
        <v>1587</v>
      </c>
      <c r="K625" s="11">
        <v>62014</v>
      </c>
      <c r="L625" s="11">
        <v>7.11644936276212E-2</v>
      </c>
      <c r="M625" s="11">
        <f t="shared" si="2"/>
        <v>7.1164748325030054</v>
      </c>
      <c r="N625" s="11">
        <v>0.47887748943874497</v>
      </c>
      <c r="O625" s="11">
        <v>1.33168222927679</v>
      </c>
      <c r="P625" s="11">
        <v>0.74019607843137303</v>
      </c>
      <c r="Q625" s="11">
        <v>0.83333333333333304</v>
      </c>
      <c r="R625" s="11">
        <v>0.64147286821705396</v>
      </c>
      <c r="S625" s="10" t="s">
        <v>84</v>
      </c>
      <c r="T625" s="10" t="s">
        <v>84</v>
      </c>
      <c r="U625" s="10"/>
      <c r="V625" s="10"/>
      <c r="W625" s="10"/>
      <c r="X625" s="10"/>
      <c r="Y625" s="10"/>
      <c r="Z625" s="10"/>
      <c r="AA625" s="10"/>
    </row>
    <row r="626" spans="1:27" ht="12.5" hidden="1" x14ac:dyDescent="0.25">
      <c r="A626" s="10" t="s">
        <v>14</v>
      </c>
      <c r="B626" s="10" t="s">
        <v>1441</v>
      </c>
      <c r="C626" s="10" t="s">
        <v>191</v>
      </c>
      <c r="D626" s="11">
        <v>2024</v>
      </c>
      <c r="E626" s="10" t="s">
        <v>124</v>
      </c>
      <c r="F626" s="10" t="s">
        <v>125</v>
      </c>
      <c r="G626" s="10" t="s">
        <v>84</v>
      </c>
      <c r="H626" s="12">
        <v>453.83333333333297</v>
      </c>
      <c r="I626" s="11">
        <v>32</v>
      </c>
      <c r="J626" s="11">
        <v>23</v>
      </c>
      <c r="K626" s="11">
        <v>60</v>
      </c>
      <c r="L626" s="11">
        <v>7.0510466397355906E-2</v>
      </c>
      <c r="M626" s="11">
        <f t="shared" si="2"/>
        <v>7.051046639735592</v>
      </c>
      <c r="N626" s="11">
        <v>0.71875</v>
      </c>
      <c r="O626" s="11">
        <v>0.13220712449504199</v>
      </c>
      <c r="P626" s="11">
        <v>0.73897058823529405</v>
      </c>
      <c r="Q626" s="11">
        <v>0.63829787234042601</v>
      </c>
      <c r="R626" s="11">
        <v>0.63953488372093004</v>
      </c>
      <c r="S626" s="10" t="s">
        <v>84</v>
      </c>
      <c r="T626" s="10" t="s">
        <v>84</v>
      </c>
      <c r="U626" s="10"/>
      <c r="V626" s="10"/>
      <c r="W626" s="10"/>
      <c r="X626" s="10"/>
      <c r="Y626" s="10"/>
      <c r="Z626" s="10"/>
      <c r="AA626" s="10"/>
    </row>
    <row r="627" spans="1:27" ht="12.5" x14ac:dyDescent="0.25">
      <c r="A627" s="10" t="s">
        <v>86</v>
      </c>
      <c r="B627" s="10" t="s">
        <v>682</v>
      </c>
      <c r="C627" s="10" t="s">
        <v>76</v>
      </c>
      <c r="D627" s="11">
        <v>2024</v>
      </c>
      <c r="E627" s="10" t="s">
        <v>81</v>
      </c>
      <c r="F627" s="10" t="s">
        <v>83</v>
      </c>
      <c r="G627" s="10" t="s">
        <v>84</v>
      </c>
      <c r="H627" s="11">
        <v>10623</v>
      </c>
      <c r="I627" s="11">
        <v>748</v>
      </c>
      <c r="J627" s="11">
        <v>660</v>
      </c>
      <c r="K627" s="11">
        <v>27437</v>
      </c>
      <c r="L627" s="11">
        <v>7.0411044869783501E-2</v>
      </c>
      <c r="M627" s="11">
        <f t="shared" si="2"/>
        <v>7.0413254259625342</v>
      </c>
      <c r="N627" s="11">
        <v>0.88235294117647001</v>
      </c>
      <c r="O627" s="11">
        <v>2.5827110134923101</v>
      </c>
      <c r="P627" s="11">
        <v>0.59797297297297303</v>
      </c>
      <c r="Q627" s="11">
        <v>0.41304347826087001</v>
      </c>
      <c r="R627" s="11">
        <v>0.65503875968992298</v>
      </c>
      <c r="S627" s="10" t="s">
        <v>84</v>
      </c>
      <c r="T627" s="10" t="s">
        <v>84</v>
      </c>
      <c r="U627" s="10"/>
      <c r="V627" s="10"/>
      <c r="W627" s="10"/>
      <c r="X627" s="10"/>
      <c r="Y627" s="10"/>
      <c r="Z627" s="10"/>
      <c r="AA627" s="10"/>
    </row>
    <row r="628" spans="1:27" ht="12.5" hidden="1" x14ac:dyDescent="0.25">
      <c r="A628" s="10" t="s">
        <v>16</v>
      </c>
      <c r="B628" s="10" t="s">
        <v>1442</v>
      </c>
      <c r="C628" s="10" t="s">
        <v>191</v>
      </c>
      <c r="D628" s="11">
        <v>2024</v>
      </c>
      <c r="E628" s="10" t="s">
        <v>124</v>
      </c>
      <c r="F628" s="10" t="s">
        <v>125</v>
      </c>
      <c r="G628" s="10" t="s">
        <v>84</v>
      </c>
      <c r="H628" s="12">
        <v>369.33333333333297</v>
      </c>
      <c r="I628" s="11">
        <v>26</v>
      </c>
      <c r="J628" s="11">
        <v>13</v>
      </c>
      <c r="K628" s="11">
        <v>0</v>
      </c>
      <c r="L628" s="11">
        <v>7.0397111913357402E-2</v>
      </c>
      <c r="M628" s="11">
        <f t="shared" si="2"/>
        <v>7.0397111913357469</v>
      </c>
      <c r="N628" s="11">
        <v>0.5</v>
      </c>
      <c r="O628" s="11">
        <v>0</v>
      </c>
      <c r="P628" s="11">
        <v>0.73774509803921595</v>
      </c>
      <c r="Q628" s="11">
        <v>0.79166666666666696</v>
      </c>
      <c r="R628" s="11">
        <v>0.637596899224806</v>
      </c>
      <c r="S628" s="10" t="s">
        <v>84</v>
      </c>
      <c r="T628" s="10" t="s">
        <v>84</v>
      </c>
      <c r="U628" s="10"/>
      <c r="V628" s="10"/>
      <c r="W628" s="10"/>
      <c r="X628" s="10"/>
      <c r="Y628" s="10"/>
      <c r="Z628" s="10"/>
      <c r="AA628" s="10"/>
    </row>
    <row r="629" spans="1:27" ht="12.5" x14ac:dyDescent="0.25">
      <c r="A629" s="10" t="s">
        <v>62</v>
      </c>
      <c r="B629" s="10" t="s">
        <v>854</v>
      </c>
      <c r="C629" s="10" t="s">
        <v>76</v>
      </c>
      <c r="D629" s="11">
        <v>2024</v>
      </c>
      <c r="E629" s="10" t="s">
        <v>124</v>
      </c>
      <c r="F629" s="10" t="s">
        <v>83</v>
      </c>
      <c r="G629" s="10" t="s">
        <v>84</v>
      </c>
      <c r="H629" s="11">
        <v>29891</v>
      </c>
      <c r="I629" s="11">
        <v>2103</v>
      </c>
      <c r="J629" s="11">
        <v>1713</v>
      </c>
      <c r="K629" s="11">
        <v>7770</v>
      </c>
      <c r="L629" s="11">
        <v>7.0356802328499002E-2</v>
      </c>
      <c r="M629" s="11">
        <f t="shared" si="2"/>
        <v>7.0355625439095375</v>
      </c>
      <c r="N629" s="11">
        <v>0.81455064194008597</v>
      </c>
      <c r="O629" s="11">
        <v>0.25994881316806301</v>
      </c>
      <c r="P629" s="11">
        <v>0.59712837837837796</v>
      </c>
      <c r="Q629" s="11">
        <v>0.69444444444444398</v>
      </c>
      <c r="R629" s="11">
        <v>0.45861297539149898</v>
      </c>
      <c r="S629" s="10" t="s">
        <v>84</v>
      </c>
      <c r="T629" s="10" t="s">
        <v>84</v>
      </c>
      <c r="U629" s="10"/>
      <c r="V629" s="10"/>
      <c r="W629" s="10"/>
      <c r="X629" s="10"/>
      <c r="Y629" s="10"/>
      <c r="Z629" s="10"/>
      <c r="AA629" s="10"/>
    </row>
    <row r="630" spans="1:27" ht="12.5" x14ac:dyDescent="0.25">
      <c r="A630" s="10" t="s">
        <v>62</v>
      </c>
      <c r="B630" s="10" t="s">
        <v>857</v>
      </c>
      <c r="C630" s="10" t="s">
        <v>76</v>
      </c>
      <c r="D630" s="11">
        <v>2024</v>
      </c>
      <c r="E630" s="10" t="s">
        <v>124</v>
      </c>
      <c r="F630" s="10" t="s">
        <v>83</v>
      </c>
      <c r="G630" s="10" t="s">
        <v>84</v>
      </c>
      <c r="H630" s="11">
        <v>10832</v>
      </c>
      <c r="I630" s="11">
        <v>759</v>
      </c>
      <c r="J630" s="11">
        <v>689</v>
      </c>
      <c r="K630" s="11">
        <v>20759</v>
      </c>
      <c r="L630" s="11">
        <v>7.0069623418086702E-2</v>
      </c>
      <c r="M630" s="11">
        <f t="shared" si="2"/>
        <v>7.0070162481536187</v>
      </c>
      <c r="N630" s="11">
        <v>0.90777338603425595</v>
      </c>
      <c r="O630" s="11">
        <v>1.91643651190522</v>
      </c>
      <c r="P630" s="11">
        <v>0.59628378378378399</v>
      </c>
      <c r="Q630" s="11">
        <v>0.66666666666666696</v>
      </c>
      <c r="R630" s="11">
        <v>0.456375838926175</v>
      </c>
      <c r="S630" s="10" t="s">
        <v>84</v>
      </c>
      <c r="T630" s="10" t="s">
        <v>84</v>
      </c>
      <c r="U630" s="10"/>
      <c r="V630" s="10"/>
      <c r="W630" s="10"/>
      <c r="X630" s="10"/>
      <c r="Y630" s="10"/>
      <c r="Z630" s="10"/>
      <c r="AA630" s="10"/>
    </row>
    <row r="631" spans="1:27" ht="12.5" x14ac:dyDescent="0.25">
      <c r="A631" s="10" t="s">
        <v>80</v>
      </c>
      <c r="B631" s="10" t="s">
        <v>684</v>
      </c>
      <c r="C631" s="10" t="s">
        <v>76</v>
      </c>
      <c r="D631" s="11">
        <v>2024</v>
      </c>
      <c r="E631" s="10" t="s">
        <v>81</v>
      </c>
      <c r="F631" s="10" t="s">
        <v>83</v>
      </c>
      <c r="G631" s="10" t="s">
        <v>84</v>
      </c>
      <c r="H631" s="11">
        <v>1772</v>
      </c>
      <c r="I631" s="11">
        <v>124</v>
      </c>
      <c r="J631" s="11">
        <v>122</v>
      </c>
      <c r="K631" s="11">
        <v>239</v>
      </c>
      <c r="L631" s="11">
        <v>6.9990592662276599E-2</v>
      </c>
      <c r="M631" s="11">
        <f t="shared" si="2"/>
        <v>6.9977426636568847</v>
      </c>
      <c r="N631" s="11">
        <v>0.98387096774193505</v>
      </c>
      <c r="O631" s="11">
        <v>0.134901222953904</v>
      </c>
      <c r="P631" s="11">
        <v>0.59459459459459496</v>
      </c>
      <c r="Q631" s="11">
        <v>0.7</v>
      </c>
      <c r="R631" s="11">
        <v>0.65310077519379806</v>
      </c>
      <c r="S631" s="10" t="s">
        <v>84</v>
      </c>
      <c r="T631" s="10" t="s">
        <v>84</v>
      </c>
      <c r="U631" s="10"/>
      <c r="V631" s="10"/>
      <c r="W631" s="10"/>
      <c r="X631" s="10"/>
      <c r="Y631" s="10"/>
      <c r="Z631" s="10"/>
      <c r="AA631" s="10"/>
    </row>
    <row r="632" spans="1:27" ht="12.5" x14ac:dyDescent="0.25">
      <c r="A632" s="10" t="s">
        <v>25</v>
      </c>
      <c r="B632" s="10" t="s">
        <v>685</v>
      </c>
      <c r="C632" s="10" t="s">
        <v>76</v>
      </c>
      <c r="D632" s="11">
        <v>2024</v>
      </c>
      <c r="E632" s="10" t="s">
        <v>81</v>
      </c>
      <c r="F632" s="10" t="s">
        <v>83</v>
      </c>
      <c r="G632" s="10" t="s">
        <v>84</v>
      </c>
      <c r="H632" s="11">
        <v>56735</v>
      </c>
      <c r="I632" s="11">
        <v>3968</v>
      </c>
      <c r="J632" s="11">
        <v>3630</v>
      </c>
      <c r="K632" s="11">
        <v>95105</v>
      </c>
      <c r="L632" s="11">
        <v>6.9939396431939194E-2</v>
      </c>
      <c r="M632" s="11">
        <f t="shared" si="2"/>
        <v>6.9939190975588259</v>
      </c>
      <c r="N632" s="11">
        <v>0.91481854838709697</v>
      </c>
      <c r="O632" s="11">
        <v>1.6763070306601799</v>
      </c>
      <c r="P632" s="11">
        <v>0.59375</v>
      </c>
      <c r="Q632" s="11">
        <v>0.5</v>
      </c>
      <c r="R632" s="11">
        <v>0.65116279069767402</v>
      </c>
      <c r="S632" s="10" t="s">
        <v>84</v>
      </c>
      <c r="T632" s="10" t="s">
        <v>84</v>
      </c>
      <c r="U632" s="10"/>
      <c r="V632" s="10"/>
      <c r="W632" s="10"/>
      <c r="X632" s="10"/>
      <c r="Y632" s="10"/>
      <c r="Z632" s="10"/>
      <c r="AA632" s="10"/>
    </row>
    <row r="633" spans="1:27" ht="12.5" x14ac:dyDescent="0.25">
      <c r="A633" s="10" t="s">
        <v>118</v>
      </c>
      <c r="B633" s="10" t="s">
        <v>860</v>
      </c>
      <c r="C633" s="10" t="s">
        <v>76</v>
      </c>
      <c r="D633" s="11">
        <v>2024</v>
      </c>
      <c r="E633" s="10" t="s">
        <v>124</v>
      </c>
      <c r="F633" s="10" t="s">
        <v>83</v>
      </c>
      <c r="G633" s="10" t="s">
        <v>84</v>
      </c>
      <c r="H633" s="11">
        <v>16903</v>
      </c>
      <c r="I633" s="11">
        <v>1178</v>
      </c>
      <c r="J633" s="11">
        <v>1178</v>
      </c>
      <c r="K633" s="11">
        <v>15879</v>
      </c>
      <c r="L633" s="11">
        <v>6.9693145065867296E-2</v>
      </c>
      <c r="M633" s="11">
        <f t="shared" si="2"/>
        <v>6.9691770691593211</v>
      </c>
      <c r="N633" s="11">
        <v>1</v>
      </c>
      <c r="O633" s="11">
        <v>0.93943756409245105</v>
      </c>
      <c r="P633" s="11">
        <v>0.59206081081081097</v>
      </c>
      <c r="Q633" s="11">
        <v>0.85714285714285698</v>
      </c>
      <c r="R633" s="11">
        <v>0.45413870246084997</v>
      </c>
      <c r="S633" s="10" t="s">
        <v>84</v>
      </c>
      <c r="T633" s="10" t="s">
        <v>84</v>
      </c>
      <c r="U633" s="10"/>
      <c r="V633" s="10"/>
      <c r="W633" s="10"/>
      <c r="X633" s="10"/>
      <c r="Y633" s="10"/>
      <c r="Z633" s="10"/>
      <c r="AA633" s="10"/>
    </row>
    <row r="634" spans="1:27" ht="12.5" x14ac:dyDescent="0.25">
      <c r="A634" s="10" t="s">
        <v>52</v>
      </c>
      <c r="B634" s="10" t="s">
        <v>687</v>
      </c>
      <c r="C634" s="10" t="s">
        <v>76</v>
      </c>
      <c r="D634" s="11">
        <v>2024</v>
      </c>
      <c r="E634" s="10" t="s">
        <v>81</v>
      </c>
      <c r="F634" s="10" t="s">
        <v>83</v>
      </c>
      <c r="G634" s="10" t="s">
        <v>84</v>
      </c>
      <c r="H634" s="11">
        <v>40897</v>
      </c>
      <c r="I634" s="11">
        <v>2843</v>
      </c>
      <c r="J634" s="11">
        <v>2365</v>
      </c>
      <c r="K634" s="11">
        <v>70028</v>
      </c>
      <c r="L634" s="11">
        <v>6.9516243074559406E-2</v>
      </c>
      <c r="M634" s="11">
        <f t="shared" si="2"/>
        <v>6.9516101425532444</v>
      </c>
      <c r="N634" s="11">
        <v>0.83186774533942998</v>
      </c>
      <c r="O634" s="11">
        <v>1.7123051248769801</v>
      </c>
      <c r="P634" s="11">
        <v>0.59121621621621601</v>
      </c>
      <c r="Q634" s="11">
        <v>0.48936170212766</v>
      </c>
      <c r="R634" s="11">
        <v>0.64922480620154999</v>
      </c>
      <c r="S634" s="10" t="s">
        <v>84</v>
      </c>
      <c r="T634" s="10" t="s">
        <v>84</v>
      </c>
      <c r="U634" s="10"/>
      <c r="V634" s="10"/>
      <c r="W634" s="10"/>
      <c r="X634" s="10"/>
      <c r="Y634" s="10"/>
      <c r="Z634" s="10"/>
      <c r="AA634" s="10"/>
    </row>
    <row r="635" spans="1:27" ht="12.5" x14ac:dyDescent="0.25">
      <c r="A635" s="10" t="s">
        <v>12</v>
      </c>
      <c r="B635" s="10" t="s">
        <v>863</v>
      </c>
      <c r="C635" s="10" t="s">
        <v>76</v>
      </c>
      <c r="D635" s="11">
        <v>2024</v>
      </c>
      <c r="E635" s="10" t="s">
        <v>124</v>
      </c>
      <c r="F635" s="10" t="s">
        <v>83</v>
      </c>
      <c r="G635" s="10" t="s">
        <v>84</v>
      </c>
      <c r="H635" s="11">
        <v>20207</v>
      </c>
      <c r="I635" s="11">
        <v>1393</v>
      </c>
      <c r="J635" s="11">
        <v>1232</v>
      </c>
      <c r="K635" s="11">
        <v>62805</v>
      </c>
      <c r="L635" s="11">
        <v>6.8938212951278E-2</v>
      </c>
      <c r="M635" s="11">
        <f t="shared" si="2"/>
        <v>6.8936507150987287</v>
      </c>
      <c r="N635" s="11">
        <v>0.88442211055276398</v>
      </c>
      <c r="O635" s="11">
        <v>3.1081582659045401</v>
      </c>
      <c r="P635" s="11">
        <v>0.58952702702702697</v>
      </c>
      <c r="Q635" s="11">
        <v>0.40277777777777801</v>
      </c>
      <c r="R635" s="11">
        <v>0.451901565995526</v>
      </c>
      <c r="S635" s="10" t="s">
        <v>84</v>
      </c>
      <c r="T635" s="10" t="s">
        <v>84</v>
      </c>
      <c r="U635" s="10"/>
      <c r="V635" s="10"/>
      <c r="W635" s="10"/>
      <c r="X635" s="10"/>
      <c r="Y635" s="10"/>
      <c r="Z635" s="10"/>
      <c r="AA635" s="10"/>
    </row>
    <row r="636" spans="1:27" ht="12.5" x14ac:dyDescent="0.25">
      <c r="A636" s="10" t="s">
        <v>82</v>
      </c>
      <c r="B636" s="10" t="s">
        <v>866</v>
      </c>
      <c r="C636" s="10" t="s">
        <v>76</v>
      </c>
      <c r="D636" s="11">
        <v>2024</v>
      </c>
      <c r="E636" s="10" t="s">
        <v>124</v>
      </c>
      <c r="F636" s="10" t="s">
        <v>83</v>
      </c>
      <c r="G636" s="10" t="s">
        <v>84</v>
      </c>
      <c r="H636" s="11">
        <v>8609</v>
      </c>
      <c r="I636" s="11">
        <v>590</v>
      </c>
      <c r="J636" s="11">
        <v>570</v>
      </c>
      <c r="K636" s="11">
        <v>18021</v>
      </c>
      <c r="L636" s="11">
        <v>6.8532930653966803E-2</v>
      </c>
      <c r="M636" s="11">
        <f t="shared" si="2"/>
        <v>6.8532930653966773</v>
      </c>
      <c r="N636" s="11">
        <v>0.96610169491525399</v>
      </c>
      <c r="O636" s="11">
        <v>2.0932744801951402</v>
      </c>
      <c r="P636" s="11">
        <v>0.58868243243243201</v>
      </c>
      <c r="Q636" s="11">
        <v>0.91379310344827602</v>
      </c>
      <c r="R636" s="11">
        <v>0.44966442953020103</v>
      </c>
      <c r="S636" s="10" t="s">
        <v>84</v>
      </c>
      <c r="T636" s="10" t="s">
        <v>84</v>
      </c>
      <c r="U636" s="10"/>
      <c r="V636" s="10"/>
      <c r="W636" s="10"/>
      <c r="X636" s="10"/>
      <c r="Y636" s="10"/>
      <c r="Z636" s="10"/>
      <c r="AA636" s="10"/>
    </row>
    <row r="637" spans="1:27" ht="12.5" x14ac:dyDescent="0.25">
      <c r="A637" s="10" t="s">
        <v>58</v>
      </c>
      <c r="B637" s="10" t="s">
        <v>689</v>
      </c>
      <c r="C637" s="10" t="s">
        <v>76</v>
      </c>
      <c r="D637" s="11">
        <v>2024</v>
      </c>
      <c r="E637" s="10" t="s">
        <v>81</v>
      </c>
      <c r="F637" s="10" t="s">
        <v>83</v>
      </c>
      <c r="G637" s="10" t="s">
        <v>84</v>
      </c>
      <c r="H637" s="11">
        <v>24838</v>
      </c>
      <c r="I637" s="11">
        <v>1702</v>
      </c>
      <c r="J637" s="11">
        <v>1342</v>
      </c>
      <c r="K637" s="11">
        <v>39401</v>
      </c>
      <c r="L637" s="11">
        <v>6.8524495561207002E-2</v>
      </c>
      <c r="M637" s="11">
        <f t="shared" si="2"/>
        <v>6.8524035751670835</v>
      </c>
      <c r="N637" s="11">
        <v>0.78848413631022296</v>
      </c>
      <c r="O637" s="11">
        <v>1.5863299938937201</v>
      </c>
      <c r="P637" s="11">
        <v>0.58783783783783805</v>
      </c>
      <c r="Q637" s="11">
        <v>0.32432432432432401</v>
      </c>
      <c r="R637" s="11">
        <v>0.64728682170542595</v>
      </c>
      <c r="S637" s="10" t="s">
        <v>84</v>
      </c>
      <c r="T637" s="10" t="s">
        <v>84</v>
      </c>
      <c r="U637" s="10"/>
      <c r="V637" s="10"/>
      <c r="W637" s="10"/>
      <c r="X637" s="10"/>
      <c r="Y637" s="10"/>
      <c r="Z637" s="10"/>
      <c r="AA637" s="10"/>
    </row>
    <row r="638" spans="1:27" ht="12.5" x14ac:dyDescent="0.25">
      <c r="A638" s="10" t="s">
        <v>101</v>
      </c>
      <c r="B638" s="10" t="s">
        <v>868</v>
      </c>
      <c r="C638" s="10" t="s">
        <v>76</v>
      </c>
      <c r="D638" s="11">
        <v>2024</v>
      </c>
      <c r="E638" s="10" t="s">
        <v>124</v>
      </c>
      <c r="F638" s="10" t="s">
        <v>83</v>
      </c>
      <c r="G638" s="10" t="s">
        <v>84</v>
      </c>
      <c r="H638" s="11">
        <v>18101</v>
      </c>
      <c r="I638" s="11">
        <v>1240</v>
      </c>
      <c r="J638" s="11">
        <v>869</v>
      </c>
      <c r="K638" s="11">
        <v>22344</v>
      </c>
      <c r="L638" s="11">
        <v>6.8503871757805701E-2</v>
      </c>
      <c r="M638" s="11">
        <f t="shared" si="2"/>
        <v>6.8504502513673282</v>
      </c>
      <c r="N638" s="11">
        <v>0.700806451612903</v>
      </c>
      <c r="O638" s="11">
        <v>1.2343955730293601</v>
      </c>
      <c r="P638" s="11">
        <v>0.58699324324324298</v>
      </c>
      <c r="Q638" s="11">
        <v>0.64285714285714302</v>
      </c>
      <c r="R638" s="11">
        <v>0.447427293064877</v>
      </c>
      <c r="S638" s="10" t="s">
        <v>84</v>
      </c>
      <c r="T638" s="10" t="s">
        <v>84</v>
      </c>
      <c r="U638" s="10"/>
      <c r="V638" s="10"/>
      <c r="W638" s="10"/>
      <c r="X638" s="10"/>
      <c r="Y638" s="10"/>
      <c r="Z638" s="10"/>
      <c r="AA638" s="10"/>
    </row>
    <row r="639" spans="1:27" ht="12.5" x14ac:dyDescent="0.25">
      <c r="A639" s="10" t="s">
        <v>25</v>
      </c>
      <c r="B639" s="10" t="s">
        <v>870</v>
      </c>
      <c r="C639" s="10" t="s">
        <v>76</v>
      </c>
      <c r="D639" s="11">
        <v>2024</v>
      </c>
      <c r="E639" s="10" t="s">
        <v>124</v>
      </c>
      <c r="F639" s="10" t="s">
        <v>83</v>
      </c>
      <c r="G639" s="10" t="s">
        <v>84</v>
      </c>
      <c r="H639" s="11">
        <v>13944</v>
      </c>
      <c r="I639" s="11">
        <v>952</v>
      </c>
      <c r="J639" s="11">
        <v>933</v>
      </c>
      <c r="K639" s="11">
        <v>27567</v>
      </c>
      <c r="L639" s="11">
        <v>6.8271460330361203E-2</v>
      </c>
      <c r="M639" s="11">
        <f t="shared" si="2"/>
        <v>6.8273092369477917</v>
      </c>
      <c r="N639" s="11">
        <v>0.98004201680672298</v>
      </c>
      <c r="O639" s="11">
        <v>1.9769320871082601</v>
      </c>
      <c r="P639" s="11">
        <v>0.58614864864864902</v>
      </c>
      <c r="Q639" s="11">
        <v>0.4375</v>
      </c>
      <c r="R639" s="11">
        <v>0.44519015659955302</v>
      </c>
      <c r="S639" s="10" t="s">
        <v>84</v>
      </c>
      <c r="T639" s="10" t="s">
        <v>84</v>
      </c>
      <c r="U639" s="10"/>
      <c r="V639" s="10"/>
      <c r="W639" s="10"/>
      <c r="X639" s="10"/>
      <c r="Y639" s="10"/>
      <c r="Z639" s="10"/>
      <c r="AA639" s="10"/>
    </row>
    <row r="640" spans="1:27" ht="12.5" hidden="1" x14ac:dyDescent="0.25">
      <c r="A640" s="10" t="s">
        <v>13</v>
      </c>
      <c r="B640" s="10" t="s">
        <v>1443</v>
      </c>
      <c r="C640" s="10" t="s">
        <v>191</v>
      </c>
      <c r="D640" s="11">
        <v>2024</v>
      </c>
      <c r="E640" s="10" t="s">
        <v>124</v>
      </c>
      <c r="F640" s="10" t="s">
        <v>125</v>
      </c>
      <c r="G640" s="10" t="s">
        <v>84</v>
      </c>
      <c r="H640" s="12">
        <v>205.333333333333</v>
      </c>
      <c r="I640" s="11">
        <v>14</v>
      </c>
      <c r="J640" s="11">
        <v>14</v>
      </c>
      <c r="K640" s="11">
        <v>57</v>
      </c>
      <c r="L640" s="11">
        <v>6.8181818181818205E-2</v>
      </c>
      <c r="M640" s="11">
        <f t="shared" si="2"/>
        <v>6.818181818181829</v>
      </c>
      <c r="N640" s="11">
        <v>1</v>
      </c>
      <c r="O640" s="11">
        <v>0.27759740259740301</v>
      </c>
      <c r="P640" s="11">
        <v>0.73406862745098</v>
      </c>
      <c r="Q640" s="11">
        <v>0.46551724137931</v>
      </c>
      <c r="R640" s="11">
        <v>0.63565891472868197</v>
      </c>
      <c r="S640" s="10" t="s">
        <v>84</v>
      </c>
      <c r="T640" s="10" t="s">
        <v>84</v>
      </c>
      <c r="U640" s="10"/>
      <c r="V640" s="10"/>
      <c r="W640" s="10"/>
      <c r="X640" s="10"/>
      <c r="Y640" s="10"/>
      <c r="Z640" s="10"/>
      <c r="AA640" s="10"/>
    </row>
    <row r="641" spans="1:27" ht="12.5" x14ac:dyDescent="0.25">
      <c r="A641" s="10" t="s">
        <v>12</v>
      </c>
      <c r="B641" s="10" t="s">
        <v>690</v>
      </c>
      <c r="C641" s="10" t="s">
        <v>76</v>
      </c>
      <c r="D641" s="11">
        <v>2024</v>
      </c>
      <c r="E641" s="10" t="s">
        <v>81</v>
      </c>
      <c r="F641" s="10" t="s">
        <v>83</v>
      </c>
      <c r="G641" s="10" t="s">
        <v>84</v>
      </c>
      <c r="H641" s="11">
        <v>317097</v>
      </c>
      <c r="I641" s="11">
        <v>21594</v>
      </c>
      <c r="J641" s="11">
        <v>12818</v>
      </c>
      <c r="K641" s="11">
        <v>24029</v>
      </c>
      <c r="L641" s="11">
        <v>6.8099053838166695E-2</v>
      </c>
      <c r="M641" s="11">
        <f t="shared" si="2"/>
        <v>6.8099035941683459</v>
      </c>
      <c r="N641" s="11">
        <v>0.59359081226266597</v>
      </c>
      <c r="O641" s="11">
        <v>7.5778094131578599E-2</v>
      </c>
      <c r="P641" s="11">
        <v>0.58445945945945899</v>
      </c>
      <c r="Q641" s="11">
        <v>0.38888888888888901</v>
      </c>
      <c r="R641" s="11">
        <v>0.64534883720930203</v>
      </c>
      <c r="S641" s="10" t="s">
        <v>84</v>
      </c>
      <c r="T641" s="10" t="s">
        <v>84</v>
      </c>
      <c r="U641" s="10"/>
      <c r="V641" s="10"/>
      <c r="W641" s="10"/>
      <c r="X641" s="10"/>
      <c r="Y641" s="10"/>
      <c r="Z641" s="10"/>
      <c r="AA641" s="10"/>
    </row>
    <row r="642" spans="1:27" ht="12.5" x14ac:dyDescent="0.25">
      <c r="A642" s="10" t="s">
        <v>104</v>
      </c>
      <c r="B642" s="10" t="s">
        <v>873</v>
      </c>
      <c r="C642" s="10" t="s">
        <v>76</v>
      </c>
      <c r="D642" s="11">
        <v>2024</v>
      </c>
      <c r="E642" s="10" t="s">
        <v>124</v>
      </c>
      <c r="F642" s="10" t="s">
        <v>83</v>
      </c>
      <c r="G642" s="10" t="s">
        <v>84</v>
      </c>
      <c r="H642" s="11">
        <v>42365</v>
      </c>
      <c r="I642" s="11">
        <v>2880</v>
      </c>
      <c r="J642" s="11">
        <v>2868</v>
      </c>
      <c r="K642" s="11">
        <v>53329</v>
      </c>
      <c r="L642" s="11">
        <v>6.7980778120260696E-2</v>
      </c>
      <c r="M642" s="11">
        <f t="shared" si="2"/>
        <v>6.7980644399858372</v>
      </c>
      <c r="N642" s="11">
        <v>0.99583333333333302</v>
      </c>
      <c r="O642" s="11">
        <v>1.2588010126303399</v>
      </c>
      <c r="P642" s="11">
        <v>0.58361486486486502</v>
      </c>
      <c r="Q642" s="11">
        <v>0.65517241379310298</v>
      </c>
      <c r="R642" s="11">
        <v>0.44295302013422799</v>
      </c>
      <c r="S642" s="10" t="s">
        <v>84</v>
      </c>
      <c r="T642" s="10" t="s">
        <v>84</v>
      </c>
      <c r="U642" s="10"/>
      <c r="V642" s="10"/>
      <c r="W642" s="10"/>
      <c r="X642" s="10"/>
      <c r="Y642" s="10"/>
      <c r="Z642" s="10"/>
      <c r="AA642" s="10"/>
    </row>
    <row r="643" spans="1:27" ht="12.5" hidden="1" x14ac:dyDescent="0.25">
      <c r="A643" s="10" t="s">
        <v>14</v>
      </c>
      <c r="B643" s="10" t="s">
        <v>1444</v>
      </c>
      <c r="C643" s="10" t="s">
        <v>191</v>
      </c>
      <c r="D643" s="11">
        <v>2024</v>
      </c>
      <c r="E643" s="10" t="s">
        <v>124</v>
      </c>
      <c r="F643" s="10" t="s">
        <v>125</v>
      </c>
      <c r="G643" s="10" t="s">
        <v>84</v>
      </c>
      <c r="H643" s="12">
        <v>3243</v>
      </c>
      <c r="I643" s="11">
        <v>219</v>
      </c>
      <c r="J643" s="11">
        <v>198</v>
      </c>
      <c r="K643" s="11">
        <v>499</v>
      </c>
      <c r="L643" s="11">
        <v>6.7521389481256897E-2</v>
      </c>
      <c r="M643" s="11">
        <f t="shared" si="2"/>
        <v>6.7530064754856607</v>
      </c>
      <c r="N643" s="11">
        <v>0.90410958904109595</v>
      </c>
      <c r="O643" s="11">
        <v>0.15385010662624299</v>
      </c>
      <c r="P643" s="11">
        <v>0.73284313725490202</v>
      </c>
      <c r="Q643" s="11">
        <v>0.61702127659574502</v>
      </c>
      <c r="R643" s="11">
        <v>0.63372093023255804</v>
      </c>
      <c r="S643" s="10" t="s">
        <v>84</v>
      </c>
      <c r="T643" s="10" t="s">
        <v>84</v>
      </c>
      <c r="U643" s="10"/>
      <c r="V643" s="10"/>
      <c r="W643" s="10"/>
      <c r="X643" s="10"/>
      <c r="Y643" s="10"/>
      <c r="Z643" s="10"/>
      <c r="AA643" s="10"/>
    </row>
    <row r="644" spans="1:27" ht="12.5" hidden="1" x14ac:dyDescent="0.25">
      <c r="A644" s="10" t="s">
        <v>36</v>
      </c>
      <c r="B644" s="10" t="s">
        <v>1445</v>
      </c>
      <c r="C644" s="10" t="s">
        <v>191</v>
      </c>
      <c r="D644" s="11">
        <v>2024</v>
      </c>
      <c r="E644" s="10" t="s">
        <v>124</v>
      </c>
      <c r="F644" s="10" t="s">
        <v>125</v>
      </c>
      <c r="G644" s="10" t="s">
        <v>84</v>
      </c>
      <c r="H644" s="12">
        <v>815.08333333333303</v>
      </c>
      <c r="I644" s="11">
        <v>55</v>
      </c>
      <c r="J644" s="11">
        <v>53</v>
      </c>
      <c r="K644" s="11">
        <v>186</v>
      </c>
      <c r="L644" s="11">
        <v>6.7477763009917202E-2</v>
      </c>
      <c r="M644" s="11">
        <f t="shared" si="2"/>
        <v>6.7477763009917213</v>
      </c>
      <c r="N644" s="11">
        <v>0.96363636363636396</v>
      </c>
      <c r="O644" s="11">
        <v>0.22819752581535599</v>
      </c>
      <c r="P644" s="11">
        <v>0.73161764705882304</v>
      </c>
      <c r="Q644" s="11">
        <v>0.5</v>
      </c>
      <c r="R644" s="11">
        <v>0.63178294573643401</v>
      </c>
      <c r="S644" s="10" t="s">
        <v>84</v>
      </c>
      <c r="T644" s="10" t="s">
        <v>84</v>
      </c>
      <c r="U644" s="10"/>
      <c r="V644" s="10"/>
      <c r="W644" s="10"/>
      <c r="X644" s="10"/>
      <c r="Y644" s="10"/>
      <c r="Z644" s="10"/>
      <c r="AA644" s="10"/>
    </row>
    <row r="645" spans="1:27" ht="12.5" x14ac:dyDescent="0.25">
      <c r="A645" s="10" t="s">
        <v>19</v>
      </c>
      <c r="B645" s="10" t="s">
        <v>692</v>
      </c>
      <c r="C645" s="10" t="s">
        <v>76</v>
      </c>
      <c r="D645" s="11">
        <v>2024</v>
      </c>
      <c r="E645" s="10" t="s">
        <v>81</v>
      </c>
      <c r="F645" s="10" t="s">
        <v>83</v>
      </c>
      <c r="G645" s="10" t="s">
        <v>84</v>
      </c>
      <c r="H645" s="11">
        <v>38826</v>
      </c>
      <c r="I645" s="11">
        <v>2608</v>
      </c>
      <c r="J645" s="11">
        <v>1964</v>
      </c>
      <c r="K645" s="11">
        <v>79012</v>
      </c>
      <c r="L645" s="11">
        <v>6.7171338855108106E-2</v>
      </c>
      <c r="M645" s="11">
        <f t="shared" si="2"/>
        <v>6.7171483026837686</v>
      </c>
      <c r="N645" s="11">
        <v>0.753067484662577</v>
      </c>
      <c r="O645" s="11">
        <v>2.0350237061425598</v>
      </c>
      <c r="P645" s="11">
        <v>0.58277027027026995</v>
      </c>
      <c r="Q645" s="11">
        <v>0.22222222222222199</v>
      </c>
      <c r="R645" s="11">
        <v>0.64341085271317799</v>
      </c>
      <c r="S645" s="10" t="s">
        <v>84</v>
      </c>
      <c r="T645" s="10" t="s">
        <v>84</v>
      </c>
      <c r="U645" s="10"/>
      <c r="V645" s="10"/>
      <c r="W645" s="10"/>
      <c r="X645" s="10"/>
      <c r="Y645" s="10"/>
      <c r="Z645" s="10"/>
      <c r="AA645" s="10"/>
    </row>
    <row r="646" spans="1:27" ht="12.5" x14ac:dyDescent="0.25">
      <c r="A646" s="10" t="s">
        <v>14</v>
      </c>
      <c r="B646" s="10" t="s">
        <v>695</v>
      </c>
      <c r="C646" s="10" t="s">
        <v>76</v>
      </c>
      <c r="D646" s="11">
        <v>2024</v>
      </c>
      <c r="E646" s="10" t="s">
        <v>81</v>
      </c>
      <c r="F646" s="10" t="s">
        <v>83</v>
      </c>
      <c r="G646" s="10" t="s">
        <v>84</v>
      </c>
      <c r="H646" s="11">
        <v>81882</v>
      </c>
      <c r="I646" s="11">
        <v>5488</v>
      </c>
      <c r="J646" s="11">
        <v>4198</v>
      </c>
      <c r="K646" s="11">
        <v>17577</v>
      </c>
      <c r="L646" s="11">
        <v>6.7023618457141901E-2</v>
      </c>
      <c r="M646" s="11">
        <f t="shared" si="2"/>
        <v>6.7023277399184193</v>
      </c>
      <c r="N646" s="11">
        <v>0.76494169096209896</v>
      </c>
      <c r="O646" s="11">
        <v>0.21466365554321801</v>
      </c>
      <c r="P646" s="11">
        <v>0.58192567567567599</v>
      </c>
      <c r="Q646" s="11">
        <v>0.25</v>
      </c>
      <c r="R646" s="11">
        <v>0.64147286821705396</v>
      </c>
      <c r="S646" s="10" t="s">
        <v>84</v>
      </c>
      <c r="T646" s="10" t="s">
        <v>84</v>
      </c>
      <c r="U646" s="10"/>
      <c r="V646" s="10"/>
      <c r="W646" s="10"/>
      <c r="X646" s="10"/>
      <c r="Y646" s="10"/>
      <c r="Z646" s="10"/>
      <c r="AA646" s="10"/>
    </row>
    <row r="647" spans="1:27" ht="12.5" x14ac:dyDescent="0.25">
      <c r="A647" s="10" t="s">
        <v>52</v>
      </c>
      <c r="B647" s="10" t="s">
        <v>697</v>
      </c>
      <c r="C647" s="10" t="s">
        <v>76</v>
      </c>
      <c r="D647" s="11">
        <v>2024</v>
      </c>
      <c r="E647" s="10" t="s">
        <v>81</v>
      </c>
      <c r="F647" s="10" t="s">
        <v>83</v>
      </c>
      <c r="G647" s="10" t="s">
        <v>84</v>
      </c>
      <c r="H647" s="11">
        <v>18896</v>
      </c>
      <c r="I647" s="11">
        <v>1265</v>
      </c>
      <c r="J647" s="11">
        <v>1056</v>
      </c>
      <c r="K647" s="11">
        <v>3265</v>
      </c>
      <c r="L647" s="11">
        <v>6.6944204342994196E-2</v>
      </c>
      <c r="M647" s="11">
        <f t="shared" si="2"/>
        <v>6.6945385266723108</v>
      </c>
      <c r="N647" s="11">
        <v>0.83478260869565202</v>
      </c>
      <c r="O647" s="11">
        <v>0.17278484362045499</v>
      </c>
      <c r="P647" s="11">
        <v>0.58108108108108103</v>
      </c>
      <c r="Q647" s="11">
        <v>0.46808510638297901</v>
      </c>
      <c r="R647" s="11">
        <v>0.63953488372093004</v>
      </c>
      <c r="S647" s="10" t="s">
        <v>84</v>
      </c>
      <c r="T647" s="10" t="s">
        <v>84</v>
      </c>
      <c r="U647" s="10"/>
      <c r="V647" s="10"/>
      <c r="W647" s="10"/>
      <c r="X647" s="10"/>
      <c r="Y647" s="10"/>
      <c r="Z647" s="10"/>
      <c r="AA647" s="10"/>
    </row>
    <row r="648" spans="1:27" ht="12.5" hidden="1" x14ac:dyDescent="0.25">
      <c r="A648" s="10" t="s">
        <v>19</v>
      </c>
      <c r="B648" s="10" t="s">
        <v>1446</v>
      </c>
      <c r="C648" s="10" t="s">
        <v>191</v>
      </c>
      <c r="D648" s="11">
        <v>2024</v>
      </c>
      <c r="E648" s="10" t="s">
        <v>124</v>
      </c>
      <c r="F648" s="10" t="s">
        <v>125</v>
      </c>
      <c r="G648" s="10" t="s">
        <v>84</v>
      </c>
      <c r="H648" s="12">
        <v>3782</v>
      </c>
      <c r="I648" s="11">
        <v>253</v>
      </c>
      <c r="J648" s="11">
        <v>190</v>
      </c>
      <c r="K648" s="11">
        <v>2758</v>
      </c>
      <c r="L648" s="11">
        <v>6.6894348352979999E-2</v>
      </c>
      <c r="M648" s="11">
        <f t="shared" si="2"/>
        <v>6.6895822316234792</v>
      </c>
      <c r="N648" s="11">
        <v>0.75098814229249</v>
      </c>
      <c r="O648" s="11">
        <v>0.729227718409166</v>
      </c>
      <c r="P648" s="11">
        <v>0.72916666666666696</v>
      </c>
      <c r="Q648" s="11">
        <v>0.36363636363636398</v>
      </c>
      <c r="R648" s="11">
        <v>0.62984496124030998</v>
      </c>
      <c r="S648" s="10" t="s">
        <v>84</v>
      </c>
      <c r="T648" s="10" t="s">
        <v>84</v>
      </c>
      <c r="U648" s="10"/>
      <c r="V648" s="10"/>
      <c r="W648" s="10"/>
      <c r="X648" s="10"/>
      <c r="Y648" s="10"/>
      <c r="Z648" s="10"/>
      <c r="AA648" s="10"/>
    </row>
    <row r="649" spans="1:27" ht="12.5" hidden="1" x14ac:dyDescent="0.25">
      <c r="A649" s="10" t="s">
        <v>14</v>
      </c>
      <c r="B649" s="10" t="s">
        <v>1447</v>
      </c>
      <c r="C649" s="10" t="s">
        <v>191</v>
      </c>
      <c r="D649" s="11">
        <v>2024</v>
      </c>
      <c r="E649" s="10" t="s">
        <v>257</v>
      </c>
      <c r="F649" s="10" t="s">
        <v>125</v>
      </c>
      <c r="G649" s="10" t="s">
        <v>84</v>
      </c>
      <c r="H649" s="12">
        <v>2535</v>
      </c>
      <c r="I649" s="11">
        <v>169</v>
      </c>
      <c r="J649" s="11">
        <v>91</v>
      </c>
      <c r="K649" s="11">
        <v>427</v>
      </c>
      <c r="L649" s="11">
        <v>6.6673241937074704E-2</v>
      </c>
      <c r="M649" s="11">
        <f t="shared" si="2"/>
        <v>6.666666666666667</v>
      </c>
      <c r="N649" s="11">
        <v>0.53846153846153799</v>
      </c>
      <c r="O649" s="11">
        <v>0.16845842785284501</v>
      </c>
      <c r="P649" s="11">
        <v>0.72794117647058798</v>
      </c>
      <c r="Q649" s="11">
        <v>0.59574468085106402</v>
      </c>
      <c r="R649" s="11">
        <v>0.80555555555555602</v>
      </c>
      <c r="S649" s="10" t="s">
        <v>84</v>
      </c>
      <c r="T649" s="10" t="s">
        <v>84</v>
      </c>
      <c r="U649" s="10"/>
      <c r="V649" s="10"/>
      <c r="W649" s="10"/>
      <c r="X649" s="10"/>
      <c r="Y649" s="10"/>
      <c r="Z649" s="10"/>
      <c r="AA649" s="10"/>
    </row>
    <row r="650" spans="1:27" ht="12.5" x14ac:dyDescent="0.25">
      <c r="A650" s="10" t="s">
        <v>118</v>
      </c>
      <c r="B650" s="10" t="s">
        <v>875</v>
      </c>
      <c r="C650" s="10" t="s">
        <v>76</v>
      </c>
      <c r="D650" s="11">
        <v>2024</v>
      </c>
      <c r="E650" s="10" t="s">
        <v>124</v>
      </c>
      <c r="F650" s="10" t="s">
        <v>83</v>
      </c>
      <c r="G650" s="10" t="s">
        <v>84</v>
      </c>
      <c r="H650" s="11">
        <v>34072</v>
      </c>
      <c r="I650" s="11">
        <v>2271</v>
      </c>
      <c r="J650" s="11">
        <v>1877</v>
      </c>
      <c r="K650" s="11">
        <v>23839</v>
      </c>
      <c r="L650" s="11">
        <v>6.6653785290283402E-2</v>
      </c>
      <c r="M650" s="11">
        <f t="shared" si="2"/>
        <v>6.6652970180793609</v>
      </c>
      <c r="N650" s="11">
        <v>0.82650814619110502</v>
      </c>
      <c r="O650" s="11">
        <v>0.69967397073318705</v>
      </c>
      <c r="P650" s="11">
        <v>0.58023648648648696</v>
      </c>
      <c r="Q650" s="11">
        <v>0.78571428571428603</v>
      </c>
      <c r="R650" s="11">
        <v>0.44071588366890402</v>
      </c>
      <c r="S650" s="10" t="s">
        <v>84</v>
      </c>
      <c r="T650" s="10" t="s">
        <v>84</v>
      </c>
      <c r="U650" s="10"/>
      <c r="V650" s="10"/>
      <c r="W650" s="10"/>
      <c r="X650" s="10"/>
      <c r="Y650" s="10"/>
      <c r="Z650" s="10"/>
      <c r="AA650" s="10"/>
    </row>
    <row r="651" spans="1:27" ht="12.5" x14ac:dyDescent="0.25">
      <c r="A651" s="10" t="s">
        <v>34</v>
      </c>
      <c r="B651" s="10" t="s">
        <v>480</v>
      </c>
      <c r="C651" s="10" t="s">
        <v>76</v>
      </c>
      <c r="D651" s="11">
        <v>2024</v>
      </c>
      <c r="E651" s="10" t="s">
        <v>81</v>
      </c>
      <c r="F651" s="10" t="s">
        <v>83</v>
      </c>
      <c r="G651" s="10" t="s">
        <v>84</v>
      </c>
      <c r="H651" s="11">
        <v>3895</v>
      </c>
      <c r="I651" s="11">
        <v>257</v>
      </c>
      <c r="J651" s="11">
        <v>256</v>
      </c>
      <c r="K651" s="11">
        <v>1158</v>
      </c>
      <c r="L651" s="11">
        <v>6.5990499422262205E-2</v>
      </c>
      <c r="M651" s="11">
        <f t="shared" si="2"/>
        <v>6.5982028241335051</v>
      </c>
      <c r="N651" s="11">
        <v>0.99610894941634198</v>
      </c>
      <c r="O651" s="11">
        <v>0.29734240595711903</v>
      </c>
      <c r="P651" s="11">
        <v>0.579391891891892</v>
      </c>
      <c r="Q651" s="11">
        <v>0.89795918367346905</v>
      </c>
      <c r="R651" s="11">
        <v>0.637596899224806</v>
      </c>
      <c r="S651" s="10" t="s">
        <v>84</v>
      </c>
      <c r="T651" s="10" t="s">
        <v>84</v>
      </c>
      <c r="U651" s="10"/>
      <c r="V651" s="10"/>
      <c r="W651" s="10"/>
      <c r="X651" s="10"/>
      <c r="Y651" s="10"/>
      <c r="Z651" s="10"/>
      <c r="AA651" s="10"/>
    </row>
    <row r="652" spans="1:27" ht="12.5" x14ac:dyDescent="0.25">
      <c r="A652" s="10" t="s">
        <v>82</v>
      </c>
      <c r="B652" s="10" t="s">
        <v>877</v>
      </c>
      <c r="C652" s="10" t="s">
        <v>76</v>
      </c>
      <c r="D652" s="11">
        <v>2024</v>
      </c>
      <c r="E652" s="10" t="s">
        <v>124</v>
      </c>
      <c r="F652" s="10" t="s">
        <v>83</v>
      </c>
      <c r="G652" s="10" t="s">
        <v>84</v>
      </c>
      <c r="H652" s="11">
        <v>18374</v>
      </c>
      <c r="I652" s="11">
        <v>1204</v>
      </c>
      <c r="J652" s="11">
        <v>498</v>
      </c>
      <c r="K652" s="11">
        <v>19121</v>
      </c>
      <c r="L652" s="11">
        <v>6.5528564430979097E-2</v>
      </c>
      <c r="M652" s="11">
        <f t="shared" si="2"/>
        <v>6.5527375639490586</v>
      </c>
      <c r="N652" s="11">
        <v>0.41362126245847203</v>
      </c>
      <c r="O652" s="11">
        <v>1.04067415322654</v>
      </c>
      <c r="P652" s="11">
        <v>0.57770270270270296</v>
      </c>
      <c r="Q652" s="11">
        <v>0.89655172413793105</v>
      </c>
      <c r="R652" s="11">
        <v>0.43847874720357899</v>
      </c>
      <c r="S652" s="10" t="s">
        <v>84</v>
      </c>
      <c r="T652" s="10" t="s">
        <v>84</v>
      </c>
      <c r="U652" s="10"/>
      <c r="V652" s="10"/>
      <c r="W652" s="10"/>
      <c r="X652" s="10"/>
      <c r="Y652" s="10"/>
      <c r="Z652" s="10"/>
      <c r="AA652" s="10"/>
    </row>
    <row r="653" spans="1:27" ht="12.5" x14ac:dyDescent="0.25">
      <c r="A653" s="10" t="s">
        <v>14</v>
      </c>
      <c r="B653" s="10" t="s">
        <v>700</v>
      </c>
      <c r="C653" s="10" t="s">
        <v>76</v>
      </c>
      <c r="D653" s="11">
        <v>2024</v>
      </c>
      <c r="E653" s="10" t="s">
        <v>81</v>
      </c>
      <c r="F653" s="10" t="s">
        <v>83</v>
      </c>
      <c r="G653" s="10" t="s">
        <v>84</v>
      </c>
      <c r="H653" s="11">
        <v>20514</v>
      </c>
      <c r="I653" s="11">
        <v>1344</v>
      </c>
      <c r="J653" s="11">
        <v>796</v>
      </c>
      <c r="K653" s="11">
        <v>20403</v>
      </c>
      <c r="L653" s="11">
        <v>6.5517297411481795E-2</v>
      </c>
      <c r="M653" s="11">
        <f t="shared" si="2"/>
        <v>6.5516232816613051</v>
      </c>
      <c r="N653" s="11">
        <v>0.59226190476190499</v>
      </c>
      <c r="O653" s="11">
        <v>0.99460522253456995</v>
      </c>
      <c r="P653" s="11">
        <v>0.576858108108108</v>
      </c>
      <c r="Q653" s="11">
        <v>0.214285714285714</v>
      </c>
      <c r="R653" s="11">
        <v>0.63565891472868197</v>
      </c>
      <c r="S653" s="10" t="s">
        <v>84</v>
      </c>
      <c r="T653" s="10" t="s">
        <v>84</v>
      </c>
      <c r="U653" s="10"/>
      <c r="V653" s="10"/>
      <c r="W653" s="10"/>
      <c r="X653" s="10"/>
      <c r="Y653" s="10"/>
      <c r="Z653" s="10"/>
      <c r="AA653" s="10"/>
    </row>
    <row r="654" spans="1:27" ht="12.5" x14ac:dyDescent="0.25">
      <c r="A654" s="10" t="s">
        <v>58</v>
      </c>
      <c r="B654" s="10" t="s">
        <v>702</v>
      </c>
      <c r="C654" s="10" t="s">
        <v>76</v>
      </c>
      <c r="D654" s="11">
        <v>2024</v>
      </c>
      <c r="E654" s="10" t="s">
        <v>81</v>
      </c>
      <c r="F654" s="10" t="s">
        <v>83</v>
      </c>
      <c r="G654" s="10" t="s">
        <v>84</v>
      </c>
      <c r="H654" s="11">
        <v>32951</v>
      </c>
      <c r="I654" s="11">
        <v>2157</v>
      </c>
      <c r="J654" s="11">
        <v>1801</v>
      </c>
      <c r="K654" s="11">
        <v>54520</v>
      </c>
      <c r="L654" s="11">
        <v>6.54600080421429E-2</v>
      </c>
      <c r="M654" s="11">
        <f t="shared" si="2"/>
        <v>6.5460835786470817</v>
      </c>
      <c r="N654" s="11">
        <v>0.83495595734816896</v>
      </c>
      <c r="O654" s="11">
        <v>1.65455708783386</v>
      </c>
      <c r="P654" s="11">
        <v>0.57601351351351304</v>
      </c>
      <c r="Q654" s="11">
        <v>0.29729729729729698</v>
      </c>
      <c r="R654" s="11">
        <v>0.63372093023255804</v>
      </c>
      <c r="S654" s="10" t="s">
        <v>84</v>
      </c>
      <c r="T654" s="10" t="s">
        <v>84</v>
      </c>
      <c r="U654" s="10"/>
      <c r="V654" s="10"/>
      <c r="W654" s="10"/>
      <c r="X654" s="10"/>
      <c r="Y654" s="10"/>
      <c r="Z654" s="10"/>
      <c r="AA654" s="10"/>
    </row>
    <row r="655" spans="1:27" ht="12.5" x14ac:dyDescent="0.25">
      <c r="A655" s="10" t="s">
        <v>86</v>
      </c>
      <c r="B655" s="10" t="s">
        <v>705</v>
      </c>
      <c r="C655" s="10" t="s">
        <v>76</v>
      </c>
      <c r="D655" s="11">
        <v>2024</v>
      </c>
      <c r="E655" s="10" t="s">
        <v>81</v>
      </c>
      <c r="F655" s="10" t="s">
        <v>83</v>
      </c>
      <c r="G655" s="10" t="s">
        <v>84</v>
      </c>
      <c r="H655" s="11">
        <v>26981</v>
      </c>
      <c r="I655" s="11">
        <v>1759</v>
      </c>
      <c r="J655" s="11">
        <v>1512</v>
      </c>
      <c r="K655" s="11">
        <v>24384</v>
      </c>
      <c r="L655" s="11">
        <v>6.5193421357424106E-2</v>
      </c>
      <c r="M655" s="11">
        <f t="shared" si="2"/>
        <v>6.519402542529928</v>
      </c>
      <c r="N655" s="11">
        <v>0.85957930642410496</v>
      </c>
      <c r="O655" s="11">
        <v>0.90373870743571905</v>
      </c>
      <c r="P655" s="11">
        <v>0.57516891891891897</v>
      </c>
      <c r="Q655" s="11">
        <v>0.39130434782608697</v>
      </c>
      <c r="R655" s="11">
        <v>0.63178294573643401</v>
      </c>
      <c r="S655" s="10" t="s">
        <v>84</v>
      </c>
      <c r="T655" s="10" t="s">
        <v>84</v>
      </c>
      <c r="U655" s="10"/>
      <c r="V655" s="10"/>
      <c r="W655" s="10"/>
      <c r="X655" s="10"/>
      <c r="Y655" s="10"/>
      <c r="Z655" s="10"/>
      <c r="AA655" s="10"/>
    </row>
    <row r="656" spans="1:27" ht="12.5" x14ac:dyDescent="0.25">
      <c r="A656" s="10" t="s">
        <v>103</v>
      </c>
      <c r="B656" s="10" t="s">
        <v>880</v>
      </c>
      <c r="C656" s="10" t="s">
        <v>76</v>
      </c>
      <c r="D656" s="11">
        <v>2024</v>
      </c>
      <c r="E656" s="10" t="s">
        <v>124</v>
      </c>
      <c r="F656" s="10" t="s">
        <v>83</v>
      </c>
      <c r="G656" s="10" t="s">
        <v>84</v>
      </c>
      <c r="H656" s="11">
        <v>108212</v>
      </c>
      <c r="I656" s="11">
        <v>7046</v>
      </c>
      <c r="J656" s="11">
        <v>6511</v>
      </c>
      <c r="K656" s="11">
        <v>100727</v>
      </c>
      <c r="L656" s="11">
        <v>6.5113227337205398E-2</v>
      </c>
      <c r="M656" s="11">
        <f t="shared" si="2"/>
        <v>6.5112926477654973</v>
      </c>
      <c r="N656" s="11">
        <v>0.92407039455009898</v>
      </c>
      <c r="O656" s="11">
        <v>0.93083452313293902</v>
      </c>
      <c r="P656" s="11">
        <v>0.57432432432432401</v>
      </c>
      <c r="Q656" s="11">
        <v>0.565217391304348</v>
      </c>
      <c r="R656" s="11">
        <v>0.43624161073825501</v>
      </c>
      <c r="S656" s="10" t="s">
        <v>84</v>
      </c>
      <c r="T656" s="10" t="s">
        <v>84</v>
      </c>
      <c r="U656" s="10"/>
      <c r="V656" s="10"/>
      <c r="W656" s="10"/>
      <c r="X656" s="10"/>
      <c r="Y656" s="10"/>
      <c r="Z656" s="10"/>
      <c r="AA656" s="10"/>
    </row>
    <row r="657" spans="1:27" ht="12.5" x14ac:dyDescent="0.25">
      <c r="A657" s="10" t="s">
        <v>34</v>
      </c>
      <c r="B657" s="10" t="s">
        <v>882</v>
      </c>
      <c r="C657" s="10" t="s">
        <v>76</v>
      </c>
      <c r="D657" s="11">
        <v>2024</v>
      </c>
      <c r="E657" s="10" t="s">
        <v>124</v>
      </c>
      <c r="F657" s="10" t="s">
        <v>83</v>
      </c>
      <c r="G657" s="10" t="s">
        <v>84</v>
      </c>
      <c r="H657" s="11">
        <v>18438</v>
      </c>
      <c r="I657" s="11">
        <v>1198</v>
      </c>
      <c r="J657" s="11">
        <v>1122</v>
      </c>
      <c r="K657" s="11">
        <v>7621</v>
      </c>
      <c r="L657" s="11">
        <v>6.4975683835626297E-2</v>
      </c>
      <c r="M657" s="11">
        <f t="shared" si="2"/>
        <v>6.4974509165853123</v>
      </c>
      <c r="N657" s="11">
        <v>0.93656093489148595</v>
      </c>
      <c r="O657" s="11">
        <v>0.413338636486902</v>
      </c>
      <c r="P657" s="11">
        <v>0.57347972972973005</v>
      </c>
      <c r="Q657" s="11">
        <v>0.87755102040816302</v>
      </c>
      <c r="R657" s="11">
        <v>0.43400447427293098</v>
      </c>
      <c r="S657" s="10" t="s">
        <v>84</v>
      </c>
      <c r="T657" s="10" t="s">
        <v>84</v>
      </c>
      <c r="U657" s="10"/>
      <c r="V657" s="10"/>
      <c r="W657" s="10"/>
      <c r="X657" s="10"/>
      <c r="Y657" s="10"/>
      <c r="Z657" s="10"/>
      <c r="AA657" s="10"/>
    </row>
    <row r="658" spans="1:27" ht="12.5" x14ac:dyDescent="0.25">
      <c r="A658" s="10" t="s">
        <v>34</v>
      </c>
      <c r="B658" s="10" t="s">
        <v>885</v>
      </c>
      <c r="C658" s="10" t="s">
        <v>76</v>
      </c>
      <c r="D658" s="11">
        <v>2024</v>
      </c>
      <c r="E658" s="10" t="s">
        <v>124</v>
      </c>
      <c r="F658" s="10" t="s">
        <v>83</v>
      </c>
      <c r="G658" s="10" t="s">
        <v>84</v>
      </c>
      <c r="H658" s="11">
        <v>8729</v>
      </c>
      <c r="I658" s="11">
        <v>567</v>
      </c>
      <c r="J658" s="11">
        <v>564</v>
      </c>
      <c r="K658" s="11">
        <v>4638</v>
      </c>
      <c r="L658" s="11">
        <v>6.4952793714738499E-2</v>
      </c>
      <c r="M658" s="11">
        <f t="shared" si="2"/>
        <v>6.4955894145950284</v>
      </c>
      <c r="N658" s="11">
        <v>0.99470899470899499</v>
      </c>
      <c r="O658" s="11">
        <v>0.53130697927505699</v>
      </c>
      <c r="P658" s="11">
        <v>0.57263513513513498</v>
      </c>
      <c r="Q658" s="11">
        <v>0.85714285714285698</v>
      </c>
      <c r="R658" s="11">
        <v>0.43176733780760601</v>
      </c>
      <c r="S658" s="10" t="s">
        <v>84</v>
      </c>
      <c r="T658" s="10" t="s">
        <v>84</v>
      </c>
      <c r="U658" s="10"/>
      <c r="V658" s="10"/>
      <c r="W658" s="10"/>
      <c r="X658" s="10"/>
      <c r="Y658" s="10"/>
      <c r="Z658" s="10"/>
      <c r="AA658" s="10"/>
    </row>
    <row r="659" spans="1:27" ht="12.5" hidden="1" x14ac:dyDescent="0.25">
      <c r="A659" s="10" t="s">
        <v>14</v>
      </c>
      <c r="B659" s="10" t="s">
        <v>1448</v>
      </c>
      <c r="C659" s="10" t="s">
        <v>191</v>
      </c>
      <c r="D659" s="11">
        <v>2024</v>
      </c>
      <c r="E659" s="10" t="s">
        <v>124</v>
      </c>
      <c r="F659" s="10" t="s">
        <v>125</v>
      </c>
      <c r="G659" s="10" t="s">
        <v>84</v>
      </c>
      <c r="H659" s="12">
        <v>616.16666666666697</v>
      </c>
      <c r="I659" s="11">
        <v>40</v>
      </c>
      <c r="J659" s="11">
        <v>22</v>
      </c>
      <c r="K659" s="11">
        <v>62</v>
      </c>
      <c r="L659" s="11">
        <v>6.4917500676223996E-2</v>
      </c>
      <c r="M659" s="11">
        <f t="shared" si="2"/>
        <v>6.4917500676223927</v>
      </c>
      <c r="N659" s="11">
        <v>0.55000000000000004</v>
      </c>
      <c r="O659" s="11">
        <v>0.10062212604814701</v>
      </c>
      <c r="P659" s="11">
        <v>0.72181372549019596</v>
      </c>
      <c r="Q659" s="11">
        <v>0.57446808510638303</v>
      </c>
      <c r="R659" s="11">
        <v>0.62790697674418605</v>
      </c>
      <c r="S659" s="10" t="s">
        <v>84</v>
      </c>
      <c r="T659" s="10" t="s">
        <v>84</v>
      </c>
      <c r="U659" s="10"/>
      <c r="V659" s="10"/>
      <c r="W659" s="10"/>
      <c r="X659" s="10"/>
      <c r="Y659" s="10"/>
      <c r="Z659" s="10"/>
      <c r="AA659" s="10"/>
    </row>
    <row r="660" spans="1:27" ht="12.5" x14ac:dyDescent="0.25">
      <c r="A660" s="10" t="s">
        <v>53</v>
      </c>
      <c r="B660" s="10" t="s">
        <v>887</v>
      </c>
      <c r="C660" s="10" t="s">
        <v>76</v>
      </c>
      <c r="D660" s="11">
        <v>2024</v>
      </c>
      <c r="E660" s="10" t="s">
        <v>124</v>
      </c>
      <c r="F660" s="10" t="s">
        <v>83</v>
      </c>
      <c r="G660" s="10" t="s">
        <v>84</v>
      </c>
      <c r="H660" s="11">
        <v>2805</v>
      </c>
      <c r="I660" s="11">
        <v>182</v>
      </c>
      <c r="J660" s="11">
        <v>167</v>
      </c>
      <c r="K660" s="11">
        <v>4672</v>
      </c>
      <c r="L660" s="11">
        <v>6.4878353087960097E-2</v>
      </c>
      <c r="M660" s="11">
        <f t="shared" si="2"/>
        <v>6.4884135472370765</v>
      </c>
      <c r="N660" s="11">
        <v>0.91758241758241799</v>
      </c>
      <c r="O660" s="11">
        <v>1.66544871223599</v>
      </c>
      <c r="P660" s="11">
        <v>0.57179054054054101</v>
      </c>
      <c r="Q660" s="11">
        <v>1</v>
      </c>
      <c r="R660" s="11">
        <v>0.42953020134228198</v>
      </c>
      <c r="S660" s="10" t="s">
        <v>84</v>
      </c>
      <c r="T660" s="10" t="s">
        <v>84</v>
      </c>
      <c r="U660" s="10"/>
      <c r="V660" s="10"/>
      <c r="W660" s="10"/>
      <c r="X660" s="10"/>
      <c r="Y660" s="10"/>
      <c r="Z660" s="10"/>
      <c r="AA660" s="10"/>
    </row>
    <row r="661" spans="1:27" ht="12.5" hidden="1" x14ac:dyDescent="0.25">
      <c r="A661" s="10" t="s">
        <v>36</v>
      </c>
      <c r="B661" s="10" t="s">
        <v>1449</v>
      </c>
      <c r="C661" s="10" t="s">
        <v>191</v>
      </c>
      <c r="D661" s="11">
        <v>2024</v>
      </c>
      <c r="E661" s="10" t="s">
        <v>124</v>
      </c>
      <c r="F661" s="10" t="s">
        <v>125</v>
      </c>
      <c r="G661" s="10" t="s">
        <v>84</v>
      </c>
      <c r="H661" s="12">
        <v>539.91666666666697</v>
      </c>
      <c r="I661" s="11">
        <v>35</v>
      </c>
      <c r="J661" s="11">
        <v>25</v>
      </c>
      <c r="K661" s="11">
        <v>151</v>
      </c>
      <c r="L661" s="11">
        <v>6.4824818644852594E-2</v>
      </c>
      <c r="M661" s="11">
        <f t="shared" si="2"/>
        <v>6.4824818644852567</v>
      </c>
      <c r="N661" s="11">
        <v>0.71428571428571397</v>
      </c>
      <c r="O661" s="11">
        <v>0.27967278901065001</v>
      </c>
      <c r="P661" s="11">
        <v>0.72058823529411797</v>
      </c>
      <c r="Q661" s="11">
        <v>0.45</v>
      </c>
      <c r="R661" s="11">
        <v>0.62596899224806202</v>
      </c>
      <c r="S661" s="10" t="s">
        <v>84</v>
      </c>
      <c r="T661" s="10" t="s">
        <v>84</v>
      </c>
      <c r="U661" s="10"/>
      <c r="V661" s="10"/>
      <c r="W661" s="10"/>
      <c r="X661" s="10"/>
      <c r="Y661" s="10"/>
      <c r="Z661" s="10"/>
      <c r="AA661" s="10"/>
    </row>
    <row r="662" spans="1:27" ht="12.5" x14ac:dyDescent="0.25">
      <c r="A662" s="10" t="s">
        <v>92</v>
      </c>
      <c r="B662" s="10" t="s">
        <v>890</v>
      </c>
      <c r="C662" s="10" t="s">
        <v>76</v>
      </c>
      <c r="D662" s="11">
        <v>2024</v>
      </c>
      <c r="E662" s="10" t="s">
        <v>124</v>
      </c>
      <c r="F662" s="10" t="s">
        <v>83</v>
      </c>
      <c r="G662" s="10" t="s">
        <v>84</v>
      </c>
      <c r="H662" s="11">
        <v>22537</v>
      </c>
      <c r="I662" s="11">
        <v>1456</v>
      </c>
      <c r="J662" s="11">
        <v>1456</v>
      </c>
      <c r="K662" s="11">
        <v>3766</v>
      </c>
      <c r="L662" s="11">
        <v>6.4604155342821296E-2</v>
      </c>
      <c r="M662" s="11">
        <f t="shared" si="2"/>
        <v>6.4604871988285932</v>
      </c>
      <c r="N662" s="11">
        <v>1</v>
      </c>
      <c r="O662" s="11">
        <v>0.167101132569413</v>
      </c>
      <c r="P662" s="11">
        <v>0.57094594594594605</v>
      </c>
      <c r="Q662" s="11">
        <v>0.88888888888888895</v>
      </c>
      <c r="R662" s="11">
        <v>0.42729306487695801</v>
      </c>
      <c r="S662" s="10" t="s">
        <v>84</v>
      </c>
      <c r="T662" s="10" t="s">
        <v>84</v>
      </c>
      <c r="U662" s="10"/>
      <c r="V662" s="10"/>
      <c r="W662" s="10"/>
      <c r="X662" s="10"/>
      <c r="Y662" s="10"/>
      <c r="Z662" s="10"/>
      <c r="AA662" s="10"/>
    </row>
    <row r="663" spans="1:27" ht="12.5" x14ac:dyDescent="0.25">
      <c r="A663" s="10" t="s">
        <v>77</v>
      </c>
      <c r="B663" s="10" t="s">
        <v>893</v>
      </c>
      <c r="C663" s="10" t="s">
        <v>76</v>
      </c>
      <c r="D663" s="11">
        <v>2024</v>
      </c>
      <c r="E663" s="10" t="s">
        <v>124</v>
      </c>
      <c r="F663" s="10" t="s">
        <v>83</v>
      </c>
      <c r="G663" s="10" t="s">
        <v>84</v>
      </c>
      <c r="H663" s="11">
        <v>9985</v>
      </c>
      <c r="I663" s="11">
        <v>641</v>
      </c>
      <c r="J663" s="11">
        <v>637</v>
      </c>
      <c r="K663" s="11">
        <v>6133</v>
      </c>
      <c r="L663" s="11">
        <v>6.4199509239320995E-2</v>
      </c>
      <c r="M663" s="11">
        <f t="shared" si="2"/>
        <v>6.41962944416625</v>
      </c>
      <c r="N663" s="11">
        <v>0.99375975039001596</v>
      </c>
      <c r="O663" s="11">
        <v>0.61425209074064802</v>
      </c>
      <c r="P663" s="11">
        <v>0.57010135135135098</v>
      </c>
      <c r="Q663" s="11">
        <v>0.78571428571428603</v>
      </c>
      <c r="R663" s="11">
        <v>0.42505592841163298</v>
      </c>
      <c r="S663" s="10" t="s">
        <v>84</v>
      </c>
      <c r="T663" s="10" t="s">
        <v>84</v>
      </c>
      <c r="U663" s="10"/>
      <c r="V663" s="10"/>
      <c r="W663" s="10"/>
      <c r="X663" s="10"/>
      <c r="Y663" s="10"/>
      <c r="Z663" s="10"/>
      <c r="AA663" s="10"/>
    </row>
    <row r="664" spans="1:27" ht="12.5" hidden="1" x14ac:dyDescent="0.25">
      <c r="A664" s="10" t="s">
        <v>58</v>
      </c>
      <c r="B664" s="10" t="s">
        <v>1450</v>
      </c>
      <c r="C664" s="10" t="s">
        <v>191</v>
      </c>
      <c r="D664" s="11">
        <v>2024</v>
      </c>
      <c r="E664" s="10" t="s">
        <v>124</v>
      </c>
      <c r="F664" s="10" t="s">
        <v>125</v>
      </c>
      <c r="G664" s="10" t="s">
        <v>84</v>
      </c>
      <c r="H664" s="12">
        <v>3162</v>
      </c>
      <c r="I664" s="11">
        <v>202</v>
      </c>
      <c r="J664" s="11">
        <v>97</v>
      </c>
      <c r="K664" s="11">
        <v>8509</v>
      </c>
      <c r="L664" s="11">
        <v>6.3892037217638795E-2</v>
      </c>
      <c r="M664" s="11">
        <f t="shared" si="2"/>
        <v>6.3883617963314361</v>
      </c>
      <c r="N664" s="11">
        <v>0.48019801980198001</v>
      </c>
      <c r="O664" s="11">
        <v>2.6913729934895501</v>
      </c>
      <c r="P664" s="11">
        <v>0.71936274509803899</v>
      </c>
      <c r="Q664" s="11">
        <v>0.50943396226415105</v>
      </c>
      <c r="R664" s="11">
        <v>0.62403100775193798</v>
      </c>
      <c r="S664" s="10" t="s">
        <v>84</v>
      </c>
      <c r="T664" s="10" t="s">
        <v>84</v>
      </c>
      <c r="U664" s="10"/>
      <c r="V664" s="10"/>
      <c r="W664" s="10"/>
      <c r="X664" s="10"/>
      <c r="Y664" s="10"/>
      <c r="Z664" s="10"/>
      <c r="AA664" s="10"/>
    </row>
    <row r="665" spans="1:27" ht="12.5" x14ac:dyDescent="0.25">
      <c r="A665" s="10" t="s">
        <v>49</v>
      </c>
      <c r="B665" s="10" t="s">
        <v>895</v>
      </c>
      <c r="C665" s="10" t="s">
        <v>76</v>
      </c>
      <c r="D665" s="11">
        <v>2024</v>
      </c>
      <c r="E665" s="10" t="s">
        <v>124</v>
      </c>
      <c r="F665" s="10" t="s">
        <v>83</v>
      </c>
      <c r="G665" s="10" t="s">
        <v>84</v>
      </c>
      <c r="H665" s="11">
        <v>13231</v>
      </c>
      <c r="I665" s="11">
        <v>841</v>
      </c>
      <c r="J665" s="11">
        <v>716</v>
      </c>
      <c r="K665" s="11">
        <v>9093</v>
      </c>
      <c r="L665" s="11">
        <v>6.3563645524973206E-2</v>
      </c>
      <c r="M665" s="11">
        <f t="shared" si="2"/>
        <v>6.3562844834101728</v>
      </c>
      <c r="N665" s="11">
        <v>0.85136741973840702</v>
      </c>
      <c r="O665" s="11">
        <v>0.68725829816716</v>
      </c>
      <c r="P665" s="11">
        <v>0.56925675675675702</v>
      </c>
      <c r="Q665" s="11">
        <v>0.69230769230769196</v>
      </c>
      <c r="R665" s="11">
        <v>0.422818791946309</v>
      </c>
      <c r="S665" s="10" t="s">
        <v>84</v>
      </c>
      <c r="T665" s="10" t="s">
        <v>84</v>
      </c>
      <c r="U665" s="10"/>
      <c r="V665" s="10"/>
      <c r="W665" s="10"/>
      <c r="X665" s="10"/>
      <c r="Y665" s="10"/>
      <c r="Z665" s="10"/>
      <c r="AA665" s="10"/>
    </row>
    <row r="666" spans="1:27" ht="12.5" hidden="1" x14ac:dyDescent="0.25">
      <c r="A666" s="10" t="s">
        <v>19</v>
      </c>
      <c r="B666" s="10" t="s">
        <v>1452</v>
      </c>
      <c r="C666" s="10" t="s">
        <v>191</v>
      </c>
      <c r="D666" s="11">
        <v>2024</v>
      </c>
      <c r="E666" s="10" t="s">
        <v>257</v>
      </c>
      <c r="F666" s="10" t="s">
        <v>125</v>
      </c>
      <c r="G666" s="10" t="s">
        <v>84</v>
      </c>
      <c r="H666" s="12">
        <v>2816</v>
      </c>
      <c r="I666" s="11">
        <v>178</v>
      </c>
      <c r="J666" s="11">
        <v>118</v>
      </c>
      <c r="K666" s="11">
        <v>2595</v>
      </c>
      <c r="L666" s="11">
        <v>6.3204616067465594E-2</v>
      </c>
      <c r="M666" s="11">
        <f t="shared" si="2"/>
        <v>6.3210227272727275</v>
      </c>
      <c r="N666" s="11">
        <v>0.66292134831460703</v>
      </c>
      <c r="O666" s="11">
        <v>0.92143808255659099</v>
      </c>
      <c r="P666" s="11">
        <v>0.71813725490196101</v>
      </c>
      <c r="Q666" s="11">
        <v>0.27272727272727298</v>
      </c>
      <c r="R666" s="11">
        <v>0.77777777777777801</v>
      </c>
      <c r="S666" s="10" t="s">
        <v>84</v>
      </c>
      <c r="T666" s="10" t="s">
        <v>84</v>
      </c>
      <c r="U666" s="10"/>
      <c r="V666" s="10"/>
      <c r="W666" s="10"/>
      <c r="X666" s="10"/>
      <c r="Y666" s="10"/>
      <c r="Z666" s="10"/>
      <c r="AA666" s="10"/>
    </row>
    <row r="667" spans="1:27" ht="12.5" x14ac:dyDescent="0.25">
      <c r="A667" s="10" t="s">
        <v>12</v>
      </c>
      <c r="B667" s="10" t="s">
        <v>897</v>
      </c>
      <c r="C667" s="10" t="s">
        <v>76</v>
      </c>
      <c r="D667" s="11">
        <v>2024</v>
      </c>
      <c r="E667" s="10" t="s">
        <v>124</v>
      </c>
      <c r="F667" s="10" t="s">
        <v>83</v>
      </c>
      <c r="G667" s="10" t="s">
        <v>84</v>
      </c>
      <c r="H667" s="11">
        <v>503869</v>
      </c>
      <c r="I667" s="11">
        <v>31835</v>
      </c>
      <c r="J667" s="11">
        <v>25132</v>
      </c>
      <c r="K667" s="11">
        <v>117367</v>
      </c>
      <c r="L667" s="11">
        <v>6.3181052365915605E-2</v>
      </c>
      <c r="M667" s="11">
        <f t="shared" si="2"/>
        <v>6.318110461250841</v>
      </c>
      <c r="N667" s="11">
        <v>0.78944557876551003</v>
      </c>
      <c r="O667" s="11">
        <v>0.23293138285002099</v>
      </c>
      <c r="P667" s="11">
        <v>0.56841216216216195</v>
      </c>
      <c r="Q667" s="11">
        <v>0.375</v>
      </c>
      <c r="R667" s="11">
        <v>0.42058165548098397</v>
      </c>
      <c r="S667" s="10" t="s">
        <v>84</v>
      </c>
      <c r="T667" s="10" t="s">
        <v>84</v>
      </c>
      <c r="U667" s="10"/>
      <c r="V667" s="10"/>
      <c r="W667" s="10"/>
      <c r="X667" s="10"/>
      <c r="Y667" s="10"/>
      <c r="Z667" s="10"/>
      <c r="AA667" s="10"/>
    </row>
    <row r="668" spans="1:27" ht="12.5" x14ac:dyDescent="0.25">
      <c r="A668" s="10" t="s">
        <v>16</v>
      </c>
      <c r="B668" s="10" t="s">
        <v>706</v>
      </c>
      <c r="C668" s="10" t="s">
        <v>76</v>
      </c>
      <c r="D668" s="11">
        <v>2024</v>
      </c>
      <c r="E668" s="10" t="s">
        <v>81</v>
      </c>
      <c r="F668" s="10" t="s">
        <v>83</v>
      </c>
      <c r="G668" s="10" t="s">
        <v>84</v>
      </c>
      <c r="H668" s="11">
        <v>255749</v>
      </c>
      <c r="I668" s="11">
        <v>16120</v>
      </c>
      <c r="J668" s="11">
        <v>14027</v>
      </c>
      <c r="K668" s="11">
        <v>244197</v>
      </c>
      <c r="L668" s="11">
        <v>6.3030611097806E-2</v>
      </c>
      <c r="M668" s="11">
        <f t="shared" si="2"/>
        <v>6.3030549484064462</v>
      </c>
      <c r="N668" s="11">
        <v>0.87016129032258105</v>
      </c>
      <c r="O668" s="11">
        <v>0.95483164629348105</v>
      </c>
      <c r="P668" s="11">
        <v>0.56756756756756799</v>
      </c>
      <c r="Q668" s="11">
        <v>0.266666666666667</v>
      </c>
      <c r="R668" s="11">
        <v>0.62984496124030998</v>
      </c>
      <c r="S668" s="10" t="s">
        <v>84</v>
      </c>
      <c r="T668" s="10" t="s">
        <v>84</v>
      </c>
      <c r="U668" s="10"/>
      <c r="V668" s="10"/>
      <c r="W668" s="10"/>
      <c r="X668" s="10"/>
      <c r="Y668" s="10"/>
      <c r="Z668" s="10"/>
      <c r="AA668" s="10"/>
    </row>
    <row r="669" spans="1:27" ht="12.5" x14ac:dyDescent="0.25">
      <c r="A669" s="10" t="s">
        <v>103</v>
      </c>
      <c r="B669" s="10" t="s">
        <v>899</v>
      </c>
      <c r="C669" s="10" t="s">
        <v>76</v>
      </c>
      <c r="D669" s="11">
        <v>2024</v>
      </c>
      <c r="E669" s="10" t="s">
        <v>124</v>
      </c>
      <c r="F669" s="10" t="s">
        <v>83</v>
      </c>
      <c r="G669" s="10" t="s">
        <v>84</v>
      </c>
      <c r="H669" s="11">
        <v>33617</v>
      </c>
      <c r="I669" s="11">
        <v>2112</v>
      </c>
      <c r="J669" s="11">
        <v>1480</v>
      </c>
      <c r="K669" s="11">
        <v>25125</v>
      </c>
      <c r="L669" s="11">
        <v>6.2826290660836198E-2</v>
      </c>
      <c r="M669" s="11">
        <f t="shared" si="2"/>
        <v>6.2825356218579893</v>
      </c>
      <c r="N669" s="11">
        <v>0.70075757575757602</v>
      </c>
      <c r="O669" s="11">
        <v>0.74740082994957802</v>
      </c>
      <c r="P669" s="11">
        <v>0.56672297297297303</v>
      </c>
      <c r="Q669" s="11">
        <v>0.52173913043478304</v>
      </c>
      <c r="R669" s="11">
        <v>0.41834451901566</v>
      </c>
      <c r="S669" s="10" t="s">
        <v>84</v>
      </c>
      <c r="T669" s="10" t="s">
        <v>84</v>
      </c>
      <c r="U669" s="10"/>
      <c r="V669" s="10"/>
      <c r="W669" s="10"/>
      <c r="X669" s="10"/>
      <c r="Y669" s="10"/>
      <c r="Z669" s="10"/>
      <c r="AA669" s="10"/>
    </row>
    <row r="670" spans="1:27" ht="12.5" x14ac:dyDescent="0.25">
      <c r="A670" s="10" t="s">
        <v>42</v>
      </c>
      <c r="B670" s="10" t="s">
        <v>708</v>
      </c>
      <c r="C670" s="10" t="s">
        <v>76</v>
      </c>
      <c r="D670" s="11">
        <v>2024</v>
      </c>
      <c r="E670" s="10" t="s">
        <v>81</v>
      </c>
      <c r="F670" s="10" t="s">
        <v>83</v>
      </c>
      <c r="G670" s="10" t="s">
        <v>84</v>
      </c>
      <c r="H670" s="11">
        <v>8071</v>
      </c>
      <c r="I670" s="11">
        <v>504</v>
      </c>
      <c r="J670" s="11">
        <v>363</v>
      </c>
      <c r="K670" s="11">
        <v>3878</v>
      </c>
      <c r="L670" s="11">
        <v>6.2446438343434801E-2</v>
      </c>
      <c r="M670" s="11">
        <f t="shared" si="2"/>
        <v>6.2445793581960105</v>
      </c>
      <c r="N670" s="11">
        <v>0.72023809523809501</v>
      </c>
      <c r="O670" s="11">
        <v>0.48049065058698398</v>
      </c>
      <c r="P670" s="11">
        <v>0.56587837837837796</v>
      </c>
      <c r="Q670" s="11">
        <v>0.52380952380952395</v>
      </c>
      <c r="R670" s="11">
        <v>0.62790697674418605</v>
      </c>
      <c r="S670" s="10" t="s">
        <v>84</v>
      </c>
      <c r="T670" s="10" t="s">
        <v>84</v>
      </c>
      <c r="U670" s="10"/>
      <c r="V670" s="10"/>
      <c r="W670" s="10"/>
      <c r="X670" s="10"/>
      <c r="Y670" s="10"/>
      <c r="Z670" s="10"/>
      <c r="AA670" s="10"/>
    </row>
    <row r="671" spans="1:27" ht="12.5" hidden="1" x14ac:dyDescent="0.25">
      <c r="A671" s="10" t="s">
        <v>55</v>
      </c>
      <c r="B671" s="10" t="s">
        <v>1453</v>
      </c>
      <c r="C671" s="10" t="s">
        <v>191</v>
      </c>
      <c r="D671" s="11">
        <v>2024</v>
      </c>
      <c r="E671" s="10" t="s">
        <v>124</v>
      </c>
      <c r="F671" s="10" t="s">
        <v>125</v>
      </c>
      <c r="G671" s="10" t="s">
        <v>84</v>
      </c>
      <c r="H671" s="12">
        <v>144.25</v>
      </c>
      <c r="I671" s="11">
        <v>9</v>
      </c>
      <c r="J671" s="11">
        <v>1</v>
      </c>
      <c r="K671" s="11">
        <v>9</v>
      </c>
      <c r="L671" s="11">
        <v>6.2391681109185401E-2</v>
      </c>
      <c r="M671" s="11">
        <f t="shared" si="2"/>
        <v>6.239168110918544</v>
      </c>
      <c r="N671" s="11">
        <v>0.11111111111111099</v>
      </c>
      <c r="O671" s="11">
        <v>6.2391681109185401E-2</v>
      </c>
      <c r="P671" s="11">
        <v>0.71691176470588203</v>
      </c>
      <c r="Q671" s="11">
        <v>0.77777777777777801</v>
      </c>
      <c r="R671" s="11">
        <v>0.62209302325581395</v>
      </c>
      <c r="S671" s="10" t="s">
        <v>84</v>
      </c>
      <c r="T671" s="10" t="s">
        <v>84</v>
      </c>
      <c r="U671" s="10"/>
      <c r="V671" s="10"/>
      <c r="W671" s="10"/>
      <c r="X671" s="10"/>
      <c r="Y671" s="10"/>
      <c r="Z671" s="10"/>
      <c r="AA671" s="10"/>
    </row>
    <row r="672" spans="1:27" ht="12.5" x14ac:dyDescent="0.25">
      <c r="A672" s="10" t="s">
        <v>29</v>
      </c>
      <c r="B672" s="10" t="s">
        <v>901</v>
      </c>
      <c r="C672" s="10" t="s">
        <v>76</v>
      </c>
      <c r="D672" s="11">
        <v>2024</v>
      </c>
      <c r="E672" s="10" t="s">
        <v>124</v>
      </c>
      <c r="F672" s="10" t="s">
        <v>83</v>
      </c>
      <c r="G672" s="10" t="s">
        <v>84</v>
      </c>
      <c r="H672" s="11">
        <v>10604</v>
      </c>
      <c r="I672" s="11">
        <v>660</v>
      </c>
      <c r="J672" s="11">
        <v>608</v>
      </c>
      <c r="K672" s="11">
        <v>7734</v>
      </c>
      <c r="L672" s="11">
        <v>6.2242131321466498E-2</v>
      </c>
      <c r="M672" s="11">
        <f t="shared" si="2"/>
        <v>6.2240663900414939</v>
      </c>
      <c r="N672" s="11">
        <v>0.92121212121212104</v>
      </c>
      <c r="O672" s="11">
        <v>0.729364611576093</v>
      </c>
      <c r="P672" s="11">
        <v>0.56418918918918903</v>
      </c>
      <c r="Q672" s="11">
        <v>0.30612244897959201</v>
      </c>
      <c r="R672" s="11">
        <v>0.41610738255033602</v>
      </c>
      <c r="S672" s="10" t="s">
        <v>84</v>
      </c>
      <c r="T672" s="10" t="s">
        <v>84</v>
      </c>
      <c r="U672" s="10"/>
      <c r="V672" s="10"/>
      <c r="W672" s="10"/>
      <c r="X672" s="10"/>
      <c r="Y672" s="10"/>
      <c r="Z672" s="10"/>
      <c r="AA672" s="10"/>
    </row>
    <row r="673" spans="1:27" ht="12.5" x14ac:dyDescent="0.25">
      <c r="A673" s="10" t="s">
        <v>118</v>
      </c>
      <c r="B673" s="10" t="s">
        <v>905</v>
      </c>
      <c r="C673" s="10" t="s">
        <v>76</v>
      </c>
      <c r="D673" s="11">
        <v>2024</v>
      </c>
      <c r="E673" s="10" t="s">
        <v>124</v>
      </c>
      <c r="F673" s="10" t="s">
        <v>83</v>
      </c>
      <c r="G673" s="10" t="s">
        <v>84</v>
      </c>
      <c r="H673" s="11">
        <v>11828</v>
      </c>
      <c r="I673" s="11">
        <v>736</v>
      </c>
      <c r="J673" s="11">
        <v>675</v>
      </c>
      <c r="K673" s="11">
        <v>9480</v>
      </c>
      <c r="L673" s="11">
        <v>6.2223036331997099E-2</v>
      </c>
      <c r="M673" s="11">
        <f t="shared" si="2"/>
        <v>6.2225228271897191</v>
      </c>
      <c r="N673" s="11">
        <v>0.91711956521739102</v>
      </c>
      <c r="O673" s="11">
        <v>0.80145976145018005</v>
      </c>
      <c r="P673" s="11">
        <v>0.56334459459459496</v>
      </c>
      <c r="Q673" s="11">
        <v>0.71428571428571397</v>
      </c>
      <c r="R673" s="11">
        <v>0.413870246085011</v>
      </c>
      <c r="S673" s="10" t="s">
        <v>84</v>
      </c>
      <c r="T673" s="10" t="s">
        <v>84</v>
      </c>
      <c r="U673" s="10"/>
      <c r="V673" s="10"/>
      <c r="W673" s="10"/>
      <c r="X673" s="10"/>
      <c r="Y673" s="10"/>
      <c r="Z673" s="10"/>
      <c r="AA673" s="10"/>
    </row>
    <row r="674" spans="1:27" ht="12.5" x14ac:dyDescent="0.25">
      <c r="A674" s="10" t="s">
        <v>104</v>
      </c>
      <c r="B674" s="10" t="s">
        <v>710</v>
      </c>
      <c r="C674" s="10" t="s">
        <v>76</v>
      </c>
      <c r="D674" s="11">
        <v>2024</v>
      </c>
      <c r="E674" s="10" t="s">
        <v>81</v>
      </c>
      <c r="F674" s="10" t="s">
        <v>83</v>
      </c>
      <c r="G674" s="10" t="s">
        <v>84</v>
      </c>
      <c r="H674" s="11">
        <v>17277</v>
      </c>
      <c r="I674" s="11">
        <v>1071</v>
      </c>
      <c r="J674" s="11">
        <v>1062</v>
      </c>
      <c r="K674" s="11">
        <v>1729</v>
      </c>
      <c r="L674" s="11">
        <v>6.1989629808272002E-2</v>
      </c>
      <c r="M674" s="11">
        <f t="shared" si="2"/>
        <v>6.1989928807084569</v>
      </c>
      <c r="N674" s="11">
        <v>0.99159663865546199</v>
      </c>
      <c r="O674" s="11">
        <v>0.100074761847341</v>
      </c>
      <c r="P674" s="11">
        <v>0.5625</v>
      </c>
      <c r="Q674" s="11">
        <v>0.62068965517241403</v>
      </c>
      <c r="R674" s="11">
        <v>0.62596899224806202</v>
      </c>
      <c r="S674" s="10" t="s">
        <v>84</v>
      </c>
      <c r="T674" s="10" t="s">
        <v>84</v>
      </c>
      <c r="U674" s="10"/>
      <c r="V674" s="10"/>
      <c r="W674" s="10"/>
      <c r="X674" s="10"/>
      <c r="Y674" s="10"/>
      <c r="Z674" s="10"/>
      <c r="AA674" s="10"/>
    </row>
    <row r="675" spans="1:27" ht="12.5" x14ac:dyDescent="0.25">
      <c r="A675" s="10" t="s">
        <v>86</v>
      </c>
      <c r="B675" s="10" t="s">
        <v>712</v>
      </c>
      <c r="C675" s="10" t="s">
        <v>76</v>
      </c>
      <c r="D675" s="11">
        <v>2024</v>
      </c>
      <c r="E675" s="10" t="s">
        <v>81</v>
      </c>
      <c r="F675" s="10" t="s">
        <v>83</v>
      </c>
      <c r="G675" s="10" t="s">
        <v>84</v>
      </c>
      <c r="H675" s="11">
        <v>25596</v>
      </c>
      <c r="I675" s="11">
        <v>1579</v>
      </c>
      <c r="J675" s="11">
        <v>1359</v>
      </c>
      <c r="K675" s="11">
        <v>9667</v>
      </c>
      <c r="L675" s="11">
        <v>6.1689326457258997E-2</v>
      </c>
      <c r="M675" s="11">
        <f t="shared" si="2"/>
        <v>6.1689326457258948</v>
      </c>
      <c r="N675" s="11">
        <v>0.86067131095630101</v>
      </c>
      <c r="O675" s="11">
        <v>0.37767619940615699</v>
      </c>
      <c r="P675" s="11">
        <v>0.56165540540540504</v>
      </c>
      <c r="Q675" s="11">
        <v>0.36956521739130399</v>
      </c>
      <c r="R675" s="11">
        <v>0.62403100775193798</v>
      </c>
      <c r="S675" s="10" t="s">
        <v>84</v>
      </c>
      <c r="T675" s="10" t="s">
        <v>84</v>
      </c>
      <c r="U675" s="10"/>
      <c r="V675" s="10"/>
      <c r="W675" s="10"/>
      <c r="X675" s="10"/>
      <c r="Y675" s="10"/>
      <c r="Z675" s="10"/>
      <c r="AA675" s="10"/>
    </row>
    <row r="676" spans="1:27" ht="12.5" x14ac:dyDescent="0.25">
      <c r="A676" s="10" t="s">
        <v>12</v>
      </c>
      <c r="B676" s="10" t="s">
        <v>713</v>
      </c>
      <c r="C676" s="10" t="s">
        <v>76</v>
      </c>
      <c r="D676" s="11">
        <v>2024</v>
      </c>
      <c r="E676" s="10" t="s">
        <v>81</v>
      </c>
      <c r="F676" s="10" t="s">
        <v>83</v>
      </c>
      <c r="G676" s="10" t="s">
        <v>84</v>
      </c>
      <c r="H676" s="11">
        <v>15653</v>
      </c>
      <c r="I676" s="11">
        <v>962</v>
      </c>
      <c r="J676" s="11">
        <v>865</v>
      </c>
      <c r="K676" s="11">
        <v>24321</v>
      </c>
      <c r="L676" s="11">
        <v>6.1459830697971597E-2</v>
      </c>
      <c r="M676" s="11">
        <f t="shared" si="2"/>
        <v>6.1457867501437429</v>
      </c>
      <c r="N676" s="11">
        <v>0.89916839916839897</v>
      </c>
      <c r="O676" s="11">
        <v>1.5538092956396701</v>
      </c>
      <c r="P676" s="11">
        <v>0.56081081081081097</v>
      </c>
      <c r="Q676" s="11">
        <v>0.36111111111111099</v>
      </c>
      <c r="R676" s="11">
        <v>0.62209302325581395</v>
      </c>
      <c r="S676" s="10" t="s">
        <v>84</v>
      </c>
      <c r="T676" s="10" t="s">
        <v>84</v>
      </c>
      <c r="U676" s="10"/>
      <c r="V676" s="10"/>
      <c r="W676" s="10"/>
      <c r="X676" s="10"/>
      <c r="Y676" s="10"/>
      <c r="Z676" s="10"/>
      <c r="AA676" s="10"/>
    </row>
    <row r="677" spans="1:27" ht="12.5" x14ac:dyDescent="0.25">
      <c r="A677" s="10" t="s">
        <v>103</v>
      </c>
      <c r="B677" s="10" t="s">
        <v>907</v>
      </c>
      <c r="C677" s="10" t="s">
        <v>76</v>
      </c>
      <c r="D677" s="11">
        <v>2024</v>
      </c>
      <c r="E677" s="10" t="s">
        <v>124</v>
      </c>
      <c r="F677" s="10" t="s">
        <v>83</v>
      </c>
      <c r="G677" s="10" t="s">
        <v>84</v>
      </c>
      <c r="H677" s="11">
        <v>58556</v>
      </c>
      <c r="I677" s="11">
        <v>3596</v>
      </c>
      <c r="J677" s="11">
        <v>2616</v>
      </c>
      <c r="K677" s="11">
        <v>44052</v>
      </c>
      <c r="L677" s="11">
        <v>6.1411298585968999E-2</v>
      </c>
      <c r="M677" s="11">
        <f t="shared" si="2"/>
        <v>6.1411298585968987</v>
      </c>
      <c r="N677" s="11">
        <v>0.72747497219132395</v>
      </c>
      <c r="O677" s="11">
        <v>0.75230548534735997</v>
      </c>
      <c r="P677" s="11">
        <v>0.55996621621621601</v>
      </c>
      <c r="Q677" s="11">
        <v>0.47826086956521702</v>
      </c>
      <c r="R677" s="11">
        <v>0.41163310961968702</v>
      </c>
      <c r="S677" s="10" t="s">
        <v>84</v>
      </c>
      <c r="T677" s="10" t="s">
        <v>84</v>
      </c>
      <c r="U677" s="10"/>
      <c r="V677" s="10"/>
      <c r="W677" s="10"/>
      <c r="X677" s="10"/>
      <c r="Y677" s="10"/>
      <c r="Z677" s="10"/>
      <c r="AA677" s="10"/>
    </row>
    <row r="678" spans="1:27" ht="12.5" hidden="1" x14ac:dyDescent="0.25">
      <c r="A678" s="10" t="s">
        <v>29</v>
      </c>
      <c r="B678" s="10" t="s">
        <v>1454</v>
      </c>
      <c r="C678" s="10" t="s">
        <v>191</v>
      </c>
      <c r="D678" s="11">
        <v>2024</v>
      </c>
      <c r="E678" s="10" t="s">
        <v>124</v>
      </c>
      <c r="F678" s="10" t="s">
        <v>125</v>
      </c>
      <c r="G678" s="10" t="s">
        <v>84</v>
      </c>
      <c r="H678" s="12">
        <v>4257</v>
      </c>
      <c r="I678" s="11">
        <v>261</v>
      </c>
      <c r="J678" s="11">
        <v>192</v>
      </c>
      <c r="K678" s="11">
        <v>2563</v>
      </c>
      <c r="L678" s="11">
        <v>6.1315583398590397E-2</v>
      </c>
      <c r="M678" s="11">
        <f t="shared" si="2"/>
        <v>6.1310782241014801</v>
      </c>
      <c r="N678" s="11">
        <v>0.73563218390804597</v>
      </c>
      <c r="O678" s="11">
        <v>0.60211433046202001</v>
      </c>
      <c r="P678" s="11">
        <v>0.71323529411764697</v>
      </c>
      <c r="Q678" s="11">
        <v>0.63380281690140805</v>
      </c>
      <c r="R678" s="11">
        <v>0.62015503875969002</v>
      </c>
      <c r="S678" s="10" t="s">
        <v>84</v>
      </c>
      <c r="T678" s="10" t="s">
        <v>84</v>
      </c>
      <c r="U678" s="10"/>
      <c r="V678" s="10"/>
      <c r="W678" s="10"/>
      <c r="X678" s="10"/>
      <c r="Y678" s="10"/>
      <c r="Z678" s="10"/>
      <c r="AA678" s="10"/>
    </row>
    <row r="679" spans="1:27" ht="12.5" hidden="1" x14ac:dyDescent="0.25">
      <c r="A679" s="10" t="s">
        <v>52</v>
      </c>
      <c r="B679" s="10" t="s">
        <v>1455</v>
      </c>
      <c r="C679" s="10" t="s">
        <v>191</v>
      </c>
      <c r="D679" s="11">
        <v>2024</v>
      </c>
      <c r="E679" s="10" t="s">
        <v>124</v>
      </c>
      <c r="F679" s="10" t="s">
        <v>125</v>
      </c>
      <c r="G679" s="10" t="s">
        <v>84</v>
      </c>
      <c r="H679" s="12">
        <v>246.25</v>
      </c>
      <c r="I679" s="11">
        <v>15</v>
      </c>
      <c r="J679" s="11">
        <v>14</v>
      </c>
      <c r="K679" s="11">
        <v>789</v>
      </c>
      <c r="L679" s="11">
        <v>6.0913705583756299E-2</v>
      </c>
      <c r="M679" s="11">
        <f t="shared" si="2"/>
        <v>6.091370558375635</v>
      </c>
      <c r="N679" s="11">
        <v>0.93333333333333302</v>
      </c>
      <c r="O679" s="11">
        <v>3.2040609137055802</v>
      </c>
      <c r="P679" s="11">
        <v>0.71200980392156898</v>
      </c>
      <c r="Q679" s="11">
        <v>0.71428571428571397</v>
      </c>
      <c r="R679" s="11">
        <v>0.61821705426356599</v>
      </c>
      <c r="S679" s="10" t="s">
        <v>84</v>
      </c>
      <c r="T679" s="10" t="s">
        <v>84</v>
      </c>
      <c r="U679" s="10"/>
      <c r="V679" s="10"/>
      <c r="W679" s="10"/>
      <c r="X679" s="10"/>
      <c r="Y679" s="10"/>
      <c r="Z679" s="10"/>
      <c r="AA679" s="10"/>
    </row>
    <row r="680" spans="1:27" ht="12.5" x14ac:dyDescent="0.25">
      <c r="A680" s="10" t="s">
        <v>82</v>
      </c>
      <c r="B680" s="10" t="s">
        <v>909</v>
      </c>
      <c r="C680" s="10" t="s">
        <v>76</v>
      </c>
      <c r="D680" s="11">
        <v>2024</v>
      </c>
      <c r="E680" s="10" t="s">
        <v>124</v>
      </c>
      <c r="F680" s="10" t="s">
        <v>83</v>
      </c>
      <c r="G680" s="10" t="s">
        <v>84</v>
      </c>
      <c r="H680" s="11">
        <v>4359</v>
      </c>
      <c r="I680" s="11">
        <v>265</v>
      </c>
      <c r="J680" s="11">
        <v>264</v>
      </c>
      <c r="K680" s="11">
        <v>2125</v>
      </c>
      <c r="L680" s="11">
        <v>6.0792597832113E-2</v>
      </c>
      <c r="M680" s="11">
        <f t="shared" si="2"/>
        <v>6.0793760036705669</v>
      </c>
      <c r="N680" s="11">
        <v>0.99622641509433996</v>
      </c>
      <c r="O680" s="11">
        <v>0.48748781280468001</v>
      </c>
      <c r="P680" s="11">
        <v>0.55912162162162204</v>
      </c>
      <c r="Q680" s="11">
        <v>0.87931034482758597</v>
      </c>
      <c r="R680" s="11">
        <v>0.40939597315436199</v>
      </c>
      <c r="S680" s="10" t="s">
        <v>84</v>
      </c>
      <c r="T680" s="10" t="s">
        <v>84</v>
      </c>
      <c r="U680" s="10"/>
      <c r="V680" s="10"/>
      <c r="W680" s="10"/>
      <c r="X680" s="10"/>
      <c r="Y680" s="10"/>
      <c r="Z680" s="10"/>
      <c r="AA680" s="10"/>
    </row>
    <row r="681" spans="1:27" ht="12.5" x14ac:dyDescent="0.25">
      <c r="A681" s="10" t="s">
        <v>91</v>
      </c>
      <c r="B681" s="10" t="s">
        <v>715</v>
      </c>
      <c r="C681" s="10" t="s">
        <v>76</v>
      </c>
      <c r="D681" s="11">
        <v>2024</v>
      </c>
      <c r="E681" s="10" t="s">
        <v>81</v>
      </c>
      <c r="F681" s="10" t="s">
        <v>83</v>
      </c>
      <c r="G681" s="10" t="s">
        <v>84</v>
      </c>
      <c r="H681" s="11">
        <v>7830</v>
      </c>
      <c r="I681" s="11">
        <v>474</v>
      </c>
      <c r="J681" s="11">
        <v>368</v>
      </c>
      <c r="K681" s="11">
        <v>5652</v>
      </c>
      <c r="L681" s="11">
        <v>6.0534465693943398E-2</v>
      </c>
      <c r="M681" s="11">
        <f t="shared" si="2"/>
        <v>6.0536398467432955</v>
      </c>
      <c r="N681" s="11">
        <v>0.77637130801687804</v>
      </c>
      <c r="O681" s="11">
        <v>0.72181603397081795</v>
      </c>
      <c r="P681" s="11">
        <v>0.55827702702702697</v>
      </c>
      <c r="Q681" s="11">
        <v>0.8</v>
      </c>
      <c r="R681" s="11">
        <v>0.62015503875969002</v>
      </c>
      <c r="S681" s="10" t="s">
        <v>84</v>
      </c>
      <c r="T681" s="10" t="s">
        <v>84</v>
      </c>
      <c r="U681" s="10"/>
      <c r="V681" s="10"/>
      <c r="W681" s="10"/>
      <c r="X681" s="10"/>
      <c r="Y681" s="10"/>
      <c r="Z681" s="10"/>
      <c r="AA681" s="10"/>
    </row>
    <row r="682" spans="1:27" ht="12.5" x14ac:dyDescent="0.25">
      <c r="A682" s="10" t="s">
        <v>29</v>
      </c>
      <c r="B682" s="10" t="s">
        <v>911</v>
      </c>
      <c r="C682" s="10" t="s">
        <v>76</v>
      </c>
      <c r="D682" s="11">
        <v>2024</v>
      </c>
      <c r="E682" s="10" t="s">
        <v>124</v>
      </c>
      <c r="F682" s="10" t="s">
        <v>83</v>
      </c>
      <c r="G682" s="10" t="s">
        <v>84</v>
      </c>
      <c r="H682" s="11">
        <v>12527</v>
      </c>
      <c r="I682" s="11">
        <v>755</v>
      </c>
      <c r="J682" s="11">
        <v>578</v>
      </c>
      <c r="K682" s="11">
        <v>13828</v>
      </c>
      <c r="L682" s="11">
        <v>6.0268213506465898E-2</v>
      </c>
      <c r="M682" s="11">
        <f t="shared" si="2"/>
        <v>6.0269817194859101</v>
      </c>
      <c r="N682" s="11">
        <v>0.76556291390728504</v>
      </c>
      <c r="O682" s="11">
        <v>1.10382629982438</v>
      </c>
      <c r="P682" s="11">
        <v>0.55743243243243201</v>
      </c>
      <c r="Q682" s="11">
        <v>0.28571428571428598</v>
      </c>
      <c r="R682" s="11">
        <v>0.40715883668903802</v>
      </c>
      <c r="S682" s="10" t="s">
        <v>84</v>
      </c>
      <c r="T682" s="10" t="s">
        <v>84</v>
      </c>
      <c r="U682" s="10"/>
      <c r="V682" s="10"/>
      <c r="W682" s="10"/>
      <c r="X682" s="10"/>
      <c r="Y682" s="10"/>
      <c r="Z682" s="10"/>
      <c r="AA682" s="10"/>
    </row>
    <row r="683" spans="1:27" ht="12.5" x14ac:dyDescent="0.25">
      <c r="A683" s="10" t="s">
        <v>86</v>
      </c>
      <c r="B683" s="10" t="s">
        <v>1365</v>
      </c>
      <c r="C683" s="10" t="s">
        <v>76</v>
      </c>
      <c r="D683" s="11">
        <v>2024</v>
      </c>
      <c r="E683" s="10" t="s">
        <v>0</v>
      </c>
      <c r="F683" s="10" t="s">
        <v>83</v>
      </c>
      <c r="G683" s="10" t="s">
        <v>84</v>
      </c>
      <c r="H683" s="11">
        <v>7458</v>
      </c>
      <c r="I683" s="11">
        <v>449</v>
      </c>
      <c r="J683" s="11">
        <v>447</v>
      </c>
      <c r="K683" s="11">
        <v>1541</v>
      </c>
      <c r="L683" s="11">
        <v>6.0207171670894302E-2</v>
      </c>
      <c r="M683" s="11">
        <f t="shared" si="2"/>
        <v>6.0203807991418614</v>
      </c>
      <c r="N683" s="11">
        <v>0.99554565701558995</v>
      </c>
      <c r="O683" s="11">
        <v>0.20663530410879299</v>
      </c>
      <c r="P683" s="11">
        <v>0.55658783783783805</v>
      </c>
      <c r="Q683" s="11">
        <v>0.34782608695652201</v>
      </c>
      <c r="R683" s="11">
        <v>1</v>
      </c>
      <c r="S683" s="10" t="s">
        <v>84</v>
      </c>
      <c r="T683" s="10" t="s">
        <v>84</v>
      </c>
      <c r="U683" s="10"/>
      <c r="V683" s="10"/>
      <c r="W683" s="10"/>
      <c r="X683" s="10"/>
      <c r="Y683" s="10"/>
      <c r="Z683" s="10"/>
      <c r="AA683" s="10"/>
    </row>
    <row r="684" spans="1:27" ht="12.5" hidden="1" x14ac:dyDescent="0.25">
      <c r="A684" s="10" t="s">
        <v>32</v>
      </c>
      <c r="B684" s="10" t="s">
        <v>436</v>
      </c>
      <c r="C684" s="10" t="s">
        <v>191</v>
      </c>
      <c r="D684" s="11">
        <v>2024</v>
      </c>
      <c r="E684" s="10" t="s">
        <v>124</v>
      </c>
      <c r="F684" s="10" t="s">
        <v>83</v>
      </c>
      <c r="G684" s="10" t="s">
        <v>84</v>
      </c>
      <c r="H684" s="12">
        <v>28501</v>
      </c>
      <c r="I684" s="11">
        <v>1709</v>
      </c>
      <c r="J684" s="11">
        <v>1464</v>
      </c>
      <c r="K684" s="11">
        <v>4678</v>
      </c>
      <c r="L684" s="11">
        <v>5.9962808322515E-2</v>
      </c>
      <c r="M684" s="11">
        <f t="shared" si="2"/>
        <v>5.9962808322515002</v>
      </c>
      <c r="N684" s="11">
        <v>0.85664131070801597</v>
      </c>
      <c r="O684" s="11">
        <v>0.16413459176871001</v>
      </c>
      <c r="P684" s="11">
        <v>0.71078431372549</v>
      </c>
      <c r="Q684" s="11">
        <v>0.64285714285714302</v>
      </c>
      <c r="R684" s="11">
        <v>0.61627906976744196</v>
      </c>
      <c r="S684" s="10" t="s">
        <v>84</v>
      </c>
      <c r="T684" s="10" t="s">
        <v>84</v>
      </c>
      <c r="U684" s="10"/>
      <c r="V684" s="10"/>
      <c r="W684" s="10"/>
      <c r="X684" s="10"/>
      <c r="Y684" s="10"/>
      <c r="Z684" s="10"/>
      <c r="AA684" s="10"/>
    </row>
    <row r="685" spans="1:27" ht="12.5" hidden="1" x14ac:dyDescent="0.25">
      <c r="A685" s="10" t="s">
        <v>29</v>
      </c>
      <c r="B685" s="10" t="s">
        <v>1456</v>
      </c>
      <c r="C685" s="10" t="s">
        <v>191</v>
      </c>
      <c r="D685" s="11">
        <v>2024</v>
      </c>
      <c r="E685" s="10" t="s">
        <v>124</v>
      </c>
      <c r="F685" s="10" t="s">
        <v>125</v>
      </c>
      <c r="G685" s="10" t="s">
        <v>84</v>
      </c>
      <c r="H685" s="12">
        <v>2617</v>
      </c>
      <c r="I685" s="11">
        <v>156</v>
      </c>
      <c r="J685" s="11">
        <v>81</v>
      </c>
      <c r="K685" s="11">
        <v>0</v>
      </c>
      <c r="L685" s="11">
        <v>5.9602649006622502E-2</v>
      </c>
      <c r="M685" s="11">
        <f t="shared" si="2"/>
        <v>5.9610240733664499</v>
      </c>
      <c r="N685" s="11">
        <v>0.51923076923076905</v>
      </c>
      <c r="O685" s="11">
        <v>0</v>
      </c>
      <c r="P685" s="11">
        <v>0.70833333333333304</v>
      </c>
      <c r="Q685" s="11">
        <v>0.61971830985915499</v>
      </c>
      <c r="R685" s="11">
        <v>0.61434108527131803</v>
      </c>
      <c r="S685" s="10" t="s">
        <v>84</v>
      </c>
      <c r="T685" s="10" t="s">
        <v>84</v>
      </c>
      <c r="U685" s="10"/>
      <c r="V685" s="10"/>
      <c r="W685" s="10"/>
      <c r="X685" s="10"/>
      <c r="Y685" s="10"/>
      <c r="Z685" s="10"/>
      <c r="AA685" s="10"/>
    </row>
    <row r="686" spans="1:27" ht="12.5" x14ac:dyDescent="0.25">
      <c r="A686" s="10" t="s">
        <v>26</v>
      </c>
      <c r="B686" s="10" t="s">
        <v>717</v>
      </c>
      <c r="C686" s="10" t="s">
        <v>76</v>
      </c>
      <c r="D686" s="11">
        <v>2024</v>
      </c>
      <c r="E686" s="10" t="s">
        <v>81</v>
      </c>
      <c r="F686" s="10" t="s">
        <v>83</v>
      </c>
      <c r="G686" s="10" t="s">
        <v>84</v>
      </c>
      <c r="H686" s="11">
        <v>105972</v>
      </c>
      <c r="I686" s="11">
        <v>6313</v>
      </c>
      <c r="J686" s="11">
        <v>5027</v>
      </c>
      <c r="K686" s="11">
        <v>136575</v>
      </c>
      <c r="L686" s="11">
        <v>5.95723867093719E-2</v>
      </c>
      <c r="M686" s="11">
        <f t="shared" si="2"/>
        <v>5.9572339863360133</v>
      </c>
      <c r="N686" s="11">
        <v>0.79629336290194797</v>
      </c>
      <c r="O686" s="11">
        <v>1.2887848431541999</v>
      </c>
      <c r="P686" s="11">
        <v>0.55574324324324298</v>
      </c>
      <c r="Q686" s="11">
        <v>0.19230769230769201</v>
      </c>
      <c r="R686" s="11">
        <v>0.61821705426356599</v>
      </c>
      <c r="S686" s="10" t="s">
        <v>84</v>
      </c>
      <c r="T686" s="10" t="s">
        <v>84</v>
      </c>
      <c r="U686" s="10"/>
      <c r="V686" s="10"/>
      <c r="W686" s="10"/>
      <c r="X686" s="10"/>
      <c r="Y686" s="10"/>
      <c r="Z686" s="10"/>
      <c r="AA686" s="10"/>
    </row>
    <row r="687" spans="1:27" ht="12.5" hidden="1" x14ac:dyDescent="0.25">
      <c r="A687" s="10" t="s">
        <v>13</v>
      </c>
      <c r="B687" s="10" t="s">
        <v>1457</v>
      </c>
      <c r="C687" s="10" t="s">
        <v>191</v>
      </c>
      <c r="D687" s="11">
        <v>2024</v>
      </c>
      <c r="E687" s="10" t="s">
        <v>124</v>
      </c>
      <c r="F687" s="10" t="s">
        <v>125</v>
      </c>
      <c r="G687" s="10" t="s">
        <v>84</v>
      </c>
      <c r="H687" s="12">
        <v>2677</v>
      </c>
      <c r="I687" s="11">
        <v>159</v>
      </c>
      <c r="J687" s="11">
        <v>119</v>
      </c>
      <c r="K687" s="11">
        <v>40</v>
      </c>
      <c r="L687" s="11">
        <v>5.9387450199203197E-2</v>
      </c>
      <c r="M687" s="11">
        <f t="shared" si="2"/>
        <v>5.9394844975719092</v>
      </c>
      <c r="N687" s="11">
        <v>0.74842767295597501</v>
      </c>
      <c r="O687" s="11">
        <v>1.49402390438247E-2</v>
      </c>
      <c r="P687" s="11">
        <v>0.70710784313725505</v>
      </c>
      <c r="Q687" s="11">
        <v>0.44827586206896602</v>
      </c>
      <c r="R687" s="11">
        <v>0.612403100775194</v>
      </c>
      <c r="S687" s="10" t="s">
        <v>84</v>
      </c>
      <c r="T687" s="10" t="s">
        <v>84</v>
      </c>
      <c r="U687" s="10"/>
      <c r="V687" s="10"/>
      <c r="W687" s="10"/>
      <c r="X687" s="10"/>
      <c r="Y687" s="10"/>
      <c r="Z687" s="10"/>
      <c r="AA687" s="10"/>
    </row>
    <row r="688" spans="1:27" ht="12.5" hidden="1" x14ac:dyDescent="0.25">
      <c r="A688" s="10" t="s">
        <v>58</v>
      </c>
      <c r="B688" s="10" t="s">
        <v>1458</v>
      </c>
      <c r="C688" s="10" t="s">
        <v>191</v>
      </c>
      <c r="D688" s="11">
        <v>2024</v>
      </c>
      <c r="E688" s="10" t="s">
        <v>124</v>
      </c>
      <c r="F688" s="10" t="s">
        <v>125</v>
      </c>
      <c r="G688" s="10" t="s">
        <v>84</v>
      </c>
      <c r="H688" s="12">
        <v>1886</v>
      </c>
      <c r="I688" s="11">
        <v>112</v>
      </c>
      <c r="J688" s="11">
        <v>96</v>
      </c>
      <c r="K688" s="11">
        <v>5747</v>
      </c>
      <c r="L688" s="11">
        <v>5.9384941675503698E-2</v>
      </c>
      <c r="M688" s="11">
        <f t="shared" si="2"/>
        <v>5.9384941675503713</v>
      </c>
      <c r="N688" s="11">
        <v>0.85714285714285698</v>
      </c>
      <c r="O688" s="11">
        <v>3.0471898197242799</v>
      </c>
      <c r="P688" s="11">
        <v>0.70588235294117696</v>
      </c>
      <c r="Q688" s="11">
        <v>0.490566037735849</v>
      </c>
      <c r="R688" s="11">
        <v>0.61046511627906996</v>
      </c>
      <c r="S688" s="10" t="s">
        <v>84</v>
      </c>
      <c r="T688" s="10" t="s">
        <v>84</v>
      </c>
      <c r="U688" s="10"/>
      <c r="V688" s="10"/>
      <c r="W688" s="10"/>
      <c r="X688" s="10"/>
      <c r="Y688" s="10"/>
      <c r="Z688" s="10"/>
      <c r="AA688" s="10"/>
    </row>
    <row r="689" spans="1:27" ht="12.5" x14ac:dyDescent="0.25">
      <c r="A689" s="10" t="s">
        <v>29</v>
      </c>
      <c r="B689" s="10" t="s">
        <v>913</v>
      </c>
      <c r="C689" s="10" t="s">
        <v>76</v>
      </c>
      <c r="D689" s="11">
        <v>2024</v>
      </c>
      <c r="E689" s="10" t="s">
        <v>124</v>
      </c>
      <c r="F689" s="10" t="s">
        <v>83</v>
      </c>
      <c r="G689" s="10" t="s">
        <v>84</v>
      </c>
      <c r="H689" s="11">
        <v>189110</v>
      </c>
      <c r="I689" s="11">
        <v>11198</v>
      </c>
      <c r="J689" s="11">
        <v>9082</v>
      </c>
      <c r="K689" s="11">
        <v>68441</v>
      </c>
      <c r="L689" s="11">
        <v>5.92141878561913E-2</v>
      </c>
      <c r="M689" s="11">
        <f t="shared" si="2"/>
        <v>5.9214213949553169</v>
      </c>
      <c r="N689" s="11">
        <v>0.811037685300947</v>
      </c>
      <c r="O689" s="11">
        <v>0.36191089757685202</v>
      </c>
      <c r="P689" s="11">
        <v>0.55489864864864902</v>
      </c>
      <c r="Q689" s="11">
        <v>0.26530612244898</v>
      </c>
      <c r="R689" s="11">
        <v>0.40492170022371399</v>
      </c>
      <c r="S689" s="10" t="s">
        <v>84</v>
      </c>
      <c r="T689" s="10" t="s">
        <v>84</v>
      </c>
      <c r="U689" s="10"/>
      <c r="V689" s="10"/>
      <c r="W689" s="10"/>
      <c r="X689" s="10"/>
      <c r="Y689" s="10"/>
      <c r="Z689" s="10"/>
      <c r="AA689" s="10"/>
    </row>
    <row r="690" spans="1:27" ht="12.5" x14ac:dyDescent="0.25">
      <c r="A690" s="10" t="s">
        <v>82</v>
      </c>
      <c r="B690" s="10" t="s">
        <v>916</v>
      </c>
      <c r="C690" s="10" t="s">
        <v>76</v>
      </c>
      <c r="D690" s="11">
        <v>2024</v>
      </c>
      <c r="E690" s="10" t="s">
        <v>124</v>
      </c>
      <c r="F690" s="10" t="s">
        <v>83</v>
      </c>
      <c r="G690" s="10" t="s">
        <v>84</v>
      </c>
      <c r="H690" s="11">
        <v>4932</v>
      </c>
      <c r="I690" s="11">
        <v>291</v>
      </c>
      <c r="J690" s="11">
        <v>286</v>
      </c>
      <c r="K690" s="11">
        <v>9380</v>
      </c>
      <c r="L690" s="11">
        <v>5.89994424451315E-2</v>
      </c>
      <c r="M690" s="11">
        <f t="shared" si="2"/>
        <v>5.9002433090024331</v>
      </c>
      <c r="N690" s="11">
        <v>0.98281786941580795</v>
      </c>
      <c r="O690" s="11">
        <v>1.90176896953723</v>
      </c>
      <c r="P690" s="11">
        <v>0.55405405405405395</v>
      </c>
      <c r="Q690" s="11">
        <v>0.86206896551724099</v>
      </c>
      <c r="R690" s="11">
        <v>0.40268456375838901</v>
      </c>
      <c r="S690" s="10" t="s">
        <v>84</v>
      </c>
      <c r="T690" s="10" t="s">
        <v>84</v>
      </c>
      <c r="U690" s="10"/>
      <c r="V690" s="10"/>
      <c r="W690" s="10"/>
      <c r="X690" s="10"/>
      <c r="Y690" s="10"/>
      <c r="Z690" s="10"/>
      <c r="AA690" s="10"/>
    </row>
    <row r="691" spans="1:27" ht="12.5" hidden="1" x14ac:dyDescent="0.25">
      <c r="A691" s="10" t="s">
        <v>55</v>
      </c>
      <c r="B691" s="10" t="s">
        <v>1459</v>
      </c>
      <c r="C691" s="10" t="s">
        <v>191</v>
      </c>
      <c r="D691" s="11">
        <v>2024</v>
      </c>
      <c r="E691" s="10" t="s">
        <v>124</v>
      </c>
      <c r="F691" s="10" t="s">
        <v>125</v>
      </c>
      <c r="G691" s="10" t="s">
        <v>84</v>
      </c>
      <c r="H691" s="12">
        <v>271.25</v>
      </c>
      <c r="I691" s="11">
        <v>16</v>
      </c>
      <c r="J691" s="11">
        <v>12</v>
      </c>
      <c r="K691" s="11">
        <v>309</v>
      </c>
      <c r="L691" s="11">
        <v>5.8986175115207401E-2</v>
      </c>
      <c r="M691" s="11">
        <f t="shared" si="2"/>
        <v>5.8986175115207375</v>
      </c>
      <c r="N691" s="11">
        <v>0.75</v>
      </c>
      <c r="O691" s="11">
        <v>1.13917050691244</v>
      </c>
      <c r="P691" s="11">
        <v>0.70343137254902</v>
      </c>
      <c r="Q691" s="11">
        <v>0.74074074074074103</v>
      </c>
      <c r="R691" s="11">
        <v>0.60852713178294604</v>
      </c>
      <c r="S691" s="10" t="s">
        <v>84</v>
      </c>
      <c r="T691" s="10" t="s">
        <v>84</v>
      </c>
      <c r="U691" s="10"/>
      <c r="V691" s="10"/>
      <c r="W691" s="10"/>
      <c r="X691" s="10"/>
      <c r="Y691" s="10"/>
      <c r="Z691" s="10"/>
      <c r="AA691" s="10"/>
    </row>
    <row r="692" spans="1:27" ht="12.5" x14ac:dyDescent="0.25">
      <c r="A692" s="10" t="s">
        <v>29</v>
      </c>
      <c r="B692" s="10" t="s">
        <v>918</v>
      </c>
      <c r="C692" s="10" t="s">
        <v>76</v>
      </c>
      <c r="D692" s="11">
        <v>2024</v>
      </c>
      <c r="E692" s="10" t="s">
        <v>124</v>
      </c>
      <c r="F692" s="10" t="s">
        <v>83</v>
      </c>
      <c r="G692" s="10" t="s">
        <v>84</v>
      </c>
      <c r="H692" s="11">
        <v>9792</v>
      </c>
      <c r="I692" s="11">
        <v>574</v>
      </c>
      <c r="J692" s="11">
        <v>668</v>
      </c>
      <c r="K692" s="11">
        <v>13806</v>
      </c>
      <c r="L692" s="11">
        <v>5.8620777695509003E-2</v>
      </c>
      <c r="M692" s="11">
        <f t="shared" si="2"/>
        <v>5.8619281045751634</v>
      </c>
      <c r="N692" s="11">
        <v>1.1637630662020899</v>
      </c>
      <c r="O692" s="11">
        <v>1.40996246840452</v>
      </c>
      <c r="P692" s="11">
        <v>0.55320945945945899</v>
      </c>
      <c r="Q692" s="11">
        <v>0.24489795918367299</v>
      </c>
      <c r="R692" s="11">
        <v>0.40044742729306498</v>
      </c>
      <c r="S692" s="10" t="s">
        <v>84</v>
      </c>
      <c r="T692" s="10" t="s">
        <v>84</v>
      </c>
      <c r="U692" s="10"/>
      <c r="V692" s="10"/>
      <c r="W692" s="10"/>
      <c r="X692" s="10"/>
      <c r="Y692" s="10"/>
      <c r="Z692" s="10"/>
      <c r="AA692" s="10"/>
    </row>
    <row r="693" spans="1:27" ht="12.5" x14ac:dyDescent="0.25">
      <c r="A693" s="10" t="s">
        <v>32</v>
      </c>
      <c r="B693" s="10" t="s">
        <v>719</v>
      </c>
      <c r="C693" s="10" t="s">
        <v>76</v>
      </c>
      <c r="D693" s="11">
        <v>2024</v>
      </c>
      <c r="E693" s="10" t="s">
        <v>81</v>
      </c>
      <c r="F693" s="10" t="s">
        <v>83</v>
      </c>
      <c r="G693" s="10" t="s">
        <v>84</v>
      </c>
      <c r="H693" s="11">
        <v>58099</v>
      </c>
      <c r="I693" s="11">
        <v>3405</v>
      </c>
      <c r="J693" s="11">
        <v>2920</v>
      </c>
      <c r="K693" s="11">
        <v>95067</v>
      </c>
      <c r="L693" s="11">
        <v>5.8606524458112E-2</v>
      </c>
      <c r="M693" s="11">
        <f t="shared" si="2"/>
        <v>5.8606860703282333</v>
      </c>
      <c r="N693" s="11">
        <v>0.85756240822320096</v>
      </c>
      <c r="O693" s="11">
        <v>1.6362838357296099</v>
      </c>
      <c r="P693" s="11">
        <v>0.55236486486486502</v>
      </c>
      <c r="Q693" s="11">
        <v>0.37931034482758602</v>
      </c>
      <c r="R693" s="11">
        <v>0.61627906976744196</v>
      </c>
      <c r="S693" s="10" t="s">
        <v>84</v>
      </c>
      <c r="T693" s="10" t="s">
        <v>84</v>
      </c>
      <c r="U693" s="10"/>
      <c r="V693" s="10"/>
      <c r="W693" s="10"/>
      <c r="X693" s="10"/>
      <c r="Y693" s="10"/>
      <c r="Z693" s="10"/>
      <c r="AA693" s="10"/>
    </row>
    <row r="694" spans="1:27" ht="12.5" x14ac:dyDescent="0.25">
      <c r="A694" s="10" t="s">
        <v>36</v>
      </c>
      <c r="B694" s="10" t="s">
        <v>720</v>
      </c>
      <c r="C694" s="10" t="s">
        <v>76</v>
      </c>
      <c r="D694" s="11">
        <v>2024</v>
      </c>
      <c r="E694" s="10" t="s">
        <v>81</v>
      </c>
      <c r="F694" s="10" t="s">
        <v>83</v>
      </c>
      <c r="G694" s="10" t="s">
        <v>84</v>
      </c>
      <c r="H694" s="11">
        <v>18919</v>
      </c>
      <c r="I694" s="11">
        <v>1107</v>
      </c>
      <c r="J694" s="11">
        <v>940</v>
      </c>
      <c r="K694" s="11">
        <v>36799</v>
      </c>
      <c r="L694" s="11">
        <v>5.8513637324688103E-2</v>
      </c>
      <c r="M694" s="11">
        <f t="shared" si="2"/>
        <v>5.8512606374544109</v>
      </c>
      <c r="N694" s="11">
        <v>0.84914182475158095</v>
      </c>
      <c r="O694" s="11">
        <v>1.94511593487913</v>
      </c>
      <c r="P694" s="11">
        <v>0.55067567567567599</v>
      </c>
      <c r="Q694" s="11">
        <v>0.319148936170213</v>
      </c>
      <c r="R694" s="11">
        <v>0.61434108527131803</v>
      </c>
      <c r="S694" s="10" t="s">
        <v>84</v>
      </c>
      <c r="T694" s="10" t="s">
        <v>84</v>
      </c>
      <c r="U694" s="10"/>
      <c r="V694" s="10"/>
      <c r="W694" s="10"/>
      <c r="X694" s="10"/>
      <c r="Y694" s="10"/>
      <c r="Z694" s="10"/>
      <c r="AA694" s="10"/>
    </row>
    <row r="695" spans="1:27" ht="12.5" x14ac:dyDescent="0.25">
      <c r="A695" s="10" t="s">
        <v>98</v>
      </c>
      <c r="B695" s="10" t="s">
        <v>722</v>
      </c>
      <c r="C695" s="10" t="s">
        <v>76</v>
      </c>
      <c r="D695" s="11">
        <v>2024</v>
      </c>
      <c r="E695" s="10" t="s">
        <v>81</v>
      </c>
      <c r="F695" s="10" t="s">
        <v>83</v>
      </c>
      <c r="G695" s="10" t="s">
        <v>84</v>
      </c>
      <c r="H695" s="11">
        <v>50558</v>
      </c>
      <c r="I695" s="11">
        <v>2958</v>
      </c>
      <c r="J695" s="11">
        <v>2629</v>
      </c>
      <c r="K695" s="11">
        <v>15332</v>
      </c>
      <c r="L695" s="11">
        <v>5.8506964761652E-2</v>
      </c>
      <c r="M695" s="11">
        <f t="shared" si="2"/>
        <v>5.8507061197041024</v>
      </c>
      <c r="N695" s="11">
        <v>0.88877620013522696</v>
      </c>
      <c r="O695" s="11">
        <v>0.30325516691198401</v>
      </c>
      <c r="P695" s="11">
        <v>0.54983108108108103</v>
      </c>
      <c r="Q695" s="11">
        <v>0.85714285714285698</v>
      </c>
      <c r="R695" s="11">
        <v>0.612403100775194</v>
      </c>
      <c r="S695" s="10" t="s">
        <v>84</v>
      </c>
      <c r="T695" s="10" t="s">
        <v>84</v>
      </c>
      <c r="U695" s="10"/>
      <c r="V695" s="10"/>
      <c r="W695" s="10"/>
      <c r="X695" s="10"/>
      <c r="Y695" s="10"/>
      <c r="Z695" s="10"/>
      <c r="AA695" s="10"/>
    </row>
    <row r="696" spans="1:27" ht="12.5" x14ac:dyDescent="0.25">
      <c r="A696" s="10" t="s">
        <v>86</v>
      </c>
      <c r="B696" s="10" t="s">
        <v>724</v>
      </c>
      <c r="C696" s="10" t="s">
        <v>76</v>
      </c>
      <c r="D696" s="11">
        <v>2024</v>
      </c>
      <c r="E696" s="10" t="s">
        <v>81</v>
      </c>
      <c r="F696" s="10" t="s">
        <v>83</v>
      </c>
      <c r="G696" s="10" t="s">
        <v>84</v>
      </c>
      <c r="H696" s="11">
        <v>114831</v>
      </c>
      <c r="I696" s="11">
        <v>6709</v>
      </c>
      <c r="J696" s="11">
        <v>3027</v>
      </c>
      <c r="K696" s="11">
        <v>75813</v>
      </c>
      <c r="L696" s="11">
        <v>5.8424989767571503E-2</v>
      </c>
      <c r="M696" s="11">
        <f t="shared" si="2"/>
        <v>5.8424989767571471</v>
      </c>
      <c r="N696" s="11">
        <v>0.45118497540617097</v>
      </c>
      <c r="O696" s="11">
        <v>0.66021370535830903</v>
      </c>
      <c r="P696" s="11">
        <v>0.54898648648648696</v>
      </c>
      <c r="Q696" s="11">
        <v>0.32608695652173902</v>
      </c>
      <c r="R696" s="11">
        <v>0.61046511627906996</v>
      </c>
      <c r="S696" s="10" t="s">
        <v>84</v>
      </c>
      <c r="T696" s="10" t="s">
        <v>84</v>
      </c>
      <c r="U696" s="10"/>
      <c r="V696" s="10"/>
      <c r="W696" s="10"/>
      <c r="X696" s="10"/>
      <c r="Y696" s="10"/>
      <c r="Z696" s="10"/>
      <c r="AA696" s="10"/>
    </row>
    <row r="697" spans="1:27" ht="12.5" x14ac:dyDescent="0.25">
      <c r="A697" s="10" t="s">
        <v>14</v>
      </c>
      <c r="B697" s="10" t="s">
        <v>726</v>
      </c>
      <c r="C697" s="10" t="s">
        <v>76</v>
      </c>
      <c r="D697" s="11">
        <v>2024</v>
      </c>
      <c r="E697" s="10" t="s">
        <v>81</v>
      </c>
      <c r="F697" s="10" t="s">
        <v>83</v>
      </c>
      <c r="G697" s="10" t="s">
        <v>84</v>
      </c>
      <c r="H697" s="11">
        <v>20448</v>
      </c>
      <c r="I697" s="11">
        <v>1194</v>
      </c>
      <c r="J697" s="11">
        <v>801</v>
      </c>
      <c r="K697" s="11">
        <v>5107</v>
      </c>
      <c r="L697" s="11">
        <v>5.83927326967515E-2</v>
      </c>
      <c r="M697" s="11">
        <f t="shared" si="2"/>
        <v>5.8392018779342729</v>
      </c>
      <c r="N697" s="11">
        <v>0.67085427135678399</v>
      </c>
      <c r="O697" s="11">
        <v>0.24975853088970701</v>
      </c>
      <c r="P697" s="11">
        <v>0.548141891891892</v>
      </c>
      <c r="Q697" s="11">
        <v>0.17857142857142899</v>
      </c>
      <c r="R697" s="11">
        <v>0.60852713178294604</v>
      </c>
      <c r="S697" s="10" t="s">
        <v>84</v>
      </c>
      <c r="T697" s="10" t="s">
        <v>84</v>
      </c>
      <c r="U697" s="10"/>
      <c r="V697" s="10"/>
      <c r="W697" s="10"/>
      <c r="X697" s="10"/>
      <c r="Y697" s="10"/>
      <c r="Z697" s="10"/>
      <c r="AA697" s="10"/>
    </row>
    <row r="698" spans="1:27" ht="12.5" x14ac:dyDescent="0.25">
      <c r="A698" s="10" t="s">
        <v>118</v>
      </c>
      <c r="B698" s="10" t="s">
        <v>469</v>
      </c>
      <c r="C698" s="10" t="s">
        <v>76</v>
      </c>
      <c r="D698" s="11">
        <v>2024</v>
      </c>
      <c r="E698" s="10" t="s">
        <v>81</v>
      </c>
      <c r="F698" s="10" t="s">
        <v>83</v>
      </c>
      <c r="G698" s="10" t="s">
        <v>84</v>
      </c>
      <c r="H698" s="11">
        <v>378</v>
      </c>
      <c r="I698" s="11">
        <v>22</v>
      </c>
      <c r="J698" s="11">
        <v>20</v>
      </c>
      <c r="K698" s="11">
        <v>355</v>
      </c>
      <c r="L698" s="11">
        <v>5.82781456953642E-2</v>
      </c>
      <c r="M698" s="11">
        <f t="shared" si="2"/>
        <v>5.8201058201058196</v>
      </c>
      <c r="N698" s="11">
        <v>0.90909090909090895</v>
      </c>
      <c r="O698" s="11">
        <v>0.94039735099337796</v>
      </c>
      <c r="P698" s="11">
        <v>0.54729729729729704</v>
      </c>
      <c r="Q698" s="11">
        <v>0.64285714285714302</v>
      </c>
      <c r="R698" s="11">
        <v>0.60658914728682201</v>
      </c>
      <c r="S698" s="10" t="s">
        <v>84</v>
      </c>
      <c r="T698" s="10" t="s">
        <v>84</v>
      </c>
      <c r="U698" s="10"/>
      <c r="V698" s="10"/>
      <c r="W698" s="10"/>
      <c r="X698" s="10"/>
      <c r="Y698" s="10"/>
      <c r="Z698" s="10"/>
      <c r="AA698" s="10"/>
    </row>
    <row r="699" spans="1:27" ht="12.5" hidden="1" x14ac:dyDescent="0.25">
      <c r="A699" s="10" t="s">
        <v>42</v>
      </c>
      <c r="B699" s="10" t="s">
        <v>1462</v>
      </c>
      <c r="C699" s="10" t="s">
        <v>191</v>
      </c>
      <c r="D699" s="11">
        <v>2024</v>
      </c>
      <c r="E699" s="10" t="s">
        <v>124</v>
      </c>
      <c r="F699" s="10" t="s">
        <v>125</v>
      </c>
      <c r="G699" s="10" t="s">
        <v>84</v>
      </c>
      <c r="H699" s="12">
        <v>377.75</v>
      </c>
      <c r="I699" s="11">
        <v>22</v>
      </c>
      <c r="J699" s="11">
        <v>13</v>
      </c>
      <c r="K699" s="11">
        <v>1644</v>
      </c>
      <c r="L699" s="11">
        <v>5.82395764394441E-2</v>
      </c>
      <c r="M699" s="11">
        <f t="shared" si="2"/>
        <v>5.8239576439444081</v>
      </c>
      <c r="N699" s="11">
        <v>0.59090909090909105</v>
      </c>
      <c r="O699" s="11">
        <v>4.3520847121111803</v>
      </c>
      <c r="P699" s="11">
        <v>0.70098039215686303</v>
      </c>
      <c r="Q699" s="11">
        <v>0.90476190476190499</v>
      </c>
      <c r="R699" s="11">
        <v>0.60658914728682201</v>
      </c>
      <c r="S699" s="10" t="s">
        <v>84</v>
      </c>
      <c r="T699" s="10" t="s">
        <v>84</v>
      </c>
      <c r="U699" s="10"/>
      <c r="V699" s="10"/>
      <c r="W699" s="10"/>
      <c r="X699" s="10"/>
      <c r="Y699" s="10"/>
      <c r="Z699" s="10"/>
      <c r="AA699" s="10"/>
    </row>
    <row r="700" spans="1:27" ht="12.5" hidden="1" x14ac:dyDescent="0.25">
      <c r="A700" s="10" t="s">
        <v>36</v>
      </c>
      <c r="B700" s="10" t="s">
        <v>1463</v>
      </c>
      <c r="C700" s="10" t="s">
        <v>191</v>
      </c>
      <c r="D700" s="11">
        <v>2024</v>
      </c>
      <c r="E700" s="10" t="s">
        <v>257</v>
      </c>
      <c r="F700" s="10" t="s">
        <v>125</v>
      </c>
      <c r="G700" s="10" t="s">
        <v>84</v>
      </c>
      <c r="H700" s="12">
        <v>2104</v>
      </c>
      <c r="I700" s="11">
        <v>122</v>
      </c>
      <c r="J700" s="11">
        <v>46</v>
      </c>
      <c r="K700" s="11">
        <v>341</v>
      </c>
      <c r="L700" s="11">
        <v>5.7991681521093297E-2</v>
      </c>
      <c r="M700" s="11">
        <f t="shared" si="2"/>
        <v>5.7984790874524714</v>
      </c>
      <c r="N700" s="11">
        <v>0.37704918032786899</v>
      </c>
      <c r="O700" s="11">
        <v>0.162091503267974</v>
      </c>
      <c r="P700" s="11">
        <v>0.69852941176470595</v>
      </c>
      <c r="Q700" s="11">
        <v>0.42499999999999999</v>
      </c>
      <c r="R700" s="11">
        <v>0.75</v>
      </c>
      <c r="S700" s="10" t="s">
        <v>84</v>
      </c>
      <c r="T700" s="10" t="s">
        <v>84</v>
      </c>
      <c r="U700" s="10"/>
      <c r="V700" s="10"/>
      <c r="W700" s="10"/>
      <c r="X700" s="10"/>
      <c r="Y700" s="10"/>
      <c r="Z700" s="10"/>
      <c r="AA700" s="10"/>
    </row>
    <row r="701" spans="1:27" ht="12.5" hidden="1" x14ac:dyDescent="0.25">
      <c r="A701" s="10" t="s">
        <v>52</v>
      </c>
      <c r="B701" s="10" t="s">
        <v>1464</v>
      </c>
      <c r="C701" s="10" t="s">
        <v>191</v>
      </c>
      <c r="D701" s="11">
        <v>2024</v>
      </c>
      <c r="E701" s="10" t="s">
        <v>124</v>
      </c>
      <c r="F701" s="10" t="s">
        <v>125</v>
      </c>
      <c r="G701" s="10" t="s">
        <v>84</v>
      </c>
      <c r="H701" s="12">
        <v>224.333333333333</v>
      </c>
      <c r="I701" s="11">
        <v>13</v>
      </c>
      <c r="J701" s="11">
        <v>12</v>
      </c>
      <c r="K701" s="11">
        <v>25</v>
      </c>
      <c r="L701" s="11">
        <v>5.7949479940564597E-2</v>
      </c>
      <c r="M701" s="11">
        <f t="shared" si="2"/>
        <v>5.7949479940564723</v>
      </c>
      <c r="N701" s="11">
        <v>0.92307692307692302</v>
      </c>
      <c r="O701" s="11">
        <v>0.11144130757800901</v>
      </c>
      <c r="P701" s="11">
        <v>0.69730392156862697</v>
      </c>
      <c r="Q701" s="11">
        <v>0.67857142857142905</v>
      </c>
      <c r="R701" s="11">
        <v>0.60465116279069797</v>
      </c>
      <c r="S701" s="10" t="s">
        <v>84</v>
      </c>
      <c r="T701" s="10" t="s">
        <v>84</v>
      </c>
      <c r="U701" s="10"/>
      <c r="V701" s="10"/>
      <c r="W701" s="10"/>
      <c r="X701" s="10"/>
      <c r="Y701" s="10"/>
      <c r="Z701" s="10"/>
      <c r="AA701" s="10"/>
    </row>
    <row r="702" spans="1:27" ht="12.5" x14ac:dyDescent="0.25">
      <c r="A702" s="10" t="s">
        <v>34</v>
      </c>
      <c r="B702" s="10" t="s">
        <v>921</v>
      </c>
      <c r="C702" s="10" t="s">
        <v>76</v>
      </c>
      <c r="D702" s="11">
        <v>2024</v>
      </c>
      <c r="E702" s="10" t="s">
        <v>124</v>
      </c>
      <c r="F702" s="10" t="s">
        <v>83</v>
      </c>
      <c r="G702" s="10" t="s">
        <v>84</v>
      </c>
      <c r="H702" s="11">
        <v>5857</v>
      </c>
      <c r="I702" s="11">
        <v>339</v>
      </c>
      <c r="J702" s="11">
        <v>324</v>
      </c>
      <c r="K702" s="11">
        <v>8517</v>
      </c>
      <c r="L702" s="11">
        <v>5.7882754695503698E-2</v>
      </c>
      <c r="M702" s="11">
        <f t="shared" si="2"/>
        <v>5.7879460474645725</v>
      </c>
      <c r="N702" s="11">
        <v>0.95575221238938102</v>
      </c>
      <c r="O702" s="11">
        <v>1.4542401821286299</v>
      </c>
      <c r="P702" s="11">
        <v>0.545608108108108</v>
      </c>
      <c r="Q702" s="11">
        <v>0.83673469387755095</v>
      </c>
      <c r="R702" s="11">
        <v>0.39821029082774001</v>
      </c>
      <c r="S702" s="10" t="s">
        <v>84</v>
      </c>
      <c r="T702" s="10" t="s">
        <v>84</v>
      </c>
      <c r="U702" s="10"/>
      <c r="V702" s="10"/>
      <c r="W702" s="10"/>
      <c r="X702" s="10"/>
      <c r="Y702" s="10"/>
      <c r="Z702" s="10"/>
      <c r="AA702" s="10"/>
    </row>
    <row r="703" spans="1:27" ht="12.5" x14ac:dyDescent="0.25">
      <c r="A703" s="10" t="s">
        <v>110</v>
      </c>
      <c r="B703" s="10" t="s">
        <v>684</v>
      </c>
      <c r="C703" s="10" t="s">
        <v>76</v>
      </c>
      <c r="D703" s="11">
        <v>2024</v>
      </c>
      <c r="E703" s="10" t="s">
        <v>81</v>
      </c>
      <c r="F703" s="10" t="s">
        <v>83</v>
      </c>
      <c r="G703" s="10" t="s">
        <v>84</v>
      </c>
      <c r="H703" s="11">
        <v>34131</v>
      </c>
      <c r="I703" s="11">
        <v>1975</v>
      </c>
      <c r="J703" s="11">
        <v>1942</v>
      </c>
      <c r="K703" s="11">
        <v>5683</v>
      </c>
      <c r="L703" s="11">
        <v>5.7866131465990803E-2</v>
      </c>
      <c r="M703" s="11">
        <f t="shared" si="2"/>
        <v>5.7865283759632007</v>
      </c>
      <c r="N703" s="11">
        <v>0.98329113924050604</v>
      </c>
      <c r="O703" s="11">
        <v>0.16650796208669699</v>
      </c>
      <c r="P703" s="11">
        <v>0.54476351351351304</v>
      </c>
      <c r="Q703" s="11">
        <v>0.75757575757575801</v>
      </c>
      <c r="R703" s="11">
        <v>0.60465116279069797</v>
      </c>
      <c r="S703" s="10" t="s">
        <v>84</v>
      </c>
      <c r="T703" s="10" t="s">
        <v>84</v>
      </c>
      <c r="U703" s="10"/>
      <c r="V703" s="10"/>
      <c r="W703" s="10"/>
      <c r="X703" s="10"/>
      <c r="Y703" s="10"/>
      <c r="Z703" s="10"/>
      <c r="AA703" s="10"/>
    </row>
    <row r="704" spans="1:27" ht="12.5" x14ac:dyDescent="0.25">
      <c r="A704" s="10" t="s">
        <v>16</v>
      </c>
      <c r="B704" s="10" t="s">
        <v>729</v>
      </c>
      <c r="C704" s="10" t="s">
        <v>76</v>
      </c>
      <c r="D704" s="11">
        <v>2024</v>
      </c>
      <c r="E704" s="10" t="s">
        <v>81</v>
      </c>
      <c r="F704" s="10" t="s">
        <v>83</v>
      </c>
      <c r="G704" s="10" t="s">
        <v>84</v>
      </c>
      <c r="H704" s="11">
        <v>32583</v>
      </c>
      <c r="I704" s="11">
        <v>1874</v>
      </c>
      <c r="J704" s="11">
        <v>1555</v>
      </c>
      <c r="K704" s="11">
        <v>5718</v>
      </c>
      <c r="L704" s="11">
        <v>5.7514360687266897E-2</v>
      </c>
      <c r="M704" s="11">
        <f t="shared" si="2"/>
        <v>5.7514654881379865</v>
      </c>
      <c r="N704" s="11">
        <v>0.82977588046958395</v>
      </c>
      <c r="O704" s="11">
        <v>0.17548938869252501</v>
      </c>
      <c r="P704" s="11">
        <v>0.54391891891891897</v>
      </c>
      <c r="Q704" s="11">
        <v>0.233333333333333</v>
      </c>
      <c r="R704" s="11">
        <v>0.60271317829457405</v>
      </c>
      <c r="S704" s="10" t="s">
        <v>84</v>
      </c>
      <c r="T704" s="10" t="s">
        <v>84</v>
      </c>
      <c r="U704" s="10"/>
      <c r="V704" s="10"/>
      <c r="W704" s="10"/>
      <c r="X704" s="10"/>
      <c r="Y704" s="10"/>
      <c r="Z704" s="10"/>
      <c r="AA704" s="10"/>
    </row>
    <row r="705" spans="1:27" ht="12.5" x14ac:dyDescent="0.25">
      <c r="A705" s="10" t="s">
        <v>110</v>
      </c>
      <c r="B705" s="10" t="s">
        <v>1370</v>
      </c>
      <c r="C705" s="10" t="s">
        <v>76</v>
      </c>
      <c r="D705" s="11">
        <v>2024</v>
      </c>
      <c r="E705" s="10" t="s">
        <v>257</v>
      </c>
      <c r="F705" s="10" t="s">
        <v>83</v>
      </c>
      <c r="G705" s="10" t="s">
        <v>84</v>
      </c>
      <c r="H705" s="11">
        <v>12133</v>
      </c>
      <c r="I705" s="11">
        <v>697</v>
      </c>
      <c r="J705" s="11">
        <v>412</v>
      </c>
      <c r="K705" s="11">
        <v>23064</v>
      </c>
      <c r="L705" s="11">
        <v>5.7444660407552098E-2</v>
      </c>
      <c r="M705" s="11">
        <f t="shared" si="2"/>
        <v>5.7446633149262345</v>
      </c>
      <c r="N705" s="11">
        <v>0.59110473457675705</v>
      </c>
      <c r="O705" s="11">
        <v>1.90086606548032</v>
      </c>
      <c r="P705" s="11">
        <v>0.54307432432432401</v>
      </c>
      <c r="Q705" s="11">
        <v>0.72727272727272696</v>
      </c>
      <c r="R705" s="11">
        <v>0.70454545454545503</v>
      </c>
      <c r="S705" s="10" t="s">
        <v>84</v>
      </c>
      <c r="T705" s="10" t="s">
        <v>84</v>
      </c>
      <c r="U705" s="10"/>
      <c r="V705" s="10"/>
      <c r="W705" s="10"/>
      <c r="X705" s="10"/>
      <c r="Y705" s="10"/>
      <c r="Z705" s="10"/>
      <c r="AA705" s="10"/>
    </row>
    <row r="706" spans="1:27" ht="12.5" x14ac:dyDescent="0.25">
      <c r="A706" s="10" t="s">
        <v>25</v>
      </c>
      <c r="B706" s="10" t="s">
        <v>731</v>
      </c>
      <c r="C706" s="10" t="s">
        <v>76</v>
      </c>
      <c r="D706" s="11">
        <v>2024</v>
      </c>
      <c r="E706" s="10" t="s">
        <v>81</v>
      </c>
      <c r="F706" s="10" t="s">
        <v>83</v>
      </c>
      <c r="G706" s="10" t="s">
        <v>84</v>
      </c>
      <c r="H706" s="11">
        <v>167259</v>
      </c>
      <c r="I706" s="11">
        <v>9578</v>
      </c>
      <c r="J706" s="11">
        <v>7617</v>
      </c>
      <c r="K706" s="11">
        <v>145510</v>
      </c>
      <c r="L706" s="11">
        <v>5.7264510561718898E-2</v>
      </c>
      <c r="M706" s="11">
        <f t="shared" si="2"/>
        <v>5.7264482030862318</v>
      </c>
      <c r="N706" s="11">
        <v>0.79525997076634003</v>
      </c>
      <c r="O706" s="11">
        <v>0.86996856669823797</v>
      </c>
      <c r="P706" s="11">
        <v>0.54222972972973005</v>
      </c>
      <c r="Q706" s="11">
        <v>0.375</v>
      </c>
      <c r="R706" s="11">
        <v>0.60077519379845001</v>
      </c>
      <c r="S706" s="10" t="s">
        <v>84</v>
      </c>
      <c r="T706" s="10" t="s">
        <v>84</v>
      </c>
      <c r="U706" s="10"/>
      <c r="V706" s="10"/>
      <c r="W706" s="10"/>
      <c r="X706" s="10"/>
      <c r="Y706" s="10"/>
      <c r="Z706" s="10"/>
      <c r="AA706" s="10"/>
    </row>
    <row r="707" spans="1:27" ht="12.5" hidden="1" x14ac:dyDescent="0.25">
      <c r="A707" s="10" t="s">
        <v>36</v>
      </c>
      <c r="B707" s="10" t="s">
        <v>1467</v>
      </c>
      <c r="C707" s="10" t="s">
        <v>191</v>
      </c>
      <c r="D707" s="11">
        <v>2024</v>
      </c>
      <c r="E707" s="10" t="s">
        <v>124</v>
      </c>
      <c r="F707" s="10" t="s">
        <v>125</v>
      </c>
      <c r="G707" s="10" t="s">
        <v>84</v>
      </c>
      <c r="H707" s="12">
        <v>11352</v>
      </c>
      <c r="I707" s="11">
        <v>650</v>
      </c>
      <c r="J707" s="11">
        <v>490</v>
      </c>
      <c r="K707" s="11">
        <v>911</v>
      </c>
      <c r="L707" s="11">
        <v>5.7259473506482098E-2</v>
      </c>
      <c r="M707" s="11">
        <f t="shared" si="2"/>
        <v>5.725863284002819</v>
      </c>
      <c r="N707" s="11">
        <v>0.75384615384615405</v>
      </c>
      <c r="O707" s="11">
        <v>8.0251354406777206E-2</v>
      </c>
      <c r="P707" s="11">
        <v>0.69607843137254899</v>
      </c>
      <c r="Q707" s="11">
        <v>0.4</v>
      </c>
      <c r="R707" s="11">
        <v>0.60271317829457405</v>
      </c>
      <c r="S707" s="10" t="s">
        <v>84</v>
      </c>
      <c r="T707" s="10" t="s">
        <v>84</v>
      </c>
      <c r="U707" s="10"/>
      <c r="V707" s="10"/>
      <c r="W707" s="10"/>
      <c r="X707" s="10"/>
      <c r="Y707" s="10"/>
      <c r="Z707" s="10"/>
      <c r="AA707" s="10"/>
    </row>
    <row r="708" spans="1:27" ht="12.5" hidden="1" x14ac:dyDescent="0.25">
      <c r="A708" s="10" t="s">
        <v>58</v>
      </c>
      <c r="B708" s="10" t="s">
        <v>1469</v>
      </c>
      <c r="C708" s="10" t="s">
        <v>191</v>
      </c>
      <c r="D708" s="11">
        <v>2024</v>
      </c>
      <c r="E708" s="10" t="s">
        <v>124</v>
      </c>
      <c r="F708" s="10" t="s">
        <v>125</v>
      </c>
      <c r="G708" s="10" t="s">
        <v>84</v>
      </c>
      <c r="H708" s="12">
        <v>1364</v>
      </c>
      <c r="I708" s="11">
        <v>78</v>
      </c>
      <c r="J708" s="11">
        <v>59</v>
      </c>
      <c r="K708" s="11">
        <v>1969</v>
      </c>
      <c r="L708" s="11">
        <v>5.7170779379428299E-2</v>
      </c>
      <c r="M708" s="11">
        <f t="shared" si="2"/>
        <v>5.7184750733137824</v>
      </c>
      <c r="N708" s="11">
        <v>0.75641025641025605</v>
      </c>
      <c r="O708" s="11">
        <v>1.44319569997557</v>
      </c>
      <c r="P708" s="11">
        <v>0.69485294117647001</v>
      </c>
      <c r="Q708" s="11">
        <v>0.47169811320754701</v>
      </c>
      <c r="R708" s="11">
        <v>0.60077519379845001</v>
      </c>
      <c r="S708" s="10" t="s">
        <v>84</v>
      </c>
      <c r="T708" s="10" t="s">
        <v>84</v>
      </c>
      <c r="U708" s="10"/>
      <c r="V708" s="10"/>
      <c r="W708" s="10"/>
      <c r="X708" s="10"/>
      <c r="Y708" s="10"/>
      <c r="Z708" s="10"/>
      <c r="AA708" s="10"/>
    </row>
    <row r="709" spans="1:27" ht="12.5" x14ac:dyDescent="0.25">
      <c r="A709" s="10" t="s">
        <v>118</v>
      </c>
      <c r="B709" s="10" t="s">
        <v>923</v>
      </c>
      <c r="C709" s="10" t="s">
        <v>76</v>
      </c>
      <c r="D709" s="11">
        <v>2024</v>
      </c>
      <c r="E709" s="10" t="s">
        <v>124</v>
      </c>
      <c r="F709" s="10" t="s">
        <v>83</v>
      </c>
      <c r="G709" s="10" t="s">
        <v>84</v>
      </c>
      <c r="H709" s="11">
        <v>29375</v>
      </c>
      <c r="I709" s="11">
        <v>1668</v>
      </c>
      <c r="J709" s="11">
        <v>1606</v>
      </c>
      <c r="K709" s="11">
        <v>5012</v>
      </c>
      <c r="L709" s="11">
        <v>5.6783300898161103E-2</v>
      </c>
      <c r="M709" s="11">
        <f t="shared" si="2"/>
        <v>5.6782978723404254</v>
      </c>
      <c r="N709" s="11">
        <v>0.96282973621103096</v>
      </c>
      <c r="O709" s="11">
        <v>0.170622244665218</v>
      </c>
      <c r="P709" s="11">
        <v>0.54138513513513498</v>
      </c>
      <c r="Q709" s="11">
        <v>0.57142857142857095</v>
      </c>
      <c r="R709" s="11">
        <v>0.39597315436241598</v>
      </c>
      <c r="S709" s="10" t="s">
        <v>84</v>
      </c>
      <c r="T709" s="10" t="s">
        <v>84</v>
      </c>
      <c r="U709" s="10"/>
      <c r="V709" s="10"/>
      <c r="W709" s="10"/>
      <c r="X709" s="10"/>
      <c r="Y709" s="10"/>
      <c r="Z709" s="10"/>
      <c r="AA709" s="10"/>
    </row>
    <row r="710" spans="1:27" ht="12.5" x14ac:dyDescent="0.25">
      <c r="A710" s="10" t="s">
        <v>32</v>
      </c>
      <c r="B710" s="10" t="s">
        <v>925</v>
      </c>
      <c r="C710" s="10" t="s">
        <v>76</v>
      </c>
      <c r="D710" s="11">
        <v>2024</v>
      </c>
      <c r="E710" s="10" t="s">
        <v>124</v>
      </c>
      <c r="F710" s="10" t="s">
        <v>125</v>
      </c>
      <c r="G710" s="10" t="s">
        <v>84</v>
      </c>
      <c r="H710" s="11">
        <v>5794</v>
      </c>
      <c r="I710" s="11">
        <v>328</v>
      </c>
      <c r="J710" s="11">
        <v>113</v>
      </c>
      <c r="K710" s="11">
        <v>406</v>
      </c>
      <c r="L710" s="11">
        <v>5.6614357838413197E-2</v>
      </c>
      <c r="M710" s="11">
        <f t="shared" si="2"/>
        <v>5.6610286503279257</v>
      </c>
      <c r="N710" s="11">
        <v>0.34451219512195103</v>
      </c>
      <c r="O710" s="11">
        <v>7.0077528299987105E-2</v>
      </c>
      <c r="P710" s="11">
        <v>0.54054054054054101</v>
      </c>
      <c r="Q710" s="11">
        <v>0.34482758620689702</v>
      </c>
      <c r="R710" s="11">
        <v>0.39373601789709201</v>
      </c>
      <c r="S710" s="10" t="s">
        <v>84</v>
      </c>
      <c r="T710" s="10" t="s">
        <v>84</v>
      </c>
      <c r="U710" s="10"/>
      <c r="V710" s="10"/>
      <c r="W710" s="10"/>
      <c r="X710" s="10"/>
      <c r="Y710" s="10"/>
      <c r="Z710" s="10"/>
      <c r="AA710" s="10"/>
    </row>
    <row r="711" spans="1:27" ht="12.5" hidden="1" x14ac:dyDescent="0.25">
      <c r="A711" s="10" t="s">
        <v>52</v>
      </c>
      <c r="B711" s="10" t="s">
        <v>1470</v>
      </c>
      <c r="C711" s="10" t="s">
        <v>191</v>
      </c>
      <c r="D711" s="11">
        <v>2024</v>
      </c>
      <c r="E711" s="10" t="s">
        <v>124</v>
      </c>
      <c r="F711" s="10" t="s">
        <v>125</v>
      </c>
      <c r="G711" s="10" t="s">
        <v>84</v>
      </c>
      <c r="H711" s="12">
        <v>176.916666666667</v>
      </c>
      <c r="I711" s="11">
        <v>10</v>
      </c>
      <c r="J711" s="11">
        <v>3</v>
      </c>
      <c r="K711" s="11">
        <v>16</v>
      </c>
      <c r="L711" s="11">
        <v>5.6523787093735303E-2</v>
      </c>
      <c r="M711" s="11">
        <f t="shared" si="2"/>
        <v>5.6523787093735169</v>
      </c>
      <c r="N711" s="11">
        <v>0.3</v>
      </c>
      <c r="O711" s="11">
        <v>9.0438059349976493E-2</v>
      </c>
      <c r="P711" s="11">
        <v>0.69362745098039202</v>
      </c>
      <c r="Q711" s="11">
        <v>0.64285714285714302</v>
      </c>
      <c r="R711" s="11">
        <v>0.59883720930232598</v>
      </c>
      <c r="S711" s="10" t="s">
        <v>84</v>
      </c>
      <c r="T711" s="10" t="s">
        <v>84</v>
      </c>
      <c r="U711" s="10"/>
      <c r="V711" s="10"/>
      <c r="W711" s="10"/>
      <c r="X711" s="10"/>
      <c r="Y711" s="10"/>
      <c r="Z711" s="10"/>
      <c r="AA711" s="10"/>
    </row>
    <row r="712" spans="1:27" ht="12.5" x14ac:dyDescent="0.25">
      <c r="A712" s="10" t="s">
        <v>80</v>
      </c>
      <c r="B712" s="10" t="s">
        <v>469</v>
      </c>
      <c r="C712" s="10" t="s">
        <v>76</v>
      </c>
      <c r="D712" s="11">
        <v>2024</v>
      </c>
      <c r="E712" s="10" t="s">
        <v>81</v>
      </c>
      <c r="F712" s="10" t="s">
        <v>83</v>
      </c>
      <c r="G712" s="10" t="s">
        <v>84</v>
      </c>
      <c r="H712" s="11">
        <v>1384</v>
      </c>
      <c r="I712" s="11">
        <v>78</v>
      </c>
      <c r="J712" s="11">
        <v>71</v>
      </c>
      <c r="K712" s="11">
        <v>1238</v>
      </c>
      <c r="L712" s="11">
        <v>5.6361775155055097E-2</v>
      </c>
      <c r="M712" s="11">
        <f t="shared" si="2"/>
        <v>5.6358381502890174</v>
      </c>
      <c r="N712" s="11">
        <v>0.91025641025641002</v>
      </c>
      <c r="O712" s="11">
        <v>0.89456253387125895</v>
      </c>
      <c r="P712" s="11">
        <v>0.53969594594594605</v>
      </c>
      <c r="Q712" s="11">
        <v>0.6</v>
      </c>
      <c r="R712" s="11">
        <v>0.59883720930232598</v>
      </c>
      <c r="S712" s="10" t="s">
        <v>84</v>
      </c>
      <c r="T712" s="10" t="s">
        <v>84</v>
      </c>
      <c r="U712" s="10"/>
      <c r="V712" s="10"/>
      <c r="W712" s="10"/>
      <c r="X712" s="10"/>
      <c r="Y712" s="10"/>
      <c r="Z712" s="10"/>
      <c r="AA712" s="10"/>
    </row>
    <row r="713" spans="1:27" ht="12.5" hidden="1" x14ac:dyDescent="0.25">
      <c r="A713" s="10" t="s">
        <v>77</v>
      </c>
      <c r="B713" s="10" t="s">
        <v>1472</v>
      </c>
      <c r="C713" s="10" t="s">
        <v>191</v>
      </c>
      <c r="D713" s="11">
        <v>2024</v>
      </c>
      <c r="E713" s="10" t="s">
        <v>124</v>
      </c>
      <c r="F713" s="10" t="s">
        <v>125</v>
      </c>
      <c r="G713" s="10" t="s">
        <v>84</v>
      </c>
      <c r="H713" s="12">
        <v>2012</v>
      </c>
      <c r="I713" s="11">
        <v>113</v>
      </c>
      <c r="J713" s="11">
        <v>113</v>
      </c>
      <c r="K713" s="11">
        <v>113</v>
      </c>
      <c r="L713" s="11">
        <v>5.6153718734470802E-2</v>
      </c>
      <c r="M713" s="11">
        <f t="shared" si="2"/>
        <v>5.6163021868787277</v>
      </c>
      <c r="N713" s="11">
        <v>1</v>
      </c>
      <c r="O713" s="11">
        <v>5.6153718734470802E-2</v>
      </c>
      <c r="P713" s="11">
        <v>0.69240196078431404</v>
      </c>
      <c r="Q713" s="11">
        <v>0.86956521739130399</v>
      </c>
      <c r="R713" s="11">
        <v>0.59689922480620194</v>
      </c>
      <c r="S713" s="10" t="s">
        <v>84</v>
      </c>
      <c r="T713" s="10" t="s">
        <v>84</v>
      </c>
      <c r="U713" s="10"/>
      <c r="V713" s="10"/>
      <c r="W713" s="10"/>
      <c r="X713" s="10"/>
      <c r="Y713" s="10"/>
      <c r="Z713" s="10"/>
      <c r="AA713" s="10"/>
    </row>
    <row r="714" spans="1:27" ht="12.5" x14ac:dyDescent="0.25">
      <c r="A714" s="10" t="s">
        <v>34</v>
      </c>
      <c r="B714" s="10" t="s">
        <v>927</v>
      </c>
      <c r="C714" s="10" t="s">
        <v>76</v>
      </c>
      <c r="D714" s="11">
        <v>2024</v>
      </c>
      <c r="E714" s="10" t="s">
        <v>124</v>
      </c>
      <c r="F714" s="10" t="s">
        <v>83</v>
      </c>
      <c r="G714" s="10" t="s">
        <v>84</v>
      </c>
      <c r="H714" s="11">
        <v>18197</v>
      </c>
      <c r="I714" s="11">
        <v>1021</v>
      </c>
      <c r="J714" s="11">
        <v>1017</v>
      </c>
      <c r="K714" s="11">
        <v>17954</v>
      </c>
      <c r="L714" s="11">
        <v>5.6108149695004703E-2</v>
      </c>
      <c r="M714" s="11">
        <f t="shared" si="2"/>
        <v>5.610814969500467</v>
      </c>
      <c r="N714" s="11">
        <v>0.99608227228207602</v>
      </c>
      <c r="O714" s="11">
        <v>0.98664615046436199</v>
      </c>
      <c r="P714" s="11">
        <v>0.53800675675675702</v>
      </c>
      <c r="Q714" s="11">
        <v>0.81632653061224503</v>
      </c>
      <c r="R714" s="11">
        <v>0.39149888143176698</v>
      </c>
      <c r="S714" s="10" t="s">
        <v>84</v>
      </c>
      <c r="T714" s="10" t="s">
        <v>84</v>
      </c>
      <c r="U714" s="10"/>
      <c r="V714" s="10"/>
      <c r="W714" s="10"/>
      <c r="X714" s="10"/>
      <c r="Y714" s="10"/>
      <c r="Z714" s="10"/>
      <c r="AA714" s="10"/>
    </row>
    <row r="715" spans="1:27" ht="12.5" x14ac:dyDescent="0.25">
      <c r="A715" s="10" t="s">
        <v>86</v>
      </c>
      <c r="B715" s="10" t="s">
        <v>734</v>
      </c>
      <c r="C715" s="10" t="s">
        <v>76</v>
      </c>
      <c r="D715" s="11">
        <v>2024</v>
      </c>
      <c r="E715" s="10" t="s">
        <v>81</v>
      </c>
      <c r="F715" s="10" t="s">
        <v>83</v>
      </c>
      <c r="G715" s="10" t="s">
        <v>84</v>
      </c>
      <c r="H715" s="11">
        <v>53167</v>
      </c>
      <c r="I715" s="11">
        <v>2981</v>
      </c>
      <c r="J715" s="11">
        <v>2733</v>
      </c>
      <c r="K715" s="11">
        <v>17430</v>
      </c>
      <c r="L715" s="11">
        <v>5.6068438227853699E-2</v>
      </c>
      <c r="M715" s="11">
        <f t="shared" si="2"/>
        <v>5.6068613989880944</v>
      </c>
      <c r="N715" s="11">
        <v>0.91680644079168105</v>
      </c>
      <c r="O715" s="11">
        <v>0.32783390751811098</v>
      </c>
      <c r="P715" s="11">
        <v>0.53716216216216195</v>
      </c>
      <c r="Q715" s="11">
        <v>0.30434782608695699</v>
      </c>
      <c r="R715" s="11">
        <v>0.59689922480620194</v>
      </c>
      <c r="S715" s="10" t="s">
        <v>84</v>
      </c>
      <c r="T715" s="10" t="s">
        <v>84</v>
      </c>
      <c r="U715" s="10"/>
      <c r="V715" s="10"/>
      <c r="W715" s="10"/>
      <c r="X715" s="10"/>
      <c r="Y715" s="10"/>
      <c r="Z715" s="10"/>
      <c r="AA715" s="10"/>
    </row>
    <row r="716" spans="1:27" ht="12.5" hidden="1" x14ac:dyDescent="0.25">
      <c r="A716" s="10" t="s">
        <v>36</v>
      </c>
      <c r="B716" s="10" t="s">
        <v>1249</v>
      </c>
      <c r="C716" s="10" t="s">
        <v>191</v>
      </c>
      <c r="D716" s="11">
        <v>2024</v>
      </c>
      <c r="E716" s="10" t="s">
        <v>81</v>
      </c>
      <c r="F716" s="10" t="s">
        <v>83</v>
      </c>
      <c r="G716" s="10" t="s">
        <v>84</v>
      </c>
      <c r="H716" s="12">
        <v>104867</v>
      </c>
      <c r="I716" s="11">
        <v>5859</v>
      </c>
      <c r="J716" s="11">
        <v>4318</v>
      </c>
      <c r="K716" s="11">
        <v>56837</v>
      </c>
      <c r="L716" s="11">
        <v>5.5870991633019403E-2</v>
      </c>
      <c r="M716" s="11">
        <f t="shared" si="2"/>
        <v>5.5870769641545959</v>
      </c>
      <c r="N716" s="11">
        <v>0.73698583376002702</v>
      </c>
      <c r="O716" s="11">
        <v>0.54199343769344999</v>
      </c>
      <c r="P716" s="11">
        <v>0.69117647058823495</v>
      </c>
      <c r="Q716" s="11">
        <v>0.375</v>
      </c>
      <c r="R716" s="11">
        <v>0.91666666666666696</v>
      </c>
      <c r="S716" s="10" t="s">
        <v>84</v>
      </c>
      <c r="T716" s="10" t="s">
        <v>84</v>
      </c>
      <c r="U716" s="10"/>
      <c r="V716" s="10"/>
      <c r="W716" s="10"/>
      <c r="X716" s="10"/>
      <c r="Y716" s="10"/>
      <c r="Z716" s="10"/>
      <c r="AA716" s="10"/>
    </row>
    <row r="717" spans="1:27" ht="12.5" hidden="1" x14ac:dyDescent="0.25">
      <c r="A717" s="10" t="s">
        <v>58</v>
      </c>
      <c r="B717" s="10" t="s">
        <v>1473</v>
      </c>
      <c r="C717" s="10" t="s">
        <v>191</v>
      </c>
      <c r="D717" s="11">
        <v>2024</v>
      </c>
      <c r="E717" s="10" t="s">
        <v>124</v>
      </c>
      <c r="F717" s="10" t="s">
        <v>125</v>
      </c>
      <c r="G717" s="10" t="s">
        <v>84</v>
      </c>
      <c r="H717" s="12">
        <v>1774</v>
      </c>
      <c r="I717" s="11">
        <v>99</v>
      </c>
      <c r="J717" s="11">
        <v>56</v>
      </c>
      <c r="K717" s="11">
        <v>476</v>
      </c>
      <c r="L717" s="11">
        <v>5.5813953488372099E-2</v>
      </c>
      <c r="M717" s="11">
        <f t="shared" si="2"/>
        <v>5.5806087936865838</v>
      </c>
      <c r="N717" s="11">
        <v>0.56565656565656597</v>
      </c>
      <c r="O717" s="11">
        <v>0.26835799859055698</v>
      </c>
      <c r="P717" s="11">
        <v>0.68872549019607798</v>
      </c>
      <c r="Q717" s="11">
        <v>0.45283018867924502</v>
      </c>
      <c r="R717" s="11">
        <v>0.59496124031007702</v>
      </c>
      <c r="S717" s="10" t="s">
        <v>84</v>
      </c>
      <c r="T717" s="10" t="s">
        <v>84</v>
      </c>
      <c r="U717" s="10"/>
      <c r="V717" s="10"/>
      <c r="W717" s="10"/>
      <c r="X717" s="10"/>
      <c r="Y717" s="10"/>
      <c r="Z717" s="10"/>
      <c r="AA717" s="10"/>
    </row>
    <row r="718" spans="1:27" ht="12.5" hidden="1" x14ac:dyDescent="0.25">
      <c r="A718" s="10" t="s">
        <v>55</v>
      </c>
      <c r="B718" s="10" t="s">
        <v>1475</v>
      </c>
      <c r="C718" s="10" t="s">
        <v>191</v>
      </c>
      <c r="D718" s="11">
        <v>2024</v>
      </c>
      <c r="E718" s="10" t="s">
        <v>124</v>
      </c>
      <c r="F718" s="10" t="s">
        <v>125</v>
      </c>
      <c r="G718" s="10" t="s">
        <v>84</v>
      </c>
      <c r="H718" s="12">
        <v>125.583333333333</v>
      </c>
      <c r="I718" s="11">
        <v>7</v>
      </c>
      <c r="J718" s="11">
        <v>5</v>
      </c>
      <c r="K718" s="11">
        <v>159</v>
      </c>
      <c r="L718" s="11">
        <v>5.5739880557398799E-2</v>
      </c>
      <c r="M718" s="11">
        <f t="shared" si="2"/>
        <v>5.5739880557398953</v>
      </c>
      <c r="N718" s="11">
        <v>0.71428571428571397</v>
      </c>
      <c r="O718" s="11">
        <v>1.2660915726609201</v>
      </c>
      <c r="P718" s="11">
        <v>0.6875</v>
      </c>
      <c r="Q718" s="11">
        <v>0.70370370370370405</v>
      </c>
      <c r="R718" s="11">
        <v>0.59302325581395399</v>
      </c>
      <c r="S718" s="10" t="s">
        <v>84</v>
      </c>
      <c r="T718" s="10" t="s">
        <v>84</v>
      </c>
      <c r="U718" s="10"/>
      <c r="V718" s="10"/>
      <c r="W718" s="10"/>
      <c r="X718" s="10"/>
      <c r="Y718" s="10"/>
      <c r="Z718" s="10"/>
      <c r="AA718" s="10"/>
    </row>
    <row r="719" spans="1:27" ht="12.5" x14ac:dyDescent="0.25">
      <c r="A719" s="10" t="s">
        <v>42</v>
      </c>
      <c r="B719" s="10" t="s">
        <v>737</v>
      </c>
      <c r="C719" s="10" t="s">
        <v>76</v>
      </c>
      <c r="D719" s="11">
        <v>2024</v>
      </c>
      <c r="E719" s="10" t="s">
        <v>81</v>
      </c>
      <c r="F719" s="10" t="s">
        <v>83</v>
      </c>
      <c r="G719" s="10" t="s">
        <v>84</v>
      </c>
      <c r="H719" s="11">
        <v>9883</v>
      </c>
      <c r="I719" s="11">
        <v>550</v>
      </c>
      <c r="J719" s="11">
        <v>506</v>
      </c>
      <c r="K719" s="11">
        <v>1968</v>
      </c>
      <c r="L719" s="11">
        <v>5.5652995143011301E-2</v>
      </c>
      <c r="M719" s="11">
        <f t="shared" si="2"/>
        <v>5.5651118081554189</v>
      </c>
      <c r="N719" s="11">
        <v>0.92</v>
      </c>
      <c r="O719" s="11">
        <v>0.19913653534808401</v>
      </c>
      <c r="P719" s="11">
        <v>0.53631756756756799</v>
      </c>
      <c r="Q719" s="11">
        <v>0.5</v>
      </c>
      <c r="R719" s="11">
        <v>0.59496124031007702</v>
      </c>
      <c r="S719" s="10" t="s">
        <v>84</v>
      </c>
      <c r="T719" s="10" t="s">
        <v>84</v>
      </c>
      <c r="U719" s="10"/>
      <c r="V719" s="10"/>
      <c r="W719" s="10"/>
      <c r="X719" s="10"/>
      <c r="Y719" s="10"/>
      <c r="Z719" s="10"/>
      <c r="AA719" s="10"/>
    </row>
    <row r="720" spans="1:27" ht="12.5" hidden="1" x14ac:dyDescent="0.25">
      <c r="A720" s="10" t="s">
        <v>58</v>
      </c>
      <c r="B720" s="10" t="s">
        <v>1476</v>
      </c>
      <c r="C720" s="10" t="s">
        <v>191</v>
      </c>
      <c r="D720" s="11">
        <v>2024</v>
      </c>
      <c r="E720" s="10" t="s">
        <v>124</v>
      </c>
      <c r="F720" s="10" t="s">
        <v>125</v>
      </c>
      <c r="G720" s="10" t="s">
        <v>84</v>
      </c>
      <c r="H720" s="12">
        <v>8454</v>
      </c>
      <c r="I720" s="11">
        <v>470</v>
      </c>
      <c r="J720" s="11">
        <v>421</v>
      </c>
      <c r="K720" s="11">
        <v>0</v>
      </c>
      <c r="L720" s="11">
        <v>5.5594984622663803E-2</v>
      </c>
      <c r="M720" s="11">
        <f t="shared" si="2"/>
        <v>5.559498462266383</v>
      </c>
      <c r="N720" s="11">
        <v>0.89574468085106396</v>
      </c>
      <c r="O720" s="11">
        <v>0</v>
      </c>
      <c r="P720" s="11">
        <v>0.68627450980392202</v>
      </c>
      <c r="Q720" s="11">
        <v>0.43396226415094302</v>
      </c>
      <c r="R720" s="11">
        <v>0.59108527131782995</v>
      </c>
      <c r="S720" s="10" t="s">
        <v>84</v>
      </c>
      <c r="T720" s="10" t="s">
        <v>84</v>
      </c>
      <c r="U720" s="10"/>
      <c r="V720" s="10"/>
      <c r="W720" s="10"/>
      <c r="X720" s="10"/>
      <c r="Y720" s="10"/>
      <c r="Z720" s="10"/>
      <c r="AA720" s="10"/>
    </row>
    <row r="721" spans="1:27" ht="12.5" x14ac:dyDescent="0.25">
      <c r="A721" s="10" t="s">
        <v>25</v>
      </c>
      <c r="B721" s="10" t="s">
        <v>1373</v>
      </c>
      <c r="C721" s="10" t="s">
        <v>76</v>
      </c>
      <c r="D721" s="11">
        <v>2024</v>
      </c>
      <c r="E721" s="10" t="s">
        <v>0</v>
      </c>
      <c r="F721" s="10" t="s">
        <v>83</v>
      </c>
      <c r="G721" s="10" t="s">
        <v>84</v>
      </c>
      <c r="H721" s="11">
        <v>5796</v>
      </c>
      <c r="I721" s="11">
        <v>322</v>
      </c>
      <c r="J721" s="11">
        <v>321</v>
      </c>
      <c r="K721" s="11">
        <v>3169</v>
      </c>
      <c r="L721" s="11">
        <v>5.5560348546285901E-2</v>
      </c>
      <c r="M721" s="11">
        <f t="shared" si="2"/>
        <v>5.5555555555555554</v>
      </c>
      <c r="N721" s="11">
        <v>0.99689440993788803</v>
      </c>
      <c r="O721" s="11">
        <v>0.54680355448192597</v>
      </c>
      <c r="P721" s="11">
        <v>0.53547297297297303</v>
      </c>
      <c r="Q721" s="11">
        <v>0.3125</v>
      </c>
      <c r="R721" s="11">
        <v>0.66666666666666696</v>
      </c>
      <c r="S721" s="10" t="s">
        <v>84</v>
      </c>
      <c r="T721" s="10" t="s">
        <v>84</v>
      </c>
      <c r="U721" s="10"/>
      <c r="V721" s="10"/>
      <c r="W721" s="10"/>
      <c r="X721" s="10"/>
      <c r="Y721" s="10"/>
      <c r="Z721" s="10"/>
      <c r="AA721" s="10"/>
    </row>
    <row r="722" spans="1:27" ht="12.5" x14ac:dyDescent="0.25">
      <c r="A722" s="10" t="s">
        <v>36</v>
      </c>
      <c r="B722" s="10" t="s">
        <v>929</v>
      </c>
      <c r="C722" s="10" t="s">
        <v>76</v>
      </c>
      <c r="D722" s="11">
        <v>2024</v>
      </c>
      <c r="E722" s="10" t="s">
        <v>124</v>
      </c>
      <c r="F722" s="10" t="s">
        <v>83</v>
      </c>
      <c r="G722" s="10" t="s">
        <v>84</v>
      </c>
      <c r="H722" s="11">
        <v>12177</v>
      </c>
      <c r="I722" s="11">
        <v>676</v>
      </c>
      <c r="J722" s="11">
        <v>467</v>
      </c>
      <c r="K722" s="11">
        <v>970</v>
      </c>
      <c r="L722" s="11">
        <v>5.55141146278871E-2</v>
      </c>
      <c r="M722" s="11">
        <f t="shared" si="2"/>
        <v>5.5514494538884778</v>
      </c>
      <c r="N722" s="11">
        <v>0.69082840236686405</v>
      </c>
      <c r="O722" s="11">
        <v>7.9657827202737397E-2</v>
      </c>
      <c r="P722" s="11">
        <v>0.53462837837837796</v>
      </c>
      <c r="Q722" s="11">
        <v>0.29787234042553201</v>
      </c>
      <c r="R722" s="11">
        <v>0.389261744966443</v>
      </c>
      <c r="S722" s="10" t="s">
        <v>84</v>
      </c>
      <c r="T722" s="10" t="s">
        <v>84</v>
      </c>
      <c r="U722" s="10"/>
      <c r="V722" s="10"/>
      <c r="W722" s="10"/>
      <c r="X722" s="10"/>
      <c r="Y722" s="10"/>
      <c r="Z722" s="10"/>
      <c r="AA722" s="10"/>
    </row>
    <row r="723" spans="1:27" ht="12.5" x14ac:dyDescent="0.25">
      <c r="A723" s="10" t="s">
        <v>65</v>
      </c>
      <c r="B723" s="10" t="s">
        <v>740</v>
      </c>
      <c r="C723" s="10" t="s">
        <v>76</v>
      </c>
      <c r="D723" s="11">
        <v>2024</v>
      </c>
      <c r="E723" s="10" t="s">
        <v>81</v>
      </c>
      <c r="F723" s="10" t="s">
        <v>83</v>
      </c>
      <c r="G723" s="10" t="s">
        <v>84</v>
      </c>
      <c r="H723" s="11">
        <v>31676</v>
      </c>
      <c r="I723" s="11">
        <v>1751</v>
      </c>
      <c r="J723" s="11">
        <v>1125</v>
      </c>
      <c r="K723" s="11">
        <v>22954</v>
      </c>
      <c r="L723" s="11">
        <v>5.5278880531637001E-2</v>
      </c>
      <c r="M723" s="11">
        <f t="shared" si="2"/>
        <v>5.5278444248011116</v>
      </c>
      <c r="N723" s="11">
        <v>0.64249000571102199</v>
      </c>
      <c r="O723" s="11">
        <v>0.72465529624397196</v>
      </c>
      <c r="P723" s="11">
        <v>0.53378378378378399</v>
      </c>
      <c r="Q723" s="11">
        <v>0.46153846153846201</v>
      </c>
      <c r="R723" s="11">
        <v>0.59302325581395399</v>
      </c>
      <c r="S723" s="10" t="s">
        <v>84</v>
      </c>
      <c r="T723" s="10" t="s">
        <v>84</v>
      </c>
      <c r="U723" s="10"/>
      <c r="V723" s="10"/>
      <c r="W723" s="10"/>
      <c r="X723" s="10"/>
      <c r="Y723" s="10"/>
      <c r="Z723" s="10"/>
      <c r="AA723" s="10"/>
    </row>
    <row r="724" spans="1:27" ht="12.5" hidden="1" x14ac:dyDescent="0.25">
      <c r="A724" s="10" t="s">
        <v>13</v>
      </c>
      <c r="B724" s="10" t="s">
        <v>1477</v>
      </c>
      <c r="C724" s="10" t="s">
        <v>191</v>
      </c>
      <c r="D724" s="11">
        <v>2024</v>
      </c>
      <c r="E724" s="10" t="s">
        <v>124</v>
      </c>
      <c r="F724" s="10" t="s">
        <v>125</v>
      </c>
      <c r="G724" s="10" t="s">
        <v>84</v>
      </c>
      <c r="H724" s="12">
        <v>163.083333333333</v>
      </c>
      <c r="I724" s="11">
        <v>9</v>
      </c>
      <c r="J724" s="11">
        <v>6</v>
      </c>
      <c r="K724" s="11">
        <v>0</v>
      </c>
      <c r="L724" s="11">
        <v>5.5186509964231002E-2</v>
      </c>
      <c r="M724" s="11">
        <f t="shared" si="2"/>
        <v>5.5186509964231076</v>
      </c>
      <c r="N724" s="11">
        <v>0.66666666666666696</v>
      </c>
      <c r="O724" s="11">
        <v>0</v>
      </c>
      <c r="P724" s="11">
        <v>0.68382352941176505</v>
      </c>
      <c r="Q724" s="11">
        <v>0.431034482758621</v>
      </c>
      <c r="R724" s="11">
        <v>0.58914728682170503</v>
      </c>
      <c r="S724" s="10" t="s">
        <v>84</v>
      </c>
      <c r="T724" s="10" t="s">
        <v>84</v>
      </c>
      <c r="U724" s="10"/>
      <c r="V724" s="10"/>
      <c r="W724" s="10"/>
      <c r="X724" s="10"/>
      <c r="Y724" s="10"/>
      <c r="Z724" s="10"/>
      <c r="AA724" s="10"/>
    </row>
    <row r="725" spans="1:27" ht="12.5" x14ac:dyDescent="0.25">
      <c r="A725" s="10" t="s">
        <v>110</v>
      </c>
      <c r="B725" s="10" t="s">
        <v>1375</v>
      </c>
      <c r="C725" s="10" t="s">
        <v>76</v>
      </c>
      <c r="D725" s="11">
        <v>2024</v>
      </c>
      <c r="E725" s="10" t="s">
        <v>257</v>
      </c>
      <c r="F725" s="10" t="s">
        <v>83</v>
      </c>
      <c r="G725" s="10" t="s">
        <v>84</v>
      </c>
      <c r="H725" s="11">
        <v>30475</v>
      </c>
      <c r="I725" s="11">
        <v>1681</v>
      </c>
      <c r="J725" s="11">
        <v>1610</v>
      </c>
      <c r="K725" s="11">
        <v>22518</v>
      </c>
      <c r="L725" s="11">
        <v>5.5159967186218198E-2</v>
      </c>
      <c r="M725" s="11">
        <f t="shared" si="2"/>
        <v>5.5159967186218211</v>
      </c>
      <c r="N725" s="11">
        <v>0.95776323616894699</v>
      </c>
      <c r="O725" s="11">
        <v>0.73890073831008996</v>
      </c>
      <c r="P725" s="11">
        <v>0.53293918918918903</v>
      </c>
      <c r="Q725" s="11">
        <v>0.69696969696969702</v>
      </c>
      <c r="R725" s="11">
        <v>0.68181818181818199</v>
      </c>
      <c r="S725" s="10" t="s">
        <v>84</v>
      </c>
      <c r="T725" s="10" t="s">
        <v>84</v>
      </c>
      <c r="U725" s="10"/>
      <c r="V725" s="10"/>
      <c r="W725" s="10"/>
      <c r="X725" s="10"/>
      <c r="Y725" s="10"/>
      <c r="Z725" s="10"/>
      <c r="AA725" s="10"/>
    </row>
    <row r="726" spans="1:27" ht="12.5" hidden="1" x14ac:dyDescent="0.25">
      <c r="A726" s="10" t="s">
        <v>101</v>
      </c>
      <c r="B726" s="10" t="s">
        <v>1478</v>
      </c>
      <c r="C726" s="10" t="s">
        <v>191</v>
      </c>
      <c r="D726" s="11">
        <v>2024</v>
      </c>
      <c r="E726" s="10" t="s">
        <v>124</v>
      </c>
      <c r="F726" s="10" t="s">
        <v>125</v>
      </c>
      <c r="G726" s="10" t="s">
        <v>84</v>
      </c>
      <c r="H726" s="12">
        <v>1128</v>
      </c>
      <c r="I726" s="11">
        <v>62</v>
      </c>
      <c r="J726" s="11">
        <v>69</v>
      </c>
      <c r="K726" s="11">
        <v>27</v>
      </c>
      <c r="L726" s="11">
        <v>5.4988913525498902E-2</v>
      </c>
      <c r="M726" s="11">
        <f t="shared" si="2"/>
        <v>5.4964539007092199</v>
      </c>
      <c r="N726" s="11">
        <v>1.11290322580645</v>
      </c>
      <c r="O726" s="11">
        <v>2.3946784922394701E-2</v>
      </c>
      <c r="P726" s="11">
        <v>0.68259803921568596</v>
      </c>
      <c r="Q726" s="11">
        <v>0.6</v>
      </c>
      <c r="R726" s="11">
        <v>0.587209302325581</v>
      </c>
      <c r="S726" s="10" t="s">
        <v>84</v>
      </c>
      <c r="T726" s="10" t="s">
        <v>84</v>
      </c>
      <c r="U726" s="10"/>
      <c r="V726" s="10"/>
      <c r="W726" s="10"/>
      <c r="X726" s="10"/>
      <c r="Y726" s="10"/>
      <c r="Z726" s="10"/>
      <c r="AA726" s="10"/>
    </row>
    <row r="727" spans="1:27" ht="12.5" x14ac:dyDescent="0.25">
      <c r="A727" s="10" t="s">
        <v>34</v>
      </c>
      <c r="B727" s="10" t="s">
        <v>932</v>
      </c>
      <c r="C727" s="10" t="s">
        <v>76</v>
      </c>
      <c r="D727" s="11">
        <v>2024</v>
      </c>
      <c r="E727" s="10" t="s">
        <v>124</v>
      </c>
      <c r="F727" s="10" t="s">
        <v>83</v>
      </c>
      <c r="G727" s="10" t="s">
        <v>84</v>
      </c>
      <c r="H727" s="11">
        <v>10703</v>
      </c>
      <c r="I727" s="11">
        <v>588</v>
      </c>
      <c r="J727" s="11">
        <v>459</v>
      </c>
      <c r="K727" s="11">
        <v>5903</v>
      </c>
      <c r="L727" s="11">
        <v>5.4936156960448498E-2</v>
      </c>
      <c r="M727" s="11">
        <f t="shared" si="2"/>
        <v>5.4937867887508176</v>
      </c>
      <c r="N727" s="11">
        <v>0.780612244897959</v>
      </c>
      <c r="O727" s="11">
        <v>0.55151043288695101</v>
      </c>
      <c r="P727" s="11">
        <v>0.53125</v>
      </c>
      <c r="Q727" s="11">
        <v>0.79591836734693899</v>
      </c>
      <c r="R727" s="11">
        <v>0.38702460850111903</v>
      </c>
      <c r="S727" s="10" t="s">
        <v>84</v>
      </c>
      <c r="T727" s="10" t="s">
        <v>84</v>
      </c>
      <c r="U727" s="10"/>
      <c r="V727" s="10"/>
      <c r="W727" s="10"/>
      <c r="X727" s="10"/>
      <c r="Y727" s="10"/>
      <c r="Z727" s="10"/>
      <c r="AA727" s="10"/>
    </row>
    <row r="728" spans="1:27" ht="12.5" x14ac:dyDescent="0.25">
      <c r="A728" s="10" t="s">
        <v>13</v>
      </c>
      <c r="B728" s="10" t="s">
        <v>741</v>
      </c>
      <c r="C728" s="10" t="s">
        <v>76</v>
      </c>
      <c r="D728" s="11">
        <v>2024</v>
      </c>
      <c r="E728" s="10" t="s">
        <v>81</v>
      </c>
      <c r="F728" s="10" t="s">
        <v>83</v>
      </c>
      <c r="G728" s="10" t="s">
        <v>84</v>
      </c>
      <c r="H728" s="11">
        <v>9194</v>
      </c>
      <c r="I728" s="11">
        <v>504</v>
      </c>
      <c r="J728" s="11">
        <v>353</v>
      </c>
      <c r="K728" s="11">
        <v>0</v>
      </c>
      <c r="L728" s="11">
        <v>5.4820347340560502E-2</v>
      </c>
      <c r="M728" s="11">
        <f t="shared" si="2"/>
        <v>5.4818359799869478</v>
      </c>
      <c r="N728" s="11">
        <v>0.70039682539682502</v>
      </c>
      <c r="O728" s="11">
        <v>0</v>
      </c>
      <c r="P728" s="11">
        <v>0.52956081081081097</v>
      </c>
      <c r="Q728" s="11">
        <v>0.238095238095238</v>
      </c>
      <c r="R728" s="11">
        <v>0.59108527131782995</v>
      </c>
      <c r="S728" s="10" t="s">
        <v>84</v>
      </c>
      <c r="T728" s="10" t="s">
        <v>84</v>
      </c>
      <c r="U728" s="10"/>
      <c r="V728" s="10"/>
      <c r="W728" s="10"/>
      <c r="X728" s="10"/>
      <c r="Y728" s="10"/>
      <c r="Z728" s="10"/>
      <c r="AA728" s="10"/>
    </row>
    <row r="729" spans="1:27" ht="12.5" x14ac:dyDescent="0.25">
      <c r="A729" s="10" t="s">
        <v>72</v>
      </c>
      <c r="B729" s="10" t="s">
        <v>743</v>
      </c>
      <c r="C729" s="10" t="s">
        <v>76</v>
      </c>
      <c r="D729" s="11">
        <v>2024</v>
      </c>
      <c r="E729" s="10" t="s">
        <v>81</v>
      </c>
      <c r="F729" s="10" t="s">
        <v>83</v>
      </c>
      <c r="G729" s="10" t="s">
        <v>84</v>
      </c>
      <c r="H729" s="11">
        <v>40675</v>
      </c>
      <c r="I729" s="11">
        <v>2228</v>
      </c>
      <c r="J729" s="11">
        <v>1575</v>
      </c>
      <c r="K729" s="11">
        <v>19908</v>
      </c>
      <c r="L729" s="11">
        <v>5.4776334066798597E-2</v>
      </c>
      <c r="M729" s="11">
        <f t="shared" si="2"/>
        <v>5.4775660725261215</v>
      </c>
      <c r="N729" s="11">
        <v>0.706912028725314</v>
      </c>
      <c r="O729" s="11">
        <v>0.48944670493798298</v>
      </c>
      <c r="P729" s="11">
        <v>0.52787162162162204</v>
      </c>
      <c r="Q729" s="11">
        <v>0.8</v>
      </c>
      <c r="R729" s="11">
        <v>0.58914728682170503</v>
      </c>
      <c r="S729" s="10" t="s">
        <v>84</v>
      </c>
      <c r="T729" s="10" t="s">
        <v>84</v>
      </c>
      <c r="U729" s="10"/>
      <c r="V729" s="10"/>
      <c r="W729" s="10"/>
      <c r="X729" s="10"/>
      <c r="Y729" s="10"/>
      <c r="Z729" s="10"/>
      <c r="AA729" s="10"/>
    </row>
    <row r="730" spans="1:27" ht="12.5" x14ac:dyDescent="0.25">
      <c r="A730" s="10" t="s">
        <v>10</v>
      </c>
      <c r="B730" s="10" t="s">
        <v>745</v>
      </c>
      <c r="C730" s="10" t="s">
        <v>76</v>
      </c>
      <c r="D730" s="11">
        <v>2024</v>
      </c>
      <c r="E730" s="10" t="s">
        <v>81</v>
      </c>
      <c r="F730" s="10" t="s">
        <v>83</v>
      </c>
      <c r="G730" s="10" t="s">
        <v>84</v>
      </c>
      <c r="H730" s="11">
        <v>64246</v>
      </c>
      <c r="I730" s="11">
        <v>3519</v>
      </c>
      <c r="J730" s="11">
        <v>3219</v>
      </c>
      <c r="K730" s="11">
        <v>72842</v>
      </c>
      <c r="L730" s="11">
        <v>5.4774051201830501E-2</v>
      </c>
      <c r="M730" s="11">
        <f t="shared" si="2"/>
        <v>5.4773838059957036</v>
      </c>
      <c r="N730" s="11">
        <v>0.91474850809889197</v>
      </c>
      <c r="O730" s="11">
        <v>1.13380262507637</v>
      </c>
      <c r="P730" s="11">
        <v>0.52702702702702697</v>
      </c>
      <c r="Q730" s="11">
        <v>0.4</v>
      </c>
      <c r="R730" s="11">
        <v>0.587209302325581</v>
      </c>
      <c r="S730" s="10" t="s">
        <v>84</v>
      </c>
      <c r="T730" s="10" t="s">
        <v>84</v>
      </c>
      <c r="U730" s="10"/>
      <c r="V730" s="10"/>
      <c r="W730" s="10"/>
      <c r="X730" s="10"/>
      <c r="Y730" s="10"/>
      <c r="Z730" s="10"/>
      <c r="AA730" s="10"/>
    </row>
    <row r="731" spans="1:27" ht="12.5" x14ac:dyDescent="0.25">
      <c r="A731" s="10" t="s">
        <v>12</v>
      </c>
      <c r="B731" s="10" t="s">
        <v>746</v>
      </c>
      <c r="C731" s="10" t="s">
        <v>76</v>
      </c>
      <c r="D731" s="11">
        <v>2024</v>
      </c>
      <c r="E731" s="10" t="s">
        <v>81</v>
      </c>
      <c r="F731" s="10" t="s">
        <v>83</v>
      </c>
      <c r="G731" s="10" t="s">
        <v>84</v>
      </c>
      <c r="H731" s="11">
        <v>8370</v>
      </c>
      <c r="I731" s="11">
        <v>458</v>
      </c>
      <c r="J731" s="11">
        <v>401</v>
      </c>
      <c r="K731" s="11">
        <v>4436</v>
      </c>
      <c r="L731" s="11">
        <v>5.4721414632203598E-2</v>
      </c>
      <c r="M731" s="11">
        <f t="shared" si="2"/>
        <v>5.4719235364396654</v>
      </c>
      <c r="N731" s="11">
        <v>0.87554585152838404</v>
      </c>
      <c r="O731" s="11">
        <v>0.53000916006212895</v>
      </c>
      <c r="P731" s="11">
        <v>0.52618243243243201</v>
      </c>
      <c r="Q731" s="11">
        <v>0.34722222222222199</v>
      </c>
      <c r="R731" s="11">
        <v>0.58527131782945696</v>
      </c>
      <c r="S731" s="10" t="s">
        <v>84</v>
      </c>
      <c r="T731" s="10" t="s">
        <v>84</v>
      </c>
      <c r="U731" s="10"/>
      <c r="V731" s="10"/>
      <c r="W731" s="10"/>
      <c r="X731" s="10"/>
      <c r="Y731" s="10"/>
      <c r="Z731" s="10"/>
      <c r="AA731" s="10"/>
    </row>
    <row r="732" spans="1:27" ht="12.5" x14ac:dyDescent="0.25">
      <c r="A732" s="10" t="s">
        <v>6</v>
      </c>
      <c r="B732" s="10" t="s">
        <v>934</v>
      </c>
      <c r="C732" s="10" t="s">
        <v>76</v>
      </c>
      <c r="D732" s="11">
        <v>2024</v>
      </c>
      <c r="E732" s="10" t="s">
        <v>124</v>
      </c>
      <c r="F732" s="10" t="s">
        <v>83</v>
      </c>
      <c r="G732" s="10" t="s">
        <v>84</v>
      </c>
      <c r="H732" s="11">
        <v>134912</v>
      </c>
      <c r="I732" s="11">
        <v>7382</v>
      </c>
      <c r="J732" s="11">
        <v>6161</v>
      </c>
      <c r="K732" s="11">
        <v>38604</v>
      </c>
      <c r="L732" s="11">
        <v>5.4717148956356702E-2</v>
      </c>
      <c r="M732" s="11">
        <f t="shared" si="2"/>
        <v>5.4717148956356736</v>
      </c>
      <c r="N732" s="11">
        <v>0.83459767000812801</v>
      </c>
      <c r="O732" s="11">
        <v>0.28614207779886103</v>
      </c>
      <c r="P732" s="11">
        <v>0.52533783783783805</v>
      </c>
      <c r="Q732" s="11">
        <v>0.70967741935483897</v>
      </c>
      <c r="R732" s="11">
        <v>0.384787472035794</v>
      </c>
      <c r="S732" s="10" t="s">
        <v>84</v>
      </c>
      <c r="T732" s="10" t="s">
        <v>84</v>
      </c>
      <c r="U732" s="10"/>
      <c r="V732" s="10"/>
      <c r="W732" s="10"/>
      <c r="X732" s="10"/>
      <c r="Y732" s="10"/>
      <c r="Z732" s="10"/>
      <c r="AA732" s="10"/>
    </row>
    <row r="733" spans="1:27" ht="12.5" x14ac:dyDescent="0.25">
      <c r="A733" s="10" t="s">
        <v>12</v>
      </c>
      <c r="B733" s="10" t="s">
        <v>748</v>
      </c>
      <c r="C733" s="10" t="s">
        <v>76</v>
      </c>
      <c r="D733" s="11">
        <v>2024</v>
      </c>
      <c r="E733" s="10" t="s">
        <v>81</v>
      </c>
      <c r="F733" s="10" t="s">
        <v>83</v>
      </c>
      <c r="G733" s="10" t="s">
        <v>84</v>
      </c>
      <c r="H733" s="11">
        <v>21500</v>
      </c>
      <c r="I733" s="11">
        <v>1176</v>
      </c>
      <c r="J733" s="11">
        <v>1008</v>
      </c>
      <c r="K733" s="11">
        <v>36613</v>
      </c>
      <c r="L733" s="11">
        <v>5.4697038406530202E-2</v>
      </c>
      <c r="M733" s="11">
        <f t="shared" si="2"/>
        <v>5.4697674418604656</v>
      </c>
      <c r="N733" s="11">
        <v>0.85714285714285698</v>
      </c>
      <c r="O733" s="11">
        <v>1.7029104312740599</v>
      </c>
      <c r="P733" s="11">
        <v>0.52449324324324298</v>
      </c>
      <c r="Q733" s="11">
        <v>0.33333333333333298</v>
      </c>
      <c r="R733" s="11">
        <v>0.58333333333333304</v>
      </c>
      <c r="S733" s="10" t="s">
        <v>84</v>
      </c>
      <c r="T733" s="10" t="s">
        <v>84</v>
      </c>
      <c r="U733" s="10"/>
      <c r="V733" s="10"/>
      <c r="W733" s="10"/>
      <c r="X733" s="10"/>
      <c r="Y733" s="10"/>
      <c r="Z733" s="10"/>
      <c r="AA733" s="10"/>
    </row>
    <row r="734" spans="1:27" ht="12.5" hidden="1" x14ac:dyDescent="0.25">
      <c r="A734" s="10" t="s">
        <v>10</v>
      </c>
      <c r="B734" s="10" t="s">
        <v>1479</v>
      </c>
      <c r="C734" s="10" t="s">
        <v>191</v>
      </c>
      <c r="D734" s="11">
        <v>2024</v>
      </c>
      <c r="E734" s="10" t="s">
        <v>124</v>
      </c>
      <c r="F734" s="10" t="s">
        <v>125</v>
      </c>
      <c r="G734" s="10" t="s">
        <v>84</v>
      </c>
      <c r="H734" s="12">
        <v>2341</v>
      </c>
      <c r="I734" s="11">
        <v>128</v>
      </c>
      <c r="J734" s="11">
        <v>98</v>
      </c>
      <c r="K734" s="11">
        <v>2686</v>
      </c>
      <c r="L734" s="11">
        <v>5.4687221846405801E-2</v>
      </c>
      <c r="M734" s="11">
        <f t="shared" si="2"/>
        <v>5.4677488252883384</v>
      </c>
      <c r="N734" s="11">
        <v>0.765625</v>
      </c>
      <c r="O734" s="11">
        <v>1.1475771709331699</v>
      </c>
      <c r="P734" s="11">
        <v>0.68137254901960798</v>
      </c>
      <c r="Q734" s="11">
        <v>0.44827586206896602</v>
      </c>
      <c r="R734" s="11">
        <v>0.58527131782945696</v>
      </c>
      <c r="S734" s="10" t="s">
        <v>84</v>
      </c>
      <c r="T734" s="10" t="s">
        <v>84</v>
      </c>
      <c r="U734" s="10"/>
      <c r="V734" s="10"/>
      <c r="W734" s="10"/>
      <c r="X734" s="10"/>
      <c r="Y734" s="10"/>
      <c r="Z734" s="10"/>
      <c r="AA734" s="10"/>
    </row>
    <row r="735" spans="1:27" ht="12.5" x14ac:dyDescent="0.25">
      <c r="A735" s="10" t="s">
        <v>55</v>
      </c>
      <c r="B735" s="10" t="s">
        <v>750</v>
      </c>
      <c r="C735" s="10" t="s">
        <v>76</v>
      </c>
      <c r="D735" s="11">
        <v>2024</v>
      </c>
      <c r="E735" s="10" t="s">
        <v>81</v>
      </c>
      <c r="F735" s="10" t="s">
        <v>83</v>
      </c>
      <c r="G735" s="10" t="s">
        <v>84</v>
      </c>
      <c r="H735" s="11">
        <v>13110</v>
      </c>
      <c r="I735" s="11">
        <v>712</v>
      </c>
      <c r="J735" s="11">
        <v>678</v>
      </c>
      <c r="K735" s="11">
        <v>17561</v>
      </c>
      <c r="L735" s="11">
        <v>5.4309342045880699E-2</v>
      </c>
      <c r="M735" s="11">
        <f t="shared" si="2"/>
        <v>5.4309687261632345</v>
      </c>
      <c r="N735" s="11">
        <v>0.952247191011236</v>
      </c>
      <c r="O735" s="11">
        <v>1.33950330852207</v>
      </c>
      <c r="P735" s="11">
        <v>0.52280405405405395</v>
      </c>
      <c r="Q735" s="11">
        <v>0.36363636363636398</v>
      </c>
      <c r="R735" s="11">
        <v>0.581395348837209</v>
      </c>
      <c r="S735" s="10" t="s">
        <v>84</v>
      </c>
      <c r="T735" s="10" t="s">
        <v>84</v>
      </c>
      <c r="U735" s="10"/>
      <c r="V735" s="10"/>
      <c r="W735" s="10"/>
      <c r="X735" s="10"/>
      <c r="Y735" s="10"/>
      <c r="Z735" s="10"/>
      <c r="AA735" s="10"/>
    </row>
    <row r="736" spans="1:27" ht="12.5" x14ac:dyDescent="0.25">
      <c r="A736" s="10" t="s">
        <v>104</v>
      </c>
      <c r="B736" s="10" t="s">
        <v>752</v>
      </c>
      <c r="C736" s="10" t="s">
        <v>76</v>
      </c>
      <c r="D736" s="11">
        <v>2024</v>
      </c>
      <c r="E736" s="10" t="s">
        <v>81</v>
      </c>
      <c r="F736" s="10" t="s">
        <v>83</v>
      </c>
      <c r="G736" s="10" t="s">
        <v>84</v>
      </c>
      <c r="H736" s="11">
        <v>3446</v>
      </c>
      <c r="I736" s="11">
        <v>187</v>
      </c>
      <c r="J736" s="11">
        <v>171</v>
      </c>
      <c r="K736" s="11">
        <v>2621</v>
      </c>
      <c r="L736" s="11">
        <v>5.4259254781536398E-2</v>
      </c>
      <c r="M736" s="11">
        <f t="shared" si="2"/>
        <v>5.4265815438189202</v>
      </c>
      <c r="N736" s="11">
        <v>0.914438502673797</v>
      </c>
      <c r="O736" s="11">
        <v>0.76050003626955498</v>
      </c>
      <c r="P736" s="11">
        <v>0.52195945945945899</v>
      </c>
      <c r="Q736" s="11">
        <v>0.58620689655172398</v>
      </c>
      <c r="R736" s="11">
        <v>0.57945736434108497</v>
      </c>
      <c r="S736" s="10" t="s">
        <v>84</v>
      </c>
      <c r="T736" s="10" t="s">
        <v>84</v>
      </c>
      <c r="U736" s="10"/>
      <c r="V736" s="10"/>
      <c r="W736" s="10"/>
      <c r="X736" s="10"/>
      <c r="Y736" s="10"/>
      <c r="Z736" s="10"/>
      <c r="AA736" s="10"/>
    </row>
    <row r="737" spans="1:27" ht="12.5" x14ac:dyDescent="0.25">
      <c r="A737" s="10" t="s">
        <v>62</v>
      </c>
      <c r="B737" s="10" t="s">
        <v>936</v>
      </c>
      <c r="C737" s="10" t="s">
        <v>76</v>
      </c>
      <c r="D737" s="11">
        <v>2024</v>
      </c>
      <c r="E737" s="10" t="s">
        <v>124</v>
      </c>
      <c r="F737" s="10" t="s">
        <v>83</v>
      </c>
      <c r="G737" s="10" t="s">
        <v>84</v>
      </c>
      <c r="H737" s="11">
        <v>73667</v>
      </c>
      <c r="I737" s="11">
        <v>3982</v>
      </c>
      <c r="J737" s="11">
        <v>3325</v>
      </c>
      <c r="K737" s="11">
        <v>5157</v>
      </c>
      <c r="L737" s="11">
        <v>5.40539317606442E-2</v>
      </c>
      <c r="M737" s="11">
        <f t="shared" si="2"/>
        <v>5.4054054054054053</v>
      </c>
      <c r="N737" s="11">
        <v>0.83500753390256199</v>
      </c>
      <c r="O737" s="11">
        <v>7.0004049746268698E-2</v>
      </c>
      <c r="P737" s="11">
        <v>0.52027027027026995</v>
      </c>
      <c r="Q737" s="11">
        <v>0.61111111111111105</v>
      </c>
      <c r="R737" s="11">
        <v>0.38255033557047002</v>
      </c>
      <c r="S737" s="10" t="s">
        <v>84</v>
      </c>
      <c r="T737" s="10" t="s">
        <v>84</v>
      </c>
      <c r="U737" s="10"/>
      <c r="V737" s="10"/>
      <c r="W737" s="10"/>
      <c r="X737" s="10"/>
      <c r="Y737" s="10"/>
      <c r="Z737" s="10"/>
      <c r="AA737" s="10"/>
    </row>
    <row r="738" spans="1:27" ht="12.5" hidden="1" x14ac:dyDescent="0.25">
      <c r="A738" s="10" t="s">
        <v>14</v>
      </c>
      <c r="B738" s="10" t="s">
        <v>1480</v>
      </c>
      <c r="C738" s="10" t="s">
        <v>191</v>
      </c>
      <c r="D738" s="11">
        <v>2024</v>
      </c>
      <c r="E738" s="10" t="s">
        <v>124</v>
      </c>
      <c r="F738" s="10" t="s">
        <v>125</v>
      </c>
      <c r="G738" s="10" t="s">
        <v>84</v>
      </c>
      <c r="H738" s="12">
        <v>815.16666666666697</v>
      </c>
      <c r="I738" s="11">
        <v>44</v>
      </c>
      <c r="J738" s="11">
        <v>29</v>
      </c>
      <c r="K738" s="11">
        <v>88</v>
      </c>
      <c r="L738" s="11">
        <v>5.3976691883050501E-2</v>
      </c>
      <c r="M738" s="11">
        <f t="shared" si="2"/>
        <v>5.3976691883050476</v>
      </c>
      <c r="N738" s="11">
        <v>0.65909090909090895</v>
      </c>
      <c r="O738" s="11">
        <v>0.107953383766101</v>
      </c>
      <c r="P738" s="11">
        <v>0.68014705882352999</v>
      </c>
      <c r="Q738" s="11">
        <v>0.55319148936170204</v>
      </c>
      <c r="R738" s="11">
        <v>0.58333333333333304</v>
      </c>
      <c r="S738" s="10" t="s">
        <v>84</v>
      </c>
      <c r="T738" s="10" t="s">
        <v>84</v>
      </c>
      <c r="U738" s="10"/>
      <c r="V738" s="10"/>
      <c r="W738" s="10"/>
      <c r="X738" s="10"/>
      <c r="Y738" s="10"/>
      <c r="Z738" s="10"/>
      <c r="AA738" s="10"/>
    </row>
    <row r="739" spans="1:27" ht="12.5" x14ac:dyDescent="0.25">
      <c r="A739" s="10" t="s">
        <v>67</v>
      </c>
      <c r="B739" s="10" t="s">
        <v>1377</v>
      </c>
      <c r="C739" s="10" t="s">
        <v>76</v>
      </c>
      <c r="D739" s="11">
        <v>2024</v>
      </c>
      <c r="E739" s="10" t="s">
        <v>257</v>
      </c>
      <c r="F739" s="10" t="s">
        <v>83</v>
      </c>
      <c r="G739" s="10" t="s">
        <v>84</v>
      </c>
      <c r="H739" s="11">
        <v>20306</v>
      </c>
      <c r="I739" s="11">
        <v>1096</v>
      </c>
      <c r="J739" s="11">
        <v>324</v>
      </c>
      <c r="K739" s="11">
        <v>11604</v>
      </c>
      <c r="L739" s="11">
        <v>5.3974637829851901E-2</v>
      </c>
      <c r="M739" s="11">
        <f t="shared" si="2"/>
        <v>5.3974194819265247</v>
      </c>
      <c r="N739" s="11">
        <v>0.29562043795620402</v>
      </c>
      <c r="O739" s="11">
        <v>0.57146140271678902</v>
      </c>
      <c r="P739" s="11">
        <v>0.51942567567567599</v>
      </c>
      <c r="Q739" s="11">
        <v>0.71428571428571397</v>
      </c>
      <c r="R739" s="11">
        <v>0.65909090909090895</v>
      </c>
      <c r="S739" s="10" t="s">
        <v>84</v>
      </c>
      <c r="T739" s="10" t="s">
        <v>84</v>
      </c>
      <c r="U739" s="10"/>
      <c r="V739" s="10"/>
      <c r="W739" s="10"/>
      <c r="X739" s="10"/>
      <c r="Y739" s="10"/>
      <c r="Z739" s="10"/>
      <c r="AA739" s="10"/>
    </row>
    <row r="740" spans="1:27" ht="12.5" hidden="1" x14ac:dyDescent="0.25">
      <c r="A740" s="10" t="s">
        <v>16</v>
      </c>
      <c r="B740" s="10" t="s">
        <v>1481</v>
      </c>
      <c r="C740" s="10" t="s">
        <v>191</v>
      </c>
      <c r="D740" s="11">
        <v>2024</v>
      </c>
      <c r="E740" s="10" t="s">
        <v>124</v>
      </c>
      <c r="F740" s="10" t="s">
        <v>125</v>
      </c>
      <c r="G740" s="10" t="s">
        <v>84</v>
      </c>
      <c r="H740" s="12">
        <v>630.16666666666697</v>
      </c>
      <c r="I740" s="11">
        <v>34</v>
      </c>
      <c r="J740" s="11">
        <v>3</v>
      </c>
      <c r="K740" s="11">
        <v>0</v>
      </c>
      <c r="L740" s="11">
        <v>5.3953980428458101E-2</v>
      </c>
      <c r="M740" s="11">
        <f t="shared" si="2"/>
        <v>5.3953980428458053</v>
      </c>
      <c r="N740" s="11">
        <v>8.8235294117647106E-2</v>
      </c>
      <c r="O740" s="11">
        <v>0</v>
      </c>
      <c r="P740" s="11">
        <v>0.67892156862745101</v>
      </c>
      <c r="Q740" s="11">
        <v>0.75</v>
      </c>
      <c r="R740" s="11">
        <v>0.581395348837209</v>
      </c>
      <c r="S740" s="10" t="s">
        <v>84</v>
      </c>
      <c r="T740" s="10" t="s">
        <v>84</v>
      </c>
      <c r="U740" s="10"/>
      <c r="V740" s="10"/>
      <c r="W740" s="10"/>
      <c r="X740" s="10"/>
      <c r="Y740" s="10"/>
      <c r="Z740" s="10"/>
      <c r="AA740" s="10"/>
    </row>
    <row r="741" spans="1:27" ht="12.5" x14ac:dyDescent="0.25">
      <c r="A741" s="10" t="s">
        <v>12</v>
      </c>
      <c r="B741" s="10" t="s">
        <v>753</v>
      </c>
      <c r="C741" s="10" t="s">
        <v>76</v>
      </c>
      <c r="D741" s="11">
        <v>2024</v>
      </c>
      <c r="E741" s="10" t="s">
        <v>81</v>
      </c>
      <c r="F741" s="10" t="s">
        <v>83</v>
      </c>
      <c r="G741" s="10" t="s">
        <v>84</v>
      </c>
      <c r="H741" s="11">
        <v>12870</v>
      </c>
      <c r="I741" s="11">
        <v>693</v>
      </c>
      <c r="J741" s="11">
        <v>594</v>
      </c>
      <c r="K741" s="11">
        <v>7395</v>
      </c>
      <c r="L741" s="11">
        <v>5.38478971735682E-2</v>
      </c>
      <c r="M741" s="11">
        <f t="shared" si="2"/>
        <v>5.384615384615385</v>
      </c>
      <c r="N741" s="11">
        <v>0.85714285714285698</v>
      </c>
      <c r="O741" s="11">
        <v>0.57461067763136597</v>
      </c>
      <c r="P741" s="11">
        <v>0.51858108108108103</v>
      </c>
      <c r="Q741" s="11">
        <v>0.31944444444444398</v>
      </c>
      <c r="R741" s="11">
        <v>0.57751937984496104</v>
      </c>
      <c r="S741" s="10" t="s">
        <v>84</v>
      </c>
      <c r="T741" s="10" t="s">
        <v>84</v>
      </c>
      <c r="U741" s="10"/>
      <c r="V741" s="10"/>
      <c r="W741" s="10"/>
      <c r="X741" s="10"/>
      <c r="Y741" s="10"/>
      <c r="Z741" s="10"/>
      <c r="AA741" s="10"/>
    </row>
    <row r="742" spans="1:27" ht="12.5" hidden="1" x14ac:dyDescent="0.25">
      <c r="A742" s="10" t="s">
        <v>29</v>
      </c>
      <c r="B742" s="10" t="s">
        <v>1482</v>
      </c>
      <c r="C742" s="10" t="s">
        <v>191</v>
      </c>
      <c r="D742" s="11">
        <v>2024</v>
      </c>
      <c r="E742" s="10" t="s">
        <v>124</v>
      </c>
      <c r="F742" s="10" t="s">
        <v>125</v>
      </c>
      <c r="G742" s="10" t="s">
        <v>84</v>
      </c>
      <c r="H742" s="12">
        <v>3232</v>
      </c>
      <c r="I742" s="11">
        <v>174</v>
      </c>
      <c r="J742" s="11">
        <v>135</v>
      </c>
      <c r="K742" s="11">
        <v>3622</v>
      </c>
      <c r="L742" s="11">
        <v>5.38352455846332E-2</v>
      </c>
      <c r="M742" s="11">
        <f t="shared" si="2"/>
        <v>5.3836633663366333</v>
      </c>
      <c r="N742" s="11">
        <v>0.77586206896551702</v>
      </c>
      <c r="O742" s="11">
        <v>1.1206394224571401</v>
      </c>
      <c r="P742" s="11">
        <v>0.67769607843137303</v>
      </c>
      <c r="Q742" s="11">
        <v>0.60563380281690105</v>
      </c>
      <c r="R742" s="11">
        <v>0.57945736434108497</v>
      </c>
      <c r="S742" s="10" t="s">
        <v>84</v>
      </c>
      <c r="T742" s="10" t="s">
        <v>84</v>
      </c>
      <c r="U742" s="10"/>
      <c r="V742" s="10"/>
      <c r="W742" s="10"/>
      <c r="X742" s="10"/>
      <c r="Y742" s="10"/>
      <c r="Z742" s="10"/>
      <c r="AA742" s="10"/>
    </row>
    <row r="743" spans="1:27" ht="12.5" x14ac:dyDescent="0.25">
      <c r="A743" s="10" t="s">
        <v>14</v>
      </c>
      <c r="B743" s="10" t="s">
        <v>755</v>
      </c>
      <c r="C743" s="10" t="s">
        <v>76</v>
      </c>
      <c r="D743" s="11">
        <v>2024</v>
      </c>
      <c r="E743" s="10" t="s">
        <v>81</v>
      </c>
      <c r="F743" s="10" t="s">
        <v>83</v>
      </c>
      <c r="G743" s="10" t="s">
        <v>84</v>
      </c>
      <c r="H743" s="11">
        <v>20605</v>
      </c>
      <c r="I743" s="11">
        <v>1109</v>
      </c>
      <c r="J743" s="11">
        <v>1109</v>
      </c>
      <c r="K743" s="11">
        <v>4800</v>
      </c>
      <c r="L743" s="11">
        <v>5.3820799547044697E-2</v>
      </c>
      <c r="M743" s="11">
        <f t="shared" si="2"/>
        <v>5.3821887891288522</v>
      </c>
      <c r="N743" s="11">
        <v>1</v>
      </c>
      <c r="O743" s="11">
        <v>0.23294845610984199</v>
      </c>
      <c r="P743" s="11">
        <v>0.51773648648648696</v>
      </c>
      <c r="Q743" s="11">
        <v>0.14285714285714299</v>
      </c>
      <c r="R743" s="11">
        <v>0.57558139534883701</v>
      </c>
      <c r="S743" s="10" t="s">
        <v>84</v>
      </c>
      <c r="T743" s="10" t="s">
        <v>84</v>
      </c>
      <c r="U743" s="10"/>
      <c r="V743" s="10"/>
      <c r="W743" s="10"/>
      <c r="X743" s="10"/>
      <c r="Y743" s="10"/>
      <c r="Z743" s="10"/>
      <c r="AA743" s="10"/>
    </row>
    <row r="744" spans="1:27" ht="12.5" hidden="1" x14ac:dyDescent="0.25">
      <c r="A744" s="10" t="s">
        <v>12</v>
      </c>
      <c r="B744" s="10" t="s">
        <v>1483</v>
      </c>
      <c r="C744" s="10" t="s">
        <v>191</v>
      </c>
      <c r="D744" s="11">
        <v>2024</v>
      </c>
      <c r="E744" s="10" t="s">
        <v>124</v>
      </c>
      <c r="F744" s="10" t="s">
        <v>125</v>
      </c>
      <c r="G744" s="10" t="s">
        <v>84</v>
      </c>
      <c r="H744" s="12">
        <v>580.91666666666697</v>
      </c>
      <c r="I744" s="11">
        <v>31</v>
      </c>
      <c r="J744" s="11">
        <v>31</v>
      </c>
      <c r="K744" s="11">
        <v>91</v>
      </c>
      <c r="L744" s="11">
        <v>5.3363936307559902E-2</v>
      </c>
      <c r="M744" s="11">
        <f t="shared" si="2"/>
        <v>5.3363936307559863</v>
      </c>
      <c r="N744" s="11">
        <v>1</v>
      </c>
      <c r="O744" s="11">
        <v>0.15664897432219199</v>
      </c>
      <c r="P744" s="11">
        <v>0.67524509803921595</v>
      </c>
      <c r="Q744" s="11">
        <v>0.58730158730158699</v>
      </c>
      <c r="R744" s="11">
        <v>0.57751937984496104</v>
      </c>
      <c r="S744" s="10" t="s">
        <v>84</v>
      </c>
      <c r="T744" s="10" t="s">
        <v>84</v>
      </c>
      <c r="U744" s="10"/>
      <c r="V744" s="10"/>
      <c r="W744" s="10"/>
      <c r="X744" s="10"/>
      <c r="Y744" s="10"/>
      <c r="Z744" s="10"/>
      <c r="AA744" s="10"/>
    </row>
    <row r="745" spans="1:27" ht="12.5" x14ac:dyDescent="0.25">
      <c r="A745" s="10" t="s">
        <v>82</v>
      </c>
      <c r="B745" s="10" t="s">
        <v>939</v>
      </c>
      <c r="C745" s="10" t="s">
        <v>76</v>
      </c>
      <c r="D745" s="11">
        <v>2024</v>
      </c>
      <c r="E745" s="10" t="s">
        <v>124</v>
      </c>
      <c r="F745" s="10" t="s">
        <v>83</v>
      </c>
      <c r="G745" s="10" t="s">
        <v>84</v>
      </c>
      <c r="H745" s="11">
        <v>3945</v>
      </c>
      <c r="I745" s="11">
        <v>210</v>
      </c>
      <c r="J745" s="11">
        <v>199</v>
      </c>
      <c r="K745" s="11">
        <v>4322</v>
      </c>
      <c r="L745" s="11">
        <v>5.32330636473098E-2</v>
      </c>
      <c r="M745" s="11">
        <f t="shared" si="2"/>
        <v>5.3231939163498092</v>
      </c>
      <c r="N745" s="11">
        <v>0.94761904761904803</v>
      </c>
      <c r="O745" s="11">
        <v>1.0955871480174899</v>
      </c>
      <c r="P745" s="11">
        <v>0.516891891891892</v>
      </c>
      <c r="Q745" s="11">
        <v>0.81034482758620696</v>
      </c>
      <c r="R745" s="11">
        <v>0.38031319910514499</v>
      </c>
      <c r="S745" s="10" t="s">
        <v>84</v>
      </c>
      <c r="T745" s="10" t="s">
        <v>84</v>
      </c>
      <c r="U745" s="10"/>
      <c r="V745" s="10"/>
      <c r="W745" s="10"/>
      <c r="X745" s="10"/>
      <c r="Y745" s="10"/>
      <c r="Z745" s="10"/>
      <c r="AA745" s="10"/>
    </row>
    <row r="746" spans="1:27" ht="12.5" x14ac:dyDescent="0.25">
      <c r="A746" s="10" t="s">
        <v>58</v>
      </c>
      <c r="B746" s="10" t="s">
        <v>757</v>
      </c>
      <c r="C746" s="10" t="s">
        <v>76</v>
      </c>
      <c r="D746" s="11">
        <v>2024</v>
      </c>
      <c r="E746" s="10" t="s">
        <v>81</v>
      </c>
      <c r="F746" s="10" t="s">
        <v>83</v>
      </c>
      <c r="G746" s="10" t="s">
        <v>84</v>
      </c>
      <c r="H746" s="11">
        <v>12607</v>
      </c>
      <c r="I746" s="11">
        <v>670</v>
      </c>
      <c r="J746" s="11">
        <v>526</v>
      </c>
      <c r="K746" s="11">
        <v>26578</v>
      </c>
      <c r="L746" s="11">
        <v>5.3145078131197003E-2</v>
      </c>
      <c r="M746" s="11">
        <f t="shared" si="2"/>
        <v>5.314507813119695</v>
      </c>
      <c r="N746" s="11">
        <v>0.78507462686567198</v>
      </c>
      <c r="O746" s="11">
        <v>2.1081938605536599</v>
      </c>
      <c r="P746" s="11">
        <v>0.51604729729729704</v>
      </c>
      <c r="Q746" s="11">
        <v>0.27027027027027001</v>
      </c>
      <c r="R746" s="11">
        <v>0.57364341085271298</v>
      </c>
      <c r="S746" s="10" t="s">
        <v>84</v>
      </c>
      <c r="T746" s="10" t="s">
        <v>84</v>
      </c>
      <c r="U746" s="10"/>
      <c r="V746" s="10"/>
      <c r="W746" s="10"/>
      <c r="X746" s="10"/>
      <c r="Y746" s="10"/>
      <c r="Z746" s="10"/>
      <c r="AA746" s="10"/>
    </row>
    <row r="747" spans="1:27" ht="12.5" x14ac:dyDescent="0.25">
      <c r="A747" s="10" t="s">
        <v>52</v>
      </c>
      <c r="B747" s="10" t="s">
        <v>758</v>
      </c>
      <c r="C747" s="10" t="s">
        <v>76</v>
      </c>
      <c r="D747" s="11">
        <v>2024</v>
      </c>
      <c r="E747" s="10" t="s">
        <v>81</v>
      </c>
      <c r="F747" s="10" t="s">
        <v>83</v>
      </c>
      <c r="G747" s="10" t="s">
        <v>84</v>
      </c>
      <c r="H747" s="11">
        <v>24826</v>
      </c>
      <c r="I747" s="11">
        <v>1318</v>
      </c>
      <c r="J747" s="11">
        <v>1253</v>
      </c>
      <c r="K747" s="11">
        <v>34511</v>
      </c>
      <c r="L747" s="11">
        <v>5.3088611928825802E-2</v>
      </c>
      <c r="M747" s="11">
        <f t="shared" si="2"/>
        <v>5.3089502940465643</v>
      </c>
      <c r="N747" s="11">
        <v>0.95068285280728404</v>
      </c>
      <c r="O747" s="11">
        <v>1.3900918712258801</v>
      </c>
      <c r="P747" s="11">
        <v>0.51520270270270296</v>
      </c>
      <c r="Q747" s="11">
        <v>0.42553191489361702</v>
      </c>
      <c r="R747" s="11">
        <v>0.57170542635658905</v>
      </c>
      <c r="S747" s="10" t="s">
        <v>84</v>
      </c>
      <c r="T747" s="10" t="s">
        <v>84</v>
      </c>
      <c r="U747" s="10"/>
      <c r="V747" s="10"/>
      <c r="W747" s="10"/>
      <c r="X747" s="10"/>
      <c r="Y747" s="10"/>
      <c r="Z747" s="10"/>
      <c r="AA747" s="10"/>
    </row>
    <row r="748" spans="1:27" ht="12.5" x14ac:dyDescent="0.25">
      <c r="A748" s="10" t="s">
        <v>67</v>
      </c>
      <c r="B748" s="10" t="s">
        <v>1380</v>
      </c>
      <c r="C748" s="10" t="s">
        <v>76</v>
      </c>
      <c r="D748" s="11">
        <v>2024</v>
      </c>
      <c r="E748" s="10" t="s">
        <v>257</v>
      </c>
      <c r="F748" s="10" t="s">
        <v>83</v>
      </c>
      <c r="G748" s="10" t="s">
        <v>84</v>
      </c>
      <c r="H748" s="11">
        <v>5295</v>
      </c>
      <c r="I748" s="11">
        <v>281</v>
      </c>
      <c r="J748" s="11">
        <v>6</v>
      </c>
      <c r="K748" s="11">
        <v>5637</v>
      </c>
      <c r="L748" s="11">
        <v>5.3065592345461397E-2</v>
      </c>
      <c r="M748" s="11">
        <f t="shared" si="2"/>
        <v>5.3068932955618511</v>
      </c>
      <c r="N748" s="11">
        <v>2.1352313167259801E-2</v>
      </c>
      <c r="O748" s="11">
        <v>1.06452222082337</v>
      </c>
      <c r="P748" s="11">
        <v>0.514358108108108</v>
      </c>
      <c r="Q748" s="11">
        <v>0.66666666666666696</v>
      </c>
      <c r="R748" s="11">
        <v>0.63636363636363602</v>
      </c>
      <c r="S748" s="10" t="s">
        <v>84</v>
      </c>
      <c r="T748" s="10" t="s">
        <v>84</v>
      </c>
      <c r="U748" s="10"/>
      <c r="V748" s="10"/>
      <c r="W748" s="10"/>
      <c r="X748" s="10"/>
      <c r="Y748" s="10"/>
      <c r="Z748" s="10"/>
      <c r="AA748" s="10"/>
    </row>
    <row r="749" spans="1:27" ht="12.5" x14ac:dyDescent="0.25">
      <c r="A749" s="10" t="s">
        <v>104</v>
      </c>
      <c r="B749" s="10" t="s">
        <v>761</v>
      </c>
      <c r="C749" s="10" t="s">
        <v>76</v>
      </c>
      <c r="D749" s="11">
        <v>2024</v>
      </c>
      <c r="E749" s="10" t="s">
        <v>81</v>
      </c>
      <c r="F749" s="10" t="s">
        <v>83</v>
      </c>
      <c r="G749" s="10" t="s">
        <v>84</v>
      </c>
      <c r="H749" s="11">
        <v>5145</v>
      </c>
      <c r="I749" s="11">
        <v>273</v>
      </c>
      <c r="J749" s="11">
        <v>231</v>
      </c>
      <c r="K749" s="11">
        <v>6771</v>
      </c>
      <c r="L749" s="11">
        <v>5.3056927686452302E-2</v>
      </c>
      <c r="M749" s="11">
        <f t="shared" si="2"/>
        <v>5.3061224489795915</v>
      </c>
      <c r="N749" s="11">
        <v>0.84615384615384603</v>
      </c>
      <c r="O749" s="11">
        <v>1.3159284152563</v>
      </c>
      <c r="P749" s="11">
        <v>0.51351351351351304</v>
      </c>
      <c r="Q749" s="11">
        <v>0.55172413793103403</v>
      </c>
      <c r="R749" s="11">
        <v>0.56976744186046502</v>
      </c>
      <c r="S749" s="10" t="s">
        <v>84</v>
      </c>
      <c r="T749" s="10" t="s">
        <v>84</v>
      </c>
      <c r="U749" s="10"/>
      <c r="V749" s="10"/>
      <c r="W749" s="10"/>
      <c r="X749" s="10"/>
      <c r="Y749" s="10"/>
      <c r="Z749" s="10"/>
      <c r="AA749" s="10"/>
    </row>
    <row r="750" spans="1:27" ht="12.5" x14ac:dyDescent="0.25">
      <c r="A750" s="10" t="s">
        <v>34</v>
      </c>
      <c r="B750" s="10" t="s">
        <v>942</v>
      </c>
      <c r="C750" s="10" t="s">
        <v>76</v>
      </c>
      <c r="D750" s="11">
        <v>2024</v>
      </c>
      <c r="E750" s="10" t="s">
        <v>124</v>
      </c>
      <c r="F750" s="10" t="s">
        <v>125</v>
      </c>
      <c r="G750" s="10" t="s">
        <v>84</v>
      </c>
      <c r="H750" s="11">
        <v>6522</v>
      </c>
      <c r="I750" s="11">
        <v>346</v>
      </c>
      <c r="J750" s="11">
        <v>337</v>
      </c>
      <c r="K750" s="11">
        <v>7152</v>
      </c>
      <c r="L750" s="11">
        <v>5.3051211284881897E-2</v>
      </c>
      <c r="M750" s="11">
        <f t="shared" si="2"/>
        <v>5.3051211284881941</v>
      </c>
      <c r="N750" s="11">
        <v>0.97398843930635803</v>
      </c>
      <c r="O750" s="11">
        <v>1.09659613615455</v>
      </c>
      <c r="P750" s="11">
        <v>0.51266891891891897</v>
      </c>
      <c r="Q750" s="11">
        <v>0.77551020408163296</v>
      </c>
      <c r="R750" s="11">
        <v>0.37807606263982102</v>
      </c>
      <c r="S750" s="10" t="s">
        <v>84</v>
      </c>
      <c r="T750" s="10" t="s">
        <v>84</v>
      </c>
      <c r="U750" s="10"/>
      <c r="V750" s="10"/>
      <c r="W750" s="10"/>
      <c r="X750" s="10"/>
      <c r="Y750" s="10"/>
      <c r="Z750" s="10"/>
      <c r="AA750" s="10"/>
    </row>
    <row r="751" spans="1:27" ht="12.5" x14ac:dyDescent="0.25">
      <c r="A751" s="10" t="s">
        <v>55</v>
      </c>
      <c r="B751" s="10" t="s">
        <v>763</v>
      </c>
      <c r="C751" s="10" t="s">
        <v>76</v>
      </c>
      <c r="D751" s="11">
        <v>2024</v>
      </c>
      <c r="E751" s="10" t="s">
        <v>81</v>
      </c>
      <c r="F751" s="10" t="s">
        <v>83</v>
      </c>
      <c r="G751" s="10" t="s">
        <v>84</v>
      </c>
      <c r="H751" s="11">
        <v>15345</v>
      </c>
      <c r="I751" s="11">
        <v>813</v>
      </c>
      <c r="J751" s="11">
        <v>768</v>
      </c>
      <c r="K751" s="11">
        <v>5323</v>
      </c>
      <c r="L751" s="11">
        <v>5.29802763055E-2</v>
      </c>
      <c r="M751" s="11">
        <f t="shared" si="2"/>
        <v>5.2981427174975559</v>
      </c>
      <c r="N751" s="11">
        <v>0.94464944649446503</v>
      </c>
      <c r="O751" s="11">
        <v>0.34688070205925797</v>
      </c>
      <c r="P751" s="11">
        <v>0.51182432432432401</v>
      </c>
      <c r="Q751" s="11">
        <v>0.31818181818181801</v>
      </c>
      <c r="R751" s="11">
        <v>0.56782945736434098</v>
      </c>
      <c r="S751" s="10" t="s">
        <v>84</v>
      </c>
      <c r="T751" s="10" t="s">
        <v>84</v>
      </c>
      <c r="U751" s="10"/>
      <c r="V751" s="10"/>
      <c r="W751" s="10"/>
      <c r="X751" s="10"/>
      <c r="Y751" s="10"/>
      <c r="Z751" s="10"/>
      <c r="AA751" s="10"/>
    </row>
    <row r="752" spans="1:27" ht="12.5" x14ac:dyDescent="0.25">
      <c r="A752" s="10" t="s">
        <v>16</v>
      </c>
      <c r="B752" s="10" t="s">
        <v>944</v>
      </c>
      <c r="C752" s="10" t="s">
        <v>76</v>
      </c>
      <c r="D752" s="11">
        <v>2024</v>
      </c>
      <c r="E752" s="10" t="s">
        <v>124</v>
      </c>
      <c r="F752" s="10" t="s">
        <v>83</v>
      </c>
      <c r="G752" s="10" t="s">
        <v>84</v>
      </c>
      <c r="H752" s="11">
        <v>24600</v>
      </c>
      <c r="I752" s="11">
        <v>1297</v>
      </c>
      <c r="J752" s="11">
        <v>600</v>
      </c>
      <c r="K752" s="11">
        <v>108520</v>
      </c>
      <c r="L752" s="11">
        <v>5.2723577235772402E-2</v>
      </c>
      <c r="M752" s="11">
        <f t="shared" si="2"/>
        <v>5.2723577235772359</v>
      </c>
      <c r="N752" s="11">
        <v>0.46260601387818001</v>
      </c>
      <c r="O752" s="11">
        <v>4.4113821138211398</v>
      </c>
      <c r="P752" s="11">
        <v>0.51097972972973005</v>
      </c>
      <c r="Q752" s="11">
        <v>0.2</v>
      </c>
      <c r="R752" s="11">
        <v>0.37583892617449699</v>
      </c>
      <c r="S752" s="10" t="s">
        <v>84</v>
      </c>
      <c r="T752" s="10" t="s">
        <v>84</v>
      </c>
      <c r="U752" s="10"/>
      <c r="V752" s="10"/>
      <c r="W752" s="10"/>
      <c r="X752" s="10"/>
      <c r="Y752" s="10"/>
      <c r="Z752" s="10"/>
      <c r="AA752" s="10"/>
    </row>
    <row r="753" spans="1:27" ht="12.5" hidden="1" x14ac:dyDescent="0.25">
      <c r="A753" s="10" t="s">
        <v>53</v>
      </c>
      <c r="B753" s="10" t="s">
        <v>1484</v>
      </c>
      <c r="C753" s="10" t="s">
        <v>191</v>
      </c>
      <c r="D753" s="11">
        <v>2024</v>
      </c>
      <c r="E753" s="10" t="s">
        <v>124</v>
      </c>
      <c r="F753" s="10" t="s">
        <v>125</v>
      </c>
      <c r="G753" s="10" t="s">
        <v>84</v>
      </c>
      <c r="H753" s="12">
        <v>645.83333333333303</v>
      </c>
      <c r="I753" s="11">
        <v>34</v>
      </c>
      <c r="J753" s="11">
        <v>34</v>
      </c>
      <c r="K753" s="11">
        <v>390</v>
      </c>
      <c r="L753" s="11">
        <v>5.2645161290322602E-2</v>
      </c>
      <c r="M753" s="11">
        <f t="shared" si="2"/>
        <v>5.26451612903226</v>
      </c>
      <c r="N753" s="11">
        <v>1</v>
      </c>
      <c r="O753" s="11">
        <v>0.60387096774193505</v>
      </c>
      <c r="P753" s="11">
        <v>0.67156862745098</v>
      </c>
      <c r="Q753" s="11">
        <v>0.90322580645161299</v>
      </c>
      <c r="R753" s="11">
        <v>0.57558139534883701</v>
      </c>
      <c r="S753" s="10" t="s">
        <v>84</v>
      </c>
      <c r="T753" s="10" t="s">
        <v>84</v>
      </c>
      <c r="U753" s="10"/>
      <c r="V753" s="10"/>
      <c r="W753" s="10"/>
      <c r="X753" s="10"/>
      <c r="Y753" s="10"/>
      <c r="Z753" s="10"/>
      <c r="AA753" s="10"/>
    </row>
    <row r="754" spans="1:27" ht="12.5" hidden="1" x14ac:dyDescent="0.25">
      <c r="A754" s="10" t="s">
        <v>32</v>
      </c>
      <c r="B754" s="10" t="s">
        <v>1485</v>
      </c>
      <c r="C754" s="10" t="s">
        <v>191</v>
      </c>
      <c r="D754" s="11">
        <v>2024</v>
      </c>
      <c r="E754" s="10" t="s">
        <v>124</v>
      </c>
      <c r="F754" s="10" t="s">
        <v>125</v>
      </c>
      <c r="G754" s="10" t="s">
        <v>84</v>
      </c>
      <c r="H754" s="12">
        <v>6841</v>
      </c>
      <c r="I754" s="11">
        <v>358</v>
      </c>
      <c r="J754" s="11">
        <v>225</v>
      </c>
      <c r="K754" s="11">
        <v>14125</v>
      </c>
      <c r="L754" s="11">
        <v>5.2332167959946899E-2</v>
      </c>
      <c r="M754" s="11">
        <f t="shared" si="2"/>
        <v>5.2331530478000294</v>
      </c>
      <c r="N754" s="11">
        <v>0.62849162011173199</v>
      </c>
      <c r="O754" s="11">
        <v>2.0647817665761199</v>
      </c>
      <c r="P754" s="11">
        <v>0.67034313725490202</v>
      </c>
      <c r="Q754" s="11">
        <v>0.57142857142857095</v>
      </c>
      <c r="R754" s="11">
        <v>0.57364341085271298</v>
      </c>
      <c r="S754" s="10" t="s">
        <v>84</v>
      </c>
      <c r="T754" s="10" t="s">
        <v>84</v>
      </c>
      <c r="U754" s="10"/>
      <c r="V754" s="10"/>
      <c r="W754" s="10"/>
      <c r="X754" s="10"/>
      <c r="Y754" s="10"/>
      <c r="Z754" s="10"/>
      <c r="AA754" s="10"/>
    </row>
    <row r="755" spans="1:27" ht="12.5" x14ac:dyDescent="0.25">
      <c r="A755" s="10" t="s">
        <v>52</v>
      </c>
      <c r="B755" s="10" t="s">
        <v>764</v>
      </c>
      <c r="C755" s="10" t="s">
        <v>76</v>
      </c>
      <c r="D755" s="11">
        <v>2024</v>
      </c>
      <c r="E755" s="10" t="s">
        <v>81</v>
      </c>
      <c r="F755" s="10" t="s">
        <v>83</v>
      </c>
      <c r="G755" s="10" t="s">
        <v>84</v>
      </c>
      <c r="H755" s="11">
        <v>18770</v>
      </c>
      <c r="I755" s="11">
        <v>981</v>
      </c>
      <c r="J755" s="11">
        <v>791</v>
      </c>
      <c r="K755" s="11">
        <v>14787</v>
      </c>
      <c r="L755" s="11">
        <v>5.2263323329367298E-2</v>
      </c>
      <c r="M755" s="11">
        <f t="shared" si="2"/>
        <v>5.2264251465103895</v>
      </c>
      <c r="N755" s="11">
        <v>0.80632008154943902</v>
      </c>
      <c r="O755" s="11">
        <v>0.78778569018486599</v>
      </c>
      <c r="P755" s="11">
        <v>0.50929054054054101</v>
      </c>
      <c r="Q755" s="11">
        <v>0.40425531914893598</v>
      </c>
      <c r="R755" s="11">
        <v>0.56589147286821695</v>
      </c>
      <c r="S755" s="10" t="s">
        <v>84</v>
      </c>
      <c r="T755" s="10" t="s">
        <v>84</v>
      </c>
      <c r="U755" s="10"/>
      <c r="V755" s="10"/>
      <c r="W755" s="10"/>
      <c r="X755" s="10"/>
      <c r="Y755" s="10"/>
      <c r="Z755" s="10"/>
      <c r="AA755" s="10"/>
    </row>
    <row r="756" spans="1:27" ht="12.5" x14ac:dyDescent="0.25">
      <c r="A756" s="10" t="s">
        <v>91</v>
      </c>
      <c r="B756" s="10" t="s">
        <v>766</v>
      </c>
      <c r="C756" s="10" t="s">
        <v>76</v>
      </c>
      <c r="D756" s="11">
        <v>2024</v>
      </c>
      <c r="E756" s="10" t="s">
        <v>81</v>
      </c>
      <c r="F756" s="10" t="s">
        <v>83</v>
      </c>
      <c r="G756" s="10" t="s">
        <v>84</v>
      </c>
      <c r="H756" s="11">
        <v>13576</v>
      </c>
      <c r="I756" s="11">
        <v>707</v>
      </c>
      <c r="J756" s="11">
        <v>698</v>
      </c>
      <c r="K756" s="11">
        <v>6632</v>
      </c>
      <c r="L756" s="11">
        <v>5.2076236074026297E-2</v>
      </c>
      <c r="M756" s="11">
        <f t="shared" si="2"/>
        <v>5.2077195050088392</v>
      </c>
      <c r="N756" s="11">
        <v>0.98727015558698705</v>
      </c>
      <c r="O756" s="11">
        <v>0.48850013810882997</v>
      </c>
      <c r="P756" s="11">
        <v>0.50760135135135098</v>
      </c>
      <c r="Q756" s="11">
        <v>0.66666666666666696</v>
      </c>
      <c r="R756" s="11">
        <v>0.56395348837209303</v>
      </c>
      <c r="S756" s="10" t="s">
        <v>84</v>
      </c>
      <c r="T756" s="10" t="s">
        <v>84</v>
      </c>
      <c r="U756" s="10"/>
      <c r="V756" s="10"/>
      <c r="W756" s="10"/>
      <c r="X756" s="10"/>
      <c r="Y756" s="10"/>
      <c r="Z756" s="10"/>
      <c r="AA756" s="10"/>
    </row>
    <row r="757" spans="1:27" ht="12.5" x14ac:dyDescent="0.25">
      <c r="A757" s="10" t="s">
        <v>82</v>
      </c>
      <c r="B757" s="10" t="s">
        <v>947</v>
      </c>
      <c r="C757" s="10" t="s">
        <v>76</v>
      </c>
      <c r="D757" s="11">
        <v>2024</v>
      </c>
      <c r="E757" s="10" t="s">
        <v>124</v>
      </c>
      <c r="F757" s="10" t="s">
        <v>83</v>
      </c>
      <c r="G757" s="10" t="s">
        <v>84</v>
      </c>
      <c r="H757" s="11">
        <v>2900</v>
      </c>
      <c r="I757" s="11">
        <v>151</v>
      </c>
      <c r="J757" s="11">
        <v>147</v>
      </c>
      <c r="K757" s="11">
        <v>5785</v>
      </c>
      <c r="L757" s="11">
        <v>5.2062981266521098E-2</v>
      </c>
      <c r="M757" s="11">
        <f t="shared" si="2"/>
        <v>5.2068965517241379</v>
      </c>
      <c r="N757" s="11">
        <v>0.97350993377483397</v>
      </c>
      <c r="O757" s="11">
        <v>1.9945983220319501</v>
      </c>
      <c r="P757" s="11">
        <v>0.50675675675675702</v>
      </c>
      <c r="Q757" s="11">
        <v>0.79310344827586199</v>
      </c>
      <c r="R757" s="11">
        <v>0.37360178970917202</v>
      </c>
      <c r="S757" s="10" t="s">
        <v>84</v>
      </c>
      <c r="T757" s="10" t="s">
        <v>84</v>
      </c>
      <c r="U757" s="10"/>
      <c r="V757" s="10"/>
      <c r="W757" s="10"/>
      <c r="X757" s="10"/>
      <c r="Y757" s="10"/>
      <c r="Z757" s="10"/>
      <c r="AA757" s="10"/>
    </row>
    <row r="758" spans="1:27" ht="12.5" x14ac:dyDescent="0.25">
      <c r="A758" s="10" t="s">
        <v>12</v>
      </c>
      <c r="B758" s="10" t="s">
        <v>769</v>
      </c>
      <c r="C758" s="10" t="s">
        <v>76</v>
      </c>
      <c r="D758" s="11">
        <v>2024</v>
      </c>
      <c r="E758" s="10" t="s">
        <v>81</v>
      </c>
      <c r="F758" s="10" t="s">
        <v>83</v>
      </c>
      <c r="G758" s="10" t="s">
        <v>84</v>
      </c>
      <c r="H758" s="11">
        <v>4861</v>
      </c>
      <c r="I758" s="11">
        <v>252</v>
      </c>
      <c r="J758" s="11">
        <v>166</v>
      </c>
      <c r="K758" s="11">
        <v>13435</v>
      </c>
      <c r="L758" s="11">
        <v>5.1842073682947298E-2</v>
      </c>
      <c r="M758" s="11">
        <f t="shared" si="2"/>
        <v>5.1841184941370093</v>
      </c>
      <c r="N758" s="11">
        <v>0.65873015873015905</v>
      </c>
      <c r="O758" s="11">
        <v>2.76388198385078</v>
      </c>
      <c r="P758" s="11">
        <v>0.50591216216216195</v>
      </c>
      <c r="Q758" s="11">
        <v>0.30555555555555602</v>
      </c>
      <c r="R758" s="11">
        <v>0.56201550387596899</v>
      </c>
      <c r="S758" s="10" t="s">
        <v>84</v>
      </c>
      <c r="T758" s="10" t="s">
        <v>84</v>
      </c>
      <c r="U758" s="10"/>
      <c r="V758" s="10"/>
      <c r="W758" s="10"/>
      <c r="X758" s="10"/>
      <c r="Y758" s="10"/>
      <c r="Z758" s="10"/>
      <c r="AA758" s="10"/>
    </row>
    <row r="759" spans="1:27" ht="12.5" x14ac:dyDescent="0.25">
      <c r="A759" s="10" t="s">
        <v>58</v>
      </c>
      <c r="B759" s="10" t="s">
        <v>771</v>
      </c>
      <c r="C759" s="10" t="s">
        <v>76</v>
      </c>
      <c r="D759" s="11">
        <v>2024</v>
      </c>
      <c r="E759" s="10" t="s">
        <v>81</v>
      </c>
      <c r="F759" s="10" t="s">
        <v>83</v>
      </c>
      <c r="G759" s="10" t="s">
        <v>84</v>
      </c>
      <c r="H759" s="11">
        <v>60641</v>
      </c>
      <c r="I759" s="11">
        <v>3141</v>
      </c>
      <c r="J759" s="11">
        <v>2844</v>
      </c>
      <c r="K759" s="11">
        <v>83612</v>
      </c>
      <c r="L759" s="11">
        <v>5.1796283343204699E-2</v>
      </c>
      <c r="M759" s="11">
        <f t="shared" si="2"/>
        <v>5.1796639237479587</v>
      </c>
      <c r="N759" s="11">
        <v>0.90544412607449898</v>
      </c>
      <c r="O759" s="11">
        <v>1.3787936462566199</v>
      </c>
      <c r="P759" s="11">
        <v>0.50506756756756799</v>
      </c>
      <c r="Q759" s="11">
        <v>0.24324324324324301</v>
      </c>
      <c r="R759" s="11">
        <v>0.56007751937984496</v>
      </c>
      <c r="S759" s="10" t="s">
        <v>84</v>
      </c>
      <c r="T759" s="10" t="s">
        <v>84</v>
      </c>
      <c r="U759" s="10"/>
      <c r="V759" s="10"/>
      <c r="W759" s="10"/>
      <c r="X759" s="10"/>
      <c r="Y759" s="10"/>
      <c r="Z759" s="10"/>
      <c r="AA759" s="10"/>
    </row>
    <row r="760" spans="1:27" ht="12.5" hidden="1" x14ac:dyDescent="0.25">
      <c r="A760" s="10" t="s">
        <v>16</v>
      </c>
      <c r="B760" s="10" t="s">
        <v>1486</v>
      </c>
      <c r="C760" s="10" t="s">
        <v>191</v>
      </c>
      <c r="D760" s="11">
        <v>2024</v>
      </c>
      <c r="E760" s="10" t="s">
        <v>124</v>
      </c>
      <c r="F760" s="10" t="s">
        <v>125</v>
      </c>
      <c r="G760" s="10" t="s">
        <v>84</v>
      </c>
      <c r="H760" s="12">
        <v>1216</v>
      </c>
      <c r="I760" s="11">
        <v>63</v>
      </c>
      <c r="J760" s="11">
        <v>30</v>
      </c>
      <c r="K760" s="11">
        <v>70</v>
      </c>
      <c r="L760" s="11">
        <v>5.1795012332145798E-2</v>
      </c>
      <c r="M760" s="11">
        <f t="shared" si="2"/>
        <v>5.1809210526315788</v>
      </c>
      <c r="N760" s="11">
        <v>0.476190476190476</v>
      </c>
      <c r="O760" s="11">
        <v>5.7550013702384203E-2</v>
      </c>
      <c r="P760" s="11">
        <v>0.66789215686274495</v>
      </c>
      <c r="Q760" s="11">
        <v>0.70833333333333304</v>
      </c>
      <c r="R760" s="11">
        <v>0.57170542635658905</v>
      </c>
      <c r="S760" s="10" t="s">
        <v>84</v>
      </c>
      <c r="T760" s="10" t="s">
        <v>84</v>
      </c>
      <c r="U760" s="10"/>
      <c r="V760" s="10"/>
      <c r="W760" s="10"/>
      <c r="X760" s="10"/>
      <c r="Y760" s="10"/>
      <c r="Z760" s="10"/>
      <c r="AA760" s="10"/>
    </row>
    <row r="761" spans="1:27" ht="12.5" x14ac:dyDescent="0.25">
      <c r="A761" s="10" t="s">
        <v>52</v>
      </c>
      <c r="B761" s="10" t="s">
        <v>774</v>
      </c>
      <c r="C761" s="10" t="s">
        <v>76</v>
      </c>
      <c r="D761" s="11">
        <v>2024</v>
      </c>
      <c r="E761" s="10" t="s">
        <v>81</v>
      </c>
      <c r="F761" s="10" t="s">
        <v>83</v>
      </c>
      <c r="G761" s="10" t="s">
        <v>84</v>
      </c>
      <c r="H761" s="11">
        <v>22446</v>
      </c>
      <c r="I761" s="11">
        <v>1161</v>
      </c>
      <c r="J761" s="11">
        <v>1070</v>
      </c>
      <c r="K761" s="11">
        <v>7455</v>
      </c>
      <c r="L761" s="11">
        <v>5.17237538703713E-2</v>
      </c>
      <c r="M761" s="11">
        <f t="shared" si="2"/>
        <v>5.1724137931034484</v>
      </c>
      <c r="N761" s="11">
        <v>0.92161929371231699</v>
      </c>
      <c r="O761" s="11">
        <v>0.33212798027874102</v>
      </c>
      <c r="P761" s="11">
        <v>0.50422297297297303</v>
      </c>
      <c r="Q761" s="11">
        <v>0.38297872340425498</v>
      </c>
      <c r="R761" s="11">
        <v>0.55813953488372103</v>
      </c>
      <c r="S761" s="10" t="s">
        <v>84</v>
      </c>
      <c r="T761" s="10" t="s">
        <v>84</v>
      </c>
      <c r="U761" s="10"/>
      <c r="V761" s="10"/>
      <c r="W761" s="10"/>
      <c r="X761" s="10"/>
      <c r="Y761" s="10"/>
      <c r="Z761" s="10"/>
      <c r="AA761" s="10"/>
    </row>
    <row r="762" spans="1:27" ht="12.5" hidden="1" x14ac:dyDescent="0.25">
      <c r="A762" s="10" t="s">
        <v>26</v>
      </c>
      <c r="B762" s="10" t="s">
        <v>1487</v>
      </c>
      <c r="C762" s="10" t="s">
        <v>191</v>
      </c>
      <c r="D762" s="11">
        <v>2024</v>
      </c>
      <c r="E762" s="10" t="s">
        <v>124</v>
      </c>
      <c r="F762" s="10" t="s">
        <v>125</v>
      </c>
      <c r="G762" s="10" t="s">
        <v>84</v>
      </c>
      <c r="H762" s="12">
        <v>523.33333333333303</v>
      </c>
      <c r="I762" s="11">
        <v>27</v>
      </c>
      <c r="J762" s="11">
        <v>14</v>
      </c>
      <c r="K762" s="11">
        <v>47</v>
      </c>
      <c r="L762" s="11">
        <v>5.1592356687898099E-2</v>
      </c>
      <c r="M762" s="11">
        <f t="shared" si="2"/>
        <v>5.1592356687898118</v>
      </c>
      <c r="N762" s="11">
        <v>0.51851851851851805</v>
      </c>
      <c r="O762" s="11">
        <v>8.9808917197452195E-2</v>
      </c>
      <c r="P762" s="11">
        <v>0.66666666666666696</v>
      </c>
      <c r="Q762" s="11">
        <v>0.5</v>
      </c>
      <c r="R762" s="11">
        <v>0.56976744186046502</v>
      </c>
      <c r="S762" s="10" t="s">
        <v>84</v>
      </c>
      <c r="T762" s="10" t="s">
        <v>84</v>
      </c>
      <c r="U762" s="10"/>
      <c r="V762" s="10"/>
      <c r="W762" s="10"/>
      <c r="X762" s="10"/>
      <c r="Y762" s="10"/>
      <c r="Z762" s="10"/>
      <c r="AA762" s="10"/>
    </row>
    <row r="763" spans="1:27" ht="12.5" hidden="1" x14ac:dyDescent="0.25">
      <c r="A763" s="10" t="s">
        <v>36</v>
      </c>
      <c r="B763" s="10" t="s">
        <v>1488</v>
      </c>
      <c r="C763" s="10" t="s">
        <v>191</v>
      </c>
      <c r="D763" s="11">
        <v>2024</v>
      </c>
      <c r="E763" s="10" t="s">
        <v>124</v>
      </c>
      <c r="F763" s="10" t="s">
        <v>125</v>
      </c>
      <c r="G763" s="10" t="s">
        <v>84</v>
      </c>
      <c r="H763" s="12">
        <v>4832</v>
      </c>
      <c r="I763" s="11">
        <v>249</v>
      </c>
      <c r="J763" s="11">
        <v>99</v>
      </c>
      <c r="K763" s="11">
        <v>0</v>
      </c>
      <c r="L763" s="11">
        <v>5.1533234452071301E-2</v>
      </c>
      <c r="M763" s="11">
        <f t="shared" si="2"/>
        <v>5.1531456953642385</v>
      </c>
      <c r="N763" s="11">
        <v>0.39759036144578302</v>
      </c>
      <c r="O763" s="11">
        <v>0</v>
      </c>
      <c r="P763" s="11">
        <v>0.66544117647058798</v>
      </c>
      <c r="Q763" s="11">
        <v>0.35</v>
      </c>
      <c r="R763" s="11">
        <v>0.56782945736434098</v>
      </c>
      <c r="S763" s="10" t="s">
        <v>84</v>
      </c>
      <c r="T763" s="10" t="s">
        <v>84</v>
      </c>
      <c r="U763" s="10"/>
      <c r="V763" s="10"/>
      <c r="W763" s="10"/>
      <c r="X763" s="10"/>
      <c r="Y763" s="10"/>
      <c r="Z763" s="10"/>
      <c r="AA763" s="10"/>
    </row>
    <row r="764" spans="1:27" ht="12.5" x14ac:dyDescent="0.25">
      <c r="A764" s="10" t="s">
        <v>16</v>
      </c>
      <c r="B764" s="10" t="s">
        <v>776</v>
      </c>
      <c r="C764" s="10" t="s">
        <v>76</v>
      </c>
      <c r="D764" s="11">
        <v>2024</v>
      </c>
      <c r="E764" s="10" t="s">
        <v>81</v>
      </c>
      <c r="F764" s="10" t="s">
        <v>83</v>
      </c>
      <c r="G764" s="10" t="s">
        <v>84</v>
      </c>
      <c r="H764" s="11">
        <v>25814</v>
      </c>
      <c r="I764" s="11">
        <v>1328</v>
      </c>
      <c r="J764" s="11">
        <v>1197</v>
      </c>
      <c r="K764" s="11">
        <v>23830</v>
      </c>
      <c r="L764" s="11">
        <v>5.14442880570226E-2</v>
      </c>
      <c r="M764" s="11">
        <f t="shared" si="2"/>
        <v>5.1444952351437205</v>
      </c>
      <c r="N764" s="11">
        <v>0.90135542168674698</v>
      </c>
      <c r="O764" s="11">
        <v>0.92313056054130105</v>
      </c>
      <c r="P764" s="11">
        <v>0.50337837837837796</v>
      </c>
      <c r="Q764" s="11">
        <v>0.16666666666666699</v>
      </c>
      <c r="R764" s="11">
        <v>0.556201550387597</v>
      </c>
      <c r="S764" s="10" t="s">
        <v>84</v>
      </c>
      <c r="T764" s="10" t="s">
        <v>84</v>
      </c>
      <c r="U764" s="10"/>
      <c r="V764" s="10"/>
      <c r="W764" s="10"/>
      <c r="X764" s="10"/>
      <c r="Y764" s="10"/>
      <c r="Z764" s="10"/>
      <c r="AA764" s="10"/>
    </row>
    <row r="765" spans="1:27" ht="12.5" hidden="1" x14ac:dyDescent="0.25">
      <c r="A765" s="10" t="s">
        <v>16</v>
      </c>
      <c r="B765" s="10" t="s">
        <v>1490</v>
      </c>
      <c r="C765" s="10" t="s">
        <v>191</v>
      </c>
      <c r="D765" s="11">
        <v>2024</v>
      </c>
      <c r="E765" s="10" t="s">
        <v>124</v>
      </c>
      <c r="F765" s="10" t="s">
        <v>125</v>
      </c>
      <c r="G765" s="10" t="s">
        <v>84</v>
      </c>
      <c r="H765" s="12">
        <v>1302</v>
      </c>
      <c r="I765" s="11">
        <v>67</v>
      </c>
      <c r="J765" s="11">
        <v>60</v>
      </c>
      <c r="K765" s="11">
        <v>98</v>
      </c>
      <c r="L765" s="11">
        <v>5.1442830635357303E-2</v>
      </c>
      <c r="M765" s="11">
        <f t="shared" si="2"/>
        <v>5.1459293394777266</v>
      </c>
      <c r="N765" s="11">
        <v>0.89552238805970197</v>
      </c>
      <c r="O765" s="11">
        <v>7.5244737347239105E-2</v>
      </c>
      <c r="P765" s="11">
        <v>0.66421568627451</v>
      </c>
      <c r="Q765" s="11">
        <v>0.66666666666666696</v>
      </c>
      <c r="R765" s="11">
        <v>0.56589147286821695</v>
      </c>
      <c r="S765" s="10" t="s">
        <v>84</v>
      </c>
      <c r="T765" s="10" t="s">
        <v>84</v>
      </c>
      <c r="U765" s="10"/>
      <c r="V765" s="10"/>
      <c r="W765" s="10"/>
      <c r="X765" s="10"/>
      <c r="Y765" s="10"/>
      <c r="Z765" s="10"/>
      <c r="AA765" s="10"/>
    </row>
    <row r="766" spans="1:27" ht="12.5" x14ac:dyDescent="0.25">
      <c r="A766" s="10" t="s">
        <v>32</v>
      </c>
      <c r="B766" s="10" t="s">
        <v>777</v>
      </c>
      <c r="C766" s="10" t="s">
        <v>76</v>
      </c>
      <c r="D766" s="11">
        <v>2024</v>
      </c>
      <c r="E766" s="10" t="s">
        <v>81</v>
      </c>
      <c r="F766" s="10" t="s">
        <v>83</v>
      </c>
      <c r="G766" s="10" t="s">
        <v>84</v>
      </c>
      <c r="H766" s="11">
        <v>34240</v>
      </c>
      <c r="I766" s="11">
        <v>1751</v>
      </c>
      <c r="J766" s="11">
        <v>1709</v>
      </c>
      <c r="K766" s="11">
        <v>256228</v>
      </c>
      <c r="L766" s="11">
        <v>5.11397654755473E-2</v>
      </c>
      <c r="M766" s="11">
        <f t="shared" si="2"/>
        <v>5.1139018691588785</v>
      </c>
      <c r="N766" s="11">
        <v>0.97601370645345498</v>
      </c>
      <c r="O766" s="11">
        <v>7.4834036711984702</v>
      </c>
      <c r="P766" s="11">
        <v>0.50253378378378399</v>
      </c>
      <c r="Q766" s="11">
        <v>0.27586206896551702</v>
      </c>
      <c r="R766" s="11">
        <v>0.55426356589147296</v>
      </c>
      <c r="S766" s="10" t="s">
        <v>84</v>
      </c>
      <c r="T766" s="10" t="s">
        <v>84</v>
      </c>
      <c r="U766" s="10"/>
      <c r="V766" s="10"/>
      <c r="W766" s="10"/>
      <c r="X766" s="10"/>
      <c r="Y766" s="10"/>
      <c r="Z766" s="10"/>
      <c r="AA766" s="10"/>
    </row>
    <row r="767" spans="1:27" ht="12.5" hidden="1" x14ac:dyDescent="0.25">
      <c r="A767" s="10" t="s">
        <v>16</v>
      </c>
      <c r="B767" s="10" t="s">
        <v>1491</v>
      </c>
      <c r="C767" s="10" t="s">
        <v>191</v>
      </c>
      <c r="D767" s="11">
        <v>2024</v>
      </c>
      <c r="E767" s="10" t="s">
        <v>124</v>
      </c>
      <c r="F767" s="10" t="s">
        <v>125</v>
      </c>
      <c r="G767" s="10" t="s">
        <v>84</v>
      </c>
      <c r="H767" s="12">
        <v>610.41666666666697</v>
      </c>
      <c r="I767" s="11">
        <v>31</v>
      </c>
      <c r="J767" s="11">
        <v>11</v>
      </c>
      <c r="K767" s="11">
        <v>32</v>
      </c>
      <c r="L767" s="11">
        <v>5.07849829351536E-2</v>
      </c>
      <c r="M767" s="11">
        <f t="shared" ref="M767:M1021" si="3">(I767/H767)*100</f>
        <v>5.0784982935153558</v>
      </c>
      <c r="N767" s="11">
        <v>0.35483870967741898</v>
      </c>
      <c r="O767" s="11">
        <v>5.2423208191126301E-2</v>
      </c>
      <c r="P767" s="11">
        <v>0.66299019607843102</v>
      </c>
      <c r="Q767" s="11">
        <v>0.625</v>
      </c>
      <c r="R767" s="11">
        <v>0.56395348837209303</v>
      </c>
      <c r="S767" s="10" t="s">
        <v>84</v>
      </c>
      <c r="T767" s="10" t="s">
        <v>84</v>
      </c>
      <c r="U767" s="10"/>
      <c r="V767" s="10"/>
      <c r="W767" s="10"/>
      <c r="X767" s="10"/>
      <c r="Y767" s="10"/>
      <c r="Z767" s="10"/>
      <c r="AA767" s="10"/>
    </row>
    <row r="768" spans="1:27" ht="12.5" hidden="1" x14ac:dyDescent="0.25">
      <c r="A768" s="10" t="s">
        <v>14</v>
      </c>
      <c r="B768" s="10" t="s">
        <v>1492</v>
      </c>
      <c r="C768" s="10" t="s">
        <v>191</v>
      </c>
      <c r="D768" s="11">
        <v>2024</v>
      </c>
      <c r="E768" s="10" t="s">
        <v>124</v>
      </c>
      <c r="F768" s="10" t="s">
        <v>125</v>
      </c>
      <c r="G768" s="10" t="s">
        <v>84</v>
      </c>
      <c r="H768" s="12">
        <v>1521</v>
      </c>
      <c r="I768" s="11">
        <v>77</v>
      </c>
      <c r="J768" s="11">
        <v>62</v>
      </c>
      <c r="K768" s="11">
        <v>138</v>
      </c>
      <c r="L768" s="11">
        <v>5.0638461116895898E-2</v>
      </c>
      <c r="M768" s="11">
        <f t="shared" si="3"/>
        <v>5.0624589086127543</v>
      </c>
      <c r="N768" s="11">
        <v>0.80519480519480502</v>
      </c>
      <c r="O768" s="11">
        <v>9.07546445991122E-2</v>
      </c>
      <c r="P768" s="11">
        <v>0.66176470588235303</v>
      </c>
      <c r="Q768" s="11">
        <v>0.53191489361702105</v>
      </c>
      <c r="R768" s="11">
        <v>0.56201550387596899</v>
      </c>
      <c r="S768" s="10" t="s">
        <v>84</v>
      </c>
      <c r="T768" s="10" t="s">
        <v>84</v>
      </c>
      <c r="U768" s="10"/>
      <c r="V768" s="10"/>
      <c r="W768" s="10"/>
      <c r="X768" s="10"/>
      <c r="Y768" s="10"/>
      <c r="Z768" s="10"/>
      <c r="AA768" s="10"/>
    </row>
    <row r="769" spans="1:27" ht="12.5" hidden="1" x14ac:dyDescent="0.25">
      <c r="A769" s="10" t="s">
        <v>16</v>
      </c>
      <c r="B769" s="10" t="s">
        <v>1493</v>
      </c>
      <c r="C769" s="10" t="s">
        <v>191</v>
      </c>
      <c r="D769" s="11">
        <v>2024</v>
      </c>
      <c r="E769" s="10" t="s">
        <v>124</v>
      </c>
      <c r="F769" s="10" t="s">
        <v>125</v>
      </c>
      <c r="G769" s="10" t="s">
        <v>84</v>
      </c>
      <c r="H769" s="12">
        <v>612.58333333333303</v>
      </c>
      <c r="I769" s="11">
        <v>31</v>
      </c>
      <c r="J769" s="11">
        <v>19</v>
      </c>
      <c r="K769" s="11">
        <v>0</v>
      </c>
      <c r="L769" s="11">
        <v>5.0605359814991202E-2</v>
      </c>
      <c r="M769" s="11">
        <f t="shared" si="3"/>
        <v>5.0605359814991182</v>
      </c>
      <c r="N769" s="11">
        <v>0.61290322580645196</v>
      </c>
      <c r="O769" s="11">
        <v>0</v>
      </c>
      <c r="P769" s="11">
        <v>0.66053921568627405</v>
      </c>
      <c r="Q769" s="11">
        <v>0.58333333333333304</v>
      </c>
      <c r="R769" s="11">
        <v>0.56007751937984496</v>
      </c>
      <c r="S769" s="10" t="s">
        <v>84</v>
      </c>
      <c r="T769" s="10" t="s">
        <v>84</v>
      </c>
      <c r="U769" s="10"/>
      <c r="V769" s="10"/>
      <c r="W769" s="10"/>
      <c r="X769" s="10"/>
      <c r="Y769" s="10"/>
      <c r="Z769" s="10"/>
      <c r="AA769" s="10"/>
    </row>
    <row r="770" spans="1:27" ht="12.5" x14ac:dyDescent="0.25">
      <c r="A770" s="10" t="s">
        <v>100</v>
      </c>
      <c r="B770" s="10" t="s">
        <v>949</v>
      </c>
      <c r="C770" s="10" t="s">
        <v>76</v>
      </c>
      <c r="D770" s="11">
        <v>2024</v>
      </c>
      <c r="E770" s="10" t="s">
        <v>124</v>
      </c>
      <c r="F770" s="10" t="s">
        <v>83</v>
      </c>
      <c r="G770" s="10" t="s">
        <v>84</v>
      </c>
      <c r="H770" s="11">
        <v>22728</v>
      </c>
      <c r="I770" s="11">
        <v>1150</v>
      </c>
      <c r="J770" s="11">
        <v>1154</v>
      </c>
      <c r="K770" s="11">
        <v>8890</v>
      </c>
      <c r="L770" s="11">
        <v>5.0598195331033199E-2</v>
      </c>
      <c r="M770" s="11">
        <f t="shared" si="3"/>
        <v>5.0598380851812745</v>
      </c>
      <c r="N770" s="11">
        <v>1.00347826086957</v>
      </c>
      <c r="O770" s="11">
        <v>0.391146049124248</v>
      </c>
      <c r="P770" s="11">
        <v>0.50084459459459496</v>
      </c>
      <c r="Q770" s="11">
        <v>1</v>
      </c>
      <c r="R770" s="11">
        <v>0.37136465324384799</v>
      </c>
      <c r="S770" s="10" t="s">
        <v>84</v>
      </c>
      <c r="T770" s="10" t="s">
        <v>84</v>
      </c>
      <c r="U770" s="10"/>
      <c r="V770" s="10"/>
      <c r="W770" s="10"/>
      <c r="X770" s="10"/>
      <c r="Y770" s="10"/>
      <c r="Z770" s="10"/>
      <c r="AA770" s="10"/>
    </row>
    <row r="771" spans="1:27" ht="12.5" x14ac:dyDescent="0.25">
      <c r="A771" s="10" t="s">
        <v>82</v>
      </c>
      <c r="B771" s="10" t="s">
        <v>951</v>
      </c>
      <c r="C771" s="10" t="s">
        <v>76</v>
      </c>
      <c r="D771" s="11">
        <v>2024</v>
      </c>
      <c r="E771" s="10" t="s">
        <v>124</v>
      </c>
      <c r="F771" s="10" t="s">
        <v>83</v>
      </c>
      <c r="G771" s="10" t="s">
        <v>84</v>
      </c>
      <c r="H771" s="11">
        <v>1674</v>
      </c>
      <c r="I771" s="11">
        <v>84</v>
      </c>
      <c r="J771" s="11">
        <v>83</v>
      </c>
      <c r="K771" s="11">
        <v>255</v>
      </c>
      <c r="L771" s="11">
        <v>5.01817095633992E-2</v>
      </c>
      <c r="M771" s="11">
        <f t="shared" si="3"/>
        <v>5.0179211469534053</v>
      </c>
      <c r="N771" s="11">
        <v>0.98809523809523803</v>
      </c>
      <c r="O771" s="11">
        <v>0.152337332603176</v>
      </c>
      <c r="P771" s="11">
        <v>0.49915540540540498</v>
      </c>
      <c r="Q771" s="11">
        <v>0.77586206896551702</v>
      </c>
      <c r="R771" s="11">
        <v>0.36912751677852401</v>
      </c>
      <c r="S771" s="10" t="s">
        <v>84</v>
      </c>
      <c r="T771" s="10" t="s">
        <v>84</v>
      </c>
      <c r="U771" s="10"/>
      <c r="V771" s="10"/>
      <c r="W771" s="10"/>
      <c r="X771" s="10"/>
      <c r="Y771" s="10"/>
      <c r="Z771" s="10"/>
      <c r="AA771" s="10"/>
    </row>
    <row r="772" spans="1:27" ht="12.5" x14ac:dyDescent="0.25">
      <c r="A772" s="10" t="s">
        <v>82</v>
      </c>
      <c r="B772" s="10" t="s">
        <v>953</v>
      </c>
      <c r="C772" s="10" t="s">
        <v>76</v>
      </c>
      <c r="D772" s="11">
        <v>2024</v>
      </c>
      <c r="E772" s="10" t="s">
        <v>124</v>
      </c>
      <c r="F772" s="10" t="s">
        <v>83</v>
      </c>
      <c r="G772" s="10" t="s">
        <v>84</v>
      </c>
      <c r="H772" s="11">
        <v>15713</v>
      </c>
      <c r="I772" s="11">
        <v>788</v>
      </c>
      <c r="J772" s="11">
        <v>779</v>
      </c>
      <c r="K772" s="11">
        <v>19945</v>
      </c>
      <c r="L772" s="11">
        <v>5.0149557691083799E-2</v>
      </c>
      <c r="M772" s="11">
        <f t="shared" si="3"/>
        <v>5.014955769108381</v>
      </c>
      <c r="N772" s="11">
        <v>0.98857868020304596</v>
      </c>
      <c r="O772" s="11">
        <v>1.2693311270922201</v>
      </c>
      <c r="P772" s="11">
        <v>0.49831081081081102</v>
      </c>
      <c r="Q772" s="11">
        <v>0.75862068965517204</v>
      </c>
      <c r="R772" s="11">
        <v>0.36689038031319898</v>
      </c>
      <c r="S772" s="10" t="s">
        <v>84</v>
      </c>
      <c r="T772" s="10" t="s">
        <v>84</v>
      </c>
      <c r="U772" s="10"/>
      <c r="V772" s="10"/>
      <c r="W772" s="10"/>
      <c r="X772" s="10"/>
      <c r="Y772" s="10"/>
      <c r="Z772" s="10"/>
      <c r="AA772" s="10"/>
    </row>
    <row r="773" spans="1:27" ht="12.5" hidden="1" x14ac:dyDescent="0.25">
      <c r="A773" s="10" t="s">
        <v>72</v>
      </c>
      <c r="B773" s="10" t="s">
        <v>1495</v>
      </c>
      <c r="C773" s="10" t="s">
        <v>191</v>
      </c>
      <c r="D773" s="11">
        <v>2024</v>
      </c>
      <c r="E773" s="10" t="s">
        <v>124</v>
      </c>
      <c r="F773" s="10" t="s">
        <v>125</v>
      </c>
      <c r="G773" s="10" t="s">
        <v>84</v>
      </c>
      <c r="H773" s="12">
        <v>741.58333333333303</v>
      </c>
      <c r="I773" s="11">
        <v>37</v>
      </c>
      <c r="J773" s="11">
        <v>34</v>
      </c>
      <c r="K773" s="11">
        <v>1592</v>
      </c>
      <c r="L773" s="11">
        <v>4.9893246432183402E-2</v>
      </c>
      <c r="M773" s="11">
        <f t="shared" si="3"/>
        <v>4.9893246432183407</v>
      </c>
      <c r="N773" s="11">
        <v>0.91891891891891897</v>
      </c>
      <c r="O773" s="11">
        <v>2.14675806270367</v>
      </c>
      <c r="P773" s="11">
        <v>0.65931372549019596</v>
      </c>
      <c r="Q773" s="11">
        <v>1</v>
      </c>
      <c r="R773" s="11">
        <v>0.55813953488372103</v>
      </c>
      <c r="S773" s="10" t="s">
        <v>84</v>
      </c>
      <c r="T773" s="10" t="s">
        <v>84</v>
      </c>
      <c r="U773" s="10"/>
      <c r="V773" s="10"/>
      <c r="W773" s="10"/>
      <c r="X773" s="10"/>
      <c r="Y773" s="10"/>
      <c r="Z773" s="10"/>
      <c r="AA773" s="10"/>
    </row>
    <row r="774" spans="1:27" ht="12.5" x14ac:dyDescent="0.25">
      <c r="A774" s="10" t="s">
        <v>67</v>
      </c>
      <c r="B774" s="10" t="s">
        <v>956</v>
      </c>
      <c r="C774" s="10" t="s">
        <v>76</v>
      </c>
      <c r="D774" s="11">
        <v>2024</v>
      </c>
      <c r="E774" s="10" t="s">
        <v>124</v>
      </c>
      <c r="F774" s="10" t="s">
        <v>83</v>
      </c>
      <c r="G774" s="10" t="s">
        <v>84</v>
      </c>
      <c r="H774" s="11">
        <v>29660</v>
      </c>
      <c r="I774" s="11">
        <v>1470</v>
      </c>
      <c r="J774" s="11">
        <v>1242</v>
      </c>
      <c r="K774" s="11">
        <v>10770</v>
      </c>
      <c r="L774" s="11">
        <v>4.9561420760728503E-2</v>
      </c>
      <c r="M774" s="11">
        <f t="shared" si="3"/>
        <v>4.9561699258260283</v>
      </c>
      <c r="N774" s="11">
        <v>0.84489795918367305</v>
      </c>
      <c r="O774" s="11">
        <v>0.36311326638982699</v>
      </c>
      <c r="P774" s="11">
        <v>0.49577702702702697</v>
      </c>
      <c r="Q774" s="11">
        <v>0.61904761904761896</v>
      </c>
      <c r="R774" s="11">
        <v>0.36465324384787501</v>
      </c>
      <c r="S774" s="10" t="s">
        <v>84</v>
      </c>
      <c r="T774" s="10" t="s">
        <v>84</v>
      </c>
      <c r="U774" s="10"/>
      <c r="V774" s="10"/>
      <c r="W774" s="10"/>
      <c r="X774" s="10"/>
      <c r="Y774" s="10"/>
      <c r="Z774" s="10"/>
      <c r="AA774" s="10"/>
    </row>
    <row r="775" spans="1:27" ht="12.5" x14ac:dyDescent="0.25">
      <c r="A775" s="10" t="s">
        <v>69</v>
      </c>
      <c r="B775" s="10" t="s">
        <v>780</v>
      </c>
      <c r="C775" s="10" t="s">
        <v>76</v>
      </c>
      <c r="D775" s="11">
        <v>2024</v>
      </c>
      <c r="E775" s="10" t="s">
        <v>81</v>
      </c>
      <c r="F775" s="10" t="s">
        <v>83</v>
      </c>
      <c r="G775" s="10" t="s">
        <v>84</v>
      </c>
      <c r="H775" s="11">
        <v>13213</v>
      </c>
      <c r="I775" s="11">
        <v>653</v>
      </c>
      <c r="J775" s="11">
        <v>537</v>
      </c>
      <c r="K775" s="11">
        <v>6362</v>
      </c>
      <c r="L775" s="11">
        <v>4.9419778002018203E-2</v>
      </c>
      <c r="M775" s="11">
        <f t="shared" si="3"/>
        <v>4.942102474835389</v>
      </c>
      <c r="N775" s="11">
        <v>0.82235834609494596</v>
      </c>
      <c r="O775" s="11">
        <v>0.48148335015136201</v>
      </c>
      <c r="P775" s="11">
        <v>0.49493243243243201</v>
      </c>
      <c r="Q775" s="11">
        <v>0.66666666666666696</v>
      </c>
      <c r="R775" s="11">
        <v>0.55232558139534904</v>
      </c>
      <c r="S775" s="10" t="s">
        <v>84</v>
      </c>
      <c r="T775" s="10" t="s">
        <v>84</v>
      </c>
      <c r="U775" s="10"/>
      <c r="V775" s="10"/>
      <c r="W775" s="10"/>
      <c r="X775" s="10"/>
      <c r="Y775" s="10"/>
      <c r="Z775" s="10"/>
      <c r="AA775" s="10"/>
    </row>
    <row r="776" spans="1:27" ht="12.5" x14ac:dyDescent="0.25">
      <c r="A776" s="10" t="s">
        <v>55</v>
      </c>
      <c r="B776" s="10" t="s">
        <v>782</v>
      </c>
      <c r="C776" s="10" t="s">
        <v>76</v>
      </c>
      <c r="D776" s="11">
        <v>2024</v>
      </c>
      <c r="E776" s="10" t="s">
        <v>81</v>
      </c>
      <c r="F776" s="10" t="s">
        <v>83</v>
      </c>
      <c r="G776" s="10" t="s">
        <v>84</v>
      </c>
      <c r="H776" s="11">
        <v>732</v>
      </c>
      <c r="I776" s="11">
        <v>36</v>
      </c>
      <c r="J776" s="11">
        <v>30</v>
      </c>
      <c r="K776" s="11">
        <v>1352</v>
      </c>
      <c r="L776" s="11">
        <v>4.91803278688525E-2</v>
      </c>
      <c r="M776" s="11">
        <f t="shared" si="3"/>
        <v>4.918032786885246</v>
      </c>
      <c r="N776" s="11">
        <v>0.83333333333333304</v>
      </c>
      <c r="O776" s="11">
        <v>1.84699453551913</v>
      </c>
      <c r="P776" s="11">
        <v>0.494087837837838</v>
      </c>
      <c r="Q776" s="11">
        <v>0.27272727272727298</v>
      </c>
      <c r="R776" s="11">
        <v>0.55038759689922501</v>
      </c>
      <c r="S776" s="10" t="s">
        <v>84</v>
      </c>
      <c r="T776" s="10" t="s">
        <v>84</v>
      </c>
      <c r="U776" s="10"/>
      <c r="V776" s="10"/>
      <c r="W776" s="10"/>
      <c r="X776" s="10"/>
      <c r="Y776" s="10"/>
      <c r="Z776" s="10"/>
      <c r="AA776" s="10"/>
    </row>
    <row r="777" spans="1:27" ht="12.5" hidden="1" x14ac:dyDescent="0.25">
      <c r="A777" s="10" t="s">
        <v>55</v>
      </c>
      <c r="B777" s="10" t="s">
        <v>1496</v>
      </c>
      <c r="C777" s="10" t="s">
        <v>191</v>
      </c>
      <c r="D777" s="11">
        <v>2024</v>
      </c>
      <c r="E777" s="10" t="s">
        <v>124</v>
      </c>
      <c r="F777" s="10" t="s">
        <v>125</v>
      </c>
      <c r="G777" s="10" t="s">
        <v>84</v>
      </c>
      <c r="H777" s="12">
        <v>101.75</v>
      </c>
      <c r="I777" s="11">
        <v>5</v>
      </c>
      <c r="J777" s="11">
        <v>2</v>
      </c>
      <c r="K777" s="11">
        <v>125</v>
      </c>
      <c r="L777" s="11">
        <v>4.9140049140049102E-2</v>
      </c>
      <c r="M777" s="11">
        <f t="shared" si="3"/>
        <v>4.9140049140049138</v>
      </c>
      <c r="N777" s="11">
        <v>0.4</v>
      </c>
      <c r="O777" s="11">
        <v>1.22850122850123</v>
      </c>
      <c r="P777" s="11">
        <v>0.65686274509803899</v>
      </c>
      <c r="Q777" s="11">
        <v>0.66666666666666696</v>
      </c>
      <c r="R777" s="11">
        <v>0.556201550387597</v>
      </c>
      <c r="S777" s="10" t="s">
        <v>84</v>
      </c>
      <c r="T777" s="10" t="s">
        <v>84</v>
      </c>
      <c r="U777" s="10"/>
      <c r="V777" s="10"/>
      <c r="W777" s="10"/>
      <c r="X777" s="10"/>
      <c r="Y777" s="10"/>
      <c r="Z777" s="10"/>
      <c r="AA777" s="10"/>
    </row>
    <row r="778" spans="1:27" ht="12.5" x14ac:dyDescent="0.25">
      <c r="A778" s="10" t="s">
        <v>12</v>
      </c>
      <c r="B778" s="10" t="s">
        <v>784</v>
      </c>
      <c r="C778" s="10" t="s">
        <v>76</v>
      </c>
      <c r="D778" s="11">
        <v>2024</v>
      </c>
      <c r="E778" s="10" t="s">
        <v>81</v>
      </c>
      <c r="F778" s="10" t="s">
        <v>83</v>
      </c>
      <c r="G778" s="10" t="s">
        <v>84</v>
      </c>
      <c r="H778" s="11">
        <v>41521</v>
      </c>
      <c r="I778" s="11">
        <v>2031</v>
      </c>
      <c r="J778" s="11">
        <v>1802</v>
      </c>
      <c r="K778" s="11">
        <v>37080</v>
      </c>
      <c r="L778" s="11">
        <v>4.891481051833E-2</v>
      </c>
      <c r="M778" s="11">
        <f t="shared" si="3"/>
        <v>4.8915006863996533</v>
      </c>
      <c r="N778" s="11">
        <v>0.88724766125061505</v>
      </c>
      <c r="O778" s="11">
        <v>0.89303849040850702</v>
      </c>
      <c r="P778" s="11">
        <v>0.49239864864864902</v>
      </c>
      <c r="Q778" s="11">
        <v>0.29166666666666702</v>
      </c>
      <c r="R778" s="11">
        <v>0.54844961240310097</v>
      </c>
      <c r="S778" s="10" t="s">
        <v>84</v>
      </c>
      <c r="T778" s="10" t="s">
        <v>84</v>
      </c>
      <c r="U778" s="10"/>
      <c r="V778" s="10"/>
      <c r="W778" s="10"/>
      <c r="X778" s="10"/>
      <c r="Y778" s="10"/>
      <c r="Z778" s="10"/>
      <c r="AA778" s="10"/>
    </row>
    <row r="779" spans="1:27" ht="12.5" x14ac:dyDescent="0.25">
      <c r="A779" s="10" t="s">
        <v>62</v>
      </c>
      <c r="B779" s="10" t="s">
        <v>958</v>
      </c>
      <c r="C779" s="10" t="s">
        <v>76</v>
      </c>
      <c r="D779" s="11">
        <v>2024</v>
      </c>
      <c r="E779" s="10" t="s">
        <v>124</v>
      </c>
      <c r="F779" s="10" t="s">
        <v>83</v>
      </c>
      <c r="G779" s="10" t="s">
        <v>84</v>
      </c>
      <c r="H779" s="11">
        <v>13026</v>
      </c>
      <c r="I779" s="11">
        <v>636</v>
      </c>
      <c r="J779" s="11">
        <v>632</v>
      </c>
      <c r="K779" s="11">
        <v>11761</v>
      </c>
      <c r="L779" s="11">
        <v>4.8825738431716302E-2</v>
      </c>
      <c r="M779" s="11">
        <f t="shared" si="3"/>
        <v>4.8825426070935052</v>
      </c>
      <c r="N779" s="11">
        <v>0.99371069182389904</v>
      </c>
      <c r="O779" s="11">
        <v>0.90289231084184696</v>
      </c>
      <c r="P779" s="11">
        <v>0.49070945945945998</v>
      </c>
      <c r="Q779" s="11">
        <v>0.55555555555555602</v>
      </c>
      <c r="R779" s="11">
        <v>0.36241610738254998</v>
      </c>
      <c r="S779" s="10" t="s">
        <v>84</v>
      </c>
      <c r="T779" s="10" t="s">
        <v>84</v>
      </c>
      <c r="U779" s="10"/>
      <c r="V779" s="10"/>
      <c r="W779" s="10"/>
      <c r="X779" s="10"/>
      <c r="Y779" s="10"/>
      <c r="Z779" s="10"/>
      <c r="AA779" s="10"/>
    </row>
    <row r="780" spans="1:27" ht="12.5" hidden="1" x14ac:dyDescent="0.25">
      <c r="A780" s="10" t="s">
        <v>55</v>
      </c>
      <c r="B780" s="10" t="s">
        <v>1498</v>
      </c>
      <c r="C780" s="10" t="s">
        <v>191</v>
      </c>
      <c r="D780" s="11">
        <v>2024</v>
      </c>
      <c r="E780" s="10" t="s">
        <v>124</v>
      </c>
      <c r="F780" s="10" t="s">
        <v>125</v>
      </c>
      <c r="G780" s="10" t="s">
        <v>84</v>
      </c>
      <c r="H780" s="12">
        <v>225.666666666667</v>
      </c>
      <c r="I780" s="11">
        <v>11</v>
      </c>
      <c r="J780" s="11">
        <v>7</v>
      </c>
      <c r="K780" s="11">
        <v>11</v>
      </c>
      <c r="L780" s="11">
        <v>4.8744460856720802E-2</v>
      </c>
      <c r="M780" s="11">
        <f t="shared" si="3"/>
        <v>4.8744460856720755</v>
      </c>
      <c r="N780" s="11">
        <v>0.63636363636363602</v>
      </c>
      <c r="O780" s="11">
        <v>4.8744460856720802E-2</v>
      </c>
      <c r="P780" s="11">
        <v>0.65441176470588203</v>
      </c>
      <c r="Q780" s="11">
        <v>0.62962962962962998</v>
      </c>
      <c r="R780" s="11">
        <v>0.55426356589147296</v>
      </c>
      <c r="S780" s="10" t="s">
        <v>84</v>
      </c>
      <c r="T780" s="10" t="s">
        <v>84</v>
      </c>
      <c r="U780" s="10"/>
      <c r="V780" s="10"/>
      <c r="W780" s="10"/>
      <c r="X780" s="10"/>
      <c r="Y780" s="10"/>
      <c r="Z780" s="10"/>
      <c r="AA780" s="10"/>
    </row>
    <row r="781" spans="1:27" ht="12.5" x14ac:dyDescent="0.25">
      <c r="A781" s="10" t="s">
        <v>42</v>
      </c>
      <c r="B781" s="10" t="s">
        <v>785</v>
      </c>
      <c r="C781" s="10" t="s">
        <v>76</v>
      </c>
      <c r="D781" s="11">
        <v>2024</v>
      </c>
      <c r="E781" s="10" t="s">
        <v>81</v>
      </c>
      <c r="F781" s="10" t="s">
        <v>83</v>
      </c>
      <c r="G781" s="10" t="s">
        <v>84</v>
      </c>
      <c r="H781" s="11">
        <v>7718</v>
      </c>
      <c r="I781" s="11">
        <v>376</v>
      </c>
      <c r="J781" s="11">
        <v>376</v>
      </c>
      <c r="K781" s="11">
        <v>2246</v>
      </c>
      <c r="L781" s="11">
        <v>4.8717284270536398E-2</v>
      </c>
      <c r="M781" s="11">
        <f t="shared" si="3"/>
        <v>4.8717284270536405</v>
      </c>
      <c r="N781" s="11">
        <v>1</v>
      </c>
      <c r="O781" s="11">
        <v>0.29100803316921497</v>
      </c>
      <c r="P781" s="11">
        <v>0.48986486486486502</v>
      </c>
      <c r="Q781" s="11">
        <v>0.476190476190476</v>
      </c>
      <c r="R781" s="11">
        <v>0.54651162790697705</v>
      </c>
      <c r="S781" s="10" t="s">
        <v>84</v>
      </c>
      <c r="T781" s="10" t="s">
        <v>84</v>
      </c>
      <c r="U781" s="10"/>
      <c r="V781" s="10"/>
      <c r="W781" s="10"/>
      <c r="X781" s="10"/>
      <c r="Y781" s="10"/>
      <c r="Z781" s="10"/>
      <c r="AA781" s="10"/>
    </row>
    <row r="782" spans="1:27" ht="12.5" hidden="1" x14ac:dyDescent="0.25">
      <c r="A782" s="10" t="s">
        <v>16</v>
      </c>
      <c r="B782" s="10" t="s">
        <v>1499</v>
      </c>
      <c r="C782" s="10" t="s">
        <v>191</v>
      </c>
      <c r="D782" s="11">
        <v>2024</v>
      </c>
      <c r="E782" s="10" t="s">
        <v>257</v>
      </c>
      <c r="F782" s="10" t="s">
        <v>125</v>
      </c>
      <c r="G782" s="10" t="s">
        <v>84</v>
      </c>
      <c r="H782" s="12">
        <v>27913</v>
      </c>
      <c r="I782" s="11">
        <v>1357</v>
      </c>
      <c r="J782" s="11">
        <v>1122</v>
      </c>
      <c r="K782" s="11">
        <v>41376</v>
      </c>
      <c r="L782" s="11">
        <v>4.8615050245105401E-2</v>
      </c>
      <c r="M782" s="11">
        <f t="shared" si="3"/>
        <v>4.8615340522337265</v>
      </c>
      <c r="N782" s="11">
        <v>0.82682387619749398</v>
      </c>
      <c r="O782" s="11">
        <v>1.48231121513742</v>
      </c>
      <c r="P782" s="11">
        <v>0.65318627450980404</v>
      </c>
      <c r="Q782" s="11">
        <v>0.54166666666666696</v>
      </c>
      <c r="R782" s="11">
        <v>0.72222222222222199</v>
      </c>
      <c r="S782" s="10" t="s">
        <v>84</v>
      </c>
      <c r="T782" s="10" t="s">
        <v>84</v>
      </c>
      <c r="U782" s="10"/>
      <c r="V782" s="10"/>
      <c r="W782" s="10"/>
      <c r="X782" s="10"/>
      <c r="Y782" s="10"/>
      <c r="Z782" s="10"/>
      <c r="AA782" s="10"/>
    </row>
    <row r="783" spans="1:27" ht="12.5" x14ac:dyDescent="0.25">
      <c r="A783" s="10" t="s">
        <v>52</v>
      </c>
      <c r="B783" s="10" t="s">
        <v>787</v>
      </c>
      <c r="C783" s="10" t="s">
        <v>76</v>
      </c>
      <c r="D783" s="11">
        <v>2024</v>
      </c>
      <c r="E783" s="10" t="s">
        <v>81</v>
      </c>
      <c r="F783" s="10" t="s">
        <v>83</v>
      </c>
      <c r="G783" s="10" t="s">
        <v>84</v>
      </c>
      <c r="H783" s="11">
        <v>12648</v>
      </c>
      <c r="I783" s="11">
        <v>614</v>
      </c>
      <c r="J783" s="11">
        <v>545</v>
      </c>
      <c r="K783" s="11">
        <v>11307</v>
      </c>
      <c r="L783" s="11">
        <v>4.8545224541429503E-2</v>
      </c>
      <c r="M783" s="11">
        <f t="shared" si="3"/>
        <v>4.8545224541429475</v>
      </c>
      <c r="N783" s="11">
        <v>0.88762214983713394</v>
      </c>
      <c r="O783" s="11">
        <v>0.89397533206831103</v>
      </c>
      <c r="P783" s="11">
        <v>0.48733108108108097</v>
      </c>
      <c r="Q783" s="11">
        <v>0.36170212765957399</v>
      </c>
      <c r="R783" s="11">
        <v>0.54457364341085301</v>
      </c>
      <c r="S783" s="10" t="s">
        <v>84</v>
      </c>
      <c r="T783" s="10" t="s">
        <v>84</v>
      </c>
      <c r="U783" s="10"/>
      <c r="V783" s="10"/>
      <c r="W783" s="10"/>
      <c r="X783" s="10"/>
      <c r="Y783" s="10"/>
      <c r="Z783" s="10"/>
      <c r="AA783" s="10"/>
    </row>
    <row r="784" spans="1:27" ht="12.5" hidden="1" x14ac:dyDescent="0.25">
      <c r="A784" s="10" t="s">
        <v>77</v>
      </c>
      <c r="B784" s="10" t="s">
        <v>1500</v>
      </c>
      <c r="C784" s="10" t="s">
        <v>191</v>
      </c>
      <c r="D784" s="11">
        <v>2024</v>
      </c>
      <c r="E784" s="10" t="s">
        <v>124</v>
      </c>
      <c r="F784" s="10" t="s">
        <v>125</v>
      </c>
      <c r="G784" s="10" t="s">
        <v>84</v>
      </c>
      <c r="H784" s="12">
        <v>1236</v>
      </c>
      <c r="I784" s="11">
        <v>60</v>
      </c>
      <c r="J784" s="11">
        <v>42</v>
      </c>
      <c r="K784" s="11">
        <v>3610</v>
      </c>
      <c r="L784" s="11">
        <v>4.8530601240226498E-2</v>
      </c>
      <c r="M784" s="11">
        <f t="shared" si="3"/>
        <v>4.8543689320388346</v>
      </c>
      <c r="N784" s="11">
        <v>0.7</v>
      </c>
      <c r="O784" s="11">
        <v>2.9199245079536298</v>
      </c>
      <c r="P784" s="11">
        <v>0.65196078431372595</v>
      </c>
      <c r="Q784" s="11">
        <v>0.82608695652173902</v>
      </c>
      <c r="R784" s="11">
        <v>0.55232558139534904</v>
      </c>
      <c r="S784" s="10" t="s">
        <v>84</v>
      </c>
      <c r="T784" s="10" t="s">
        <v>84</v>
      </c>
      <c r="U784" s="10"/>
      <c r="V784" s="10"/>
      <c r="W784" s="10"/>
      <c r="X784" s="10"/>
      <c r="Y784" s="10"/>
      <c r="Z784" s="10"/>
      <c r="AA784" s="10"/>
    </row>
    <row r="785" spans="1:27" ht="12.5" hidden="1" x14ac:dyDescent="0.25">
      <c r="A785" s="10" t="s">
        <v>104</v>
      </c>
      <c r="B785" s="10" t="s">
        <v>1501</v>
      </c>
      <c r="C785" s="10" t="s">
        <v>191</v>
      </c>
      <c r="D785" s="11">
        <v>2024</v>
      </c>
      <c r="E785" s="10" t="s">
        <v>124</v>
      </c>
      <c r="F785" s="10" t="s">
        <v>125</v>
      </c>
      <c r="G785" s="10" t="s">
        <v>84</v>
      </c>
      <c r="H785" s="12">
        <v>1012</v>
      </c>
      <c r="I785" s="11">
        <v>49</v>
      </c>
      <c r="J785" s="11">
        <v>38</v>
      </c>
      <c r="K785" s="11">
        <v>94</v>
      </c>
      <c r="L785" s="11">
        <v>4.8414985590778101E-2</v>
      </c>
      <c r="M785" s="11">
        <f t="shared" si="3"/>
        <v>4.8418972332015811</v>
      </c>
      <c r="N785" s="11">
        <v>0.77551020408163296</v>
      </c>
      <c r="O785" s="11">
        <v>9.2877727459860004E-2</v>
      </c>
      <c r="P785" s="11">
        <v>0.65073529411764697</v>
      </c>
      <c r="Q785" s="11">
        <v>0.85714285714285698</v>
      </c>
      <c r="R785" s="11">
        <v>0.55038759689922501</v>
      </c>
      <c r="S785" s="10" t="s">
        <v>84</v>
      </c>
      <c r="T785" s="10" t="s">
        <v>84</v>
      </c>
      <c r="U785" s="10"/>
      <c r="V785" s="10"/>
      <c r="W785" s="10"/>
      <c r="X785" s="10"/>
      <c r="Y785" s="10"/>
      <c r="Z785" s="10"/>
      <c r="AA785" s="10"/>
    </row>
    <row r="786" spans="1:27" ht="12.5" x14ac:dyDescent="0.25">
      <c r="A786" s="10" t="s">
        <v>6</v>
      </c>
      <c r="B786" s="10" t="s">
        <v>1388</v>
      </c>
      <c r="C786" s="10" t="s">
        <v>76</v>
      </c>
      <c r="D786" s="11">
        <v>2024</v>
      </c>
      <c r="E786" s="10" t="s">
        <v>257</v>
      </c>
      <c r="F786" s="10" t="s">
        <v>83</v>
      </c>
      <c r="G786" s="10" t="s">
        <v>84</v>
      </c>
      <c r="H786" s="11">
        <v>14070</v>
      </c>
      <c r="I786" s="11">
        <v>681</v>
      </c>
      <c r="J786" s="11">
        <v>590</v>
      </c>
      <c r="K786" s="11">
        <v>7732</v>
      </c>
      <c r="L786" s="11">
        <v>4.8401426219215997E-2</v>
      </c>
      <c r="M786" s="11">
        <f t="shared" si="3"/>
        <v>4.840085287846482</v>
      </c>
      <c r="N786" s="11">
        <v>0.86637298091042603</v>
      </c>
      <c r="O786" s="11">
        <v>0.54954453381347801</v>
      </c>
      <c r="P786" s="11">
        <v>0.48648648648648701</v>
      </c>
      <c r="Q786" s="11">
        <v>0.67741935483870996</v>
      </c>
      <c r="R786" s="11">
        <v>0.61363636363636398</v>
      </c>
      <c r="S786" s="10" t="s">
        <v>84</v>
      </c>
      <c r="T786" s="10" t="s">
        <v>84</v>
      </c>
      <c r="U786" s="10"/>
      <c r="V786" s="10"/>
      <c r="W786" s="10"/>
      <c r="X786" s="10"/>
      <c r="Y786" s="10"/>
      <c r="Z786" s="10"/>
      <c r="AA786" s="10"/>
    </row>
    <row r="787" spans="1:27" ht="12.5" x14ac:dyDescent="0.25">
      <c r="A787" s="10" t="s">
        <v>49</v>
      </c>
      <c r="B787" s="10" t="s">
        <v>789</v>
      </c>
      <c r="C787" s="10" t="s">
        <v>76</v>
      </c>
      <c r="D787" s="11">
        <v>2024</v>
      </c>
      <c r="E787" s="10" t="s">
        <v>81</v>
      </c>
      <c r="F787" s="10" t="s">
        <v>83</v>
      </c>
      <c r="G787" s="10" t="s">
        <v>84</v>
      </c>
      <c r="H787" s="11">
        <v>33808</v>
      </c>
      <c r="I787" s="11">
        <v>1631</v>
      </c>
      <c r="J787" s="11">
        <v>1518</v>
      </c>
      <c r="K787" s="11">
        <v>12158</v>
      </c>
      <c r="L787" s="11">
        <v>4.82429004897744E-2</v>
      </c>
      <c r="M787" s="11">
        <f t="shared" si="3"/>
        <v>4.8243019403691436</v>
      </c>
      <c r="N787" s="11">
        <v>0.93071735131820998</v>
      </c>
      <c r="O787" s="11">
        <v>0.35961813866013298</v>
      </c>
      <c r="P787" s="11">
        <v>0.485641891891892</v>
      </c>
      <c r="Q787" s="11">
        <v>0.61538461538461497</v>
      </c>
      <c r="R787" s="11">
        <v>0.54263565891472898</v>
      </c>
      <c r="S787" s="10" t="s">
        <v>84</v>
      </c>
      <c r="T787" s="10" t="s">
        <v>84</v>
      </c>
      <c r="U787" s="10"/>
      <c r="V787" s="10"/>
      <c r="W787" s="10"/>
      <c r="X787" s="10"/>
      <c r="Y787" s="10"/>
      <c r="Z787" s="10"/>
      <c r="AA787" s="10"/>
    </row>
    <row r="788" spans="1:27" ht="12.5" x14ac:dyDescent="0.25">
      <c r="A788" s="10" t="s">
        <v>55</v>
      </c>
      <c r="B788" s="10" t="s">
        <v>792</v>
      </c>
      <c r="C788" s="10" t="s">
        <v>76</v>
      </c>
      <c r="D788" s="11">
        <v>2024</v>
      </c>
      <c r="E788" s="10" t="s">
        <v>81</v>
      </c>
      <c r="F788" s="10" t="s">
        <v>83</v>
      </c>
      <c r="G788" s="10" t="s">
        <v>84</v>
      </c>
      <c r="H788" s="11">
        <v>29813</v>
      </c>
      <c r="I788" s="11">
        <v>1430</v>
      </c>
      <c r="J788" s="11">
        <v>1171</v>
      </c>
      <c r="K788" s="11">
        <v>27990</v>
      </c>
      <c r="L788" s="11">
        <v>4.7965920716469997E-2</v>
      </c>
      <c r="M788" s="11">
        <f t="shared" si="3"/>
        <v>4.7965652567671828</v>
      </c>
      <c r="N788" s="11">
        <v>0.81888111888111903</v>
      </c>
      <c r="O788" s="11">
        <v>0.93885742717062604</v>
      </c>
      <c r="P788" s="11">
        <v>0.48479729729729698</v>
      </c>
      <c r="Q788" s="11">
        <v>0.22727272727272699</v>
      </c>
      <c r="R788" s="11">
        <v>0.54069767441860495</v>
      </c>
      <c r="S788" s="10" t="s">
        <v>84</v>
      </c>
      <c r="T788" s="10" t="s">
        <v>84</v>
      </c>
      <c r="U788" s="10"/>
      <c r="V788" s="10"/>
      <c r="W788" s="10"/>
      <c r="X788" s="10"/>
      <c r="Y788" s="10"/>
      <c r="Z788" s="10"/>
      <c r="AA788" s="10"/>
    </row>
    <row r="789" spans="1:27" ht="12.5" x14ac:dyDescent="0.25">
      <c r="A789" s="10" t="s">
        <v>19</v>
      </c>
      <c r="B789" s="10" t="s">
        <v>794</v>
      </c>
      <c r="C789" s="10" t="s">
        <v>76</v>
      </c>
      <c r="D789" s="11">
        <v>2024</v>
      </c>
      <c r="E789" s="10" t="s">
        <v>81</v>
      </c>
      <c r="F789" s="10" t="s">
        <v>83</v>
      </c>
      <c r="G789" s="10" t="s">
        <v>84</v>
      </c>
      <c r="H789" s="11">
        <v>82505</v>
      </c>
      <c r="I789" s="11">
        <v>3949</v>
      </c>
      <c r="J789" s="11">
        <v>2465</v>
      </c>
      <c r="K789" s="11">
        <v>91735</v>
      </c>
      <c r="L789" s="11">
        <v>4.7863765832373797E-2</v>
      </c>
      <c r="M789" s="11">
        <f t="shared" si="3"/>
        <v>4.7863765832373799</v>
      </c>
      <c r="N789" s="11">
        <v>0.62420866042036005</v>
      </c>
      <c r="O789" s="11">
        <v>1.11187200775711</v>
      </c>
      <c r="P789" s="11">
        <v>0.48395270270270302</v>
      </c>
      <c r="Q789" s="11">
        <v>0.16666666666666699</v>
      </c>
      <c r="R789" s="11">
        <v>0.53875968992248102</v>
      </c>
      <c r="S789" s="10" t="s">
        <v>84</v>
      </c>
      <c r="T789" s="10" t="s">
        <v>84</v>
      </c>
      <c r="U789" s="10"/>
      <c r="V789" s="10"/>
      <c r="W789" s="10"/>
      <c r="X789" s="10"/>
      <c r="Y789" s="10"/>
      <c r="Z789" s="10"/>
      <c r="AA789" s="10"/>
    </row>
    <row r="790" spans="1:27" ht="12.5" hidden="1" x14ac:dyDescent="0.25">
      <c r="A790" s="10" t="s">
        <v>12</v>
      </c>
      <c r="B790" s="10" t="s">
        <v>1502</v>
      </c>
      <c r="C790" s="10" t="s">
        <v>191</v>
      </c>
      <c r="D790" s="11">
        <v>2024</v>
      </c>
      <c r="E790" s="10" t="s">
        <v>124</v>
      </c>
      <c r="F790" s="10" t="s">
        <v>125</v>
      </c>
      <c r="G790" s="10" t="s">
        <v>84</v>
      </c>
      <c r="H790" s="12">
        <v>3898</v>
      </c>
      <c r="I790" s="11">
        <v>186</v>
      </c>
      <c r="J790" s="11">
        <v>140</v>
      </c>
      <c r="K790" s="11">
        <v>6556</v>
      </c>
      <c r="L790" s="11">
        <v>4.7714737697208097E-2</v>
      </c>
      <c r="M790" s="11">
        <f t="shared" si="3"/>
        <v>4.7716777834787072</v>
      </c>
      <c r="N790" s="11">
        <v>0.75268817204301097</v>
      </c>
      <c r="O790" s="11">
        <v>1.68181623840267</v>
      </c>
      <c r="P790" s="11">
        <v>0.64950980392156898</v>
      </c>
      <c r="Q790" s="11">
        <v>0.57142857142857095</v>
      </c>
      <c r="R790" s="11">
        <v>0.54844961240310097</v>
      </c>
      <c r="S790" s="10" t="s">
        <v>84</v>
      </c>
      <c r="T790" s="10" t="s">
        <v>84</v>
      </c>
      <c r="U790" s="10"/>
      <c r="V790" s="10"/>
      <c r="W790" s="10"/>
      <c r="X790" s="10"/>
      <c r="Y790" s="10"/>
      <c r="Z790" s="10"/>
      <c r="AA790" s="10"/>
    </row>
    <row r="791" spans="1:27" ht="12.5" hidden="1" x14ac:dyDescent="0.25">
      <c r="A791" s="10" t="s">
        <v>34</v>
      </c>
      <c r="B791" s="10" t="s">
        <v>1503</v>
      </c>
      <c r="C791" s="10" t="s">
        <v>191</v>
      </c>
      <c r="D791" s="11">
        <v>2024</v>
      </c>
      <c r="E791" s="10" t="s">
        <v>124</v>
      </c>
      <c r="F791" s="10" t="s">
        <v>125</v>
      </c>
      <c r="G791" s="10" t="s">
        <v>84</v>
      </c>
      <c r="H791" s="12">
        <v>273</v>
      </c>
      <c r="I791" s="11">
        <v>13</v>
      </c>
      <c r="J791" s="11">
        <v>13</v>
      </c>
      <c r="K791" s="11">
        <v>240</v>
      </c>
      <c r="L791" s="11">
        <v>4.7619047619047603E-2</v>
      </c>
      <c r="M791" s="11">
        <f t="shared" si="3"/>
        <v>4.7619047619047619</v>
      </c>
      <c r="N791" s="11">
        <v>1</v>
      </c>
      <c r="O791" s="11">
        <v>0.879120879120879</v>
      </c>
      <c r="P791" s="11">
        <v>0.64828431372549</v>
      </c>
      <c r="Q791" s="11">
        <v>0.96428571428571397</v>
      </c>
      <c r="R791" s="11">
        <v>0.54651162790697705</v>
      </c>
      <c r="S791" s="10" t="s">
        <v>84</v>
      </c>
      <c r="T791" s="10" t="s">
        <v>84</v>
      </c>
      <c r="U791" s="10"/>
      <c r="V791" s="10"/>
      <c r="W791" s="10"/>
      <c r="X791" s="10"/>
      <c r="Y791" s="10"/>
      <c r="Z791" s="10"/>
      <c r="AA791" s="10"/>
    </row>
    <row r="792" spans="1:27" ht="12.5" hidden="1" x14ac:dyDescent="0.25">
      <c r="A792" s="10" t="s">
        <v>42</v>
      </c>
      <c r="B792" s="10" t="s">
        <v>1505</v>
      </c>
      <c r="C792" s="10" t="s">
        <v>191</v>
      </c>
      <c r="D792" s="11">
        <v>2024</v>
      </c>
      <c r="E792" s="10" t="s">
        <v>124</v>
      </c>
      <c r="F792" s="10" t="s">
        <v>125</v>
      </c>
      <c r="G792" s="10" t="s">
        <v>84</v>
      </c>
      <c r="H792" s="12">
        <v>4647</v>
      </c>
      <c r="I792" s="11">
        <v>221</v>
      </c>
      <c r="J792" s="11">
        <v>153</v>
      </c>
      <c r="K792" s="11">
        <v>5487</v>
      </c>
      <c r="L792" s="11">
        <v>4.7556711198780598E-2</v>
      </c>
      <c r="M792" s="11">
        <f t="shared" si="3"/>
        <v>4.755756401979772</v>
      </c>
      <c r="N792" s="11">
        <v>0.69230769230769196</v>
      </c>
      <c r="O792" s="11">
        <v>1.1807406079081899</v>
      </c>
      <c r="P792" s="11">
        <v>0.64705882352941202</v>
      </c>
      <c r="Q792" s="11">
        <v>0.85714285714285698</v>
      </c>
      <c r="R792" s="11">
        <v>0.54457364341085301</v>
      </c>
      <c r="S792" s="10" t="s">
        <v>84</v>
      </c>
      <c r="T792" s="10" t="s">
        <v>84</v>
      </c>
      <c r="U792" s="10"/>
      <c r="V792" s="10"/>
      <c r="W792" s="10"/>
      <c r="X792" s="10"/>
      <c r="Y792" s="10"/>
      <c r="Z792" s="10"/>
      <c r="AA792" s="10"/>
    </row>
    <row r="793" spans="1:27" ht="12.5" x14ac:dyDescent="0.25">
      <c r="A793" s="10" t="s">
        <v>77</v>
      </c>
      <c r="B793" s="10" t="s">
        <v>961</v>
      </c>
      <c r="C793" s="10" t="s">
        <v>76</v>
      </c>
      <c r="D793" s="11">
        <v>2024</v>
      </c>
      <c r="E793" s="10" t="s">
        <v>124</v>
      </c>
      <c r="F793" s="10" t="s">
        <v>125</v>
      </c>
      <c r="G793" s="10" t="s">
        <v>84</v>
      </c>
      <c r="H793" s="11">
        <v>1327</v>
      </c>
      <c r="I793" s="11">
        <v>63</v>
      </c>
      <c r="J793" s="11">
        <v>43</v>
      </c>
      <c r="K793" s="11">
        <v>3610</v>
      </c>
      <c r="L793" s="11">
        <v>4.7466566208325497E-2</v>
      </c>
      <c r="M793" s="11">
        <f t="shared" si="3"/>
        <v>4.7475508666164279</v>
      </c>
      <c r="N793" s="11">
        <v>0.682539682539683</v>
      </c>
      <c r="O793" s="11">
        <v>2.71990958749294</v>
      </c>
      <c r="P793" s="11">
        <v>0.48141891891891903</v>
      </c>
      <c r="Q793" s="11">
        <v>0.75</v>
      </c>
      <c r="R793" s="11">
        <v>0.360178970917226</v>
      </c>
      <c r="S793" s="10" t="s">
        <v>84</v>
      </c>
      <c r="T793" s="10" t="s">
        <v>84</v>
      </c>
      <c r="U793" s="10"/>
      <c r="V793" s="10"/>
      <c r="W793" s="10"/>
      <c r="X793" s="10"/>
      <c r="Y793" s="10"/>
      <c r="Z793" s="10"/>
      <c r="AA793" s="10"/>
    </row>
    <row r="794" spans="1:27" ht="12.5" x14ac:dyDescent="0.25">
      <c r="A794" s="10" t="s">
        <v>58</v>
      </c>
      <c r="B794" s="10" t="s">
        <v>796</v>
      </c>
      <c r="C794" s="10" t="s">
        <v>76</v>
      </c>
      <c r="D794" s="11">
        <v>2024</v>
      </c>
      <c r="E794" s="10" t="s">
        <v>81</v>
      </c>
      <c r="F794" s="10" t="s">
        <v>83</v>
      </c>
      <c r="G794" s="10" t="s">
        <v>84</v>
      </c>
      <c r="H794" s="11">
        <v>29232</v>
      </c>
      <c r="I794" s="11">
        <v>1383</v>
      </c>
      <c r="J794" s="11">
        <v>1070</v>
      </c>
      <c r="K794" s="11">
        <v>7947</v>
      </c>
      <c r="L794" s="11">
        <v>4.7310626361220999E-2</v>
      </c>
      <c r="M794" s="11">
        <f t="shared" si="3"/>
        <v>4.7311165845648606</v>
      </c>
      <c r="N794" s="11">
        <v>0.77368040491684698</v>
      </c>
      <c r="O794" s="11">
        <v>0.271856505923806</v>
      </c>
      <c r="P794" s="11">
        <v>0.48057432432432401</v>
      </c>
      <c r="Q794" s="11">
        <v>0.18918918918918901</v>
      </c>
      <c r="R794" s="11">
        <v>0.53682170542635699</v>
      </c>
      <c r="S794" s="10" t="s">
        <v>84</v>
      </c>
      <c r="T794" s="10" t="s">
        <v>84</v>
      </c>
      <c r="U794" s="10"/>
      <c r="V794" s="10"/>
      <c r="W794" s="10"/>
      <c r="X794" s="10"/>
      <c r="Y794" s="10"/>
      <c r="Z794" s="10"/>
      <c r="AA794" s="10"/>
    </row>
    <row r="795" spans="1:27" ht="12.5" hidden="1" x14ac:dyDescent="0.25">
      <c r="A795" s="10" t="s">
        <v>29</v>
      </c>
      <c r="B795" s="10" t="s">
        <v>1506</v>
      </c>
      <c r="C795" s="10" t="s">
        <v>191</v>
      </c>
      <c r="D795" s="11">
        <v>2024</v>
      </c>
      <c r="E795" s="10" t="s">
        <v>124</v>
      </c>
      <c r="F795" s="10" t="s">
        <v>125</v>
      </c>
      <c r="G795" s="10" t="s">
        <v>84</v>
      </c>
      <c r="H795" s="12">
        <v>2814</v>
      </c>
      <c r="I795" s="11">
        <v>133</v>
      </c>
      <c r="J795" s="11">
        <v>54</v>
      </c>
      <c r="K795" s="11">
        <v>951</v>
      </c>
      <c r="L795" s="11">
        <v>4.72720810378532E-2</v>
      </c>
      <c r="M795" s="11">
        <f t="shared" si="3"/>
        <v>4.7263681592039797</v>
      </c>
      <c r="N795" s="11">
        <v>0.406015037593985</v>
      </c>
      <c r="O795" s="11">
        <v>0.33801315087968697</v>
      </c>
      <c r="P795" s="11">
        <v>0.64583333333333304</v>
      </c>
      <c r="Q795" s="11">
        <v>0.59154929577464799</v>
      </c>
      <c r="R795" s="11">
        <v>0.54263565891472898</v>
      </c>
      <c r="S795" s="10" t="s">
        <v>84</v>
      </c>
      <c r="T795" s="10" t="s">
        <v>84</v>
      </c>
      <c r="U795" s="10"/>
      <c r="V795" s="10"/>
      <c r="W795" s="10"/>
      <c r="X795" s="10"/>
      <c r="Y795" s="10"/>
      <c r="Z795" s="10"/>
      <c r="AA795" s="10"/>
    </row>
    <row r="796" spans="1:27" ht="12.5" x14ac:dyDescent="0.25">
      <c r="A796" s="10" t="s">
        <v>58</v>
      </c>
      <c r="B796" s="10" t="s">
        <v>798</v>
      </c>
      <c r="C796" s="10" t="s">
        <v>76</v>
      </c>
      <c r="D796" s="11">
        <v>2024</v>
      </c>
      <c r="E796" s="10" t="s">
        <v>81</v>
      </c>
      <c r="F796" s="10" t="s">
        <v>83</v>
      </c>
      <c r="G796" s="10" t="s">
        <v>84</v>
      </c>
      <c r="H796" s="11">
        <v>26655</v>
      </c>
      <c r="I796" s="11">
        <v>1260</v>
      </c>
      <c r="J796" s="11">
        <v>1071</v>
      </c>
      <c r="K796" s="11">
        <v>43435</v>
      </c>
      <c r="L796" s="11">
        <v>4.7270680922903797E-2</v>
      </c>
      <c r="M796" s="11">
        <f t="shared" si="3"/>
        <v>4.7270680922903772</v>
      </c>
      <c r="N796" s="11">
        <v>0.85</v>
      </c>
      <c r="O796" s="11">
        <v>1.6295254173700999</v>
      </c>
      <c r="P796" s="11">
        <v>0.47972972972972999</v>
      </c>
      <c r="Q796" s="11">
        <v>0.162162162162162</v>
      </c>
      <c r="R796" s="11">
        <v>0.53488372093023295</v>
      </c>
      <c r="S796" s="10" t="s">
        <v>84</v>
      </c>
      <c r="T796" s="10" t="s">
        <v>84</v>
      </c>
      <c r="U796" s="10"/>
      <c r="V796" s="10"/>
      <c r="W796" s="10"/>
      <c r="X796" s="10"/>
      <c r="Y796" s="10"/>
      <c r="Z796" s="10"/>
      <c r="AA796" s="10"/>
    </row>
    <row r="797" spans="1:27" ht="12.5" x14ac:dyDescent="0.25">
      <c r="A797" s="10" t="s">
        <v>72</v>
      </c>
      <c r="B797" s="10" t="s">
        <v>801</v>
      </c>
      <c r="C797" s="10" t="s">
        <v>76</v>
      </c>
      <c r="D797" s="11">
        <v>2024</v>
      </c>
      <c r="E797" s="10" t="s">
        <v>81</v>
      </c>
      <c r="F797" s="10" t="s">
        <v>125</v>
      </c>
      <c r="G797" s="10" t="s">
        <v>84</v>
      </c>
      <c r="H797" s="11">
        <v>998</v>
      </c>
      <c r="I797" s="11">
        <v>47</v>
      </c>
      <c r="J797" s="11">
        <v>45</v>
      </c>
      <c r="K797" s="11">
        <v>1990</v>
      </c>
      <c r="L797" s="11">
        <v>4.7117794486215503E-2</v>
      </c>
      <c r="M797" s="11">
        <f t="shared" si="3"/>
        <v>4.7094188376753507</v>
      </c>
      <c r="N797" s="11">
        <v>0.95744680851063801</v>
      </c>
      <c r="O797" s="11">
        <v>1.99498746867168</v>
      </c>
      <c r="P797" s="11">
        <v>0.47804054054054002</v>
      </c>
      <c r="Q797" s="11">
        <v>0.7</v>
      </c>
      <c r="R797" s="11">
        <v>0.53294573643410803</v>
      </c>
      <c r="S797" s="10" t="s">
        <v>84</v>
      </c>
      <c r="T797" s="10" t="s">
        <v>84</v>
      </c>
      <c r="U797" s="10"/>
      <c r="V797" s="10"/>
      <c r="W797" s="10"/>
      <c r="X797" s="10"/>
      <c r="Y797" s="10"/>
      <c r="Z797" s="10"/>
      <c r="AA797" s="10"/>
    </row>
    <row r="798" spans="1:27" ht="12.5" x14ac:dyDescent="0.25">
      <c r="A798" s="10" t="s">
        <v>22</v>
      </c>
      <c r="B798" s="10" t="s">
        <v>1392</v>
      </c>
      <c r="C798" s="10" t="s">
        <v>76</v>
      </c>
      <c r="D798" s="11">
        <v>2024</v>
      </c>
      <c r="E798" s="10" t="s">
        <v>257</v>
      </c>
      <c r="F798" s="10" t="s">
        <v>83</v>
      </c>
      <c r="G798" s="10" t="s">
        <v>84</v>
      </c>
      <c r="H798" s="11">
        <v>15545</v>
      </c>
      <c r="I798" s="11">
        <v>732</v>
      </c>
      <c r="J798" s="11">
        <v>607</v>
      </c>
      <c r="K798" s="11">
        <v>14039</v>
      </c>
      <c r="L798" s="11">
        <v>4.70906108269806E-2</v>
      </c>
      <c r="M798" s="11">
        <f t="shared" si="3"/>
        <v>4.7089096172402698</v>
      </c>
      <c r="N798" s="11">
        <v>0.82923497267759605</v>
      </c>
      <c r="O798" s="11">
        <v>0.90314902377046502</v>
      </c>
      <c r="P798" s="11">
        <v>0.477195945945946</v>
      </c>
      <c r="Q798" s="11">
        <v>0.42857142857142899</v>
      </c>
      <c r="R798" s="11">
        <v>0.59090909090909105</v>
      </c>
      <c r="S798" s="10" t="s">
        <v>84</v>
      </c>
      <c r="T798" s="10" t="s">
        <v>84</v>
      </c>
      <c r="U798" s="10"/>
      <c r="V798" s="10"/>
      <c r="W798" s="10"/>
      <c r="X798" s="10"/>
      <c r="Y798" s="10"/>
      <c r="Z798" s="10"/>
      <c r="AA798" s="10"/>
    </row>
    <row r="799" spans="1:27" ht="12.5" x14ac:dyDescent="0.25">
      <c r="A799" s="10" t="s">
        <v>34</v>
      </c>
      <c r="B799" s="10" t="s">
        <v>963</v>
      </c>
      <c r="C799" s="10" t="s">
        <v>76</v>
      </c>
      <c r="D799" s="11">
        <v>2024</v>
      </c>
      <c r="E799" s="10" t="s">
        <v>124</v>
      </c>
      <c r="F799" s="10" t="s">
        <v>125</v>
      </c>
      <c r="G799" s="10" t="s">
        <v>84</v>
      </c>
      <c r="H799" s="11">
        <v>6489</v>
      </c>
      <c r="I799" s="11">
        <v>305</v>
      </c>
      <c r="J799" s="11">
        <v>277</v>
      </c>
      <c r="K799" s="11">
        <v>11600</v>
      </c>
      <c r="L799" s="11">
        <v>4.7003223445105102E-2</v>
      </c>
      <c r="M799" s="11">
        <f t="shared" si="3"/>
        <v>4.7002619818153795</v>
      </c>
      <c r="N799" s="11">
        <v>0.908196721311475</v>
      </c>
      <c r="O799" s="11">
        <v>1.78766358020728</v>
      </c>
      <c r="P799" s="11">
        <v>0.47635135135135098</v>
      </c>
      <c r="Q799" s="11">
        <v>0.75510204081632604</v>
      </c>
      <c r="R799" s="11">
        <v>0.35794183445190197</v>
      </c>
      <c r="S799" s="10" t="s">
        <v>84</v>
      </c>
      <c r="T799" s="10" t="s">
        <v>84</v>
      </c>
      <c r="U799" s="10"/>
      <c r="V799" s="10"/>
      <c r="W799" s="10"/>
      <c r="X799" s="10"/>
      <c r="Y799" s="10"/>
      <c r="Z799" s="10"/>
      <c r="AA799" s="10"/>
    </row>
    <row r="800" spans="1:27" ht="12.5" hidden="1" x14ac:dyDescent="0.25">
      <c r="A800" s="10" t="s">
        <v>13</v>
      </c>
      <c r="B800" s="10" t="s">
        <v>1507</v>
      </c>
      <c r="C800" s="10" t="s">
        <v>191</v>
      </c>
      <c r="D800" s="11">
        <v>2024</v>
      </c>
      <c r="E800" s="10" t="s">
        <v>124</v>
      </c>
      <c r="F800" s="10" t="s">
        <v>125</v>
      </c>
      <c r="G800" s="10" t="s">
        <v>84</v>
      </c>
      <c r="H800" s="12">
        <v>661.41666666666697</v>
      </c>
      <c r="I800" s="11">
        <v>31</v>
      </c>
      <c r="J800" s="11">
        <v>25</v>
      </c>
      <c r="K800" s="11">
        <v>1106</v>
      </c>
      <c r="L800" s="11">
        <v>4.68690941161648E-2</v>
      </c>
      <c r="M800" s="11">
        <f t="shared" si="3"/>
        <v>4.6869094116164778</v>
      </c>
      <c r="N800" s="11">
        <v>0.80645161290322598</v>
      </c>
      <c r="O800" s="11">
        <v>1.67216832556382</v>
      </c>
      <c r="P800" s="11">
        <v>0.64338235294117696</v>
      </c>
      <c r="Q800" s="11">
        <v>0.39655172413793099</v>
      </c>
      <c r="R800" s="11">
        <v>0.54069767441860495</v>
      </c>
      <c r="S800" s="10" t="s">
        <v>84</v>
      </c>
      <c r="T800" s="10" t="s">
        <v>84</v>
      </c>
      <c r="U800" s="10"/>
      <c r="V800" s="10"/>
      <c r="W800" s="10"/>
      <c r="X800" s="10"/>
      <c r="Y800" s="10"/>
      <c r="Z800" s="10"/>
      <c r="AA800" s="10"/>
    </row>
    <row r="801" spans="1:27" ht="12.5" hidden="1" x14ac:dyDescent="0.25">
      <c r="A801" s="10" t="s">
        <v>32</v>
      </c>
      <c r="B801" s="10" t="s">
        <v>457</v>
      </c>
      <c r="C801" s="10" t="s">
        <v>191</v>
      </c>
      <c r="D801" s="11">
        <v>2024</v>
      </c>
      <c r="E801" s="10" t="s">
        <v>124</v>
      </c>
      <c r="F801" s="10" t="s">
        <v>83</v>
      </c>
      <c r="G801" s="10" t="s">
        <v>84</v>
      </c>
      <c r="H801" s="12">
        <v>18754</v>
      </c>
      <c r="I801" s="11">
        <v>878</v>
      </c>
      <c r="J801" s="11">
        <v>566</v>
      </c>
      <c r="K801" s="11">
        <v>1174</v>
      </c>
      <c r="L801" s="11">
        <v>4.6816263052655002E-2</v>
      </c>
      <c r="M801" s="11">
        <f t="shared" si="3"/>
        <v>4.681667910845686</v>
      </c>
      <c r="N801" s="11">
        <v>0.64464692482915698</v>
      </c>
      <c r="O801" s="11">
        <v>6.2599422350588796E-2</v>
      </c>
      <c r="P801" s="11">
        <v>0.64215686274509798</v>
      </c>
      <c r="Q801" s="11">
        <v>0.5</v>
      </c>
      <c r="R801" s="11">
        <v>0.53875968992248102</v>
      </c>
      <c r="S801" s="10" t="s">
        <v>84</v>
      </c>
      <c r="T801" s="10" t="s">
        <v>84</v>
      </c>
      <c r="U801" s="10"/>
      <c r="V801" s="10"/>
      <c r="W801" s="10"/>
      <c r="X801" s="10"/>
      <c r="Y801" s="10"/>
      <c r="Z801" s="10"/>
      <c r="AA801" s="10"/>
    </row>
    <row r="802" spans="1:27" ht="12.5" hidden="1" x14ac:dyDescent="0.25">
      <c r="A802" s="10" t="s">
        <v>14</v>
      </c>
      <c r="B802" s="10" t="s">
        <v>1509</v>
      </c>
      <c r="C802" s="10" t="s">
        <v>191</v>
      </c>
      <c r="D802" s="11">
        <v>2024</v>
      </c>
      <c r="E802" s="10" t="s">
        <v>124</v>
      </c>
      <c r="F802" s="10" t="s">
        <v>125</v>
      </c>
      <c r="G802" s="10" t="s">
        <v>84</v>
      </c>
      <c r="H802" s="12">
        <v>984.83333333333303</v>
      </c>
      <c r="I802" s="11">
        <v>46</v>
      </c>
      <c r="J802" s="11">
        <v>28</v>
      </c>
      <c r="K802" s="11">
        <v>240</v>
      </c>
      <c r="L802" s="11">
        <v>4.6708410898629198E-2</v>
      </c>
      <c r="M802" s="11">
        <f t="shared" si="3"/>
        <v>4.6708410898629227</v>
      </c>
      <c r="N802" s="11">
        <v>0.60869565217391297</v>
      </c>
      <c r="O802" s="11">
        <v>0.243696056862413</v>
      </c>
      <c r="P802" s="11">
        <v>0.64093137254902</v>
      </c>
      <c r="Q802" s="11">
        <v>0.51063829787234005</v>
      </c>
      <c r="R802" s="11">
        <v>0.53682170542635699</v>
      </c>
      <c r="S802" s="10" t="s">
        <v>84</v>
      </c>
      <c r="T802" s="10" t="s">
        <v>84</v>
      </c>
      <c r="U802" s="10"/>
      <c r="V802" s="10"/>
      <c r="W802" s="10"/>
      <c r="X802" s="10"/>
      <c r="Y802" s="10"/>
      <c r="Z802" s="10"/>
      <c r="AA802" s="10"/>
    </row>
    <row r="803" spans="1:27" ht="12.5" hidden="1" x14ac:dyDescent="0.25">
      <c r="A803" s="10" t="s">
        <v>13</v>
      </c>
      <c r="B803" s="10" t="s">
        <v>1510</v>
      </c>
      <c r="C803" s="10" t="s">
        <v>191</v>
      </c>
      <c r="D803" s="11">
        <v>2024</v>
      </c>
      <c r="E803" s="10" t="s">
        <v>124</v>
      </c>
      <c r="F803" s="10" t="s">
        <v>125</v>
      </c>
      <c r="G803" s="10" t="s">
        <v>84</v>
      </c>
      <c r="H803" s="12">
        <v>664</v>
      </c>
      <c r="I803" s="11">
        <v>31</v>
      </c>
      <c r="J803" s="11">
        <v>18</v>
      </c>
      <c r="K803" s="11">
        <v>31</v>
      </c>
      <c r="L803" s="11">
        <v>4.6686746987951798E-2</v>
      </c>
      <c r="M803" s="11">
        <f t="shared" si="3"/>
        <v>4.6686746987951802</v>
      </c>
      <c r="N803" s="11">
        <v>0.58064516129032295</v>
      </c>
      <c r="O803" s="11">
        <v>4.6686746987951798E-2</v>
      </c>
      <c r="P803" s="11">
        <v>0.63970588235294101</v>
      </c>
      <c r="Q803" s="11">
        <v>0.37931034482758602</v>
      </c>
      <c r="R803" s="11">
        <v>0.53488372093023295</v>
      </c>
      <c r="S803" s="10" t="s">
        <v>84</v>
      </c>
      <c r="T803" s="10" t="s">
        <v>84</v>
      </c>
      <c r="U803" s="10"/>
      <c r="V803" s="10"/>
      <c r="W803" s="10"/>
      <c r="X803" s="10"/>
      <c r="Y803" s="10"/>
      <c r="Z803" s="10"/>
      <c r="AA803" s="10"/>
    </row>
    <row r="804" spans="1:27" ht="12.5" hidden="1" x14ac:dyDescent="0.25">
      <c r="A804" s="10" t="s">
        <v>14</v>
      </c>
      <c r="B804" s="10" t="s">
        <v>1512</v>
      </c>
      <c r="C804" s="10" t="s">
        <v>191</v>
      </c>
      <c r="D804" s="11">
        <v>2024</v>
      </c>
      <c r="E804" s="10" t="s">
        <v>257</v>
      </c>
      <c r="F804" s="10" t="s">
        <v>125</v>
      </c>
      <c r="G804" s="10" t="s">
        <v>84</v>
      </c>
      <c r="H804" s="12">
        <v>471.5</v>
      </c>
      <c r="I804" s="11">
        <v>22</v>
      </c>
      <c r="J804" s="11">
        <v>14</v>
      </c>
      <c r="K804" s="11">
        <v>0</v>
      </c>
      <c r="L804" s="11">
        <v>4.6659597030752897E-2</v>
      </c>
      <c r="M804" s="11">
        <f t="shared" si="3"/>
        <v>4.6659597030752922</v>
      </c>
      <c r="N804" s="11">
        <v>0.63636363636363602</v>
      </c>
      <c r="O804" s="11">
        <v>0</v>
      </c>
      <c r="P804" s="11">
        <v>0.63848039215686303</v>
      </c>
      <c r="Q804" s="11">
        <v>0.48936170212766</v>
      </c>
      <c r="R804" s="11">
        <v>0.69444444444444398</v>
      </c>
      <c r="S804" s="10" t="s">
        <v>84</v>
      </c>
      <c r="T804" s="10" t="s">
        <v>84</v>
      </c>
      <c r="U804" s="10"/>
      <c r="V804" s="10"/>
      <c r="W804" s="10"/>
      <c r="X804" s="10"/>
      <c r="Y804" s="10"/>
      <c r="Z804" s="10"/>
      <c r="AA804" s="10"/>
    </row>
    <row r="805" spans="1:27" ht="12.5" x14ac:dyDescent="0.25">
      <c r="A805" s="10" t="s">
        <v>26</v>
      </c>
      <c r="B805" s="10" t="s">
        <v>804</v>
      </c>
      <c r="C805" s="10" t="s">
        <v>76</v>
      </c>
      <c r="D805" s="11">
        <v>2024</v>
      </c>
      <c r="E805" s="10" t="s">
        <v>81</v>
      </c>
      <c r="F805" s="10" t="s">
        <v>83</v>
      </c>
      <c r="G805" s="10" t="s">
        <v>84</v>
      </c>
      <c r="H805" s="11">
        <v>61344</v>
      </c>
      <c r="I805" s="11">
        <v>2851</v>
      </c>
      <c r="J805" s="11">
        <v>592</v>
      </c>
      <c r="K805" s="11">
        <v>108933</v>
      </c>
      <c r="L805" s="11">
        <v>4.6475486666757201E-2</v>
      </c>
      <c r="M805" s="11">
        <f t="shared" si="3"/>
        <v>4.6475612936880548</v>
      </c>
      <c r="N805" s="11">
        <v>0.207646439845668</v>
      </c>
      <c r="O805" s="11">
        <v>1.7757678670886901</v>
      </c>
      <c r="P805" s="11">
        <v>0.47381756756756799</v>
      </c>
      <c r="Q805" s="11">
        <v>0.15384615384615399</v>
      </c>
      <c r="R805" s="11">
        <v>0.531007751937985</v>
      </c>
      <c r="S805" s="10" t="s">
        <v>84</v>
      </c>
      <c r="T805" s="10" t="s">
        <v>84</v>
      </c>
      <c r="U805" s="10"/>
      <c r="V805" s="10"/>
      <c r="W805" s="10"/>
      <c r="X805" s="10"/>
      <c r="Y805" s="10"/>
      <c r="Z805" s="10"/>
      <c r="AA805" s="10"/>
    </row>
    <row r="806" spans="1:27" ht="12.5" x14ac:dyDescent="0.25">
      <c r="A806" s="10" t="s">
        <v>29</v>
      </c>
      <c r="B806" s="10" t="s">
        <v>965</v>
      </c>
      <c r="C806" s="10" t="s">
        <v>76</v>
      </c>
      <c r="D806" s="11">
        <v>2024</v>
      </c>
      <c r="E806" s="10" t="s">
        <v>124</v>
      </c>
      <c r="F806" s="10" t="s">
        <v>83</v>
      </c>
      <c r="G806" s="10" t="s">
        <v>84</v>
      </c>
      <c r="H806" s="11">
        <v>33963</v>
      </c>
      <c r="I806" s="11">
        <v>1578</v>
      </c>
      <c r="J806" s="11">
        <v>1214</v>
      </c>
      <c r="K806" s="11">
        <v>33576</v>
      </c>
      <c r="L806" s="11">
        <v>4.6461756645017602E-2</v>
      </c>
      <c r="M806" s="11">
        <f t="shared" si="3"/>
        <v>4.6462326649589256</v>
      </c>
      <c r="N806" s="11">
        <v>0.76932826362484197</v>
      </c>
      <c r="O806" s="11">
        <v>0.98859311857611498</v>
      </c>
      <c r="P806" s="11">
        <v>0.47297297297297303</v>
      </c>
      <c r="Q806" s="11">
        <v>0.22448979591836701</v>
      </c>
      <c r="R806" s="11">
        <v>0.355704697986577</v>
      </c>
      <c r="S806" s="10" t="s">
        <v>84</v>
      </c>
      <c r="T806" s="10" t="s">
        <v>84</v>
      </c>
      <c r="U806" s="10"/>
      <c r="V806" s="10"/>
      <c r="W806" s="10"/>
      <c r="X806" s="10"/>
      <c r="Y806" s="10"/>
      <c r="Z806" s="10"/>
      <c r="AA806" s="10"/>
    </row>
    <row r="807" spans="1:27" ht="12.5" x14ac:dyDescent="0.25">
      <c r="A807" s="10" t="s">
        <v>42</v>
      </c>
      <c r="B807" s="10" t="s">
        <v>806</v>
      </c>
      <c r="C807" s="10" t="s">
        <v>76</v>
      </c>
      <c r="D807" s="11">
        <v>2024</v>
      </c>
      <c r="E807" s="10" t="s">
        <v>81</v>
      </c>
      <c r="F807" s="10" t="s">
        <v>83</v>
      </c>
      <c r="G807" s="10" t="s">
        <v>84</v>
      </c>
      <c r="H807" s="11">
        <v>7947</v>
      </c>
      <c r="I807" s="11">
        <v>369</v>
      </c>
      <c r="J807" s="11">
        <v>332</v>
      </c>
      <c r="K807" s="11">
        <v>2085</v>
      </c>
      <c r="L807" s="11">
        <v>4.6430668568073201E-2</v>
      </c>
      <c r="M807" s="11">
        <f t="shared" si="3"/>
        <v>4.6432616081540203</v>
      </c>
      <c r="N807" s="11">
        <v>0.89972899728997302</v>
      </c>
      <c r="O807" s="11">
        <v>0.26235215166512899</v>
      </c>
      <c r="P807" s="11">
        <v>0.47212837837837801</v>
      </c>
      <c r="Q807" s="11">
        <v>0.40476190476190499</v>
      </c>
      <c r="R807" s="11">
        <v>0.52906976744185996</v>
      </c>
      <c r="S807" s="10" t="s">
        <v>84</v>
      </c>
      <c r="T807" s="10" t="s">
        <v>84</v>
      </c>
      <c r="U807" s="10"/>
      <c r="V807" s="10"/>
      <c r="W807" s="10"/>
      <c r="X807" s="10"/>
      <c r="Y807" s="10"/>
      <c r="Z807" s="10"/>
      <c r="AA807" s="10"/>
    </row>
    <row r="808" spans="1:27" ht="12.5" hidden="1" x14ac:dyDescent="0.25">
      <c r="A808" s="10" t="s">
        <v>29</v>
      </c>
      <c r="B808" s="10" t="s">
        <v>1513</v>
      </c>
      <c r="C808" s="10" t="s">
        <v>191</v>
      </c>
      <c r="D808" s="11">
        <v>2024</v>
      </c>
      <c r="E808" s="10" t="s">
        <v>257</v>
      </c>
      <c r="F808" s="10" t="s">
        <v>125</v>
      </c>
      <c r="G808" s="10" t="s">
        <v>84</v>
      </c>
      <c r="H808" s="12">
        <v>15484</v>
      </c>
      <c r="I808" s="11">
        <v>718</v>
      </c>
      <c r="J808" s="11">
        <v>214</v>
      </c>
      <c r="K808" s="11">
        <v>6764</v>
      </c>
      <c r="L808" s="11">
        <v>4.6370946040493799E-2</v>
      </c>
      <c r="M808" s="11">
        <f t="shared" si="3"/>
        <v>4.6370446912942391</v>
      </c>
      <c r="N808" s="11">
        <v>0.29805013927576601</v>
      </c>
      <c r="O808" s="11">
        <v>0.43684272843718702</v>
      </c>
      <c r="P808" s="11">
        <v>0.63725490196078405</v>
      </c>
      <c r="Q808" s="11">
        <v>0.57746478873239404</v>
      </c>
      <c r="R808" s="11">
        <v>0.66666666666666696</v>
      </c>
      <c r="S808" s="10" t="s">
        <v>84</v>
      </c>
      <c r="T808" s="10" t="s">
        <v>84</v>
      </c>
      <c r="U808" s="10"/>
      <c r="V808" s="10"/>
      <c r="W808" s="10"/>
      <c r="X808" s="10"/>
      <c r="Y808" s="10"/>
      <c r="Z808" s="10"/>
      <c r="AA808" s="10"/>
    </row>
    <row r="809" spans="1:27" ht="12.5" x14ac:dyDescent="0.25">
      <c r="A809" s="10" t="s">
        <v>104</v>
      </c>
      <c r="B809" s="10" t="s">
        <v>808</v>
      </c>
      <c r="C809" s="10" t="s">
        <v>76</v>
      </c>
      <c r="D809" s="11">
        <v>2024</v>
      </c>
      <c r="E809" s="10" t="s">
        <v>81</v>
      </c>
      <c r="F809" s="10" t="s">
        <v>83</v>
      </c>
      <c r="G809" s="10" t="s">
        <v>84</v>
      </c>
      <c r="H809" s="11">
        <v>5825</v>
      </c>
      <c r="I809" s="11">
        <v>269</v>
      </c>
      <c r="J809" s="11">
        <v>260</v>
      </c>
      <c r="K809" s="11">
        <v>8006</v>
      </c>
      <c r="L809" s="11">
        <v>4.61776150148775E-2</v>
      </c>
      <c r="M809" s="11">
        <f t="shared" si="3"/>
        <v>4.6180257510729614</v>
      </c>
      <c r="N809" s="11">
        <v>0.96654275092936803</v>
      </c>
      <c r="O809" s="11">
        <v>1.3743419546807001</v>
      </c>
      <c r="P809" s="11">
        <v>0.47128378378378399</v>
      </c>
      <c r="Q809" s="11">
        <v>0.51724137931034497</v>
      </c>
      <c r="R809" s="11">
        <v>0.52713178294573604</v>
      </c>
      <c r="S809" s="10" t="s">
        <v>84</v>
      </c>
      <c r="T809" s="10" t="s">
        <v>84</v>
      </c>
      <c r="U809" s="10"/>
      <c r="V809" s="10"/>
      <c r="W809" s="10"/>
      <c r="X809" s="10"/>
      <c r="Y809" s="10"/>
      <c r="Z809" s="10"/>
      <c r="AA809" s="10"/>
    </row>
    <row r="810" spans="1:27" ht="12.5" hidden="1" x14ac:dyDescent="0.25">
      <c r="A810" s="10" t="s">
        <v>14</v>
      </c>
      <c r="B810" s="10" t="s">
        <v>1514</v>
      </c>
      <c r="C810" s="10" t="s">
        <v>191</v>
      </c>
      <c r="D810" s="11">
        <v>2024</v>
      </c>
      <c r="E810" s="10" t="s">
        <v>257</v>
      </c>
      <c r="F810" s="10" t="s">
        <v>125</v>
      </c>
      <c r="G810" s="10" t="s">
        <v>84</v>
      </c>
      <c r="H810" s="12">
        <v>28503</v>
      </c>
      <c r="I810" s="11">
        <v>1315</v>
      </c>
      <c r="J810" s="11">
        <v>498</v>
      </c>
      <c r="K810" s="11">
        <v>1315</v>
      </c>
      <c r="L810" s="11">
        <v>4.6135764280744E-2</v>
      </c>
      <c r="M810" s="11">
        <f t="shared" si="3"/>
        <v>4.6135494509349897</v>
      </c>
      <c r="N810" s="11">
        <v>0.37870722433460102</v>
      </c>
      <c r="O810" s="11">
        <v>4.6135764280744E-2</v>
      </c>
      <c r="P810" s="11">
        <v>0.63602941176470595</v>
      </c>
      <c r="Q810" s="11">
        <v>0.46808510638297901</v>
      </c>
      <c r="R810" s="11">
        <v>0.63888888888888895</v>
      </c>
      <c r="S810" s="10" t="s">
        <v>84</v>
      </c>
      <c r="T810" s="10" t="s">
        <v>84</v>
      </c>
      <c r="U810" s="10"/>
      <c r="V810" s="10"/>
      <c r="W810" s="10"/>
      <c r="X810" s="10"/>
      <c r="Y810" s="10"/>
      <c r="Z810" s="10"/>
      <c r="AA810" s="10"/>
    </row>
    <row r="811" spans="1:27" ht="12.5" x14ac:dyDescent="0.25">
      <c r="A811" s="10" t="s">
        <v>52</v>
      </c>
      <c r="B811" s="10" t="s">
        <v>809</v>
      </c>
      <c r="C811" s="10" t="s">
        <v>76</v>
      </c>
      <c r="D811" s="11">
        <v>2024</v>
      </c>
      <c r="E811" s="10" t="s">
        <v>81</v>
      </c>
      <c r="F811" s="10" t="s">
        <v>83</v>
      </c>
      <c r="G811" s="10" t="s">
        <v>84</v>
      </c>
      <c r="H811" s="11">
        <v>16417</v>
      </c>
      <c r="I811" s="11">
        <v>757</v>
      </c>
      <c r="J811" s="11">
        <v>672</v>
      </c>
      <c r="K811" s="11">
        <v>10178</v>
      </c>
      <c r="L811" s="11">
        <v>4.6110036699203598E-2</v>
      </c>
      <c r="M811" s="11">
        <f t="shared" si="3"/>
        <v>4.6110738868246326</v>
      </c>
      <c r="N811" s="11">
        <v>0.88771466314398895</v>
      </c>
      <c r="O811" s="11">
        <v>0.61995766647885597</v>
      </c>
      <c r="P811" s="11">
        <v>0.46959459459459502</v>
      </c>
      <c r="Q811" s="11">
        <v>0.340425531914894</v>
      </c>
      <c r="R811" s="11">
        <v>0.525193798449612</v>
      </c>
      <c r="S811" s="10" t="s">
        <v>84</v>
      </c>
      <c r="T811" s="10" t="s">
        <v>84</v>
      </c>
      <c r="U811" s="10"/>
      <c r="V811" s="10"/>
      <c r="W811" s="10"/>
      <c r="X811" s="10"/>
      <c r="Y811" s="10"/>
      <c r="Z811" s="10"/>
      <c r="AA811" s="10"/>
    </row>
    <row r="812" spans="1:27" ht="12.5" hidden="1" x14ac:dyDescent="0.25">
      <c r="A812" s="10" t="s">
        <v>36</v>
      </c>
      <c r="B812" s="10" t="s">
        <v>1515</v>
      </c>
      <c r="C812" s="10" t="s">
        <v>191</v>
      </c>
      <c r="D812" s="11">
        <v>2024</v>
      </c>
      <c r="E812" s="10" t="s">
        <v>124</v>
      </c>
      <c r="F812" s="10" t="s">
        <v>125</v>
      </c>
      <c r="G812" s="10" t="s">
        <v>84</v>
      </c>
      <c r="H812" s="12">
        <v>434.08333333333297</v>
      </c>
      <c r="I812" s="11">
        <v>20</v>
      </c>
      <c r="J812" s="11">
        <v>14</v>
      </c>
      <c r="K812" s="11">
        <v>76</v>
      </c>
      <c r="L812" s="11">
        <v>4.6074102514878097E-2</v>
      </c>
      <c r="M812" s="11">
        <f t="shared" si="3"/>
        <v>4.6074102514878135</v>
      </c>
      <c r="N812" s="11">
        <v>0.7</v>
      </c>
      <c r="O812" s="11">
        <v>0.17508158955653699</v>
      </c>
      <c r="P812" s="11">
        <v>0.63480392156862697</v>
      </c>
      <c r="Q812" s="11">
        <v>0.32500000000000001</v>
      </c>
      <c r="R812" s="11">
        <v>0.53294573643410803</v>
      </c>
      <c r="S812" s="10" t="s">
        <v>84</v>
      </c>
      <c r="T812" s="10" t="s">
        <v>84</v>
      </c>
      <c r="U812" s="10"/>
      <c r="V812" s="10"/>
      <c r="W812" s="10"/>
      <c r="X812" s="10"/>
      <c r="Y812" s="10"/>
      <c r="Z812" s="10"/>
      <c r="AA812" s="10"/>
    </row>
    <row r="813" spans="1:27" ht="12.5" hidden="1" x14ac:dyDescent="0.25">
      <c r="A813" s="10" t="s">
        <v>13</v>
      </c>
      <c r="B813" s="10" t="s">
        <v>1516</v>
      </c>
      <c r="C813" s="10" t="s">
        <v>191</v>
      </c>
      <c r="D813" s="11">
        <v>2024</v>
      </c>
      <c r="E813" s="10" t="s">
        <v>124</v>
      </c>
      <c r="F813" s="10" t="s">
        <v>125</v>
      </c>
      <c r="G813" s="10" t="s">
        <v>84</v>
      </c>
      <c r="H813" s="12">
        <v>3823</v>
      </c>
      <c r="I813" s="11">
        <v>176</v>
      </c>
      <c r="J813" s="11">
        <v>137</v>
      </c>
      <c r="K813" s="11">
        <v>2369</v>
      </c>
      <c r="L813" s="11">
        <v>4.6032126588348099E-2</v>
      </c>
      <c r="M813" s="11">
        <f t="shared" si="3"/>
        <v>4.6037143604499082</v>
      </c>
      <c r="N813" s="11">
        <v>0.77840909090909105</v>
      </c>
      <c r="O813" s="11">
        <v>0.61960288572611799</v>
      </c>
      <c r="P813" s="11">
        <v>0.63357843137254899</v>
      </c>
      <c r="Q813" s="11">
        <v>0.36206896551724099</v>
      </c>
      <c r="R813" s="11">
        <v>0.531007751937985</v>
      </c>
      <c r="S813" s="10" t="s">
        <v>84</v>
      </c>
      <c r="T813" s="10" t="s">
        <v>84</v>
      </c>
      <c r="U813" s="10"/>
      <c r="V813" s="10"/>
      <c r="W813" s="10"/>
      <c r="X813" s="10"/>
      <c r="Y813" s="10"/>
      <c r="Z813" s="10"/>
      <c r="AA813" s="10"/>
    </row>
    <row r="814" spans="1:27" ht="12.5" x14ac:dyDescent="0.25">
      <c r="A814" s="10" t="s">
        <v>10</v>
      </c>
      <c r="B814" s="10" t="s">
        <v>812</v>
      </c>
      <c r="C814" s="10" t="s">
        <v>76</v>
      </c>
      <c r="D814" s="11">
        <v>2024</v>
      </c>
      <c r="E814" s="10" t="s">
        <v>81</v>
      </c>
      <c r="F814" s="10" t="s">
        <v>83</v>
      </c>
      <c r="G814" s="10" t="s">
        <v>84</v>
      </c>
      <c r="H814" s="11">
        <v>35102</v>
      </c>
      <c r="I814" s="11">
        <v>1614</v>
      </c>
      <c r="J814" s="11">
        <v>1273</v>
      </c>
      <c r="K814" s="11">
        <v>8172</v>
      </c>
      <c r="L814" s="11">
        <v>4.5980613502175798E-2</v>
      </c>
      <c r="M814" s="11">
        <f t="shared" si="3"/>
        <v>4.5980286023588395</v>
      </c>
      <c r="N814" s="11">
        <v>0.78872366790582404</v>
      </c>
      <c r="O814" s="11">
        <v>0.23280890553889799</v>
      </c>
      <c r="P814" s="11">
        <v>0.46875</v>
      </c>
      <c r="Q814" s="11">
        <v>0.36666666666666697</v>
      </c>
      <c r="R814" s="11">
        <v>0.52325581395348797</v>
      </c>
      <c r="S814" s="10" t="s">
        <v>84</v>
      </c>
      <c r="T814" s="10" t="s">
        <v>84</v>
      </c>
      <c r="U814" s="10"/>
      <c r="V814" s="10"/>
      <c r="W814" s="10"/>
      <c r="X814" s="10"/>
      <c r="Y814" s="10"/>
      <c r="Z814" s="10"/>
      <c r="AA814" s="10"/>
    </row>
    <row r="815" spans="1:27" ht="12.5" x14ac:dyDescent="0.25">
      <c r="A815" s="10" t="s">
        <v>62</v>
      </c>
      <c r="B815" s="10" t="s">
        <v>815</v>
      </c>
      <c r="C815" s="10" t="s">
        <v>76</v>
      </c>
      <c r="D815" s="11">
        <v>2024</v>
      </c>
      <c r="E815" s="10" t="s">
        <v>81</v>
      </c>
      <c r="F815" s="10" t="s">
        <v>125</v>
      </c>
      <c r="G815" s="10" t="s">
        <v>84</v>
      </c>
      <c r="H815" s="11">
        <v>17407</v>
      </c>
      <c r="I815" s="11">
        <v>798</v>
      </c>
      <c r="J815" s="11">
        <v>737</v>
      </c>
      <c r="K815" s="11">
        <v>14352</v>
      </c>
      <c r="L815" s="11">
        <v>4.5844504021447699E-2</v>
      </c>
      <c r="M815" s="11">
        <f t="shared" si="3"/>
        <v>4.5843626127420007</v>
      </c>
      <c r="N815" s="11">
        <v>0.92355889724310802</v>
      </c>
      <c r="O815" s="11">
        <v>0.82451168134814201</v>
      </c>
      <c r="P815" s="11">
        <v>0.46790540540540498</v>
      </c>
      <c r="Q815" s="11">
        <v>0.52777777777777801</v>
      </c>
      <c r="R815" s="11">
        <v>0.52131782945736405</v>
      </c>
      <c r="S815" s="10" t="s">
        <v>84</v>
      </c>
      <c r="T815" s="10" t="s">
        <v>84</v>
      </c>
      <c r="U815" s="10"/>
      <c r="V815" s="10"/>
      <c r="W815" s="10"/>
      <c r="X815" s="10"/>
      <c r="Y815" s="10"/>
      <c r="Z815" s="10"/>
      <c r="AA815" s="10"/>
    </row>
    <row r="816" spans="1:27" ht="12.5" hidden="1" x14ac:dyDescent="0.25">
      <c r="A816" s="10" t="s">
        <v>55</v>
      </c>
      <c r="B816" s="10" t="s">
        <v>1517</v>
      </c>
      <c r="C816" s="10" t="s">
        <v>191</v>
      </c>
      <c r="D816" s="11">
        <v>2024</v>
      </c>
      <c r="E816" s="10" t="s">
        <v>124</v>
      </c>
      <c r="F816" s="10" t="s">
        <v>125</v>
      </c>
      <c r="G816" s="10" t="s">
        <v>84</v>
      </c>
      <c r="H816" s="12">
        <v>43.75</v>
      </c>
      <c r="I816" s="11">
        <v>2</v>
      </c>
      <c r="J816" s="11">
        <v>0</v>
      </c>
      <c r="K816" s="11">
        <v>53</v>
      </c>
      <c r="L816" s="11">
        <v>4.57142857142857E-2</v>
      </c>
      <c r="M816" s="11">
        <f t="shared" si="3"/>
        <v>4.5714285714285712</v>
      </c>
      <c r="N816" s="11">
        <v>0</v>
      </c>
      <c r="O816" s="11">
        <v>1.21142857142857</v>
      </c>
      <c r="P816" s="11">
        <v>0.63235294117647001</v>
      </c>
      <c r="Q816" s="11">
        <v>0.592592592592593</v>
      </c>
      <c r="R816" s="11">
        <v>0.52906976744185996</v>
      </c>
      <c r="S816" s="10" t="s">
        <v>84</v>
      </c>
      <c r="T816" s="10" t="s">
        <v>84</v>
      </c>
      <c r="U816" s="10"/>
      <c r="V816" s="10"/>
      <c r="W816" s="10"/>
      <c r="X816" s="10"/>
      <c r="Y816" s="10"/>
      <c r="Z816" s="10"/>
      <c r="AA816" s="10"/>
    </row>
    <row r="817" spans="1:27" ht="12.5" x14ac:dyDescent="0.25">
      <c r="A817" s="10" t="s">
        <v>96</v>
      </c>
      <c r="B817" s="10" t="s">
        <v>817</v>
      </c>
      <c r="C817" s="10" t="s">
        <v>76</v>
      </c>
      <c r="D817" s="11">
        <v>2024</v>
      </c>
      <c r="E817" s="10" t="s">
        <v>81</v>
      </c>
      <c r="F817" s="10" t="s">
        <v>83</v>
      </c>
      <c r="G817" s="10" t="s">
        <v>84</v>
      </c>
      <c r="H817" s="11">
        <v>32498</v>
      </c>
      <c r="I817" s="11">
        <v>1485</v>
      </c>
      <c r="J817" s="11">
        <v>1453</v>
      </c>
      <c r="K817" s="11">
        <v>6639</v>
      </c>
      <c r="L817" s="11">
        <v>4.56957055781071E-2</v>
      </c>
      <c r="M817" s="11">
        <f t="shared" si="3"/>
        <v>4.5695119699673823</v>
      </c>
      <c r="N817" s="11">
        <v>0.97845117845117802</v>
      </c>
      <c r="O817" s="11">
        <v>0.204292114028992</v>
      </c>
      <c r="P817" s="11">
        <v>0.46706081081081102</v>
      </c>
      <c r="Q817" s="11">
        <v>0.76470588235294101</v>
      </c>
      <c r="R817" s="11">
        <v>0.51937984496124001</v>
      </c>
      <c r="S817" s="10" t="s">
        <v>84</v>
      </c>
      <c r="T817" s="10" t="s">
        <v>84</v>
      </c>
      <c r="U817" s="10"/>
      <c r="V817" s="10"/>
      <c r="W817" s="10"/>
      <c r="X817" s="10"/>
      <c r="Y817" s="10"/>
      <c r="Z817" s="10"/>
      <c r="AA817" s="10"/>
    </row>
    <row r="818" spans="1:27" ht="12.5" hidden="1" x14ac:dyDescent="0.25">
      <c r="A818" s="10" t="s">
        <v>12</v>
      </c>
      <c r="B818" s="10" t="s">
        <v>1518</v>
      </c>
      <c r="C818" s="10" t="s">
        <v>191</v>
      </c>
      <c r="D818" s="11">
        <v>2024</v>
      </c>
      <c r="E818" s="10" t="s">
        <v>124</v>
      </c>
      <c r="F818" s="10" t="s">
        <v>125</v>
      </c>
      <c r="G818" s="10" t="s">
        <v>84</v>
      </c>
      <c r="H818" s="12">
        <v>991.75</v>
      </c>
      <c r="I818" s="11">
        <v>45</v>
      </c>
      <c r="J818" s="11">
        <v>33</v>
      </c>
      <c r="K818" s="11">
        <v>389</v>
      </c>
      <c r="L818" s="11">
        <v>4.5374338290899902E-2</v>
      </c>
      <c r="M818" s="11">
        <f t="shared" si="3"/>
        <v>4.5374338290899923</v>
      </c>
      <c r="N818" s="11">
        <v>0.73333333333333295</v>
      </c>
      <c r="O818" s="11">
        <v>0.39223594655911298</v>
      </c>
      <c r="P818" s="11">
        <v>0.62990196078431404</v>
      </c>
      <c r="Q818" s="11">
        <v>0.55555555555555602</v>
      </c>
      <c r="R818" s="11">
        <v>0.52713178294573604</v>
      </c>
      <c r="S818" s="10" t="s">
        <v>84</v>
      </c>
      <c r="T818" s="10" t="s">
        <v>84</v>
      </c>
      <c r="U818" s="10"/>
      <c r="V818" s="10"/>
      <c r="W818" s="10"/>
      <c r="X818" s="10"/>
      <c r="Y818" s="10"/>
      <c r="Z818" s="10"/>
      <c r="AA818" s="10"/>
    </row>
    <row r="819" spans="1:27" ht="12.5" x14ac:dyDescent="0.25">
      <c r="A819" s="10" t="s">
        <v>16</v>
      </c>
      <c r="B819" s="10" t="s">
        <v>720</v>
      </c>
      <c r="C819" s="10" t="s">
        <v>76</v>
      </c>
      <c r="D819" s="11">
        <v>2024</v>
      </c>
      <c r="E819" s="10" t="s">
        <v>81</v>
      </c>
      <c r="F819" s="10" t="s">
        <v>83</v>
      </c>
      <c r="G819" s="10" t="s">
        <v>84</v>
      </c>
      <c r="H819" s="11">
        <v>8045</v>
      </c>
      <c r="I819" s="11">
        <v>365</v>
      </c>
      <c r="J819" s="11">
        <v>314</v>
      </c>
      <c r="K819" s="11">
        <v>17675</v>
      </c>
      <c r="L819" s="11">
        <v>4.53702648670486E-2</v>
      </c>
      <c r="M819" s="11">
        <f t="shared" si="3"/>
        <v>4.5369794903666874</v>
      </c>
      <c r="N819" s="11">
        <v>0.86027397260273997</v>
      </c>
      <c r="O819" s="11">
        <v>2.1970395384248902</v>
      </c>
      <c r="P819" s="11">
        <v>0.46537162162162199</v>
      </c>
      <c r="Q819" s="11">
        <v>0.133333333333333</v>
      </c>
      <c r="R819" s="11">
        <v>0.51744186046511598</v>
      </c>
      <c r="S819" s="10" t="s">
        <v>84</v>
      </c>
      <c r="T819" s="10" t="s">
        <v>84</v>
      </c>
      <c r="U819" s="10"/>
      <c r="V819" s="10"/>
      <c r="W819" s="10"/>
      <c r="X819" s="10"/>
      <c r="Y819" s="10"/>
      <c r="Z819" s="10"/>
      <c r="AA819" s="10"/>
    </row>
    <row r="820" spans="1:27" ht="12.5" x14ac:dyDescent="0.25">
      <c r="A820" s="10" t="s">
        <v>52</v>
      </c>
      <c r="B820" s="10" t="s">
        <v>819</v>
      </c>
      <c r="C820" s="10" t="s">
        <v>76</v>
      </c>
      <c r="D820" s="11">
        <v>2024</v>
      </c>
      <c r="E820" s="10" t="s">
        <v>81</v>
      </c>
      <c r="F820" s="10" t="s">
        <v>83</v>
      </c>
      <c r="G820" s="10" t="s">
        <v>84</v>
      </c>
      <c r="H820" s="11">
        <v>19735</v>
      </c>
      <c r="I820" s="11">
        <v>895</v>
      </c>
      <c r="J820" s="11">
        <v>574</v>
      </c>
      <c r="K820" s="11">
        <v>1639</v>
      </c>
      <c r="L820" s="11">
        <v>4.5350133432422397E-2</v>
      </c>
      <c r="M820" s="11">
        <f t="shared" si="3"/>
        <v>4.5350899417278949</v>
      </c>
      <c r="N820" s="11">
        <v>0.64134078212290502</v>
      </c>
      <c r="O820" s="11">
        <v>8.3049015302503096E-2</v>
      </c>
      <c r="P820" s="11">
        <v>0.46452702702702697</v>
      </c>
      <c r="Q820" s="11">
        <v>0.319148936170213</v>
      </c>
      <c r="R820" s="11">
        <v>0.51550387596899205</v>
      </c>
      <c r="S820" s="10" t="s">
        <v>84</v>
      </c>
      <c r="T820" s="10" t="s">
        <v>84</v>
      </c>
      <c r="U820" s="10"/>
      <c r="V820" s="10"/>
      <c r="W820" s="10"/>
      <c r="X820" s="10"/>
      <c r="Y820" s="10"/>
      <c r="Z820" s="10"/>
      <c r="AA820" s="10"/>
    </row>
    <row r="821" spans="1:27" ht="12.5" hidden="1" x14ac:dyDescent="0.25">
      <c r="A821" s="10" t="s">
        <v>43</v>
      </c>
      <c r="B821" s="10" t="s">
        <v>1519</v>
      </c>
      <c r="C821" s="10" t="s">
        <v>191</v>
      </c>
      <c r="D821" s="11">
        <v>2024</v>
      </c>
      <c r="E821" s="10" t="s">
        <v>81</v>
      </c>
      <c r="F821" s="10" t="s">
        <v>125</v>
      </c>
      <c r="G821" s="10" t="s">
        <v>84</v>
      </c>
      <c r="H821" s="12">
        <v>1810</v>
      </c>
      <c r="I821" s="11">
        <v>82</v>
      </c>
      <c r="J821" s="11">
        <v>38</v>
      </c>
      <c r="K821" s="11">
        <v>384</v>
      </c>
      <c r="L821" s="11">
        <v>4.53038674033149E-2</v>
      </c>
      <c r="M821" s="11">
        <f t="shared" si="3"/>
        <v>4.5303867403314912</v>
      </c>
      <c r="N821" s="11">
        <v>0.46341463414634099</v>
      </c>
      <c r="O821" s="11">
        <v>0.21215469613259699</v>
      </c>
      <c r="P821" s="11">
        <v>0.62867647058823495</v>
      </c>
      <c r="Q821" s="11">
        <v>0.81818181818181801</v>
      </c>
      <c r="R821" s="11">
        <v>0.875</v>
      </c>
      <c r="S821" s="10" t="s">
        <v>84</v>
      </c>
      <c r="T821" s="10" t="s">
        <v>84</v>
      </c>
      <c r="U821" s="10"/>
      <c r="V821" s="10"/>
      <c r="W821" s="10"/>
      <c r="X821" s="10"/>
      <c r="Y821" s="10"/>
      <c r="Z821" s="10"/>
      <c r="AA821" s="10"/>
    </row>
    <row r="822" spans="1:27" ht="12.5" hidden="1" x14ac:dyDescent="0.25">
      <c r="A822" s="10" t="s">
        <v>13</v>
      </c>
      <c r="B822" s="10" t="s">
        <v>1520</v>
      </c>
      <c r="C822" s="10" t="s">
        <v>191</v>
      </c>
      <c r="D822" s="11">
        <v>2024</v>
      </c>
      <c r="E822" s="10" t="s">
        <v>124</v>
      </c>
      <c r="F822" s="10" t="s">
        <v>125</v>
      </c>
      <c r="G822" s="10" t="s">
        <v>84</v>
      </c>
      <c r="H822" s="12">
        <v>88.416666666666998</v>
      </c>
      <c r="I822" s="11">
        <v>4</v>
      </c>
      <c r="J822" s="11">
        <v>4</v>
      </c>
      <c r="K822" s="11">
        <v>0</v>
      </c>
      <c r="L822" s="11">
        <v>4.5240339302544799E-2</v>
      </c>
      <c r="M822" s="11">
        <f t="shared" si="3"/>
        <v>4.5240339302544594</v>
      </c>
      <c r="N822" s="11">
        <v>1</v>
      </c>
      <c r="O822" s="11">
        <v>0</v>
      </c>
      <c r="P822" s="11">
        <v>0.62745098039215697</v>
      </c>
      <c r="Q822" s="11">
        <v>0.34482758620689702</v>
      </c>
      <c r="R822" s="11">
        <v>0.525193798449612</v>
      </c>
      <c r="S822" s="10" t="s">
        <v>84</v>
      </c>
      <c r="T822" s="10" t="s">
        <v>84</v>
      </c>
      <c r="U822" s="10"/>
      <c r="V822" s="10"/>
      <c r="W822" s="10"/>
      <c r="X822" s="10"/>
      <c r="Y822" s="10"/>
      <c r="Z822" s="10"/>
      <c r="AA822" s="10"/>
    </row>
    <row r="823" spans="1:27" ht="12.5" x14ac:dyDescent="0.25">
      <c r="A823" s="10" t="s">
        <v>6</v>
      </c>
      <c r="B823" s="10" t="s">
        <v>1394</v>
      </c>
      <c r="C823" s="10" t="s">
        <v>76</v>
      </c>
      <c r="D823" s="11">
        <v>2024</v>
      </c>
      <c r="E823" s="10" t="s">
        <v>257</v>
      </c>
      <c r="F823" s="10" t="s">
        <v>83</v>
      </c>
      <c r="G823" s="10" t="s">
        <v>84</v>
      </c>
      <c r="H823" s="11">
        <v>4520</v>
      </c>
      <c r="I823" s="11">
        <v>203</v>
      </c>
      <c r="J823" s="11">
        <v>195</v>
      </c>
      <c r="K823" s="11">
        <v>3368</v>
      </c>
      <c r="L823" s="11">
        <v>4.4908192611164403E-2</v>
      </c>
      <c r="M823" s="11">
        <f t="shared" si="3"/>
        <v>4.4911504424778759</v>
      </c>
      <c r="N823" s="11">
        <v>0.96059113300492605</v>
      </c>
      <c r="O823" s="11">
        <v>0.74507779662266804</v>
      </c>
      <c r="P823" s="11">
        <v>0.462837837837838</v>
      </c>
      <c r="Q823" s="11">
        <v>0.64516129032258096</v>
      </c>
      <c r="R823" s="11">
        <v>0.56818181818181801</v>
      </c>
      <c r="S823" s="10" t="s">
        <v>84</v>
      </c>
      <c r="T823" s="10" t="s">
        <v>84</v>
      </c>
      <c r="U823" s="10"/>
      <c r="V823" s="10"/>
      <c r="W823" s="10"/>
      <c r="X823" s="10"/>
      <c r="Y823" s="10"/>
      <c r="Z823" s="10"/>
      <c r="AA823" s="10"/>
    </row>
    <row r="824" spans="1:27" ht="12.5" x14ac:dyDescent="0.25">
      <c r="A824" s="10" t="s">
        <v>77</v>
      </c>
      <c r="B824" s="10" t="s">
        <v>821</v>
      </c>
      <c r="C824" s="10" t="s">
        <v>76</v>
      </c>
      <c r="D824" s="11">
        <v>2024</v>
      </c>
      <c r="E824" s="10" t="s">
        <v>81</v>
      </c>
      <c r="F824" s="10" t="s">
        <v>83</v>
      </c>
      <c r="G824" s="10" t="s">
        <v>84</v>
      </c>
      <c r="H824" s="11">
        <v>34401</v>
      </c>
      <c r="I824" s="11">
        <v>1543</v>
      </c>
      <c r="J824" s="11">
        <v>1476</v>
      </c>
      <c r="K824" s="11">
        <v>19903</v>
      </c>
      <c r="L824" s="11">
        <v>4.4853238633473298E-2</v>
      </c>
      <c r="M824" s="11">
        <f t="shared" si="3"/>
        <v>4.4853347286416092</v>
      </c>
      <c r="N824" s="11">
        <v>0.95657809462086796</v>
      </c>
      <c r="O824" s="11">
        <v>0.57855736132340796</v>
      </c>
      <c r="P824" s="11">
        <v>0.46199324324324298</v>
      </c>
      <c r="Q824" s="11">
        <v>0.71428571428571397</v>
      </c>
      <c r="R824" s="11">
        <v>0.51356589147286802</v>
      </c>
      <c r="S824" s="10" t="s">
        <v>84</v>
      </c>
      <c r="T824" s="10" t="s">
        <v>84</v>
      </c>
      <c r="U824" s="10"/>
      <c r="V824" s="10"/>
      <c r="W824" s="10"/>
      <c r="X824" s="10"/>
      <c r="Y824" s="10"/>
      <c r="Z824" s="10"/>
      <c r="AA824" s="10"/>
    </row>
    <row r="825" spans="1:27" ht="12.5" x14ac:dyDescent="0.25">
      <c r="A825" s="10" t="s">
        <v>116</v>
      </c>
      <c r="B825" s="10" t="s">
        <v>968</v>
      </c>
      <c r="C825" s="10" t="s">
        <v>76</v>
      </c>
      <c r="D825" s="11">
        <v>2024</v>
      </c>
      <c r="E825" s="10" t="s">
        <v>124</v>
      </c>
      <c r="F825" s="10" t="s">
        <v>83</v>
      </c>
      <c r="G825" s="10" t="s">
        <v>84</v>
      </c>
      <c r="H825" s="11">
        <v>4373</v>
      </c>
      <c r="I825" s="11">
        <v>196</v>
      </c>
      <c r="J825" s="11">
        <v>185</v>
      </c>
      <c r="K825" s="11">
        <v>5506</v>
      </c>
      <c r="L825" s="11">
        <v>4.4821343496903303E-2</v>
      </c>
      <c r="M825" s="11">
        <f t="shared" si="3"/>
        <v>4.4820489366567573</v>
      </c>
      <c r="N825" s="11">
        <v>0.94387755102040805</v>
      </c>
      <c r="O825" s="11">
        <v>1.25911386374464</v>
      </c>
      <c r="P825" s="11">
        <v>0.46114864864864902</v>
      </c>
      <c r="Q825" s="11">
        <v>1</v>
      </c>
      <c r="R825" s="11">
        <v>0.35346756152125303</v>
      </c>
      <c r="S825" s="10" t="s">
        <v>84</v>
      </c>
      <c r="T825" s="10" t="s">
        <v>84</v>
      </c>
      <c r="U825" s="10"/>
      <c r="V825" s="10"/>
      <c r="W825" s="10"/>
      <c r="X825" s="10"/>
      <c r="Y825" s="10"/>
      <c r="Z825" s="10"/>
      <c r="AA825" s="10"/>
    </row>
    <row r="826" spans="1:27" ht="12.5" x14ac:dyDescent="0.25">
      <c r="A826" s="10" t="s">
        <v>10</v>
      </c>
      <c r="B826" s="10" t="s">
        <v>804</v>
      </c>
      <c r="C826" s="10" t="s">
        <v>76</v>
      </c>
      <c r="D826" s="11">
        <v>2024</v>
      </c>
      <c r="E826" s="10" t="s">
        <v>81</v>
      </c>
      <c r="F826" s="10" t="s">
        <v>83</v>
      </c>
      <c r="G826" s="10" t="s">
        <v>84</v>
      </c>
      <c r="H826" s="11">
        <v>9220</v>
      </c>
      <c r="I826" s="11">
        <v>412</v>
      </c>
      <c r="J826" s="11">
        <v>249</v>
      </c>
      <c r="K826" s="11">
        <v>20812</v>
      </c>
      <c r="L826" s="11">
        <v>4.4683447060418498E-2</v>
      </c>
      <c r="M826" s="11">
        <f t="shared" si="3"/>
        <v>4.4685466377440353</v>
      </c>
      <c r="N826" s="11">
        <v>0.60436893203883502</v>
      </c>
      <c r="O826" s="11">
        <v>2.2571648063626899</v>
      </c>
      <c r="P826" s="11">
        <v>0.460304054054054</v>
      </c>
      <c r="Q826" s="11">
        <v>0.33333333333333298</v>
      </c>
      <c r="R826" s="11">
        <v>0.51162790697674398</v>
      </c>
      <c r="S826" s="10" t="s">
        <v>84</v>
      </c>
      <c r="T826" s="10" t="s">
        <v>84</v>
      </c>
      <c r="U826" s="10"/>
      <c r="V826" s="10"/>
      <c r="W826" s="10"/>
      <c r="X826" s="10"/>
      <c r="Y826" s="10"/>
      <c r="Z826" s="10"/>
      <c r="AA826" s="10"/>
    </row>
    <row r="827" spans="1:27" ht="12.5" x14ac:dyDescent="0.25">
      <c r="A827" s="10" t="s">
        <v>34</v>
      </c>
      <c r="B827" s="10" t="s">
        <v>825</v>
      </c>
      <c r="C827" s="10" t="s">
        <v>76</v>
      </c>
      <c r="D827" s="11">
        <v>2024</v>
      </c>
      <c r="E827" s="10" t="s">
        <v>81</v>
      </c>
      <c r="F827" s="10" t="s">
        <v>83</v>
      </c>
      <c r="G827" s="10" t="s">
        <v>84</v>
      </c>
      <c r="H827" s="11">
        <v>17858</v>
      </c>
      <c r="I827" s="11">
        <v>796</v>
      </c>
      <c r="J827" s="11">
        <v>705</v>
      </c>
      <c r="K827" s="11">
        <v>22953</v>
      </c>
      <c r="L827" s="11">
        <v>4.4573236459339499E-2</v>
      </c>
      <c r="M827" s="11">
        <f t="shared" si="3"/>
        <v>4.4573860454698178</v>
      </c>
      <c r="N827" s="11">
        <v>0.88567839195979903</v>
      </c>
      <c r="O827" s="11">
        <v>1.2852883121246499</v>
      </c>
      <c r="P827" s="11">
        <v>0.45861486486486502</v>
      </c>
      <c r="Q827" s="11">
        <v>0.73469387755102</v>
      </c>
      <c r="R827" s="11">
        <v>0.50968992248061995</v>
      </c>
      <c r="S827" s="10" t="s">
        <v>84</v>
      </c>
      <c r="T827" s="10" t="s">
        <v>84</v>
      </c>
      <c r="U827" s="10"/>
      <c r="V827" s="10"/>
      <c r="W827" s="10"/>
      <c r="X827" s="10"/>
      <c r="Y827" s="10"/>
      <c r="Z827" s="10"/>
      <c r="AA827" s="10"/>
    </row>
    <row r="828" spans="1:27" ht="12.5" hidden="1" x14ac:dyDescent="0.25">
      <c r="A828" s="10" t="s">
        <v>10</v>
      </c>
      <c r="B828" s="10" t="s">
        <v>1521</v>
      </c>
      <c r="C828" s="10" t="s">
        <v>191</v>
      </c>
      <c r="D828" s="11">
        <v>2024</v>
      </c>
      <c r="E828" s="10" t="s">
        <v>124</v>
      </c>
      <c r="F828" s="10" t="s">
        <v>125</v>
      </c>
      <c r="G828" s="10" t="s">
        <v>84</v>
      </c>
      <c r="H828" s="12">
        <v>337</v>
      </c>
      <c r="I828" s="11">
        <v>15</v>
      </c>
      <c r="J828" s="11">
        <v>12</v>
      </c>
      <c r="K828" s="11">
        <v>164</v>
      </c>
      <c r="L828" s="11">
        <v>4.4510385756676603E-2</v>
      </c>
      <c r="M828" s="11">
        <f t="shared" si="3"/>
        <v>4.4510385756676563</v>
      </c>
      <c r="N828" s="11">
        <v>0.8</v>
      </c>
      <c r="O828" s="11">
        <v>0.48664688427299702</v>
      </c>
      <c r="P828" s="11">
        <v>0.62622549019607798</v>
      </c>
      <c r="Q828" s="11">
        <v>0.37931034482758602</v>
      </c>
      <c r="R828" s="11">
        <v>0.52325581395348797</v>
      </c>
      <c r="S828" s="10" t="s">
        <v>84</v>
      </c>
      <c r="T828" s="10" t="s">
        <v>84</v>
      </c>
      <c r="U828" s="10"/>
      <c r="V828" s="10"/>
      <c r="W828" s="10"/>
      <c r="X828" s="10"/>
      <c r="Y828" s="10"/>
      <c r="Z828" s="10"/>
      <c r="AA828" s="10"/>
    </row>
    <row r="829" spans="1:27" ht="12.5" hidden="1" x14ac:dyDescent="0.25">
      <c r="A829" s="10" t="s">
        <v>58</v>
      </c>
      <c r="B829" s="10" t="s">
        <v>1522</v>
      </c>
      <c r="C829" s="10" t="s">
        <v>191</v>
      </c>
      <c r="D829" s="11">
        <v>2024</v>
      </c>
      <c r="E829" s="10" t="s">
        <v>124</v>
      </c>
      <c r="F829" s="10" t="s">
        <v>125</v>
      </c>
      <c r="G829" s="10" t="s">
        <v>84</v>
      </c>
      <c r="H829" s="12">
        <v>1170</v>
      </c>
      <c r="I829" s="11">
        <v>52</v>
      </c>
      <c r="J829" s="11">
        <v>49</v>
      </c>
      <c r="K829" s="11">
        <v>737</v>
      </c>
      <c r="L829" s="11">
        <v>4.4453943150245798E-2</v>
      </c>
      <c r="M829" s="11">
        <f t="shared" si="3"/>
        <v>4.4444444444444446</v>
      </c>
      <c r="N829" s="11">
        <v>0.94230769230769196</v>
      </c>
      <c r="O829" s="11">
        <v>0.63004915580252197</v>
      </c>
      <c r="P829" s="11">
        <v>0.625</v>
      </c>
      <c r="Q829" s="11">
        <v>0.39622641509433998</v>
      </c>
      <c r="R829" s="11">
        <v>0.52131782945736405</v>
      </c>
      <c r="S829" s="10" t="s">
        <v>84</v>
      </c>
      <c r="T829" s="10" t="s">
        <v>84</v>
      </c>
      <c r="U829" s="10"/>
      <c r="V829" s="10"/>
      <c r="W829" s="10"/>
      <c r="X829" s="10"/>
      <c r="Y829" s="10"/>
      <c r="Z829" s="10"/>
      <c r="AA829" s="10"/>
    </row>
    <row r="830" spans="1:27" ht="12.5" x14ac:dyDescent="0.25">
      <c r="A830" s="10" t="s">
        <v>118</v>
      </c>
      <c r="B830" s="10" t="s">
        <v>826</v>
      </c>
      <c r="C830" s="10" t="s">
        <v>76</v>
      </c>
      <c r="D830" s="11">
        <v>2024</v>
      </c>
      <c r="E830" s="10" t="s">
        <v>81</v>
      </c>
      <c r="F830" s="10" t="s">
        <v>83</v>
      </c>
      <c r="G830" s="10" t="s">
        <v>84</v>
      </c>
      <c r="H830" s="11">
        <v>946</v>
      </c>
      <c r="I830" s="11">
        <v>42</v>
      </c>
      <c r="J830" s="11">
        <v>38</v>
      </c>
      <c r="K830" s="11">
        <v>0</v>
      </c>
      <c r="L830" s="11">
        <v>4.4381824586121901E-2</v>
      </c>
      <c r="M830" s="11">
        <f t="shared" si="3"/>
        <v>4.439746300211417</v>
      </c>
      <c r="N830" s="11">
        <v>0.90476190476190499</v>
      </c>
      <c r="O830" s="11">
        <v>0</v>
      </c>
      <c r="P830" s="11">
        <v>0.45777027027027001</v>
      </c>
      <c r="Q830" s="11">
        <v>0.5</v>
      </c>
      <c r="R830" s="11">
        <v>0.50775193798449603</v>
      </c>
      <c r="S830" s="10" t="s">
        <v>84</v>
      </c>
      <c r="T830" s="10" t="s">
        <v>84</v>
      </c>
      <c r="U830" s="10"/>
      <c r="V830" s="10"/>
      <c r="W830" s="10"/>
      <c r="X830" s="10"/>
      <c r="Y830" s="10"/>
      <c r="Z830" s="10"/>
      <c r="AA830" s="10"/>
    </row>
    <row r="831" spans="1:27" ht="12.5" x14ac:dyDescent="0.25">
      <c r="A831" s="10" t="s">
        <v>19</v>
      </c>
      <c r="B831" s="10" t="s">
        <v>828</v>
      </c>
      <c r="C831" s="10" t="s">
        <v>76</v>
      </c>
      <c r="D831" s="11">
        <v>2024</v>
      </c>
      <c r="E831" s="10" t="s">
        <v>81</v>
      </c>
      <c r="F831" s="10" t="s">
        <v>83</v>
      </c>
      <c r="G831" s="10" t="s">
        <v>84</v>
      </c>
      <c r="H831" s="11">
        <v>33216</v>
      </c>
      <c r="I831" s="11">
        <v>1472</v>
      </c>
      <c r="J831" s="11">
        <v>1478</v>
      </c>
      <c r="K831" s="11">
        <v>40325</v>
      </c>
      <c r="L831" s="11">
        <v>4.4315658751364201E-2</v>
      </c>
      <c r="M831" s="11">
        <f t="shared" si="3"/>
        <v>4.4315992292870909</v>
      </c>
      <c r="N831" s="11">
        <v>1.00407608695652</v>
      </c>
      <c r="O831" s="11">
        <v>1.21401422496519</v>
      </c>
      <c r="P831" s="11">
        <v>0.45692567567567599</v>
      </c>
      <c r="Q831" s="11">
        <v>0.11111111111111099</v>
      </c>
      <c r="R831" s="11">
        <v>0.50581395348837199</v>
      </c>
      <c r="S831" s="10" t="s">
        <v>84</v>
      </c>
      <c r="T831" s="10" t="s">
        <v>84</v>
      </c>
      <c r="U831" s="10"/>
      <c r="V831" s="10"/>
      <c r="W831" s="10"/>
      <c r="X831" s="10"/>
      <c r="Y831" s="10"/>
      <c r="Z831" s="10"/>
      <c r="AA831" s="10"/>
    </row>
    <row r="832" spans="1:27" ht="12.5" hidden="1" x14ac:dyDescent="0.25">
      <c r="A832" s="10" t="s">
        <v>62</v>
      </c>
      <c r="B832" s="10" t="s">
        <v>1524</v>
      </c>
      <c r="C832" s="10" t="s">
        <v>191</v>
      </c>
      <c r="D832" s="11">
        <v>2024</v>
      </c>
      <c r="E832" s="10" t="s">
        <v>124</v>
      </c>
      <c r="F832" s="10" t="s">
        <v>125</v>
      </c>
      <c r="G832" s="10" t="s">
        <v>84</v>
      </c>
      <c r="H832" s="12">
        <v>476</v>
      </c>
      <c r="I832" s="11">
        <v>21</v>
      </c>
      <c r="J832" s="11">
        <v>11</v>
      </c>
      <c r="K832" s="11">
        <v>700</v>
      </c>
      <c r="L832" s="11">
        <v>4.4117647058823498E-2</v>
      </c>
      <c r="M832" s="11">
        <f t="shared" si="3"/>
        <v>4.4117647058823533</v>
      </c>
      <c r="N832" s="11">
        <v>0.52380952380952395</v>
      </c>
      <c r="O832" s="11">
        <v>1.47058823529412</v>
      </c>
      <c r="P832" s="11">
        <v>0.62377450980392202</v>
      </c>
      <c r="Q832" s="11">
        <v>0.84</v>
      </c>
      <c r="R832" s="11">
        <v>0.51937984496124001</v>
      </c>
      <c r="S832" s="10" t="s">
        <v>84</v>
      </c>
      <c r="T832" s="10" t="s">
        <v>84</v>
      </c>
      <c r="U832" s="10"/>
      <c r="V832" s="10"/>
      <c r="W832" s="10"/>
      <c r="X832" s="10"/>
      <c r="Y832" s="10"/>
      <c r="Z832" s="10"/>
      <c r="AA832" s="10"/>
    </row>
    <row r="833" spans="1:27" ht="12.5" hidden="1" x14ac:dyDescent="0.25">
      <c r="A833" s="10" t="s">
        <v>12</v>
      </c>
      <c r="B833" s="10" t="s">
        <v>1525</v>
      </c>
      <c r="C833" s="10" t="s">
        <v>191</v>
      </c>
      <c r="D833" s="11">
        <v>2024</v>
      </c>
      <c r="E833" s="10" t="s">
        <v>124</v>
      </c>
      <c r="F833" s="10" t="s">
        <v>125</v>
      </c>
      <c r="G833" s="10" t="s">
        <v>84</v>
      </c>
      <c r="H833" s="12">
        <v>1951</v>
      </c>
      <c r="I833" s="11">
        <v>86</v>
      </c>
      <c r="J833" s="11">
        <v>54</v>
      </c>
      <c r="K833" s="11">
        <v>2767</v>
      </c>
      <c r="L833" s="11">
        <v>4.4072429108302003E-2</v>
      </c>
      <c r="M833" s="11">
        <f t="shared" si="3"/>
        <v>4.4079958995386983</v>
      </c>
      <c r="N833" s="11">
        <v>0.62790697674418605</v>
      </c>
      <c r="O833" s="11">
        <v>1.4180047830543201</v>
      </c>
      <c r="P833" s="11">
        <v>0.62254901960784303</v>
      </c>
      <c r="Q833" s="11">
        <v>0.53968253968253999</v>
      </c>
      <c r="R833" s="11">
        <v>0.51744186046511598</v>
      </c>
      <c r="S833" s="10" t="s">
        <v>84</v>
      </c>
      <c r="T833" s="10" t="s">
        <v>84</v>
      </c>
      <c r="U833" s="10"/>
      <c r="V833" s="10"/>
      <c r="W833" s="10"/>
      <c r="X833" s="10"/>
      <c r="Y833" s="10"/>
      <c r="Z833" s="10"/>
      <c r="AA833" s="10"/>
    </row>
    <row r="834" spans="1:27" ht="12.5" hidden="1" x14ac:dyDescent="0.25">
      <c r="A834" s="10" t="s">
        <v>29</v>
      </c>
      <c r="B834" s="10" t="s">
        <v>1526</v>
      </c>
      <c r="C834" s="10" t="s">
        <v>191</v>
      </c>
      <c r="D834" s="11">
        <v>2024</v>
      </c>
      <c r="E834" s="10" t="s">
        <v>257</v>
      </c>
      <c r="F834" s="10" t="s">
        <v>125</v>
      </c>
      <c r="G834" s="10" t="s">
        <v>84</v>
      </c>
      <c r="H834" s="12">
        <v>5814</v>
      </c>
      <c r="I834" s="11">
        <v>256</v>
      </c>
      <c r="J834" s="11">
        <v>68</v>
      </c>
      <c r="K834" s="11">
        <v>1867</v>
      </c>
      <c r="L834" s="11">
        <v>4.4029754482521402E-2</v>
      </c>
      <c r="M834" s="11">
        <f t="shared" si="3"/>
        <v>4.4031647746818026</v>
      </c>
      <c r="N834" s="11">
        <v>0.265625</v>
      </c>
      <c r="O834" s="11">
        <v>0.32110762351120098</v>
      </c>
      <c r="P834" s="11">
        <v>0.62132352941176505</v>
      </c>
      <c r="Q834" s="11">
        <v>0.56338028169014098</v>
      </c>
      <c r="R834" s="11">
        <v>0.61111111111111105</v>
      </c>
      <c r="S834" s="10" t="s">
        <v>84</v>
      </c>
      <c r="T834" s="10" t="s">
        <v>84</v>
      </c>
      <c r="U834" s="10"/>
      <c r="V834" s="10"/>
      <c r="W834" s="10"/>
      <c r="X834" s="10"/>
      <c r="Y834" s="10"/>
      <c r="Z834" s="10"/>
      <c r="AA834" s="10"/>
    </row>
    <row r="835" spans="1:27" ht="12.5" x14ac:dyDescent="0.25">
      <c r="A835" s="10" t="s">
        <v>77</v>
      </c>
      <c r="B835" s="10" t="s">
        <v>830</v>
      </c>
      <c r="C835" s="10" t="s">
        <v>76</v>
      </c>
      <c r="D835" s="11">
        <v>2024</v>
      </c>
      <c r="E835" s="10" t="s">
        <v>81</v>
      </c>
      <c r="F835" s="10" t="s">
        <v>83</v>
      </c>
      <c r="G835" s="10" t="s">
        <v>84</v>
      </c>
      <c r="H835" s="11">
        <v>11092</v>
      </c>
      <c r="I835" s="11">
        <v>488</v>
      </c>
      <c r="J835" s="11">
        <v>447</v>
      </c>
      <c r="K835" s="11">
        <v>6202</v>
      </c>
      <c r="L835" s="11">
        <v>4.3995672556797698E-2</v>
      </c>
      <c r="M835" s="11">
        <f t="shared" si="3"/>
        <v>4.3995672556797691</v>
      </c>
      <c r="N835" s="11">
        <v>0.91598360655737698</v>
      </c>
      <c r="O835" s="11">
        <v>0.55914172376487603</v>
      </c>
      <c r="P835" s="11">
        <v>0.45608108108108097</v>
      </c>
      <c r="Q835" s="11">
        <v>0.67857142857142905</v>
      </c>
      <c r="R835" s="11">
        <v>0.50387596899224796</v>
      </c>
      <c r="S835" s="10" t="s">
        <v>84</v>
      </c>
      <c r="T835" s="10" t="s">
        <v>84</v>
      </c>
      <c r="U835" s="10"/>
      <c r="V835" s="10"/>
      <c r="W835" s="10"/>
      <c r="X835" s="10"/>
      <c r="Y835" s="10"/>
      <c r="Z835" s="10"/>
      <c r="AA835" s="10"/>
    </row>
    <row r="836" spans="1:27" ht="12.5" hidden="1" x14ac:dyDescent="0.25">
      <c r="A836" s="10" t="s">
        <v>14</v>
      </c>
      <c r="B836" s="10" t="s">
        <v>1527</v>
      </c>
      <c r="C836" s="10" t="s">
        <v>191</v>
      </c>
      <c r="D836" s="11">
        <v>2024</v>
      </c>
      <c r="E836" s="10" t="s">
        <v>257</v>
      </c>
      <c r="F836" s="10" t="s">
        <v>125</v>
      </c>
      <c r="G836" s="10" t="s">
        <v>84</v>
      </c>
      <c r="H836" s="12">
        <v>1411</v>
      </c>
      <c r="I836" s="11">
        <v>62</v>
      </c>
      <c r="J836" s="11">
        <v>45</v>
      </c>
      <c r="K836" s="11">
        <v>155</v>
      </c>
      <c r="L836" s="11">
        <v>4.3956043956044001E-2</v>
      </c>
      <c r="M836" s="11">
        <f t="shared" si="3"/>
        <v>4.3940467753366406</v>
      </c>
      <c r="N836" s="11">
        <v>0.72580645161290303</v>
      </c>
      <c r="O836" s="11">
        <v>0.10989010989011</v>
      </c>
      <c r="P836" s="11">
        <v>0.62009803921568596</v>
      </c>
      <c r="Q836" s="11">
        <v>0.44680851063829802</v>
      </c>
      <c r="R836" s="11">
        <v>0.58333333333333304</v>
      </c>
      <c r="S836" s="10" t="s">
        <v>84</v>
      </c>
      <c r="T836" s="10" t="s">
        <v>84</v>
      </c>
      <c r="U836" s="10"/>
      <c r="V836" s="10"/>
      <c r="W836" s="10"/>
      <c r="X836" s="10"/>
      <c r="Y836" s="10"/>
      <c r="Z836" s="10"/>
      <c r="AA836" s="10"/>
    </row>
    <row r="837" spans="1:27" ht="12.5" x14ac:dyDescent="0.25">
      <c r="A837" s="10" t="s">
        <v>22</v>
      </c>
      <c r="B837" s="10" t="s">
        <v>970</v>
      </c>
      <c r="C837" s="10" t="s">
        <v>76</v>
      </c>
      <c r="D837" s="11">
        <v>2024</v>
      </c>
      <c r="E837" s="10" t="s">
        <v>124</v>
      </c>
      <c r="F837" s="10" t="s">
        <v>83</v>
      </c>
      <c r="G837" s="10" t="s">
        <v>84</v>
      </c>
      <c r="H837" s="11">
        <v>8273</v>
      </c>
      <c r="I837" s="11">
        <v>363</v>
      </c>
      <c r="J837" s="11">
        <v>352</v>
      </c>
      <c r="K837" s="11">
        <v>10594</v>
      </c>
      <c r="L837" s="11">
        <v>4.3877232390181001E-2</v>
      </c>
      <c r="M837" s="11">
        <f t="shared" si="3"/>
        <v>4.3877674362383656</v>
      </c>
      <c r="N837" s="11">
        <v>0.96969696969696995</v>
      </c>
      <c r="O837" s="11">
        <v>1.2805382918500801</v>
      </c>
      <c r="P837" s="11">
        <v>0.45523648648648701</v>
      </c>
      <c r="Q837" s="11">
        <v>0.28571428571428598</v>
      </c>
      <c r="R837" s="11">
        <v>0.351230425055928</v>
      </c>
      <c r="S837" s="10" t="s">
        <v>84</v>
      </c>
      <c r="T837" s="10" t="s">
        <v>84</v>
      </c>
      <c r="U837" s="10"/>
      <c r="V837" s="10"/>
      <c r="W837" s="10"/>
      <c r="X837" s="10"/>
      <c r="Y837" s="10"/>
      <c r="Z837" s="10"/>
      <c r="AA837" s="10"/>
    </row>
    <row r="838" spans="1:27" ht="12.5" x14ac:dyDescent="0.25">
      <c r="A838" s="10" t="s">
        <v>14</v>
      </c>
      <c r="B838" s="10" t="s">
        <v>832</v>
      </c>
      <c r="C838" s="10" t="s">
        <v>76</v>
      </c>
      <c r="D838" s="11">
        <v>2024</v>
      </c>
      <c r="E838" s="10" t="s">
        <v>81</v>
      </c>
      <c r="F838" s="10" t="s">
        <v>83</v>
      </c>
      <c r="G838" s="10" t="s">
        <v>84</v>
      </c>
      <c r="H838" s="11">
        <v>24526</v>
      </c>
      <c r="I838" s="11">
        <v>1076</v>
      </c>
      <c r="J838" s="11">
        <v>923</v>
      </c>
      <c r="K838" s="11">
        <v>24200</v>
      </c>
      <c r="L838" s="11">
        <v>4.3872554849188103E-2</v>
      </c>
      <c r="M838" s="11">
        <f t="shared" si="3"/>
        <v>4.3871809508276929</v>
      </c>
      <c r="N838" s="11">
        <v>0.85780669144981403</v>
      </c>
      <c r="O838" s="11">
        <v>0.98672474660813403</v>
      </c>
      <c r="P838" s="11">
        <v>0.454391891891892</v>
      </c>
      <c r="Q838" s="11">
        <v>0.107142857142857</v>
      </c>
      <c r="R838" s="11">
        <v>0.50193798449612403</v>
      </c>
      <c r="S838" s="10" t="s">
        <v>84</v>
      </c>
      <c r="T838" s="10" t="s">
        <v>84</v>
      </c>
      <c r="U838" s="10"/>
      <c r="V838" s="10"/>
      <c r="W838" s="10"/>
      <c r="X838" s="10"/>
      <c r="Y838" s="10"/>
      <c r="Z838" s="10"/>
      <c r="AA838" s="10"/>
    </row>
    <row r="839" spans="1:27" ht="12.5" hidden="1" x14ac:dyDescent="0.25">
      <c r="A839" s="10" t="s">
        <v>29</v>
      </c>
      <c r="B839" s="10" t="s">
        <v>1389</v>
      </c>
      <c r="C839" s="10" t="s">
        <v>191</v>
      </c>
      <c r="D839" s="11">
        <v>2024</v>
      </c>
      <c r="E839" s="10" t="s">
        <v>124</v>
      </c>
      <c r="F839" s="10" t="s">
        <v>125</v>
      </c>
      <c r="G839" s="10" t="s">
        <v>84</v>
      </c>
      <c r="H839" s="12">
        <v>6781</v>
      </c>
      <c r="I839" s="11">
        <v>297</v>
      </c>
      <c r="J839" s="11">
        <v>243</v>
      </c>
      <c r="K839" s="11">
        <v>2973</v>
      </c>
      <c r="L839" s="11">
        <v>4.3799926262750401E-2</v>
      </c>
      <c r="M839" s="11">
        <f t="shared" si="3"/>
        <v>4.3798849727178881</v>
      </c>
      <c r="N839" s="11">
        <v>0.81818181818181801</v>
      </c>
      <c r="O839" s="11">
        <v>0.43844168612510798</v>
      </c>
      <c r="P839" s="11">
        <v>0.61764705882352999</v>
      </c>
      <c r="Q839" s="11">
        <v>0.54929577464788704</v>
      </c>
      <c r="R839" s="11">
        <v>0.51550387596899205</v>
      </c>
      <c r="S839" s="10" t="s">
        <v>84</v>
      </c>
      <c r="T839" s="10" t="s">
        <v>84</v>
      </c>
      <c r="U839" s="10"/>
      <c r="V839" s="10"/>
      <c r="W839" s="10"/>
      <c r="X839" s="10"/>
      <c r="Y839" s="10"/>
      <c r="Z839" s="10"/>
      <c r="AA839" s="10"/>
    </row>
    <row r="840" spans="1:27" ht="12.5" hidden="1" x14ac:dyDescent="0.25">
      <c r="A840" s="10" t="s">
        <v>58</v>
      </c>
      <c r="B840" s="10" t="s">
        <v>1528</v>
      </c>
      <c r="C840" s="10" t="s">
        <v>191</v>
      </c>
      <c r="D840" s="11">
        <v>2024</v>
      </c>
      <c r="E840" s="10" t="s">
        <v>124</v>
      </c>
      <c r="F840" s="10" t="s">
        <v>125</v>
      </c>
      <c r="G840" s="10" t="s">
        <v>84</v>
      </c>
      <c r="H840" s="12">
        <v>389.16666666666703</v>
      </c>
      <c r="I840" s="11">
        <v>17</v>
      </c>
      <c r="J840" s="11">
        <v>17</v>
      </c>
      <c r="K840" s="11">
        <v>30</v>
      </c>
      <c r="L840" s="11">
        <v>4.3683083511777299E-2</v>
      </c>
      <c r="M840" s="11">
        <f t="shared" si="3"/>
        <v>4.3683083511777268</v>
      </c>
      <c r="N840" s="11">
        <v>1</v>
      </c>
      <c r="O840" s="11">
        <v>7.7087794432548207E-2</v>
      </c>
      <c r="P840" s="11">
        <v>0.61519607843137303</v>
      </c>
      <c r="Q840" s="11">
        <v>0.35849056603773599</v>
      </c>
      <c r="R840" s="11">
        <v>0.51356589147286802</v>
      </c>
      <c r="S840" s="10" t="s">
        <v>84</v>
      </c>
      <c r="T840" s="10" t="s">
        <v>84</v>
      </c>
      <c r="U840" s="10"/>
      <c r="V840" s="10"/>
      <c r="W840" s="10"/>
      <c r="X840" s="10"/>
      <c r="Y840" s="10"/>
      <c r="Z840" s="10"/>
      <c r="AA840" s="10"/>
    </row>
    <row r="841" spans="1:27" ht="12.5" x14ac:dyDescent="0.25">
      <c r="A841" s="10" t="s">
        <v>36</v>
      </c>
      <c r="B841" s="10" t="s">
        <v>833</v>
      </c>
      <c r="C841" s="10" t="s">
        <v>76</v>
      </c>
      <c r="D841" s="11">
        <v>2024</v>
      </c>
      <c r="E841" s="10" t="s">
        <v>81</v>
      </c>
      <c r="F841" s="10" t="s">
        <v>83</v>
      </c>
      <c r="G841" s="10" t="s">
        <v>84</v>
      </c>
      <c r="H841" s="11">
        <v>13695</v>
      </c>
      <c r="I841" s="11">
        <v>597</v>
      </c>
      <c r="J841" s="11">
        <v>388</v>
      </c>
      <c r="K841" s="11">
        <v>0</v>
      </c>
      <c r="L841" s="11">
        <v>4.3593878358231697E-2</v>
      </c>
      <c r="M841" s="11">
        <f t="shared" si="3"/>
        <v>4.3592552026286961</v>
      </c>
      <c r="N841" s="11">
        <v>0.64991624790619795</v>
      </c>
      <c r="O841" s="11">
        <v>0</v>
      </c>
      <c r="P841" s="11">
        <v>0.45270270270270302</v>
      </c>
      <c r="Q841" s="11">
        <v>0.27659574468085102</v>
      </c>
      <c r="R841" s="11">
        <v>0.5</v>
      </c>
      <c r="S841" s="10" t="s">
        <v>84</v>
      </c>
      <c r="T841" s="10" t="s">
        <v>84</v>
      </c>
      <c r="U841" s="10"/>
      <c r="V841" s="10"/>
      <c r="W841" s="10"/>
      <c r="X841" s="10"/>
      <c r="Y841" s="10"/>
      <c r="Z841" s="10"/>
      <c r="AA841" s="10"/>
    </row>
    <row r="842" spans="1:27" ht="12.5" hidden="1" x14ac:dyDescent="0.25">
      <c r="A842" s="10" t="s">
        <v>13</v>
      </c>
      <c r="B842" s="10" t="s">
        <v>1529</v>
      </c>
      <c r="C842" s="10" t="s">
        <v>191</v>
      </c>
      <c r="D842" s="11">
        <v>2024</v>
      </c>
      <c r="E842" s="10" t="s">
        <v>124</v>
      </c>
      <c r="F842" s="10" t="s">
        <v>125</v>
      </c>
      <c r="G842" s="10" t="s">
        <v>84</v>
      </c>
      <c r="H842" s="12">
        <v>711.5</v>
      </c>
      <c r="I842" s="11">
        <v>31</v>
      </c>
      <c r="J842" s="11">
        <v>23</v>
      </c>
      <c r="K842" s="11">
        <v>107</v>
      </c>
      <c r="L842" s="11">
        <v>4.3569922698524201E-2</v>
      </c>
      <c r="M842" s="11">
        <f t="shared" si="3"/>
        <v>4.3569922698524239</v>
      </c>
      <c r="N842" s="11">
        <v>0.74193548387096797</v>
      </c>
      <c r="O842" s="11">
        <v>0.15038650737877701</v>
      </c>
      <c r="P842" s="11">
        <v>0.61274509803921595</v>
      </c>
      <c r="Q842" s="11">
        <v>0.32758620689655199</v>
      </c>
      <c r="R842" s="11">
        <v>0.51162790697674398</v>
      </c>
      <c r="S842" s="10" t="s">
        <v>84</v>
      </c>
      <c r="T842" s="10" t="s">
        <v>84</v>
      </c>
      <c r="U842" s="10"/>
      <c r="V842" s="10"/>
      <c r="W842" s="10"/>
      <c r="X842" s="10"/>
      <c r="Y842" s="10"/>
      <c r="Z842" s="10"/>
      <c r="AA842" s="10"/>
    </row>
    <row r="843" spans="1:27" ht="12.5" hidden="1" x14ac:dyDescent="0.25">
      <c r="A843" s="10" t="s">
        <v>12</v>
      </c>
      <c r="B843" s="10" t="s">
        <v>1530</v>
      </c>
      <c r="C843" s="10" t="s">
        <v>191</v>
      </c>
      <c r="D843" s="11">
        <v>2024</v>
      </c>
      <c r="E843" s="10" t="s">
        <v>124</v>
      </c>
      <c r="F843" s="10" t="s">
        <v>125</v>
      </c>
      <c r="G843" s="10" t="s">
        <v>84</v>
      </c>
      <c r="H843" s="12">
        <v>1911</v>
      </c>
      <c r="I843" s="11">
        <v>83</v>
      </c>
      <c r="J843" s="11">
        <v>83</v>
      </c>
      <c r="K843" s="11">
        <v>600</v>
      </c>
      <c r="L843" s="11">
        <v>4.3434651781431299E-2</v>
      </c>
      <c r="M843" s="11">
        <f t="shared" si="3"/>
        <v>4.3432757718472006</v>
      </c>
      <c r="N843" s="11">
        <v>1</v>
      </c>
      <c r="O843" s="11">
        <v>0.31398543456456302</v>
      </c>
      <c r="P843" s="11">
        <v>0.61151960784313697</v>
      </c>
      <c r="Q843" s="11">
        <v>0.50793650793650802</v>
      </c>
      <c r="R843" s="11">
        <v>0.50968992248061995</v>
      </c>
      <c r="S843" s="10" t="s">
        <v>84</v>
      </c>
      <c r="T843" s="10" t="s">
        <v>84</v>
      </c>
      <c r="U843" s="10"/>
      <c r="V843" s="10"/>
      <c r="W843" s="10"/>
      <c r="X843" s="10"/>
      <c r="Y843" s="10"/>
      <c r="Z843" s="10"/>
      <c r="AA843" s="10"/>
    </row>
    <row r="844" spans="1:27" ht="12.5" x14ac:dyDescent="0.25">
      <c r="A844" s="10" t="s">
        <v>67</v>
      </c>
      <c r="B844" s="10" t="s">
        <v>835</v>
      </c>
      <c r="C844" s="10" t="s">
        <v>76</v>
      </c>
      <c r="D844" s="11">
        <v>2024</v>
      </c>
      <c r="E844" s="10" t="s">
        <v>81</v>
      </c>
      <c r="F844" s="10" t="s">
        <v>83</v>
      </c>
      <c r="G844" s="10" t="s">
        <v>84</v>
      </c>
      <c r="H844" s="11">
        <v>25628</v>
      </c>
      <c r="I844" s="11">
        <v>1108</v>
      </c>
      <c r="J844" s="11">
        <v>944</v>
      </c>
      <c r="K844" s="11">
        <v>13551</v>
      </c>
      <c r="L844" s="11">
        <v>4.3233259955583199E-2</v>
      </c>
      <c r="M844" s="11">
        <f t="shared" si="3"/>
        <v>4.3233962853129384</v>
      </c>
      <c r="N844" s="11">
        <v>0.85198555956678701</v>
      </c>
      <c r="O844" s="11">
        <v>0.52874901232681204</v>
      </c>
      <c r="P844" s="11">
        <v>0.45101351351351299</v>
      </c>
      <c r="Q844" s="11">
        <v>0.57142857142857095</v>
      </c>
      <c r="R844" s="11">
        <v>0.49806201550387602</v>
      </c>
      <c r="S844" s="10" t="s">
        <v>84</v>
      </c>
      <c r="T844" s="10" t="s">
        <v>84</v>
      </c>
      <c r="U844" s="10"/>
      <c r="V844" s="10"/>
      <c r="W844" s="10"/>
      <c r="X844" s="10"/>
      <c r="Y844" s="10"/>
      <c r="Z844" s="10"/>
      <c r="AA844" s="10"/>
    </row>
    <row r="845" spans="1:27" ht="12.5" x14ac:dyDescent="0.25">
      <c r="A845" s="10" t="s">
        <v>53</v>
      </c>
      <c r="B845" s="10" t="s">
        <v>971</v>
      </c>
      <c r="C845" s="10" t="s">
        <v>76</v>
      </c>
      <c r="D845" s="11">
        <v>2024</v>
      </c>
      <c r="E845" s="10" t="s">
        <v>124</v>
      </c>
      <c r="F845" s="10" t="s">
        <v>125</v>
      </c>
      <c r="G845" s="10" t="s">
        <v>84</v>
      </c>
      <c r="H845" s="11">
        <v>696</v>
      </c>
      <c r="I845" s="11">
        <v>30</v>
      </c>
      <c r="J845" s="11">
        <v>26</v>
      </c>
      <c r="K845" s="11">
        <v>216</v>
      </c>
      <c r="L845" s="11">
        <v>4.3082814743896601E-2</v>
      </c>
      <c r="M845" s="11">
        <f t="shared" si="3"/>
        <v>4.3103448275862073</v>
      </c>
      <c r="N845" s="11">
        <v>0.86666666666666703</v>
      </c>
      <c r="O845" s="11">
        <v>0.310196266156056</v>
      </c>
      <c r="P845" s="11">
        <v>0.45016891891891903</v>
      </c>
      <c r="Q845" s="11">
        <v>0.95</v>
      </c>
      <c r="R845" s="11">
        <v>0.34899328859060402</v>
      </c>
      <c r="S845" s="10" t="s">
        <v>84</v>
      </c>
      <c r="T845" s="10" t="s">
        <v>84</v>
      </c>
      <c r="U845" s="10"/>
      <c r="V845" s="10"/>
      <c r="W845" s="10"/>
      <c r="X845" s="10"/>
      <c r="Y845" s="10"/>
      <c r="Z845" s="10"/>
      <c r="AA845" s="10"/>
    </row>
    <row r="846" spans="1:27" ht="12.5" x14ac:dyDescent="0.25">
      <c r="A846" s="10" t="s">
        <v>58</v>
      </c>
      <c r="B846" s="10" t="s">
        <v>837</v>
      </c>
      <c r="C846" s="10" t="s">
        <v>76</v>
      </c>
      <c r="D846" s="11">
        <v>2024</v>
      </c>
      <c r="E846" s="10" t="s">
        <v>81</v>
      </c>
      <c r="F846" s="10" t="s">
        <v>83</v>
      </c>
      <c r="G846" s="10" t="s">
        <v>84</v>
      </c>
      <c r="H846" s="11">
        <v>15398</v>
      </c>
      <c r="I846" s="11">
        <v>663</v>
      </c>
      <c r="J846" s="11">
        <v>457</v>
      </c>
      <c r="K846" s="11">
        <v>20866</v>
      </c>
      <c r="L846" s="11">
        <v>4.3058938139308299E-2</v>
      </c>
      <c r="M846" s="11">
        <f t="shared" si="3"/>
        <v>4.3057539940251983</v>
      </c>
      <c r="N846" s="11">
        <v>0.68929110105580704</v>
      </c>
      <c r="O846" s="11">
        <v>1.3551550576392299</v>
      </c>
      <c r="P846" s="11">
        <v>0.44932432432432401</v>
      </c>
      <c r="Q846" s="11">
        <v>0.135135135135135</v>
      </c>
      <c r="R846" s="11">
        <v>0.49612403100775199</v>
      </c>
      <c r="S846" s="10" t="s">
        <v>84</v>
      </c>
      <c r="T846" s="10" t="s">
        <v>84</v>
      </c>
      <c r="U846" s="10"/>
      <c r="V846" s="10"/>
      <c r="W846" s="10"/>
      <c r="X846" s="10"/>
      <c r="Y846" s="10"/>
      <c r="Z846" s="10"/>
      <c r="AA846" s="10"/>
    </row>
    <row r="847" spans="1:27" ht="12.5" x14ac:dyDescent="0.25">
      <c r="A847" s="10" t="s">
        <v>104</v>
      </c>
      <c r="B847" s="10" t="s">
        <v>840</v>
      </c>
      <c r="C847" s="10" t="s">
        <v>76</v>
      </c>
      <c r="D847" s="11">
        <v>2024</v>
      </c>
      <c r="E847" s="10" t="s">
        <v>81</v>
      </c>
      <c r="F847" s="10" t="s">
        <v>83</v>
      </c>
      <c r="G847" s="10" t="s">
        <v>84</v>
      </c>
      <c r="H847" s="11">
        <v>29327</v>
      </c>
      <c r="I847" s="11">
        <v>1262</v>
      </c>
      <c r="J847" s="11">
        <v>1074</v>
      </c>
      <c r="K847" s="11">
        <v>3420</v>
      </c>
      <c r="L847" s="11">
        <v>4.3031651450442798E-2</v>
      </c>
      <c r="M847" s="11">
        <f t="shared" si="3"/>
        <v>4.3032018276673369</v>
      </c>
      <c r="N847" s="11">
        <v>0.85103011093502401</v>
      </c>
      <c r="O847" s="11">
        <v>0.116615093471089</v>
      </c>
      <c r="P847" s="11">
        <v>0.44847972972972999</v>
      </c>
      <c r="Q847" s="11">
        <v>0.48275862068965503</v>
      </c>
      <c r="R847" s="11">
        <v>0.49418604651162801</v>
      </c>
      <c r="S847" s="10" t="s">
        <v>84</v>
      </c>
      <c r="T847" s="10" t="s">
        <v>84</v>
      </c>
      <c r="U847" s="10"/>
      <c r="V847" s="10"/>
      <c r="W847" s="10"/>
      <c r="X847" s="10"/>
      <c r="Y847" s="10"/>
      <c r="Z847" s="10"/>
      <c r="AA847" s="10"/>
    </row>
    <row r="848" spans="1:27" ht="12.5" x14ac:dyDescent="0.25">
      <c r="A848" s="10" t="s">
        <v>19</v>
      </c>
      <c r="B848" s="10" t="s">
        <v>841</v>
      </c>
      <c r="C848" s="10" t="s">
        <v>76</v>
      </c>
      <c r="D848" s="11">
        <v>2024</v>
      </c>
      <c r="E848" s="10" t="s">
        <v>81</v>
      </c>
      <c r="F848" s="10" t="s">
        <v>83</v>
      </c>
      <c r="G848" s="10" t="s">
        <v>84</v>
      </c>
      <c r="H848" s="11">
        <v>41323</v>
      </c>
      <c r="I848" s="11">
        <v>1772</v>
      </c>
      <c r="J848" s="11">
        <v>1470</v>
      </c>
      <c r="K848" s="11">
        <v>7365</v>
      </c>
      <c r="L848" s="11">
        <v>4.28818611179453E-2</v>
      </c>
      <c r="M848" s="11">
        <f t="shared" si="3"/>
        <v>4.2881688163976479</v>
      </c>
      <c r="N848" s="11">
        <v>0.829571106094808</v>
      </c>
      <c r="O848" s="11">
        <v>0.178230760233446</v>
      </c>
      <c r="P848" s="11">
        <v>0.44763513513513498</v>
      </c>
      <c r="Q848" s="11">
        <v>5.5555555555555601E-2</v>
      </c>
      <c r="R848" s="11">
        <v>0.49224806201550397</v>
      </c>
      <c r="S848" s="10" t="s">
        <v>84</v>
      </c>
      <c r="T848" s="10" t="s">
        <v>84</v>
      </c>
      <c r="U848" s="10"/>
      <c r="V848" s="10"/>
      <c r="W848" s="10"/>
      <c r="X848" s="10"/>
      <c r="Y848" s="10"/>
      <c r="Z848" s="10"/>
      <c r="AA848" s="10"/>
    </row>
    <row r="849" spans="1:27" ht="12.5" x14ac:dyDescent="0.25">
      <c r="A849" s="10" t="s">
        <v>6</v>
      </c>
      <c r="B849" s="10" t="s">
        <v>973</v>
      </c>
      <c r="C849" s="10" t="s">
        <v>76</v>
      </c>
      <c r="D849" s="11">
        <v>2024</v>
      </c>
      <c r="E849" s="10" t="s">
        <v>124</v>
      </c>
      <c r="F849" s="10" t="s">
        <v>125</v>
      </c>
      <c r="G849" s="10" t="s">
        <v>84</v>
      </c>
      <c r="H849" s="11">
        <v>1493</v>
      </c>
      <c r="I849" s="11">
        <v>64</v>
      </c>
      <c r="J849" s="11">
        <v>63</v>
      </c>
      <c r="K849" s="11">
        <v>1956</v>
      </c>
      <c r="L849" s="11">
        <v>4.2861926554302897E-2</v>
      </c>
      <c r="M849" s="11">
        <f t="shared" si="3"/>
        <v>4.2866711319490953</v>
      </c>
      <c r="N849" s="11">
        <v>0.984375</v>
      </c>
      <c r="O849" s="11">
        <v>1.30996763031588</v>
      </c>
      <c r="P849" s="11">
        <v>0.44679054054054002</v>
      </c>
      <c r="Q849" s="11">
        <v>0.61290322580645196</v>
      </c>
      <c r="R849" s="11">
        <v>0.34675615212527999</v>
      </c>
      <c r="S849" s="10" t="s">
        <v>84</v>
      </c>
      <c r="T849" s="10" t="s">
        <v>84</v>
      </c>
      <c r="U849" s="10"/>
      <c r="V849" s="10"/>
      <c r="W849" s="10"/>
      <c r="X849" s="10"/>
      <c r="Y849" s="10"/>
      <c r="Z849" s="10"/>
      <c r="AA849" s="10"/>
    </row>
    <row r="850" spans="1:27" ht="12.5" x14ac:dyDescent="0.25">
      <c r="A850" s="10" t="s">
        <v>110</v>
      </c>
      <c r="B850" s="10" t="s">
        <v>1402</v>
      </c>
      <c r="C850" s="10" t="s">
        <v>76</v>
      </c>
      <c r="D850" s="11">
        <v>2024</v>
      </c>
      <c r="E850" s="10" t="s">
        <v>257</v>
      </c>
      <c r="F850" s="10" t="s">
        <v>83</v>
      </c>
      <c r="G850" s="10" t="s">
        <v>84</v>
      </c>
      <c r="H850" s="11">
        <v>18133</v>
      </c>
      <c r="I850" s="11">
        <v>777</v>
      </c>
      <c r="J850" s="11">
        <v>705</v>
      </c>
      <c r="K850" s="11">
        <v>5315</v>
      </c>
      <c r="L850" s="11">
        <v>4.2850840104415602E-2</v>
      </c>
      <c r="M850" s="11">
        <f t="shared" si="3"/>
        <v>4.2850052390668951</v>
      </c>
      <c r="N850" s="11">
        <v>0.90733590733590697</v>
      </c>
      <c r="O850" s="11">
        <v>0.29311739402183901</v>
      </c>
      <c r="P850" s="11">
        <v>0.445945945945946</v>
      </c>
      <c r="Q850" s="11">
        <v>0.63636363636363602</v>
      </c>
      <c r="R850" s="11">
        <v>0.54545454545454497</v>
      </c>
      <c r="S850" s="10" t="s">
        <v>84</v>
      </c>
      <c r="T850" s="10" t="s">
        <v>84</v>
      </c>
      <c r="U850" s="10"/>
      <c r="V850" s="10"/>
      <c r="W850" s="10"/>
      <c r="X850" s="10"/>
      <c r="Y850" s="10"/>
      <c r="Z850" s="10"/>
      <c r="AA850" s="10"/>
    </row>
    <row r="851" spans="1:27" ht="12.5" x14ac:dyDescent="0.25">
      <c r="A851" s="10" t="s">
        <v>104</v>
      </c>
      <c r="B851" s="10" t="s">
        <v>826</v>
      </c>
      <c r="C851" s="10" t="s">
        <v>76</v>
      </c>
      <c r="D851" s="11">
        <v>2024</v>
      </c>
      <c r="E851" s="10" t="s">
        <v>81</v>
      </c>
      <c r="F851" s="10" t="s">
        <v>83</v>
      </c>
      <c r="G851" s="10" t="s">
        <v>84</v>
      </c>
      <c r="H851" s="11">
        <v>12899</v>
      </c>
      <c r="I851" s="11">
        <v>551</v>
      </c>
      <c r="J851" s="11">
        <v>491</v>
      </c>
      <c r="K851" s="11">
        <v>3018</v>
      </c>
      <c r="L851" s="11">
        <v>4.2718145520797002E-2</v>
      </c>
      <c r="M851" s="11">
        <f t="shared" si="3"/>
        <v>4.2716489650360492</v>
      </c>
      <c r="N851" s="11">
        <v>0.89110707803992695</v>
      </c>
      <c r="O851" s="11">
        <v>0.23398069542970101</v>
      </c>
      <c r="P851" s="11">
        <v>0.44510135135135098</v>
      </c>
      <c r="Q851" s="11">
        <v>0.44827586206896602</v>
      </c>
      <c r="R851" s="11">
        <v>0.49031007751937999</v>
      </c>
      <c r="S851" s="10" t="s">
        <v>84</v>
      </c>
      <c r="T851" s="10" t="s">
        <v>84</v>
      </c>
      <c r="U851" s="10"/>
      <c r="V851" s="10"/>
      <c r="W851" s="10"/>
      <c r="X851" s="10"/>
      <c r="Y851" s="10"/>
      <c r="Z851" s="10"/>
      <c r="AA851" s="10"/>
    </row>
    <row r="852" spans="1:27" ht="12.5" x14ac:dyDescent="0.25">
      <c r="A852" s="10" t="s">
        <v>58</v>
      </c>
      <c r="B852" s="10" t="s">
        <v>844</v>
      </c>
      <c r="C852" s="10" t="s">
        <v>76</v>
      </c>
      <c r="D852" s="11">
        <v>2024</v>
      </c>
      <c r="E852" s="10" t="s">
        <v>81</v>
      </c>
      <c r="F852" s="10" t="s">
        <v>83</v>
      </c>
      <c r="G852" s="10" t="s">
        <v>84</v>
      </c>
      <c r="H852" s="11">
        <v>28085</v>
      </c>
      <c r="I852" s="11">
        <v>1199</v>
      </c>
      <c r="J852" s="11">
        <v>876</v>
      </c>
      <c r="K852" s="11">
        <v>54760</v>
      </c>
      <c r="L852" s="11">
        <v>4.26918283781378E-2</v>
      </c>
      <c r="M852" s="11">
        <f t="shared" si="3"/>
        <v>4.2691828378137791</v>
      </c>
      <c r="N852" s="11">
        <v>0.73060884070058396</v>
      </c>
      <c r="O852" s="11">
        <v>1.9497952643759999</v>
      </c>
      <c r="P852" s="11">
        <v>0.44425675675675702</v>
      </c>
      <c r="Q852" s="11">
        <v>0.108108108108108</v>
      </c>
      <c r="R852" s="11">
        <v>0.48837209302325602</v>
      </c>
      <c r="S852" s="10" t="s">
        <v>84</v>
      </c>
      <c r="T852" s="10" t="s">
        <v>84</v>
      </c>
      <c r="U852" s="10"/>
      <c r="V852" s="10"/>
      <c r="W852" s="10"/>
      <c r="X852" s="10"/>
      <c r="Y852" s="10"/>
      <c r="Z852" s="10"/>
      <c r="AA852" s="10"/>
    </row>
    <row r="853" spans="1:27" ht="12.5" x14ac:dyDescent="0.25">
      <c r="A853" s="10" t="s">
        <v>52</v>
      </c>
      <c r="B853" s="10" t="s">
        <v>846</v>
      </c>
      <c r="C853" s="10" t="s">
        <v>76</v>
      </c>
      <c r="D853" s="11">
        <v>2024</v>
      </c>
      <c r="E853" s="10" t="s">
        <v>81</v>
      </c>
      <c r="F853" s="10" t="s">
        <v>83</v>
      </c>
      <c r="G853" s="10" t="s">
        <v>84</v>
      </c>
      <c r="H853" s="11">
        <v>25754</v>
      </c>
      <c r="I853" s="11">
        <v>1099</v>
      </c>
      <c r="J853" s="11">
        <v>854</v>
      </c>
      <c r="K853" s="11">
        <v>29751</v>
      </c>
      <c r="L853" s="11">
        <v>4.2673258997042503E-2</v>
      </c>
      <c r="M853" s="11">
        <f t="shared" si="3"/>
        <v>4.2672982837617459</v>
      </c>
      <c r="N853" s="11">
        <v>0.77707006369426801</v>
      </c>
      <c r="O853" s="11">
        <v>1.15520666826298</v>
      </c>
      <c r="P853" s="11">
        <v>0.443412162162162</v>
      </c>
      <c r="Q853" s="11">
        <v>0.29787234042553201</v>
      </c>
      <c r="R853" s="11">
        <v>0.48643410852713198</v>
      </c>
      <c r="S853" s="10" t="s">
        <v>84</v>
      </c>
      <c r="T853" s="10" t="s">
        <v>84</v>
      </c>
      <c r="U853" s="10"/>
      <c r="V853" s="10"/>
      <c r="W853" s="10"/>
      <c r="X853" s="10"/>
      <c r="Y853" s="10"/>
      <c r="Z853" s="10"/>
      <c r="AA853" s="10"/>
    </row>
    <row r="854" spans="1:27" ht="12.5" hidden="1" x14ac:dyDescent="0.25">
      <c r="A854" s="10" t="s">
        <v>77</v>
      </c>
      <c r="B854" s="10" t="s">
        <v>1532</v>
      </c>
      <c r="C854" s="10" t="s">
        <v>191</v>
      </c>
      <c r="D854" s="11">
        <v>2024</v>
      </c>
      <c r="E854" s="10" t="s">
        <v>124</v>
      </c>
      <c r="F854" s="10" t="s">
        <v>125</v>
      </c>
      <c r="G854" s="10" t="s">
        <v>84</v>
      </c>
      <c r="H854" s="12">
        <v>469.25</v>
      </c>
      <c r="I854" s="11">
        <v>20</v>
      </c>
      <c r="J854" s="11">
        <v>19</v>
      </c>
      <c r="K854" s="11">
        <v>458</v>
      </c>
      <c r="L854" s="11">
        <v>4.26212040490144E-2</v>
      </c>
      <c r="M854" s="11">
        <f t="shared" si="3"/>
        <v>4.262120404901439</v>
      </c>
      <c r="N854" s="11">
        <v>0.95</v>
      </c>
      <c r="O854" s="11">
        <v>0.97602557272242896</v>
      </c>
      <c r="P854" s="11">
        <v>0.60906862745098</v>
      </c>
      <c r="Q854" s="11">
        <v>0.80434782608695699</v>
      </c>
      <c r="R854" s="11">
        <v>0.50775193798449603</v>
      </c>
      <c r="S854" s="10" t="s">
        <v>84</v>
      </c>
      <c r="T854" s="10" t="s">
        <v>84</v>
      </c>
      <c r="U854" s="10"/>
      <c r="V854" s="10"/>
      <c r="W854" s="10"/>
      <c r="X854" s="10"/>
      <c r="Y854" s="10"/>
      <c r="Z854" s="10"/>
      <c r="AA854" s="10"/>
    </row>
    <row r="855" spans="1:27" ht="12.5" hidden="1" x14ac:dyDescent="0.25">
      <c r="A855" s="10" t="s">
        <v>32</v>
      </c>
      <c r="B855" s="10" t="s">
        <v>1533</v>
      </c>
      <c r="C855" s="10" t="s">
        <v>191</v>
      </c>
      <c r="D855" s="11">
        <v>2024</v>
      </c>
      <c r="E855" s="10" t="s">
        <v>124</v>
      </c>
      <c r="F855" s="10" t="s">
        <v>125</v>
      </c>
      <c r="G855" s="10" t="s">
        <v>84</v>
      </c>
      <c r="H855" s="12">
        <v>28914</v>
      </c>
      <c r="I855" s="11">
        <v>1224</v>
      </c>
      <c r="J855" s="11">
        <v>987</v>
      </c>
      <c r="K855" s="11">
        <v>40707</v>
      </c>
      <c r="L855" s="11">
        <v>4.23323121085745E-2</v>
      </c>
      <c r="M855" s="11">
        <f t="shared" si="3"/>
        <v>4.2332434114961615</v>
      </c>
      <c r="N855" s="11">
        <v>0.80637254901960798</v>
      </c>
      <c r="O855" s="11">
        <v>1.4078606446109001</v>
      </c>
      <c r="P855" s="11">
        <v>0.60539215686274495</v>
      </c>
      <c r="Q855" s="11">
        <v>0.42857142857142899</v>
      </c>
      <c r="R855" s="11">
        <v>0.50581395348837199</v>
      </c>
      <c r="S855" s="10" t="s">
        <v>84</v>
      </c>
      <c r="T855" s="10" t="s">
        <v>84</v>
      </c>
      <c r="U855" s="10"/>
      <c r="V855" s="10"/>
      <c r="W855" s="10"/>
      <c r="X855" s="10"/>
      <c r="Y855" s="10"/>
      <c r="Z855" s="10"/>
      <c r="AA855" s="10"/>
    </row>
    <row r="856" spans="1:27" ht="12.5" x14ac:dyDescent="0.25">
      <c r="A856" s="10" t="s">
        <v>77</v>
      </c>
      <c r="B856" s="10" t="s">
        <v>976</v>
      </c>
      <c r="C856" s="10" t="s">
        <v>76</v>
      </c>
      <c r="D856" s="11">
        <v>2024</v>
      </c>
      <c r="E856" s="10" t="s">
        <v>124</v>
      </c>
      <c r="F856" s="10" t="s">
        <v>83</v>
      </c>
      <c r="G856" s="10" t="s">
        <v>84</v>
      </c>
      <c r="H856" s="11">
        <v>63156</v>
      </c>
      <c r="I856" s="11">
        <v>2670</v>
      </c>
      <c r="J856" s="11">
        <v>2448</v>
      </c>
      <c r="K856" s="11">
        <v>67571</v>
      </c>
      <c r="L856" s="11">
        <v>4.2276435637293497E-2</v>
      </c>
      <c r="M856" s="11">
        <f t="shared" si="3"/>
        <v>4.2276268288048637</v>
      </c>
      <c r="N856" s="11">
        <v>0.91685393258426995</v>
      </c>
      <c r="O856" s="11">
        <v>1.06991049904403</v>
      </c>
      <c r="P856" s="11">
        <v>0.44003378378378399</v>
      </c>
      <c r="Q856" s="11">
        <v>0.64285714285714302</v>
      </c>
      <c r="R856" s="11">
        <v>0.34451901565995502</v>
      </c>
      <c r="S856" s="10" t="s">
        <v>84</v>
      </c>
      <c r="T856" s="10" t="s">
        <v>84</v>
      </c>
      <c r="U856" s="10"/>
      <c r="V856" s="10"/>
      <c r="W856" s="10"/>
      <c r="X856" s="10"/>
      <c r="Y856" s="10"/>
      <c r="Z856" s="10"/>
      <c r="AA856" s="10"/>
    </row>
    <row r="857" spans="1:27" ht="12.5" x14ac:dyDescent="0.25">
      <c r="A857" s="10" t="s">
        <v>92</v>
      </c>
      <c r="B857" s="10" t="s">
        <v>978</v>
      </c>
      <c r="C857" s="10" t="s">
        <v>76</v>
      </c>
      <c r="D857" s="11">
        <v>2024</v>
      </c>
      <c r="E857" s="10" t="s">
        <v>124</v>
      </c>
      <c r="F857" s="10" t="s">
        <v>83</v>
      </c>
      <c r="G857" s="10" t="s">
        <v>84</v>
      </c>
      <c r="H857" s="11">
        <v>16200</v>
      </c>
      <c r="I857" s="11">
        <v>684</v>
      </c>
      <c r="J857" s="11">
        <v>617</v>
      </c>
      <c r="K857" s="11">
        <v>11917</v>
      </c>
      <c r="L857" s="11">
        <v>4.2222222222222203E-2</v>
      </c>
      <c r="M857" s="11">
        <f t="shared" si="3"/>
        <v>4.2222222222222223</v>
      </c>
      <c r="N857" s="11">
        <v>0.90204678362573099</v>
      </c>
      <c r="O857" s="11">
        <v>0.73561728395061698</v>
      </c>
      <c r="P857" s="11">
        <v>0.43918918918918898</v>
      </c>
      <c r="Q857" s="11">
        <v>0.77777777777777801</v>
      </c>
      <c r="R857" s="11">
        <v>0.34228187919463099</v>
      </c>
      <c r="S857" s="10" t="s">
        <v>84</v>
      </c>
      <c r="T857" s="10" t="s">
        <v>84</v>
      </c>
      <c r="U857" s="10"/>
      <c r="V857" s="10"/>
      <c r="W857" s="10"/>
      <c r="X857" s="10"/>
      <c r="Y857" s="10"/>
      <c r="Z857" s="10"/>
      <c r="AA857" s="10"/>
    </row>
    <row r="858" spans="1:27" ht="12.5" x14ac:dyDescent="0.25">
      <c r="A858" s="10" t="s">
        <v>12</v>
      </c>
      <c r="B858" s="10" t="s">
        <v>848</v>
      </c>
      <c r="C858" s="10" t="s">
        <v>76</v>
      </c>
      <c r="D858" s="11">
        <v>2024</v>
      </c>
      <c r="E858" s="10" t="s">
        <v>81</v>
      </c>
      <c r="F858" s="10" t="s">
        <v>83</v>
      </c>
      <c r="G858" s="10" t="s">
        <v>84</v>
      </c>
      <c r="H858" s="11">
        <v>23772</v>
      </c>
      <c r="I858" s="11">
        <v>1002</v>
      </c>
      <c r="J858" s="11">
        <v>665</v>
      </c>
      <c r="K858" s="11">
        <v>43578</v>
      </c>
      <c r="L858" s="11">
        <v>4.2150872358997601E-2</v>
      </c>
      <c r="M858" s="11">
        <f t="shared" si="3"/>
        <v>4.2150429076224132</v>
      </c>
      <c r="N858" s="11">
        <v>0.66367265469061898</v>
      </c>
      <c r="O858" s="11">
        <v>1.8331843469664599</v>
      </c>
      <c r="P858" s="11">
        <v>0.43834459459459502</v>
      </c>
      <c r="Q858" s="11">
        <v>0.27777777777777801</v>
      </c>
      <c r="R858" s="11">
        <v>0.484496124031008</v>
      </c>
      <c r="S858" s="10" t="s">
        <v>84</v>
      </c>
      <c r="T858" s="10" t="s">
        <v>84</v>
      </c>
      <c r="U858" s="10"/>
      <c r="V858" s="10"/>
      <c r="W858" s="10"/>
      <c r="X858" s="10"/>
      <c r="Y858" s="10"/>
      <c r="Z858" s="10"/>
      <c r="AA858" s="10"/>
    </row>
    <row r="859" spans="1:27" ht="12.5" hidden="1" x14ac:dyDescent="0.25">
      <c r="A859" s="10" t="s">
        <v>14</v>
      </c>
      <c r="B859" s="10" t="s">
        <v>1534</v>
      </c>
      <c r="C859" s="10" t="s">
        <v>191</v>
      </c>
      <c r="D859" s="11">
        <v>2024</v>
      </c>
      <c r="E859" s="10" t="s">
        <v>257</v>
      </c>
      <c r="F859" s="10" t="s">
        <v>125</v>
      </c>
      <c r="G859" s="10" t="s">
        <v>84</v>
      </c>
      <c r="H859" s="12">
        <v>21922</v>
      </c>
      <c r="I859" s="11">
        <v>921</v>
      </c>
      <c r="J859" s="11">
        <v>1065</v>
      </c>
      <c r="K859" s="11">
        <v>7132</v>
      </c>
      <c r="L859" s="11">
        <v>4.2012590092144898E-2</v>
      </c>
      <c r="M859" s="11">
        <f t="shared" si="3"/>
        <v>4.2012590092144881</v>
      </c>
      <c r="N859" s="11">
        <v>1.15635179153094</v>
      </c>
      <c r="O859" s="11">
        <v>0.32533527962777098</v>
      </c>
      <c r="P859" s="11">
        <v>0.60416666666666696</v>
      </c>
      <c r="Q859" s="11">
        <v>0.42553191489361702</v>
      </c>
      <c r="R859" s="11">
        <v>0.55555555555555602</v>
      </c>
      <c r="S859" s="10" t="s">
        <v>84</v>
      </c>
      <c r="T859" s="10" t="s">
        <v>84</v>
      </c>
      <c r="U859" s="10"/>
      <c r="V859" s="10"/>
      <c r="W859" s="10"/>
      <c r="X859" s="10"/>
      <c r="Y859" s="10"/>
      <c r="Z859" s="10"/>
      <c r="AA859" s="10"/>
    </row>
    <row r="860" spans="1:27" ht="12.5" x14ac:dyDescent="0.25">
      <c r="A860" s="10" t="s">
        <v>82</v>
      </c>
      <c r="B860" s="10" t="s">
        <v>981</v>
      </c>
      <c r="C860" s="10" t="s">
        <v>76</v>
      </c>
      <c r="D860" s="11">
        <v>2024</v>
      </c>
      <c r="E860" s="10" t="s">
        <v>124</v>
      </c>
      <c r="F860" s="10" t="s">
        <v>83</v>
      </c>
      <c r="G860" s="10" t="s">
        <v>84</v>
      </c>
      <c r="H860" s="11">
        <v>2553</v>
      </c>
      <c r="I860" s="11">
        <v>107</v>
      </c>
      <c r="J860" s="11">
        <v>107</v>
      </c>
      <c r="K860" s="11">
        <v>187</v>
      </c>
      <c r="L860" s="11">
        <v>4.1919686581782599E-2</v>
      </c>
      <c r="M860" s="11">
        <f t="shared" si="3"/>
        <v>4.1911476694085392</v>
      </c>
      <c r="N860" s="11">
        <v>1</v>
      </c>
      <c r="O860" s="11">
        <v>7.3261508325171407E-2</v>
      </c>
      <c r="P860" s="11">
        <v>0.4375</v>
      </c>
      <c r="Q860" s="11">
        <v>0.74137931034482796</v>
      </c>
      <c r="R860" s="11">
        <v>0.34004474272930701</v>
      </c>
      <c r="S860" s="10" t="s">
        <v>84</v>
      </c>
      <c r="T860" s="10" t="s">
        <v>84</v>
      </c>
      <c r="U860" s="10"/>
      <c r="V860" s="10"/>
      <c r="W860" s="10"/>
      <c r="X860" s="10"/>
      <c r="Y860" s="10"/>
      <c r="Z860" s="10"/>
      <c r="AA860" s="10"/>
    </row>
    <row r="861" spans="1:27" ht="12.5" x14ac:dyDescent="0.25">
      <c r="A861" s="10" t="s">
        <v>115</v>
      </c>
      <c r="B861" s="10" t="s">
        <v>850</v>
      </c>
      <c r="C861" s="10" t="s">
        <v>76</v>
      </c>
      <c r="D861" s="11">
        <v>2024</v>
      </c>
      <c r="E861" s="10" t="s">
        <v>81</v>
      </c>
      <c r="F861" s="10" t="s">
        <v>83</v>
      </c>
      <c r="G861" s="10" t="s">
        <v>84</v>
      </c>
      <c r="H861" s="11">
        <v>63317</v>
      </c>
      <c r="I861" s="11">
        <v>2654</v>
      </c>
      <c r="J861" s="11">
        <v>2632</v>
      </c>
      <c r="K861" s="11">
        <v>18207</v>
      </c>
      <c r="L861" s="11">
        <v>4.1915907592322797E-2</v>
      </c>
      <c r="M861" s="11">
        <f t="shared" si="3"/>
        <v>4.1916073092534392</v>
      </c>
      <c r="N861" s="11">
        <v>0.99171062547098698</v>
      </c>
      <c r="O861" s="11">
        <v>0.28755197043459702</v>
      </c>
      <c r="P861" s="11">
        <v>0.43665540540540498</v>
      </c>
      <c r="Q861" s="11">
        <v>1</v>
      </c>
      <c r="R861" s="11">
        <v>0.48255813953488402</v>
      </c>
      <c r="S861" s="10" t="s">
        <v>84</v>
      </c>
      <c r="T861" s="10" t="s">
        <v>84</v>
      </c>
      <c r="U861" s="10"/>
      <c r="V861" s="10"/>
      <c r="W861" s="10"/>
      <c r="X861" s="10"/>
      <c r="Y861" s="10"/>
      <c r="Z861" s="10"/>
      <c r="AA861" s="10"/>
    </row>
    <row r="862" spans="1:27" ht="12.5" hidden="1" x14ac:dyDescent="0.25">
      <c r="A862" s="10" t="s">
        <v>29</v>
      </c>
      <c r="B862" s="10" t="s">
        <v>1535</v>
      </c>
      <c r="C862" s="10" t="s">
        <v>191</v>
      </c>
      <c r="D862" s="11">
        <v>2024</v>
      </c>
      <c r="E862" s="10" t="s">
        <v>124</v>
      </c>
      <c r="F862" s="10" t="s">
        <v>125</v>
      </c>
      <c r="G862" s="10" t="s">
        <v>84</v>
      </c>
      <c r="H862" s="12">
        <v>10819</v>
      </c>
      <c r="I862" s="11">
        <v>451</v>
      </c>
      <c r="J862" s="11">
        <v>420</v>
      </c>
      <c r="K862" s="11">
        <v>8081</v>
      </c>
      <c r="L862" s="11">
        <v>4.1684317546386497E-2</v>
      </c>
      <c r="M862" s="11">
        <f t="shared" si="3"/>
        <v>4.1685922913393103</v>
      </c>
      <c r="N862" s="11">
        <v>0.93126385809312595</v>
      </c>
      <c r="O862" s="11">
        <v>0.74689793812050898</v>
      </c>
      <c r="P862" s="11">
        <v>0.60294117647058798</v>
      </c>
      <c r="Q862" s="11">
        <v>0.52112676056338003</v>
      </c>
      <c r="R862" s="11">
        <v>0.50387596899224796</v>
      </c>
      <c r="S862" s="10" t="s">
        <v>84</v>
      </c>
      <c r="T862" s="10" t="s">
        <v>84</v>
      </c>
      <c r="U862" s="10"/>
      <c r="V862" s="10"/>
      <c r="W862" s="10"/>
      <c r="X862" s="10"/>
      <c r="Y862" s="10"/>
      <c r="Z862" s="10"/>
      <c r="AA862" s="10"/>
    </row>
    <row r="863" spans="1:27" ht="12.5" hidden="1" x14ac:dyDescent="0.25">
      <c r="A863" s="10" t="s">
        <v>29</v>
      </c>
      <c r="B863" s="10" t="s">
        <v>1536</v>
      </c>
      <c r="C863" s="10" t="s">
        <v>191</v>
      </c>
      <c r="D863" s="11">
        <v>2024</v>
      </c>
      <c r="E863" s="10" t="s">
        <v>257</v>
      </c>
      <c r="F863" s="10" t="s">
        <v>125</v>
      </c>
      <c r="G863" s="10" t="s">
        <v>84</v>
      </c>
      <c r="H863" s="12">
        <v>15803</v>
      </c>
      <c r="I863" s="11">
        <v>657</v>
      </c>
      <c r="J863" s="11">
        <v>126</v>
      </c>
      <c r="K863" s="11">
        <v>2954</v>
      </c>
      <c r="L863" s="11">
        <v>4.1573946150033202E-2</v>
      </c>
      <c r="M863" s="11">
        <f t="shared" si="3"/>
        <v>4.157438461051699</v>
      </c>
      <c r="N863" s="11">
        <v>0.19178082191780799</v>
      </c>
      <c r="O863" s="11">
        <v>0.186924561533026</v>
      </c>
      <c r="P863" s="11">
        <v>0.60171568627451</v>
      </c>
      <c r="Q863" s="11">
        <v>0.50704225352112697</v>
      </c>
      <c r="R863" s="11">
        <v>0.52777777777777801</v>
      </c>
      <c r="S863" s="10" t="s">
        <v>84</v>
      </c>
      <c r="T863" s="10" t="s">
        <v>84</v>
      </c>
      <c r="U863" s="10"/>
      <c r="V863" s="10"/>
      <c r="W863" s="10"/>
      <c r="X863" s="10"/>
      <c r="Y863" s="10"/>
      <c r="Z863" s="10"/>
      <c r="AA863" s="10"/>
    </row>
    <row r="864" spans="1:27" ht="12.5" hidden="1" x14ac:dyDescent="0.25">
      <c r="A864" s="10" t="s">
        <v>14</v>
      </c>
      <c r="B864" s="10" t="s">
        <v>1537</v>
      </c>
      <c r="C864" s="10" t="s">
        <v>191</v>
      </c>
      <c r="D864" s="11">
        <v>2024</v>
      </c>
      <c r="E864" s="10" t="s">
        <v>124</v>
      </c>
      <c r="F864" s="10" t="s">
        <v>125</v>
      </c>
      <c r="G864" s="10" t="s">
        <v>84</v>
      </c>
      <c r="H864" s="12">
        <v>702.16666666666697</v>
      </c>
      <c r="I864" s="11">
        <v>29</v>
      </c>
      <c r="J864" s="11">
        <v>68</v>
      </c>
      <c r="K864" s="11">
        <v>0</v>
      </c>
      <c r="L864" s="11">
        <v>4.1300735817707102E-2</v>
      </c>
      <c r="M864" s="11">
        <f t="shared" si="3"/>
        <v>4.1300735817707084</v>
      </c>
      <c r="N864" s="11">
        <v>2.3448275862068999</v>
      </c>
      <c r="O864" s="11">
        <v>0</v>
      </c>
      <c r="P864" s="11">
        <v>0.60049019607843102</v>
      </c>
      <c r="Q864" s="11">
        <v>0.40425531914893598</v>
      </c>
      <c r="R864" s="11">
        <v>0.50193798449612403</v>
      </c>
      <c r="S864" s="10" t="s">
        <v>84</v>
      </c>
      <c r="T864" s="10" t="s">
        <v>84</v>
      </c>
      <c r="U864" s="10"/>
      <c r="V864" s="10"/>
      <c r="W864" s="10"/>
      <c r="X864" s="10"/>
      <c r="Y864" s="10"/>
      <c r="Z864" s="10"/>
      <c r="AA864" s="10"/>
    </row>
    <row r="865" spans="1:27" ht="12.5" x14ac:dyDescent="0.25">
      <c r="A865" s="10" t="s">
        <v>67</v>
      </c>
      <c r="B865" s="10" t="s">
        <v>851</v>
      </c>
      <c r="C865" s="10" t="s">
        <v>76</v>
      </c>
      <c r="D865" s="11">
        <v>2024</v>
      </c>
      <c r="E865" s="10" t="s">
        <v>81</v>
      </c>
      <c r="F865" s="10" t="s">
        <v>83</v>
      </c>
      <c r="G865" s="10" t="s">
        <v>84</v>
      </c>
      <c r="H865" s="11">
        <v>15865</v>
      </c>
      <c r="I865" s="11">
        <v>655</v>
      </c>
      <c r="J865" s="11">
        <v>539</v>
      </c>
      <c r="K865" s="11">
        <v>8162</v>
      </c>
      <c r="L865" s="11">
        <v>4.1285415638033E-2</v>
      </c>
      <c r="M865" s="11">
        <f t="shared" si="3"/>
        <v>4.1285849353923734</v>
      </c>
      <c r="N865" s="11">
        <v>0.82290076335877904</v>
      </c>
      <c r="O865" s="11">
        <v>0.51446040066813004</v>
      </c>
      <c r="P865" s="11">
        <v>0.43496621621621601</v>
      </c>
      <c r="Q865" s="11">
        <v>0.476190476190476</v>
      </c>
      <c r="R865" s="11">
        <v>0.48062015503875999</v>
      </c>
      <c r="S865" s="10" t="s">
        <v>84</v>
      </c>
      <c r="T865" s="10" t="s">
        <v>84</v>
      </c>
      <c r="U865" s="10"/>
      <c r="V865" s="10"/>
      <c r="W865" s="10"/>
      <c r="X865" s="10"/>
      <c r="Y865" s="10"/>
      <c r="Z865" s="10"/>
      <c r="AA865" s="10"/>
    </row>
    <row r="866" spans="1:27" ht="12.5" x14ac:dyDescent="0.25">
      <c r="A866" s="10" t="s">
        <v>52</v>
      </c>
      <c r="B866" s="10" t="s">
        <v>983</v>
      </c>
      <c r="C866" s="10" t="s">
        <v>76</v>
      </c>
      <c r="D866" s="11">
        <v>2024</v>
      </c>
      <c r="E866" s="10" t="s">
        <v>124</v>
      </c>
      <c r="F866" s="10" t="s">
        <v>125</v>
      </c>
      <c r="G866" s="10" t="s">
        <v>84</v>
      </c>
      <c r="H866" s="11">
        <v>363</v>
      </c>
      <c r="I866" s="11">
        <v>15</v>
      </c>
      <c r="J866" s="11">
        <v>14</v>
      </c>
      <c r="K866" s="11">
        <v>789</v>
      </c>
      <c r="L866" s="11">
        <v>4.1274936941068603E-2</v>
      </c>
      <c r="M866" s="11">
        <f t="shared" si="3"/>
        <v>4.1322314049586781</v>
      </c>
      <c r="N866" s="11">
        <v>0.93333333333333302</v>
      </c>
      <c r="O866" s="11">
        <v>2.1710616831002101</v>
      </c>
      <c r="P866" s="11">
        <v>0.43412162162162199</v>
      </c>
      <c r="Q866" s="11">
        <v>0.27659574468085102</v>
      </c>
      <c r="R866" s="11">
        <v>0.33780760626398199</v>
      </c>
      <c r="S866" s="10" t="s">
        <v>84</v>
      </c>
      <c r="T866" s="10" t="s">
        <v>84</v>
      </c>
      <c r="U866" s="10"/>
      <c r="V866" s="10"/>
      <c r="W866" s="10"/>
      <c r="X866" s="10"/>
      <c r="Y866" s="10"/>
      <c r="Z866" s="10"/>
      <c r="AA866" s="10"/>
    </row>
    <row r="867" spans="1:27" ht="12.5" x14ac:dyDescent="0.25">
      <c r="A867" s="10" t="s">
        <v>65</v>
      </c>
      <c r="B867" s="10" t="s">
        <v>853</v>
      </c>
      <c r="C867" s="10" t="s">
        <v>76</v>
      </c>
      <c r="D867" s="11">
        <v>2024</v>
      </c>
      <c r="E867" s="10" t="s">
        <v>81</v>
      </c>
      <c r="F867" s="10" t="s">
        <v>83</v>
      </c>
      <c r="G867" s="10" t="s">
        <v>84</v>
      </c>
      <c r="H867" s="11">
        <v>2549</v>
      </c>
      <c r="I867" s="11">
        <v>105</v>
      </c>
      <c r="J867" s="11">
        <v>55</v>
      </c>
      <c r="K867" s="11">
        <v>5954</v>
      </c>
      <c r="L867" s="11">
        <v>4.1200706297822201E-2</v>
      </c>
      <c r="M867" s="11">
        <f t="shared" si="3"/>
        <v>4.1192624558650452</v>
      </c>
      <c r="N867" s="11">
        <v>0.52380952380952395</v>
      </c>
      <c r="O867" s="11">
        <v>2.33627624092603</v>
      </c>
      <c r="P867" s="11">
        <v>0.43327702702702697</v>
      </c>
      <c r="Q867" s="11">
        <v>0.38461538461538503</v>
      </c>
      <c r="R867" s="11">
        <v>0.47868217054263601</v>
      </c>
      <c r="S867" s="10" t="s">
        <v>84</v>
      </c>
      <c r="T867" s="10" t="s">
        <v>84</v>
      </c>
      <c r="U867" s="10"/>
      <c r="V867" s="10"/>
      <c r="W867" s="10"/>
      <c r="X867" s="10"/>
      <c r="Y867" s="10"/>
      <c r="Z867" s="10"/>
      <c r="AA867" s="10"/>
    </row>
    <row r="868" spans="1:27" ht="12.5" x14ac:dyDescent="0.25">
      <c r="A868" s="10" t="s">
        <v>49</v>
      </c>
      <c r="B868" s="10" t="s">
        <v>856</v>
      </c>
      <c r="C868" s="10" t="s">
        <v>76</v>
      </c>
      <c r="D868" s="11">
        <v>2024</v>
      </c>
      <c r="E868" s="10" t="s">
        <v>81</v>
      </c>
      <c r="F868" s="10" t="s">
        <v>83</v>
      </c>
      <c r="G868" s="10" t="s">
        <v>84</v>
      </c>
      <c r="H868" s="11">
        <v>119249</v>
      </c>
      <c r="I868" s="11">
        <v>4887</v>
      </c>
      <c r="J868" s="11">
        <v>4484</v>
      </c>
      <c r="K868" s="11">
        <v>75719</v>
      </c>
      <c r="L868" s="11">
        <v>4.0981504374253602E-2</v>
      </c>
      <c r="M868" s="11">
        <f t="shared" si="3"/>
        <v>4.0981475735645585</v>
      </c>
      <c r="N868" s="11">
        <v>0.91753632085123804</v>
      </c>
      <c r="O868" s="11">
        <v>0.63496593609865104</v>
      </c>
      <c r="P868" s="11">
        <v>0.43243243243243201</v>
      </c>
      <c r="Q868" s="11">
        <v>0.53846153846153799</v>
      </c>
      <c r="R868" s="11">
        <v>0.47674418604651198</v>
      </c>
      <c r="S868" s="10" t="s">
        <v>84</v>
      </c>
      <c r="T868" s="10" t="s">
        <v>84</v>
      </c>
      <c r="U868" s="10"/>
      <c r="V868" s="10"/>
      <c r="W868" s="10"/>
      <c r="X868" s="10"/>
      <c r="Y868" s="10"/>
      <c r="Z868" s="10"/>
      <c r="AA868" s="10"/>
    </row>
    <row r="869" spans="1:27" ht="12.5" x14ac:dyDescent="0.25">
      <c r="A869" s="10" t="s">
        <v>103</v>
      </c>
      <c r="B869" s="10" t="s">
        <v>986</v>
      </c>
      <c r="C869" s="10" t="s">
        <v>76</v>
      </c>
      <c r="D869" s="11">
        <v>2024</v>
      </c>
      <c r="E869" s="10" t="s">
        <v>124</v>
      </c>
      <c r="F869" s="10" t="s">
        <v>83</v>
      </c>
      <c r="G869" s="10" t="s">
        <v>84</v>
      </c>
      <c r="H869" s="11">
        <v>35614</v>
      </c>
      <c r="I869" s="11">
        <v>1450</v>
      </c>
      <c r="J869" s="11">
        <v>1617</v>
      </c>
      <c r="K869" s="11">
        <v>15682</v>
      </c>
      <c r="L869" s="11">
        <v>4.07141352926036E-2</v>
      </c>
      <c r="M869" s="11">
        <f t="shared" si="3"/>
        <v>4.0714325826922</v>
      </c>
      <c r="N869" s="11">
        <v>1.1151724137931001</v>
      </c>
      <c r="O869" s="11">
        <v>0.44033039286800701</v>
      </c>
      <c r="P869" s="11">
        <v>0.431587837837838</v>
      </c>
      <c r="Q869" s="11">
        <v>0.434782608695652</v>
      </c>
      <c r="R869" s="11">
        <v>0.33557046979865801</v>
      </c>
      <c r="S869" s="10" t="s">
        <v>84</v>
      </c>
      <c r="T869" s="10" t="s">
        <v>84</v>
      </c>
      <c r="U869" s="10"/>
      <c r="V869" s="10"/>
      <c r="W869" s="10"/>
      <c r="X869" s="10"/>
      <c r="Y869" s="10"/>
      <c r="Z869" s="10"/>
      <c r="AA869" s="10"/>
    </row>
    <row r="870" spans="1:27" ht="12.5" x14ac:dyDescent="0.25">
      <c r="A870" s="10" t="s">
        <v>32</v>
      </c>
      <c r="B870" s="10" t="s">
        <v>1538</v>
      </c>
      <c r="C870" s="10" t="s">
        <v>76</v>
      </c>
      <c r="D870" s="11">
        <v>2024</v>
      </c>
      <c r="E870" s="10" t="s">
        <v>0</v>
      </c>
      <c r="F870" s="10" t="s">
        <v>83</v>
      </c>
      <c r="G870" s="10" t="s">
        <v>84</v>
      </c>
      <c r="H870" s="11">
        <v>183162</v>
      </c>
      <c r="I870" s="11">
        <v>7457</v>
      </c>
      <c r="J870" s="11">
        <v>6480</v>
      </c>
      <c r="K870" s="11">
        <v>28373</v>
      </c>
      <c r="L870" s="11">
        <v>4.0712574700458803E-2</v>
      </c>
      <c r="M870" s="11">
        <f t="shared" si="3"/>
        <v>4.0712593223485225</v>
      </c>
      <c r="N870" s="11">
        <v>0.86898216440928</v>
      </c>
      <c r="O870" s="11">
        <v>0.154906514949191</v>
      </c>
      <c r="P870" s="11">
        <v>0.43074324324324298</v>
      </c>
      <c r="Q870" s="11">
        <v>0.24137931034482801</v>
      </c>
      <c r="R870" s="11">
        <v>0.33333333333333298</v>
      </c>
      <c r="S870" s="10" t="s">
        <v>84</v>
      </c>
      <c r="T870" s="10" t="s">
        <v>84</v>
      </c>
      <c r="U870" s="10"/>
      <c r="V870" s="10"/>
      <c r="W870" s="10"/>
      <c r="X870" s="10"/>
      <c r="Y870" s="10"/>
      <c r="Z870" s="10"/>
      <c r="AA870" s="10"/>
    </row>
    <row r="871" spans="1:27" ht="12.5" x14ac:dyDescent="0.25">
      <c r="A871" s="10" t="s">
        <v>82</v>
      </c>
      <c r="B871" s="10" t="s">
        <v>988</v>
      </c>
      <c r="C871" s="10" t="s">
        <v>76</v>
      </c>
      <c r="D871" s="11">
        <v>2024</v>
      </c>
      <c r="E871" s="10" t="s">
        <v>124</v>
      </c>
      <c r="F871" s="10" t="s">
        <v>83</v>
      </c>
      <c r="G871" s="10" t="s">
        <v>84</v>
      </c>
      <c r="H871" s="11">
        <v>4163</v>
      </c>
      <c r="I871" s="11">
        <v>169</v>
      </c>
      <c r="J871" s="11">
        <v>169</v>
      </c>
      <c r="K871" s="11">
        <v>948</v>
      </c>
      <c r="L871" s="11">
        <v>4.0594099043196302E-2</v>
      </c>
      <c r="M871" s="11">
        <f t="shared" si="3"/>
        <v>4.0595724237328854</v>
      </c>
      <c r="N871" s="11">
        <v>1</v>
      </c>
      <c r="O871" s="11">
        <v>0.22771127747307701</v>
      </c>
      <c r="P871" s="11">
        <v>0.42989864864864902</v>
      </c>
      <c r="Q871" s="11">
        <v>0.72413793103448298</v>
      </c>
      <c r="R871" s="11">
        <v>0.33333333333333298</v>
      </c>
      <c r="S871" s="10" t="s">
        <v>84</v>
      </c>
      <c r="T871" s="10" t="s">
        <v>84</v>
      </c>
      <c r="U871" s="10"/>
      <c r="V871" s="10"/>
      <c r="W871" s="10"/>
      <c r="X871" s="10"/>
      <c r="Y871" s="10"/>
      <c r="Z871" s="10"/>
      <c r="AA871" s="10"/>
    </row>
    <row r="872" spans="1:27" ht="12.5" x14ac:dyDescent="0.25">
      <c r="A872" s="10" t="s">
        <v>110</v>
      </c>
      <c r="B872" s="10" t="s">
        <v>1406</v>
      </c>
      <c r="C872" s="10" t="s">
        <v>76</v>
      </c>
      <c r="D872" s="11">
        <v>2024</v>
      </c>
      <c r="E872" s="10" t="s">
        <v>257</v>
      </c>
      <c r="F872" s="10" t="s">
        <v>83</v>
      </c>
      <c r="G872" s="10" t="s">
        <v>84</v>
      </c>
      <c r="H872" s="11">
        <v>37118</v>
      </c>
      <c r="I872" s="11">
        <v>1503</v>
      </c>
      <c r="J872" s="11">
        <v>1197</v>
      </c>
      <c r="K872" s="11">
        <v>12460</v>
      </c>
      <c r="L872" s="11">
        <v>4.0492392522063603E-2</v>
      </c>
      <c r="M872" s="11">
        <f t="shared" si="3"/>
        <v>4.0492483431219357</v>
      </c>
      <c r="N872" s="11">
        <v>0.79640718562874202</v>
      </c>
      <c r="O872" s="11">
        <v>0.33568543634392001</v>
      </c>
      <c r="P872" s="11">
        <v>0.429054054054054</v>
      </c>
      <c r="Q872" s="11">
        <v>0.60606060606060597</v>
      </c>
      <c r="R872" s="11">
        <v>0.52272727272727304</v>
      </c>
      <c r="S872" s="10" t="s">
        <v>84</v>
      </c>
      <c r="T872" s="10" t="s">
        <v>84</v>
      </c>
      <c r="U872" s="10"/>
      <c r="V872" s="10"/>
      <c r="W872" s="10"/>
      <c r="X872" s="10"/>
      <c r="Y872" s="10"/>
      <c r="Z872" s="10"/>
      <c r="AA872" s="10"/>
    </row>
    <row r="873" spans="1:27" ht="12.5" x14ac:dyDescent="0.25">
      <c r="A873" s="10" t="s">
        <v>104</v>
      </c>
      <c r="B873" s="10" t="s">
        <v>990</v>
      </c>
      <c r="C873" s="10" t="s">
        <v>76</v>
      </c>
      <c r="D873" s="11">
        <v>2024</v>
      </c>
      <c r="E873" s="10" t="s">
        <v>124</v>
      </c>
      <c r="F873" s="10" t="s">
        <v>83</v>
      </c>
      <c r="G873" s="10" t="s">
        <v>84</v>
      </c>
      <c r="H873" s="11">
        <v>244200</v>
      </c>
      <c r="I873" s="11">
        <v>9871</v>
      </c>
      <c r="J873" s="11">
        <v>8014</v>
      </c>
      <c r="K873" s="11">
        <v>48268</v>
      </c>
      <c r="L873" s="11">
        <v>4.04217854217854E-2</v>
      </c>
      <c r="M873" s="11">
        <f t="shared" si="3"/>
        <v>4.0421785421785419</v>
      </c>
      <c r="N873" s="11">
        <v>0.81187316381318997</v>
      </c>
      <c r="O873" s="11">
        <v>0.197657657657658</v>
      </c>
      <c r="P873" s="11">
        <v>0.42820945945945998</v>
      </c>
      <c r="Q873" s="11">
        <v>0.41379310344827602</v>
      </c>
      <c r="R873" s="11">
        <v>0.33109619686800901</v>
      </c>
      <c r="S873" s="10" t="s">
        <v>84</v>
      </c>
      <c r="T873" s="10" t="s">
        <v>84</v>
      </c>
      <c r="U873" s="10"/>
      <c r="V873" s="10"/>
      <c r="W873" s="10"/>
      <c r="X873" s="10"/>
      <c r="Y873" s="10"/>
      <c r="Z873" s="10"/>
      <c r="AA873" s="10"/>
    </row>
    <row r="874" spans="1:27" ht="12.5" x14ac:dyDescent="0.25">
      <c r="A874" s="10" t="s">
        <v>86</v>
      </c>
      <c r="B874" s="10" t="s">
        <v>859</v>
      </c>
      <c r="C874" s="10" t="s">
        <v>76</v>
      </c>
      <c r="D874" s="11">
        <v>2024</v>
      </c>
      <c r="E874" s="10" t="s">
        <v>81</v>
      </c>
      <c r="F874" s="10" t="s">
        <v>83</v>
      </c>
      <c r="G874" s="10" t="s">
        <v>84</v>
      </c>
      <c r="H874" s="11">
        <v>87132</v>
      </c>
      <c r="I874" s="11">
        <v>3516</v>
      </c>
      <c r="J874" s="11">
        <v>3175</v>
      </c>
      <c r="K874" s="11">
        <v>146112</v>
      </c>
      <c r="L874" s="11">
        <v>4.0352375551005203E-2</v>
      </c>
      <c r="M874" s="11">
        <f t="shared" si="3"/>
        <v>4.0352568516733234</v>
      </c>
      <c r="N874" s="11">
        <v>0.90301478953356096</v>
      </c>
      <c r="O874" s="11">
        <v>1.6768959887680499</v>
      </c>
      <c r="P874" s="11">
        <v>0.42736486486486502</v>
      </c>
      <c r="Q874" s="11">
        <v>0.26086956521739102</v>
      </c>
      <c r="R874" s="11">
        <v>0.474806201550388</v>
      </c>
      <c r="S874" s="10" t="s">
        <v>84</v>
      </c>
      <c r="T874" s="10" t="s">
        <v>84</v>
      </c>
      <c r="U874" s="10"/>
      <c r="V874" s="10"/>
      <c r="W874" s="10"/>
      <c r="X874" s="10"/>
      <c r="Y874" s="10"/>
      <c r="Z874" s="10"/>
      <c r="AA874" s="10"/>
    </row>
    <row r="875" spans="1:27" ht="12.5" hidden="1" x14ac:dyDescent="0.25">
      <c r="A875" s="10" t="s">
        <v>13</v>
      </c>
      <c r="B875" s="10" t="s">
        <v>1539</v>
      </c>
      <c r="C875" s="10" t="s">
        <v>191</v>
      </c>
      <c r="D875" s="11">
        <v>2024</v>
      </c>
      <c r="E875" s="10" t="s">
        <v>124</v>
      </c>
      <c r="F875" s="10" t="s">
        <v>125</v>
      </c>
      <c r="G875" s="10" t="s">
        <v>84</v>
      </c>
      <c r="H875" s="12">
        <v>619.66666666666697</v>
      </c>
      <c r="I875" s="11">
        <v>25</v>
      </c>
      <c r="J875" s="11">
        <v>10</v>
      </c>
      <c r="K875" s="11">
        <v>21</v>
      </c>
      <c r="L875" s="11">
        <v>4.0344271113501903E-2</v>
      </c>
      <c r="M875" s="11">
        <f t="shared" si="3"/>
        <v>4.0344271113501859</v>
      </c>
      <c r="N875" s="11">
        <v>0.4</v>
      </c>
      <c r="O875" s="11">
        <v>3.3889187735341601E-2</v>
      </c>
      <c r="P875" s="11">
        <v>0.59803921568627405</v>
      </c>
      <c r="Q875" s="11">
        <v>0.31034482758620702</v>
      </c>
      <c r="R875" s="11">
        <v>0.5</v>
      </c>
      <c r="S875" s="10" t="s">
        <v>84</v>
      </c>
      <c r="T875" s="10" t="s">
        <v>84</v>
      </c>
      <c r="U875" s="10"/>
      <c r="V875" s="10"/>
      <c r="W875" s="10"/>
      <c r="X875" s="10"/>
      <c r="Y875" s="10"/>
      <c r="Z875" s="10"/>
      <c r="AA875" s="10"/>
    </row>
    <row r="876" spans="1:27" ht="12.5" hidden="1" x14ac:dyDescent="0.25">
      <c r="A876" s="10" t="s">
        <v>86</v>
      </c>
      <c r="B876" s="10" t="s">
        <v>1540</v>
      </c>
      <c r="C876" s="10" t="s">
        <v>191</v>
      </c>
      <c r="D876" s="11">
        <v>2024</v>
      </c>
      <c r="E876" s="10" t="s">
        <v>124</v>
      </c>
      <c r="F876" s="10" t="s">
        <v>125</v>
      </c>
      <c r="G876" s="10" t="s">
        <v>84</v>
      </c>
      <c r="H876" s="12">
        <v>968.75</v>
      </c>
      <c r="I876" s="11">
        <v>39</v>
      </c>
      <c r="J876" s="11">
        <v>38</v>
      </c>
      <c r="K876" s="11">
        <v>152</v>
      </c>
      <c r="L876" s="11">
        <v>4.0258064516128997E-2</v>
      </c>
      <c r="M876" s="11">
        <f t="shared" si="3"/>
        <v>4.0258064516129028</v>
      </c>
      <c r="N876" s="11">
        <v>0.97435897435897401</v>
      </c>
      <c r="O876" s="11">
        <v>0.156903225806452</v>
      </c>
      <c r="P876" s="11">
        <v>0.59681372549019596</v>
      </c>
      <c r="Q876" s="11">
        <v>1</v>
      </c>
      <c r="R876" s="11">
        <v>0.49806201550387602</v>
      </c>
      <c r="S876" s="10" t="s">
        <v>84</v>
      </c>
      <c r="T876" s="10" t="s">
        <v>84</v>
      </c>
      <c r="U876" s="10"/>
      <c r="V876" s="10"/>
      <c r="W876" s="10"/>
      <c r="X876" s="10"/>
      <c r="Y876" s="10"/>
      <c r="Z876" s="10"/>
      <c r="AA876" s="10"/>
    </row>
    <row r="877" spans="1:27" ht="12.5" hidden="1" x14ac:dyDescent="0.25">
      <c r="A877" s="10" t="s">
        <v>42</v>
      </c>
      <c r="B877" s="10" t="s">
        <v>1541</v>
      </c>
      <c r="C877" s="10" t="s">
        <v>191</v>
      </c>
      <c r="D877" s="11">
        <v>2024</v>
      </c>
      <c r="E877" s="10" t="s">
        <v>124</v>
      </c>
      <c r="F877" s="10" t="s">
        <v>125</v>
      </c>
      <c r="G877" s="10" t="s">
        <v>84</v>
      </c>
      <c r="H877" s="12">
        <v>674</v>
      </c>
      <c r="I877" s="11">
        <v>27</v>
      </c>
      <c r="J877" s="11">
        <v>24</v>
      </c>
      <c r="K877" s="11">
        <v>0</v>
      </c>
      <c r="L877" s="11">
        <v>4.0059347181008897E-2</v>
      </c>
      <c r="M877" s="11">
        <f t="shared" si="3"/>
        <v>4.0059347181008906</v>
      </c>
      <c r="N877" s="11">
        <v>0.88888888888888895</v>
      </c>
      <c r="O877" s="11">
        <v>0</v>
      </c>
      <c r="P877" s="11">
        <v>0.59436274509803899</v>
      </c>
      <c r="Q877" s="11">
        <v>0.80952380952380998</v>
      </c>
      <c r="R877" s="11">
        <v>0.49612403100775199</v>
      </c>
      <c r="S877" s="10" t="s">
        <v>84</v>
      </c>
      <c r="T877" s="10" t="s">
        <v>84</v>
      </c>
      <c r="U877" s="10"/>
      <c r="V877" s="10"/>
      <c r="W877" s="10"/>
      <c r="X877" s="10"/>
      <c r="Y877" s="10"/>
      <c r="Z877" s="10"/>
      <c r="AA877" s="10"/>
    </row>
    <row r="878" spans="1:27" ht="12.5" x14ac:dyDescent="0.25">
      <c r="A878" s="10" t="s">
        <v>82</v>
      </c>
      <c r="B878" s="10" t="s">
        <v>992</v>
      </c>
      <c r="C878" s="10" t="s">
        <v>76</v>
      </c>
      <c r="D878" s="11">
        <v>2024</v>
      </c>
      <c r="E878" s="10" t="s">
        <v>124</v>
      </c>
      <c r="F878" s="10" t="s">
        <v>83</v>
      </c>
      <c r="G878" s="10" t="s">
        <v>84</v>
      </c>
      <c r="H878" s="11">
        <v>1424</v>
      </c>
      <c r="I878" s="11">
        <v>57</v>
      </c>
      <c r="J878" s="11">
        <v>56</v>
      </c>
      <c r="K878" s="11">
        <v>837</v>
      </c>
      <c r="L878" s="11">
        <v>4.0028089887640499E-2</v>
      </c>
      <c r="M878" s="11">
        <f t="shared" si="3"/>
        <v>4.0028089887640448</v>
      </c>
      <c r="N878" s="11">
        <v>0.98245614035087703</v>
      </c>
      <c r="O878" s="11">
        <v>0.58778089887640494</v>
      </c>
      <c r="P878" s="11">
        <v>0.42567567567567599</v>
      </c>
      <c r="Q878" s="11">
        <v>0.70689655172413801</v>
      </c>
      <c r="R878" s="11">
        <v>0.32885906040268498</v>
      </c>
      <c r="S878" s="10" t="s">
        <v>84</v>
      </c>
      <c r="T878" s="10" t="s">
        <v>84</v>
      </c>
      <c r="U878" s="10"/>
      <c r="V878" s="10"/>
      <c r="W878" s="10"/>
      <c r="X878" s="10"/>
      <c r="Y878" s="10"/>
      <c r="Z878" s="10"/>
      <c r="AA878" s="10"/>
    </row>
    <row r="879" spans="1:27" ht="12.5" x14ac:dyDescent="0.25">
      <c r="A879" s="10" t="s">
        <v>77</v>
      </c>
      <c r="B879" s="10" t="s">
        <v>996</v>
      </c>
      <c r="C879" s="10" t="s">
        <v>76</v>
      </c>
      <c r="D879" s="11">
        <v>2024</v>
      </c>
      <c r="E879" s="10" t="s">
        <v>124</v>
      </c>
      <c r="F879" s="10" t="s">
        <v>83</v>
      </c>
      <c r="G879" s="10" t="s">
        <v>84</v>
      </c>
      <c r="H879" s="11">
        <v>5854</v>
      </c>
      <c r="I879" s="11">
        <v>234</v>
      </c>
      <c r="J879" s="11">
        <v>234</v>
      </c>
      <c r="K879" s="11">
        <v>3856</v>
      </c>
      <c r="L879" s="11">
        <v>3.9972668261018099E-2</v>
      </c>
      <c r="M879" s="11">
        <f t="shared" si="3"/>
        <v>3.9972668261018107</v>
      </c>
      <c r="N879" s="11">
        <v>1</v>
      </c>
      <c r="O879" s="11">
        <v>0.65869490946361497</v>
      </c>
      <c r="P879" s="11">
        <v>0.42483108108108097</v>
      </c>
      <c r="Q879" s="11">
        <v>0.60714285714285698</v>
      </c>
      <c r="R879" s="11">
        <v>0.32662192393736</v>
      </c>
      <c r="S879" s="10" t="s">
        <v>84</v>
      </c>
      <c r="T879" s="10" t="s">
        <v>84</v>
      </c>
      <c r="U879" s="10"/>
      <c r="V879" s="10"/>
      <c r="W879" s="10"/>
      <c r="X879" s="10"/>
      <c r="Y879" s="10"/>
      <c r="Z879" s="10"/>
      <c r="AA879" s="10"/>
    </row>
    <row r="880" spans="1:27" ht="12.5" x14ac:dyDescent="0.25">
      <c r="A880" s="10" t="s">
        <v>34</v>
      </c>
      <c r="B880" s="10" t="s">
        <v>998</v>
      </c>
      <c r="C880" s="10" t="s">
        <v>76</v>
      </c>
      <c r="D880" s="11">
        <v>2024</v>
      </c>
      <c r="E880" s="10" t="s">
        <v>124</v>
      </c>
      <c r="F880" s="10" t="s">
        <v>83</v>
      </c>
      <c r="G880" s="10" t="s">
        <v>84</v>
      </c>
      <c r="H880" s="11">
        <v>10713</v>
      </c>
      <c r="I880" s="11">
        <v>428</v>
      </c>
      <c r="J880" s="11">
        <v>424</v>
      </c>
      <c r="K880" s="11">
        <v>6656</v>
      </c>
      <c r="L880" s="11">
        <v>3.9949907048016098E-2</v>
      </c>
      <c r="M880" s="11">
        <f t="shared" si="3"/>
        <v>3.9951460841967705</v>
      </c>
      <c r="N880" s="11">
        <v>0.99065420560747697</v>
      </c>
      <c r="O880" s="11">
        <v>0.62127705913924103</v>
      </c>
      <c r="P880" s="11">
        <v>0.42398648648648701</v>
      </c>
      <c r="Q880" s="11">
        <v>0.69387755102040805</v>
      </c>
      <c r="R880" s="11">
        <v>0.32438478747203597</v>
      </c>
      <c r="S880" s="10" t="s">
        <v>84</v>
      </c>
      <c r="T880" s="10" t="s">
        <v>84</v>
      </c>
      <c r="U880" s="10"/>
      <c r="V880" s="10"/>
      <c r="W880" s="10"/>
      <c r="X880" s="10"/>
      <c r="Y880" s="10"/>
      <c r="Z880" s="10"/>
      <c r="AA880" s="10"/>
    </row>
    <row r="881" spans="1:27" ht="12.5" x14ac:dyDescent="0.25">
      <c r="A881" s="10" t="s">
        <v>58</v>
      </c>
      <c r="B881" s="10" t="s">
        <v>1000</v>
      </c>
      <c r="C881" s="10" t="s">
        <v>76</v>
      </c>
      <c r="D881" s="11">
        <v>2024</v>
      </c>
      <c r="E881" s="10" t="s">
        <v>124</v>
      </c>
      <c r="F881" s="10" t="s">
        <v>125</v>
      </c>
      <c r="G881" s="10" t="s">
        <v>84</v>
      </c>
      <c r="H881" s="11">
        <v>376</v>
      </c>
      <c r="I881" s="11">
        <v>15</v>
      </c>
      <c r="J881" s="11">
        <v>14</v>
      </c>
      <c r="K881" s="11">
        <v>346</v>
      </c>
      <c r="L881" s="11">
        <v>3.9911308203991101E-2</v>
      </c>
      <c r="M881" s="11">
        <f t="shared" si="3"/>
        <v>3.9893617021276597</v>
      </c>
      <c r="N881" s="11">
        <v>0.93333333333333302</v>
      </c>
      <c r="O881" s="11">
        <v>0.920620842572062</v>
      </c>
      <c r="P881" s="11">
        <v>0.423141891891892</v>
      </c>
      <c r="Q881" s="11">
        <v>8.1081081081081099E-2</v>
      </c>
      <c r="R881" s="11">
        <v>0.322147651006711</v>
      </c>
      <c r="S881" s="10" t="s">
        <v>84</v>
      </c>
      <c r="T881" s="10" t="s">
        <v>84</v>
      </c>
      <c r="U881" s="10"/>
      <c r="V881" s="10"/>
      <c r="W881" s="10"/>
      <c r="X881" s="10"/>
      <c r="Y881" s="10"/>
      <c r="Z881" s="10"/>
      <c r="AA881" s="10"/>
    </row>
    <row r="882" spans="1:27" ht="12.5" x14ac:dyDescent="0.25">
      <c r="A882" s="10" t="s">
        <v>26</v>
      </c>
      <c r="B882" s="10" t="s">
        <v>861</v>
      </c>
      <c r="C882" s="10" t="s">
        <v>76</v>
      </c>
      <c r="D882" s="11">
        <v>2024</v>
      </c>
      <c r="E882" s="10" t="s">
        <v>81</v>
      </c>
      <c r="F882" s="10" t="s">
        <v>83</v>
      </c>
      <c r="G882" s="10" t="s">
        <v>84</v>
      </c>
      <c r="H882" s="11">
        <v>4968</v>
      </c>
      <c r="I882" s="11">
        <v>198</v>
      </c>
      <c r="J882" s="11">
        <v>126</v>
      </c>
      <c r="K882" s="11">
        <v>12301</v>
      </c>
      <c r="L882" s="11">
        <v>3.9859084046301001E-2</v>
      </c>
      <c r="M882" s="11">
        <f t="shared" si="3"/>
        <v>3.9855072463768111</v>
      </c>
      <c r="N882" s="11">
        <v>0.63636363636363602</v>
      </c>
      <c r="O882" s="11">
        <v>2.4762959235027702</v>
      </c>
      <c r="P882" s="11">
        <v>0.42145270270270302</v>
      </c>
      <c r="Q882" s="11">
        <v>7.69230769230769E-2</v>
      </c>
      <c r="R882" s="11">
        <v>0.47286821705426402</v>
      </c>
      <c r="S882" s="10" t="s">
        <v>84</v>
      </c>
      <c r="T882" s="10" t="s">
        <v>84</v>
      </c>
      <c r="U882" s="10"/>
      <c r="V882" s="10"/>
      <c r="W882" s="10"/>
      <c r="X882" s="10"/>
      <c r="Y882" s="10"/>
      <c r="Z882" s="10"/>
      <c r="AA882" s="10"/>
    </row>
    <row r="883" spans="1:27" ht="12.5" hidden="1" x14ac:dyDescent="0.25">
      <c r="A883" s="10" t="s">
        <v>118</v>
      </c>
      <c r="B883" s="10" t="s">
        <v>1543</v>
      </c>
      <c r="C883" s="10" t="s">
        <v>191</v>
      </c>
      <c r="D883" s="11">
        <v>2024</v>
      </c>
      <c r="E883" s="10" t="s">
        <v>124</v>
      </c>
      <c r="F883" s="10" t="s">
        <v>125</v>
      </c>
      <c r="G883" s="10" t="s">
        <v>84</v>
      </c>
      <c r="H883" s="12">
        <v>557.25</v>
      </c>
      <c r="I883" s="11">
        <v>22</v>
      </c>
      <c r="J883" s="11">
        <v>24</v>
      </c>
      <c r="K883" s="11">
        <v>304</v>
      </c>
      <c r="L883" s="11">
        <v>3.9479587258860499E-2</v>
      </c>
      <c r="M883" s="11">
        <f t="shared" si="3"/>
        <v>3.947958725886048</v>
      </c>
      <c r="N883" s="11">
        <v>1.0909090909090899</v>
      </c>
      <c r="O883" s="11">
        <v>0.54553611484970799</v>
      </c>
      <c r="P883" s="11">
        <v>0.59191176470588203</v>
      </c>
      <c r="Q883" s="11">
        <v>1</v>
      </c>
      <c r="R883" s="11">
        <v>0.49418604651162801</v>
      </c>
      <c r="S883" s="10" t="s">
        <v>84</v>
      </c>
      <c r="T883" s="10" t="s">
        <v>84</v>
      </c>
      <c r="U883" s="10"/>
      <c r="V883" s="10"/>
      <c r="W883" s="10"/>
      <c r="X883" s="10"/>
      <c r="Y883" s="10"/>
      <c r="Z883" s="10"/>
      <c r="AA883" s="10"/>
    </row>
    <row r="884" spans="1:27" ht="12.5" hidden="1" x14ac:dyDescent="0.25">
      <c r="A884" s="10" t="s">
        <v>29</v>
      </c>
      <c r="B884" s="10" t="s">
        <v>1544</v>
      </c>
      <c r="C884" s="10" t="s">
        <v>191</v>
      </c>
      <c r="D884" s="11">
        <v>2024</v>
      </c>
      <c r="E884" s="10" t="s">
        <v>257</v>
      </c>
      <c r="F884" s="10" t="s">
        <v>125</v>
      </c>
      <c r="G884" s="10" t="s">
        <v>84</v>
      </c>
      <c r="H884" s="12">
        <v>1017</v>
      </c>
      <c r="I884" s="11">
        <v>40</v>
      </c>
      <c r="J884" s="11">
        <v>31</v>
      </c>
      <c r="K884" s="11">
        <v>621</v>
      </c>
      <c r="L884" s="11">
        <v>3.9334589854953701E-2</v>
      </c>
      <c r="M884" s="11">
        <f t="shared" si="3"/>
        <v>3.9331366764995082</v>
      </c>
      <c r="N884" s="11">
        <v>0.77500000000000002</v>
      </c>
      <c r="O884" s="11">
        <v>0.61066950749815596</v>
      </c>
      <c r="P884" s="11">
        <v>0.58946078431372595</v>
      </c>
      <c r="Q884" s="11">
        <v>0.49295774647887303</v>
      </c>
      <c r="R884" s="11">
        <v>0.5</v>
      </c>
      <c r="S884" s="10" t="s">
        <v>84</v>
      </c>
      <c r="T884" s="10" t="s">
        <v>84</v>
      </c>
      <c r="U884" s="10"/>
      <c r="V884" s="10"/>
      <c r="W884" s="10"/>
      <c r="X884" s="10"/>
      <c r="Y884" s="10"/>
      <c r="Z884" s="10"/>
      <c r="AA884" s="10"/>
    </row>
    <row r="885" spans="1:27" ht="12.5" x14ac:dyDescent="0.25">
      <c r="A885" s="10" t="s">
        <v>62</v>
      </c>
      <c r="B885" s="10" t="s">
        <v>1001</v>
      </c>
      <c r="C885" s="10" t="s">
        <v>76</v>
      </c>
      <c r="D885" s="11">
        <v>2024</v>
      </c>
      <c r="E885" s="10" t="s">
        <v>124</v>
      </c>
      <c r="F885" s="10" t="s">
        <v>83</v>
      </c>
      <c r="G885" s="10" t="s">
        <v>84</v>
      </c>
      <c r="H885" s="11">
        <v>5869</v>
      </c>
      <c r="I885" s="11">
        <v>230</v>
      </c>
      <c r="J885" s="11">
        <v>169</v>
      </c>
      <c r="K885" s="11">
        <v>3030</v>
      </c>
      <c r="L885" s="11">
        <v>3.91861769341076E-2</v>
      </c>
      <c r="M885" s="11">
        <f t="shared" si="3"/>
        <v>3.9188958936786507</v>
      </c>
      <c r="N885" s="11">
        <v>0.73478260869565204</v>
      </c>
      <c r="O885" s="11">
        <v>0.51623528743628699</v>
      </c>
      <c r="P885" s="11">
        <v>0.420608108108108</v>
      </c>
      <c r="Q885" s="11">
        <v>0.5</v>
      </c>
      <c r="R885" s="11">
        <v>0.31991051454138703</v>
      </c>
      <c r="S885" s="10" t="s">
        <v>84</v>
      </c>
      <c r="T885" s="10" t="s">
        <v>84</v>
      </c>
      <c r="U885" s="10"/>
      <c r="V885" s="10"/>
      <c r="W885" s="10"/>
      <c r="X885" s="10"/>
      <c r="Y885" s="10"/>
      <c r="Z885" s="10"/>
      <c r="AA885" s="10"/>
    </row>
    <row r="886" spans="1:27" ht="12.5" hidden="1" x14ac:dyDescent="0.25">
      <c r="A886" s="10" t="s">
        <v>77</v>
      </c>
      <c r="B886" s="10" t="s">
        <v>1545</v>
      </c>
      <c r="C886" s="10" t="s">
        <v>191</v>
      </c>
      <c r="D886" s="11">
        <v>2024</v>
      </c>
      <c r="E886" s="10" t="s">
        <v>124</v>
      </c>
      <c r="F886" s="10" t="s">
        <v>125</v>
      </c>
      <c r="G886" s="10" t="s">
        <v>84</v>
      </c>
      <c r="H886" s="12">
        <v>332.66666666666703</v>
      </c>
      <c r="I886" s="11">
        <v>13</v>
      </c>
      <c r="J886" s="11">
        <v>11</v>
      </c>
      <c r="K886" s="11">
        <v>7</v>
      </c>
      <c r="L886" s="11">
        <v>3.9078156312625199E-2</v>
      </c>
      <c r="M886" s="11">
        <f t="shared" si="3"/>
        <v>3.9078156312625207</v>
      </c>
      <c r="N886" s="11">
        <v>0.84615384615384603</v>
      </c>
      <c r="O886" s="11">
        <v>2.1042084168336701E-2</v>
      </c>
      <c r="P886" s="11">
        <v>0.58700980392156898</v>
      </c>
      <c r="Q886" s="11">
        <v>0.78260869565217395</v>
      </c>
      <c r="R886" s="11">
        <v>0.49224806201550397</v>
      </c>
      <c r="S886" s="10" t="s">
        <v>84</v>
      </c>
      <c r="T886" s="10" t="s">
        <v>84</v>
      </c>
      <c r="U886" s="10"/>
      <c r="V886" s="10"/>
      <c r="W886" s="10"/>
      <c r="X886" s="10"/>
      <c r="Y886" s="10"/>
      <c r="Z886" s="10"/>
      <c r="AA886" s="10"/>
    </row>
    <row r="887" spans="1:27" ht="12.5" hidden="1" x14ac:dyDescent="0.25">
      <c r="A887" s="10" t="s">
        <v>12</v>
      </c>
      <c r="B887" s="10" t="s">
        <v>1546</v>
      </c>
      <c r="C887" s="10" t="s">
        <v>191</v>
      </c>
      <c r="D887" s="11">
        <v>2024</v>
      </c>
      <c r="E887" s="10" t="s">
        <v>124</v>
      </c>
      <c r="F887" s="10" t="s">
        <v>125</v>
      </c>
      <c r="G887" s="10" t="s">
        <v>84</v>
      </c>
      <c r="H887" s="12">
        <v>76.9166666666667</v>
      </c>
      <c r="I887" s="11">
        <v>3</v>
      </c>
      <c r="J887" s="11">
        <v>0</v>
      </c>
      <c r="K887" s="11">
        <v>207</v>
      </c>
      <c r="L887" s="11">
        <v>3.9003250270855903E-2</v>
      </c>
      <c r="M887" s="11">
        <f t="shared" si="3"/>
        <v>3.9003250270855889</v>
      </c>
      <c r="N887" s="11">
        <v>0</v>
      </c>
      <c r="O887" s="11">
        <v>2.69122426868906</v>
      </c>
      <c r="P887" s="11">
        <v>0.58578431372549</v>
      </c>
      <c r="Q887" s="11">
        <v>0.46031746031746001</v>
      </c>
      <c r="R887" s="11">
        <v>0.49031007751937999</v>
      </c>
      <c r="S887" s="10" t="s">
        <v>84</v>
      </c>
      <c r="T887" s="10" t="s">
        <v>84</v>
      </c>
      <c r="U887" s="10"/>
      <c r="V887" s="10"/>
      <c r="W887" s="10"/>
      <c r="X887" s="10"/>
      <c r="Y887" s="10"/>
      <c r="Z887" s="10"/>
      <c r="AA887" s="10"/>
    </row>
    <row r="888" spans="1:27" ht="12.5" hidden="1" x14ac:dyDescent="0.25">
      <c r="A888" s="10" t="s">
        <v>14</v>
      </c>
      <c r="B888" s="10" t="s">
        <v>1547</v>
      </c>
      <c r="C888" s="10" t="s">
        <v>191</v>
      </c>
      <c r="D888" s="11">
        <v>2024</v>
      </c>
      <c r="E888" s="10" t="s">
        <v>124</v>
      </c>
      <c r="F888" s="10" t="s">
        <v>125</v>
      </c>
      <c r="G888" s="10" t="s">
        <v>84</v>
      </c>
      <c r="H888" s="12">
        <v>2907</v>
      </c>
      <c r="I888" s="11">
        <v>113</v>
      </c>
      <c r="J888" s="11">
        <v>89</v>
      </c>
      <c r="K888" s="11">
        <v>1414</v>
      </c>
      <c r="L888" s="11">
        <v>3.8870574745592697E-2</v>
      </c>
      <c r="M888" s="11">
        <f t="shared" si="3"/>
        <v>3.8871689026487783</v>
      </c>
      <c r="N888" s="11">
        <v>0.787610619469027</v>
      </c>
      <c r="O888" s="11">
        <v>0.48639816540060199</v>
      </c>
      <c r="P888" s="11">
        <v>0.58455882352941202</v>
      </c>
      <c r="Q888" s="11">
        <v>0.36170212765957399</v>
      </c>
      <c r="R888" s="11">
        <v>0.48837209302325602</v>
      </c>
      <c r="S888" s="10" t="s">
        <v>84</v>
      </c>
      <c r="T888" s="10" t="s">
        <v>84</v>
      </c>
      <c r="U888" s="10"/>
      <c r="V888" s="10"/>
      <c r="W888" s="10"/>
      <c r="X888" s="10"/>
      <c r="Y888" s="10"/>
      <c r="Z888" s="10"/>
      <c r="AA888" s="10"/>
    </row>
    <row r="889" spans="1:27" ht="12.5" x14ac:dyDescent="0.25">
      <c r="A889" s="10" t="s">
        <v>67</v>
      </c>
      <c r="B889" s="10" t="s">
        <v>1004</v>
      </c>
      <c r="C889" s="10" t="s">
        <v>76</v>
      </c>
      <c r="D889" s="11">
        <v>2024</v>
      </c>
      <c r="E889" s="10" t="s">
        <v>124</v>
      </c>
      <c r="F889" s="10" t="s">
        <v>83</v>
      </c>
      <c r="G889" s="10" t="s">
        <v>84</v>
      </c>
      <c r="H889" s="11">
        <v>118000</v>
      </c>
      <c r="I889" s="11">
        <v>4567</v>
      </c>
      <c r="J889" s="11">
        <v>2324</v>
      </c>
      <c r="K889" s="11">
        <v>39161</v>
      </c>
      <c r="L889" s="11">
        <v>3.87033898305085E-2</v>
      </c>
      <c r="M889" s="11">
        <f t="shared" si="3"/>
        <v>3.8703389830508472</v>
      </c>
      <c r="N889" s="11">
        <v>0.50886796584190896</v>
      </c>
      <c r="O889" s="11">
        <v>0.33187288135593201</v>
      </c>
      <c r="P889" s="11">
        <v>0.41638513513513498</v>
      </c>
      <c r="Q889" s="11">
        <v>0.42857142857142899</v>
      </c>
      <c r="R889" s="11">
        <v>0.317673378076063</v>
      </c>
      <c r="S889" s="10" t="s">
        <v>84</v>
      </c>
      <c r="T889" s="10" t="s">
        <v>84</v>
      </c>
      <c r="U889" s="10"/>
      <c r="V889" s="10"/>
      <c r="W889" s="10"/>
      <c r="X889" s="10"/>
      <c r="Y889" s="10"/>
      <c r="Z889" s="10"/>
      <c r="AA889" s="10"/>
    </row>
    <row r="890" spans="1:27" ht="12.5" hidden="1" x14ac:dyDescent="0.25">
      <c r="A890" s="10" t="s">
        <v>6</v>
      </c>
      <c r="B890" s="10" t="s">
        <v>1548</v>
      </c>
      <c r="C890" s="10" t="s">
        <v>191</v>
      </c>
      <c r="D890" s="11">
        <v>2024</v>
      </c>
      <c r="E890" s="10" t="s">
        <v>257</v>
      </c>
      <c r="F890" s="10" t="s">
        <v>125</v>
      </c>
      <c r="G890" s="10" t="s">
        <v>84</v>
      </c>
      <c r="H890" s="12">
        <v>221912</v>
      </c>
      <c r="I890" s="11">
        <v>8552</v>
      </c>
      <c r="J890" s="11">
        <v>9645</v>
      </c>
      <c r="K890" s="11">
        <v>125383</v>
      </c>
      <c r="L890" s="11">
        <v>3.85377264078283E-2</v>
      </c>
      <c r="M890" s="11">
        <f t="shared" si="3"/>
        <v>3.8537798767078844</v>
      </c>
      <c r="N890" s="11">
        <v>1.1278063610851301</v>
      </c>
      <c r="O890" s="11">
        <v>0.56501119623395002</v>
      </c>
      <c r="P890" s="11">
        <v>0.58333333333333304</v>
      </c>
      <c r="Q890" s="11">
        <v>0.9</v>
      </c>
      <c r="R890" s="11">
        <v>0.47222222222222199</v>
      </c>
      <c r="S890" s="10" t="s">
        <v>84</v>
      </c>
      <c r="T890" s="10" t="s">
        <v>84</v>
      </c>
      <c r="U890" s="10"/>
      <c r="V890" s="10"/>
      <c r="W890" s="10"/>
      <c r="X890" s="10"/>
      <c r="Y890" s="10"/>
      <c r="Z890" s="10"/>
      <c r="AA890" s="10"/>
    </row>
    <row r="891" spans="1:27" ht="12.5" x14ac:dyDescent="0.25">
      <c r="A891" s="10" t="s">
        <v>34</v>
      </c>
      <c r="B891" s="10" t="s">
        <v>864</v>
      </c>
      <c r="C891" s="10" t="s">
        <v>76</v>
      </c>
      <c r="D891" s="11">
        <v>2024</v>
      </c>
      <c r="E891" s="10" t="s">
        <v>81</v>
      </c>
      <c r="F891" s="10" t="s">
        <v>83</v>
      </c>
      <c r="G891" s="10" t="s">
        <v>84</v>
      </c>
      <c r="H891" s="11">
        <v>146641</v>
      </c>
      <c r="I891" s="11">
        <v>5645</v>
      </c>
      <c r="J891" s="11">
        <v>5622</v>
      </c>
      <c r="K891" s="11">
        <v>108935</v>
      </c>
      <c r="L891" s="11">
        <v>3.8495482435228497E-2</v>
      </c>
      <c r="M891" s="11">
        <f t="shared" si="3"/>
        <v>3.8495373053920798</v>
      </c>
      <c r="N891" s="11">
        <v>0.99592559787422497</v>
      </c>
      <c r="O891" s="11">
        <v>0.742870749173006</v>
      </c>
      <c r="P891" s="11">
        <v>0.414695945945946</v>
      </c>
      <c r="Q891" s="11">
        <v>0.67346938775510201</v>
      </c>
      <c r="R891" s="11">
        <v>0.47093023255813998</v>
      </c>
      <c r="S891" s="10" t="s">
        <v>84</v>
      </c>
      <c r="T891" s="10" t="s">
        <v>84</v>
      </c>
      <c r="U891" s="10"/>
      <c r="V891" s="10"/>
      <c r="W891" s="10"/>
      <c r="X891" s="10"/>
      <c r="Y891" s="10"/>
      <c r="Z891" s="10"/>
      <c r="AA891" s="10"/>
    </row>
    <row r="892" spans="1:27" ht="12.5" x14ac:dyDescent="0.25">
      <c r="A892" s="10" t="s">
        <v>13</v>
      </c>
      <c r="B892" s="10" t="s">
        <v>865</v>
      </c>
      <c r="C892" s="10" t="s">
        <v>76</v>
      </c>
      <c r="D892" s="11">
        <v>2024</v>
      </c>
      <c r="E892" s="10" t="s">
        <v>81</v>
      </c>
      <c r="F892" s="10" t="s">
        <v>83</v>
      </c>
      <c r="G892" s="10" t="s">
        <v>84</v>
      </c>
      <c r="H892" s="11">
        <v>8476</v>
      </c>
      <c r="I892" s="11">
        <v>326</v>
      </c>
      <c r="J892" s="11">
        <v>200</v>
      </c>
      <c r="K892" s="11">
        <v>21291</v>
      </c>
      <c r="L892" s="11">
        <v>3.8461916606856703E-2</v>
      </c>
      <c r="M892" s="11">
        <f t="shared" si="3"/>
        <v>3.8461538461538463</v>
      </c>
      <c r="N892" s="11">
        <v>0.61349693251533699</v>
      </c>
      <c r="O892" s="11">
        <v>2.5119406947134499</v>
      </c>
      <c r="P892" s="11">
        <v>0.41385135135135098</v>
      </c>
      <c r="Q892" s="11">
        <v>0.19047619047618999</v>
      </c>
      <c r="R892" s="11">
        <v>0.468992248062016</v>
      </c>
      <c r="S892" s="10" t="s">
        <v>84</v>
      </c>
      <c r="T892" s="10" t="s">
        <v>84</v>
      </c>
      <c r="U892" s="10"/>
      <c r="V892" s="10"/>
      <c r="W892" s="10"/>
      <c r="X892" s="10"/>
      <c r="Y892" s="10"/>
      <c r="Z892" s="10"/>
      <c r="AA892" s="10"/>
    </row>
    <row r="893" spans="1:27" ht="12.5" x14ac:dyDescent="0.25">
      <c r="A893" s="10" t="s">
        <v>82</v>
      </c>
      <c r="B893" s="10" t="s">
        <v>1006</v>
      </c>
      <c r="C893" s="10" t="s">
        <v>76</v>
      </c>
      <c r="D893" s="11">
        <v>2024</v>
      </c>
      <c r="E893" s="10" t="s">
        <v>124</v>
      </c>
      <c r="F893" s="10" t="s">
        <v>83</v>
      </c>
      <c r="G893" s="10" t="s">
        <v>84</v>
      </c>
      <c r="H893" s="11">
        <v>964</v>
      </c>
      <c r="I893" s="11">
        <v>37</v>
      </c>
      <c r="J893" s="11">
        <v>37</v>
      </c>
      <c r="K893" s="11">
        <v>599</v>
      </c>
      <c r="L893" s="11">
        <v>3.83817427385892E-2</v>
      </c>
      <c r="M893" s="11">
        <f t="shared" si="3"/>
        <v>3.8381742738589213</v>
      </c>
      <c r="N893" s="11">
        <v>1</v>
      </c>
      <c r="O893" s="11">
        <v>0.62136929460580903</v>
      </c>
      <c r="P893" s="11">
        <v>0.41300675675675702</v>
      </c>
      <c r="Q893" s="11">
        <v>0.67241379310344795</v>
      </c>
      <c r="R893" s="11">
        <v>0.31543624161073802</v>
      </c>
      <c r="S893" s="10" t="s">
        <v>84</v>
      </c>
      <c r="T893" s="10" t="s">
        <v>84</v>
      </c>
      <c r="U893" s="10"/>
      <c r="V893" s="10"/>
      <c r="W893" s="10"/>
      <c r="X893" s="10"/>
      <c r="Y893" s="10"/>
      <c r="Z893" s="10"/>
      <c r="AA893" s="10"/>
    </row>
    <row r="894" spans="1:27" ht="12.5" hidden="1" x14ac:dyDescent="0.25">
      <c r="A894" s="10" t="s">
        <v>13</v>
      </c>
      <c r="B894" s="10" t="s">
        <v>1549</v>
      </c>
      <c r="C894" s="10" t="s">
        <v>191</v>
      </c>
      <c r="D894" s="11">
        <v>2024</v>
      </c>
      <c r="E894" s="10" t="s">
        <v>124</v>
      </c>
      <c r="F894" s="10" t="s">
        <v>125</v>
      </c>
      <c r="G894" s="10" t="s">
        <v>84</v>
      </c>
      <c r="H894" s="12">
        <v>156.416666666667</v>
      </c>
      <c r="I894" s="11">
        <v>6</v>
      </c>
      <c r="J894" s="11">
        <v>2</v>
      </c>
      <c r="K894" s="11">
        <v>0</v>
      </c>
      <c r="L894" s="11">
        <v>3.8359083644112897E-2</v>
      </c>
      <c r="M894" s="11">
        <f t="shared" si="3"/>
        <v>3.8359083644112864</v>
      </c>
      <c r="N894" s="11">
        <v>0.33333333333333298</v>
      </c>
      <c r="O894" s="11">
        <v>0</v>
      </c>
      <c r="P894" s="11">
        <v>0.58088235294117696</v>
      </c>
      <c r="Q894" s="11">
        <v>0.29310344827586199</v>
      </c>
      <c r="R894" s="11">
        <v>0.48643410852713198</v>
      </c>
      <c r="S894" s="10" t="s">
        <v>84</v>
      </c>
      <c r="T894" s="10" t="s">
        <v>84</v>
      </c>
      <c r="U894" s="10"/>
      <c r="V894" s="10"/>
      <c r="W894" s="10"/>
      <c r="X894" s="10"/>
      <c r="Y894" s="10"/>
      <c r="Z894" s="10"/>
      <c r="AA894" s="10"/>
    </row>
    <row r="895" spans="1:27" ht="12.5" x14ac:dyDescent="0.25">
      <c r="A895" s="10" t="s">
        <v>62</v>
      </c>
      <c r="B895" s="10" t="s">
        <v>1008</v>
      </c>
      <c r="C895" s="10" t="s">
        <v>76</v>
      </c>
      <c r="D895" s="11">
        <v>2024</v>
      </c>
      <c r="E895" s="10" t="s">
        <v>124</v>
      </c>
      <c r="F895" s="10" t="s">
        <v>83</v>
      </c>
      <c r="G895" s="10" t="s">
        <v>84</v>
      </c>
      <c r="H895" s="11">
        <v>17924</v>
      </c>
      <c r="I895" s="11">
        <v>687</v>
      </c>
      <c r="J895" s="11">
        <v>682</v>
      </c>
      <c r="K895" s="11">
        <v>7956</v>
      </c>
      <c r="L895" s="11">
        <v>3.8327785319770102E-2</v>
      </c>
      <c r="M895" s="11">
        <f t="shared" si="3"/>
        <v>3.8328498103101989</v>
      </c>
      <c r="N895" s="11">
        <v>0.99272197962154296</v>
      </c>
      <c r="O895" s="11">
        <v>0.44386588064642102</v>
      </c>
      <c r="P895" s="11">
        <v>0.412162162162162</v>
      </c>
      <c r="Q895" s="11">
        <v>0.47222222222222199</v>
      </c>
      <c r="R895" s="11">
        <v>0.31319910514541399</v>
      </c>
      <c r="S895" s="10" t="s">
        <v>84</v>
      </c>
      <c r="T895" s="10" t="s">
        <v>84</v>
      </c>
      <c r="U895" s="10"/>
      <c r="V895" s="10"/>
      <c r="W895" s="10"/>
      <c r="X895" s="10"/>
      <c r="Y895" s="10"/>
      <c r="Z895" s="10"/>
      <c r="AA895" s="10"/>
    </row>
    <row r="896" spans="1:27" ht="12.5" x14ac:dyDescent="0.25">
      <c r="A896" s="10" t="s">
        <v>77</v>
      </c>
      <c r="B896" s="10" t="s">
        <v>1010</v>
      </c>
      <c r="C896" s="10" t="s">
        <v>76</v>
      </c>
      <c r="D896" s="11">
        <v>2024</v>
      </c>
      <c r="E896" s="10" t="s">
        <v>124</v>
      </c>
      <c r="F896" s="10" t="s">
        <v>83</v>
      </c>
      <c r="G896" s="10" t="s">
        <v>84</v>
      </c>
      <c r="H896" s="11">
        <v>4844</v>
      </c>
      <c r="I896" s="11">
        <v>185</v>
      </c>
      <c r="J896" s="11">
        <v>183</v>
      </c>
      <c r="K896" s="11">
        <v>8984</v>
      </c>
      <c r="L896" s="11">
        <v>3.8188949287827699E-2</v>
      </c>
      <c r="M896" s="11">
        <f t="shared" si="3"/>
        <v>3.819157720891825</v>
      </c>
      <c r="N896" s="11">
        <v>0.98918918918918897</v>
      </c>
      <c r="O896" s="11">
        <v>1.8545379481180799</v>
      </c>
      <c r="P896" s="11">
        <v>0.41131756756756799</v>
      </c>
      <c r="Q896" s="11">
        <v>0.53571428571428603</v>
      </c>
      <c r="R896" s="11">
        <v>0.31096196868008902</v>
      </c>
      <c r="S896" s="10" t="s">
        <v>84</v>
      </c>
      <c r="T896" s="10" t="s">
        <v>84</v>
      </c>
      <c r="U896" s="10"/>
      <c r="V896" s="10"/>
      <c r="W896" s="10"/>
      <c r="X896" s="10"/>
      <c r="Y896" s="10"/>
      <c r="Z896" s="10"/>
      <c r="AA896" s="10"/>
    </row>
    <row r="897" spans="1:27" ht="12.5" x14ac:dyDescent="0.25">
      <c r="A897" s="10" t="s">
        <v>96</v>
      </c>
      <c r="B897" s="10" t="s">
        <v>867</v>
      </c>
      <c r="C897" s="10" t="s">
        <v>76</v>
      </c>
      <c r="D897" s="11">
        <v>2024</v>
      </c>
      <c r="E897" s="10" t="s">
        <v>81</v>
      </c>
      <c r="F897" s="10" t="s">
        <v>83</v>
      </c>
      <c r="G897" s="10" t="s">
        <v>84</v>
      </c>
      <c r="H897" s="11">
        <v>21453</v>
      </c>
      <c r="I897" s="11">
        <v>819</v>
      </c>
      <c r="J897" s="11">
        <v>706</v>
      </c>
      <c r="K897" s="11">
        <v>13736</v>
      </c>
      <c r="L897" s="11">
        <v>3.8176923704420197E-2</v>
      </c>
      <c r="M897" s="11">
        <f t="shared" si="3"/>
        <v>3.8176478814151862</v>
      </c>
      <c r="N897" s="11">
        <v>0.86202686202686196</v>
      </c>
      <c r="O897" s="11">
        <v>0.64029087179965305</v>
      </c>
      <c r="P897" s="11">
        <v>0.41047297297297303</v>
      </c>
      <c r="Q897" s="11">
        <v>0.64705882352941202</v>
      </c>
      <c r="R897" s="11">
        <v>0.46705426356589103</v>
      </c>
      <c r="S897" s="10" t="s">
        <v>84</v>
      </c>
      <c r="T897" s="10" t="s">
        <v>84</v>
      </c>
      <c r="U897" s="10"/>
      <c r="V897" s="10"/>
      <c r="W897" s="10"/>
      <c r="X897" s="10"/>
      <c r="Y897" s="10"/>
      <c r="Z897" s="10"/>
      <c r="AA897" s="10"/>
    </row>
    <row r="898" spans="1:27" ht="12.5" x14ac:dyDescent="0.25">
      <c r="A898" s="10" t="s">
        <v>82</v>
      </c>
      <c r="B898" s="10" t="s">
        <v>1012</v>
      </c>
      <c r="C898" s="10" t="s">
        <v>76</v>
      </c>
      <c r="D898" s="11">
        <v>2024</v>
      </c>
      <c r="E898" s="10" t="s">
        <v>124</v>
      </c>
      <c r="F898" s="10" t="s">
        <v>83</v>
      </c>
      <c r="G898" s="10" t="s">
        <v>84</v>
      </c>
      <c r="H898" s="11">
        <v>9614</v>
      </c>
      <c r="I898" s="11">
        <v>367</v>
      </c>
      <c r="J898" s="11">
        <v>366</v>
      </c>
      <c r="K898" s="11">
        <v>3065</v>
      </c>
      <c r="L898" s="11">
        <v>3.8175151478376898E-2</v>
      </c>
      <c r="M898" s="11">
        <f t="shared" si="3"/>
        <v>3.8173496983565633</v>
      </c>
      <c r="N898" s="11">
        <v>0.99727520435967298</v>
      </c>
      <c r="O898" s="11">
        <v>0.31881972556192201</v>
      </c>
      <c r="P898" s="11">
        <v>0.40962837837837801</v>
      </c>
      <c r="Q898" s="11">
        <v>0.65517241379310298</v>
      </c>
      <c r="R898" s="11">
        <v>0.30872483221476499</v>
      </c>
      <c r="S898" s="10" t="s">
        <v>84</v>
      </c>
      <c r="T898" s="10" t="s">
        <v>84</v>
      </c>
      <c r="U898" s="10"/>
      <c r="V898" s="10"/>
      <c r="W898" s="10"/>
      <c r="X898" s="10"/>
      <c r="Y898" s="10"/>
      <c r="Z898" s="10"/>
      <c r="AA898" s="10"/>
    </row>
    <row r="899" spans="1:27" ht="12.5" x14ac:dyDescent="0.25">
      <c r="A899" s="10" t="s">
        <v>13</v>
      </c>
      <c r="B899" s="10" t="s">
        <v>869</v>
      </c>
      <c r="C899" s="10" t="s">
        <v>76</v>
      </c>
      <c r="D899" s="11">
        <v>2024</v>
      </c>
      <c r="E899" s="10" t="s">
        <v>81</v>
      </c>
      <c r="F899" s="10" t="s">
        <v>83</v>
      </c>
      <c r="G899" s="10" t="s">
        <v>84</v>
      </c>
      <c r="H899" s="11">
        <v>17755</v>
      </c>
      <c r="I899" s="11">
        <v>677</v>
      </c>
      <c r="J899" s="11">
        <v>733</v>
      </c>
      <c r="K899" s="11">
        <v>994</v>
      </c>
      <c r="L899" s="11">
        <v>3.8130820066085903E-2</v>
      </c>
      <c r="M899" s="11">
        <f t="shared" si="3"/>
        <v>3.8130104196001122</v>
      </c>
      <c r="N899" s="11">
        <v>1.0827178729689799</v>
      </c>
      <c r="O899" s="11">
        <v>5.5985280865124699E-2</v>
      </c>
      <c r="P899" s="11">
        <v>0.40793918918918898</v>
      </c>
      <c r="Q899" s="11">
        <v>0.14285714285714299</v>
      </c>
      <c r="R899" s="11">
        <v>0.46511627906976699</v>
      </c>
      <c r="S899" s="10" t="s">
        <v>84</v>
      </c>
      <c r="T899" s="10" t="s">
        <v>84</v>
      </c>
      <c r="U899" s="10"/>
      <c r="V899" s="10"/>
      <c r="W899" s="10"/>
      <c r="X899" s="10"/>
      <c r="Y899" s="10"/>
      <c r="Z899" s="10"/>
      <c r="AA899" s="10"/>
    </row>
    <row r="900" spans="1:27" ht="12.5" hidden="1" x14ac:dyDescent="0.25">
      <c r="A900" s="10" t="s">
        <v>55</v>
      </c>
      <c r="B900" s="10" t="s">
        <v>1550</v>
      </c>
      <c r="C900" s="10" t="s">
        <v>191</v>
      </c>
      <c r="D900" s="11">
        <v>2024</v>
      </c>
      <c r="E900" s="10" t="s">
        <v>124</v>
      </c>
      <c r="F900" s="10" t="s">
        <v>125</v>
      </c>
      <c r="G900" s="10" t="s">
        <v>84</v>
      </c>
      <c r="H900" s="12">
        <v>1076</v>
      </c>
      <c r="I900" s="11">
        <v>41</v>
      </c>
      <c r="J900" s="11">
        <v>12</v>
      </c>
      <c r="K900" s="11">
        <v>1836</v>
      </c>
      <c r="L900" s="11">
        <v>3.8121803812180402E-2</v>
      </c>
      <c r="M900" s="11">
        <f t="shared" si="3"/>
        <v>3.8104089219330852</v>
      </c>
      <c r="N900" s="11">
        <v>0.292682926829268</v>
      </c>
      <c r="O900" s="11">
        <v>1.7071129707113</v>
      </c>
      <c r="P900" s="11">
        <v>0.57965686274509798</v>
      </c>
      <c r="Q900" s="11">
        <v>0.55555555555555602</v>
      </c>
      <c r="R900" s="11">
        <v>0.484496124031008</v>
      </c>
      <c r="S900" s="10" t="s">
        <v>84</v>
      </c>
      <c r="T900" s="10" t="s">
        <v>84</v>
      </c>
      <c r="U900" s="10"/>
      <c r="V900" s="10"/>
      <c r="W900" s="10"/>
      <c r="X900" s="10"/>
      <c r="Y900" s="10"/>
      <c r="Z900" s="10"/>
      <c r="AA900" s="10"/>
    </row>
    <row r="901" spans="1:27" ht="12.5" x14ac:dyDescent="0.25">
      <c r="A901" s="10" t="s">
        <v>104</v>
      </c>
      <c r="B901" s="10" t="s">
        <v>871</v>
      </c>
      <c r="C901" s="10" t="s">
        <v>76</v>
      </c>
      <c r="D901" s="11">
        <v>2024</v>
      </c>
      <c r="E901" s="10" t="s">
        <v>81</v>
      </c>
      <c r="F901" s="10" t="s">
        <v>83</v>
      </c>
      <c r="G901" s="10" t="s">
        <v>84</v>
      </c>
      <c r="H901" s="11">
        <v>49162</v>
      </c>
      <c r="I901" s="11">
        <v>1869</v>
      </c>
      <c r="J901" s="11">
        <v>1752</v>
      </c>
      <c r="K901" s="11">
        <v>4201</v>
      </c>
      <c r="L901" s="11">
        <v>3.80174899438755E-2</v>
      </c>
      <c r="M901" s="11">
        <f t="shared" si="3"/>
        <v>3.8017167731174486</v>
      </c>
      <c r="N901" s="11">
        <v>0.93739967897271304</v>
      </c>
      <c r="O901" s="11">
        <v>8.5452902757742699E-2</v>
      </c>
      <c r="P901" s="11">
        <v>0.40709459459459502</v>
      </c>
      <c r="Q901" s="11">
        <v>0.37931034482758602</v>
      </c>
      <c r="R901" s="11">
        <v>0.46317829457364301</v>
      </c>
      <c r="S901" s="10" t="s">
        <v>84</v>
      </c>
      <c r="T901" s="10" t="s">
        <v>84</v>
      </c>
      <c r="U901" s="10"/>
      <c r="V901" s="10"/>
      <c r="W901" s="10"/>
      <c r="X901" s="10"/>
      <c r="Y901" s="10"/>
      <c r="Z901" s="10"/>
      <c r="AA901" s="10"/>
    </row>
    <row r="902" spans="1:27" ht="12.5" x14ac:dyDescent="0.25">
      <c r="A902" s="10" t="s">
        <v>13</v>
      </c>
      <c r="B902" s="10" t="s">
        <v>1014</v>
      </c>
      <c r="C902" s="10" t="s">
        <v>76</v>
      </c>
      <c r="D902" s="11">
        <v>2024</v>
      </c>
      <c r="E902" s="10" t="s">
        <v>124</v>
      </c>
      <c r="F902" s="10" t="s">
        <v>125</v>
      </c>
      <c r="G902" s="10" t="s">
        <v>84</v>
      </c>
      <c r="H902" s="11">
        <v>1791</v>
      </c>
      <c r="I902" s="11">
        <v>68</v>
      </c>
      <c r="J902" s="11">
        <v>30</v>
      </c>
      <c r="K902" s="11">
        <v>301</v>
      </c>
      <c r="L902" s="11">
        <v>3.79782183747557E-2</v>
      </c>
      <c r="M902" s="11">
        <f t="shared" si="3"/>
        <v>3.7967615857063088</v>
      </c>
      <c r="N902" s="11">
        <v>0.441176470588235</v>
      </c>
      <c r="O902" s="11">
        <v>0.16810946662943299</v>
      </c>
      <c r="P902" s="11">
        <v>0.40625</v>
      </c>
      <c r="Q902" s="11">
        <v>9.5238095238095205E-2</v>
      </c>
      <c r="R902" s="11">
        <v>0.30648769574944101</v>
      </c>
      <c r="S902" s="10" t="s">
        <v>84</v>
      </c>
      <c r="T902" s="10" t="s">
        <v>84</v>
      </c>
      <c r="U902" s="10"/>
      <c r="V902" s="10"/>
      <c r="W902" s="10"/>
      <c r="X902" s="10"/>
      <c r="Y902" s="10"/>
      <c r="Z902" s="10"/>
      <c r="AA902" s="10"/>
    </row>
    <row r="903" spans="1:27" ht="12.5" hidden="1" x14ac:dyDescent="0.25">
      <c r="A903" s="10" t="s">
        <v>13</v>
      </c>
      <c r="B903" s="10" t="s">
        <v>1551</v>
      </c>
      <c r="C903" s="10" t="s">
        <v>191</v>
      </c>
      <c r="D903" s="11">
        <v>2024</v>
      </c>
      <c r="E903" s="10" t="s">
        <v>124</v>
      </c>
      <c r="F903" s="10" t="s">
        <v>125</v>
      </c>
      <c r="G903" s="10" t="s">
        <v>84</v>
      </c>
      <c r="H903" s="12">
        <v>1348</v>
      </c>
      <c r="I903" s="11">
        <v>51</v>
      </c>
      <c r="J903" s="11">
        <v>41</v>
      </c>
      <c r="K903" s="11">
        <v>0</v>
      </c>
      <c r="L903" s="11">
        <v>3.7845525941500202E-2</v>
      </c>
      <c r="M903" s="11">
        <f t="shared" si="3"/>
        <v>3.7833827893175078</v>
      </c>
      <c r="N903" s="11">
        <v>0.80392156862745101</v>
      </c>
      <c r="O903" s="11">
        <v>0</v>
      </c>
      <c r="P903" s="11">
        <v>0.57843137254902</v>
      </c>
      <c r="Q903" s="11">
        <v>0.27586206896551702</v>
      </c>
      <c r="R903" s="11">
        <v>0.48255813953488402</v>
      </c>
      <c r="S903" s="10" t="s">
        <v>84</v>
      </c>
      <c r="T903" s="10" t="s">
        <v>84</v>
      </c>
      <c r="U903" s="10"/>
      <c r="V903" s="10"/>
      <c r="W903" s="10"/>
      <c r="X903" s="10"/>
      <c r="Y903" s="10"/>
      <c r="Z903" s="10"/>
      <c r="AA903" s="10"/>
    </row>
    <row r="904" spans="1:27" ht="12.5" x14ac:dyDescent="0.25">
      <c r="A904" s="10" t="s">
        <v>65</v>
      </c>
      <c r="B904" s="10" t="s">
        <v>872</v>
      </c>
      <c r="C904" s="10" t="s">
        <v>76</v>
      </c>
      <c r="D904" s="11">
        <v>2024</v>
      </c>
      <c r="E904" s="10" t="s">
        <v>81</v>
      </c>
      <c r="F904" s="10" t="s">
        <v>83</v>
      </c>
      <c r="G904" s="10" t="s">
        <v>84</v>
      </c>
      <c r="H904" s="11">
        <v>2299</v>
      </c>
      <c r="I904" s="11">
        <v>87</v>
      </c>
      <c r="J904" s="11">
        <v>64</v>
      </c>
      <c r="K904" s="11">
        <v>592</v>
      </c>
      <c r="L904" s="11">
        <v>3.7837054218614101E-2</v>
      </c>
      <c r="M904" s="11">
        <f t="shared" si="3"/>
        <v>3.7842540234884732</v>
      </c>
      <c r="N904" s="11">
        <v>0.73563218390804597</v>
      </c>
      <c r="O904" s="11">
        <v>0.25746593215424801</v>
      </c>
      <c r="P904" s="11">
        <v>0.40540540540540498</v>
      </c>
      <c r="Q904" s="11">
        <v>0.30769230769230799</v>
      </c>
      <c r="R904" s="11">
        <v>0.46124031007751898</v>
      </c>
      <c r="S904" s="10" t="s">
        <v>84</v>
      </c>
      <c r="T904" s="10" t="s">
        <v>84</v>
      </c>
      <c r="U904" s="10"/>
      <c r="V904" s="10"/>
      <c r="W904" s="10"/>
      <c r="X904" s="10"/>
      <c r="Y904" s="10"/>
      <c r="Z904" s="10"/>
      <c r="AA904" s="10"/>
    </row>
    <row r="905" spans="1:27" ht="12.5" hidden="1" x14ac:dyDescent="0.25">
      <c r="A905" s="10" t="s">
        <v>10</v>
      </c>
      <c r="B905" s="10" t="s">
        <v>1552</v>
      </c>
      <c r="C905" s="10" t="s">
        <v>191</v>
      </c>
      <c r="D905" s="11">
        <v>2024</v>
      </c>
      <c r="E905" s="10" t="s">
        <v>124</v>
      </c>
      <c r="F905" s="10" t="s">
        <v>125</v>
      </c>
      <c r="G905" s="10" t="s">
        <v>84</v>
      </c>
      <c r="H905" s="12">
        <v>1165</v>
      </c>
      <c r="I905" s="11">
        <v>44</v>
      </c>
      <c r="J905" s="11">
        <v>38</v>
      </c>
      <c r="K905" s="11">
        <v>44</v>
      </c>
      <c r="L905" s="11">
        <v>3.7773644298182897E-2</v>
      </c>
      <c r="M905" s="11">
        <f t="shared" si="3"/>
        <v>3.7768240343347639</v>
      </c>
      <c r="N905" s="11">
        <v>0.86363636363636398</v>
      </c>
      <c r="O905" s="11">
        <v>3.7773644298182897E-2</v>
      </c>
      <c r="P905" s="11">
        <v>0.57720588235294101</v>
      </c>
      <c r="Q905" s="11">
        <v>0.34482758620689702</v>
      </c>
      <c r="R905" s="11">
        <v>0.48062015503875999</v>
      </c>
      <c r="S905" s="10" t="s">
        <v>84</v>
      </c>
      <c r="T905" s="10" t="s">
        <v>84</v>
      </c>
      <c r="U905" s="10"/>
      <c r="V905" s="10"/>
      <c r="W905" s="10"/>
      <c r="X905" s="10"/>
      <c r="Y905" s="10"/>
      <c r="Z905" s="10"/>
      <c r="AA905" s="10"/>
    </row>
    <row r="906" spans="1:27" ht="12.5" x14ac:dyDescent="0.25">
      <c r="A906" s="10" t="s">
        <v>52</v>
      </c>
      <c r="B906" s="10" t="s">
        <v>1016</v>
      </c>
      <c r="C906" s="10" t="s">
        <v>76</v>
      </c>
      <c r="D906" s="11">
        <v>2024</v>
      </c>
      <c r="E906" s="10" t="s">
        <v>124</v>
      </c>
      <c r="F906" s="10" t="s">
        <v>125</v>
      </c>
      <c r="G906" s="10" t="s">
        <v>84</v>
      </c>
      <c r="H906" s="11">
        <v>821</v>
      </c>
      <c r="I906" s="11">
        <v>31</v>
      </c>
      <c r="J906" s="11">
        <v>25</v>
      </c>
      <c r="K906" s="11">
        <v>1342</v>
      </c>
      <c r="L906" s="11">
        <v>3.7766497461928901E-2</v>
      </c>
      <c r="M906" s="11">
        <f t="shared" si="3"/>
        <v>3.7758830694275276</v>
      </c>
      <c r="N906" s="11">
        <v>0.80645161290322598</v>
      </c>
      <c r="O906" s="11">
        <v>1.6349238578680201</v>
      </c>
      <c r="P906" s="11">
        <v>0.40456081081081102</v>
      </c>
      <c r="Q906" s="11">
        <v>0.25531914893617003</v>
      </c>
      <c r="R906" s="11">
        <v>0.30425055928411598</v>
      </c>
      <c r="S906" s="10" t="s">
        <v>84</v>
      </c>
      <c r="T906" s="10" t="s">
        <v>84</v>
      </c>
      <c r="U906" s="10"/>
      <c r="V906" s="10"/>
      <c r="W906" s="10"/>
      <c r="X906" s="10"/>
      <c r="Y906" s="10"/>
      <c r="Z906" s="10"/>
      <c r="AA906" s="10"/>
    </row>
    <row r="907" spans="1:27" ht="12.5" x14ac:dyDescent="0.25">
      <c r="A907" s="10" t="s">
        <v>62</v>
      </c>
      <c r="B907" s="10" t="s">
        <v>1018</v>
      </c>
      <c r="C907" s="10" t="s">
        <v>76</v>
      </c>
      <c r="D907" s="11">
        <v>2024</v>
      </c>
      <c r="E907" s="10" t="s">
        <v>124</v>
      </c>
      <c r="F907" s="10" t="s">
        <v>83</v>
      </c>
      <c r="G907" s="10" t="s">
        <v>84</v>
      </c>
      <c r="H907" s="11">
        <v>7174</v>
      </c>
      <c r="I907" s="11">
        <v>270</v>
      </c>
      <c r="J907" s="11">
        <v>226</v>
      </c>
      <c r="K907" s="11">
        <v>5892</v>
      </c>
      <c r="L907" s="11">
        <v>3.7638530703282901E-2</v>
      </c>
      <c r="M907" s="11">
        <f t="shared" si="3"/>
        <v>3.7635907443546142</v>
      </c>
      <c r="N907" s="11">
        <v>0.83703703703703702</v>
      </c>
      <c r="O907" s="11">
        <v>0.821356381124974</v>
      </c>
      <c r="P907" s="11">
        <v>0.40371621621621601</v>
      </c>
      <c r="Q907" s="11">
        <v>0.44444444444444398</v>
      </c>
      <c r="R907" s="11">
        <v>0.30201342281879201</v>
      </c>
      <c r="S907" s="10" t="s">
        <v>84</v>
      </c>
      <c r="T907" s="10" t="s">
        <v>84</v>
      </c>
      <c r="U907" s="10"/>
      <c r="V907" s="10"/>
      <c r="W907" s="10"/>
      <c r="X907" s="10"/>
      <c r="Y907" s="10"/>
      <c r="Z907" s="10"/>
      <c r="AA907" s="10"/>
    </row>
    <row r="908" spans="1:27" ht="12.5" x14ac:dyDescent="0.25">
      <c r="A908" s="10" t="s">
        <v>92</v>
      </c>
      <c r="B908" s="10" t="s">
        <v>1020</v>
      </c>
      <c r="C908" s="10" t="s">
        <v>76</v>
      </c>
      <c r="D908" s="11">
        <v>2024</v>
      </c>
      <c r="E908" s="10" t="s">
        <v>124</v>
      </c>
      <c r="F908" s="10" t="s">
        <v>83</v>
      </c>
      <c r="G908" s="10" t="s">
        <v>84</v>
      </c>
      <c r="H908" s="11">
        <v>34331</v>
      </c>
      <c r="I908" s="11">
        <v>1291</v>
      </c>
      <c r="J908" s="11">
        <v>871</v>
      </c>
      <c r="K908" s="11">
        <v>19236</v>
      </c>
      <c r="L908" s="11">
        <v>3.7604862513593303E-2</v>
      </c>
      <c r="M908" s="11">
        <f t="shared" si="3"/>
        <v>3.760449739302671</v>
      </c>
      <c r="N908" s="11">
        <v>0.67467079783113904</v>
      </c>
      <c r="O908" s="11">
        <v>0.56031536430013995</v>
      </c>
      <c r="P908" s="11">
        <v>0.40287162162162199</v>
      </c>
      <c r="Q908" s="11">
        <v>0.72222222222222199</v>
      </c>
      <c r="R908" s="11">
        <v>0.29977628635346798</v>
      </c>
      <c r="S908" s="10" t="s">
        <v>84</v>
      </c>
      <c r="T908" s="10" t="s">
        <v>84</v>
      </c>
      <c r="U908" s="10"/>
      <c r="V908" s="10"/>
      <c r="W908" s="10"/>
      <c r="X908" s="10"/>
      <c r="Y908" s="10"/>
      <c r="Z908" s="10"/>
      <c r="AA908" s="10"/>
    </row>
    <row r="909" spans="1:27" ht="12.5" hidden="1" x14ac:dyDescent="0.25">
      <c r="A909" s="10" t="s">
        <v>36</v>
      </c>
      <c r="B909" s="10" t="s">
        <v>1553</v>
      </c>
      <c r="C909" s="10" t="s">
        <v>191</v>
      </c>
      <c r="D909" s="11">
        <v>2024</v>
      </c>
      <c r="E909" s="10" t="s">
        <v>124</v>
      </c>
      <c r="F909" s="10" t="s">
        <v>125</v>
      </c>
      <c r="G909" s="10" t="s">
        <v>84</v>
      </c>
      <c r="H909" s="12">
        <v>1705</v>
      </c>
      <c r="I909" s="11">
        <v>64</v>
      </c>
      <c r="J909" s="11">
        <v>64</v>
      </c>
      <c r="K909" s="11">
        <v>64</v>
      </c>
      <c r="L909" s="11">
        <v>3.75458323148374E-2</v>
      </c>
      <c r="M909" s="11">
        <f t="shared" si="3"/>
        <v>3.7536656891495603</v>
      </c>
      <c r="N909" s="11">
        <v>1</v>
      </c>
      <c r="O909" s="11">
        <v>3.75458323148374E-2</v>
      </c>
      <c r="P909" s="11">
        <v>0.57475490196078405</v>
      </c>
      <c r="Q909" s="11">
        <v>0.3</v>
      </c>
      <c r="R909" s="11">
        <v>0.47868217054263601</v>
      </c>
      <c r="S909" s="10" t="s">
        <v>84</v>
      </c>
      <c r="T909" s="10" t="s">
        <v>84</v>
      </c>
      <c r="U909" s="10"/>
      <c r="V909" s="10"/>
      <c r="W909" s="10"/>
      <c r="X909" s="10"/>
      <c r="Y909" s="10"/>
      <c r="Z909" s="10"/>
      <c r="AA909" s="10"/>
    </row>
    <row r="910" spans="1:27" ht="12.5" x14ac:dyDescent="0.25">
      <c r="A910" s="10" t="s">
        <v>98</v>
      </c>
      <c r="B910" s="10" t="s">
        <v>874</v>
      </c>
      <c r="C910" s="10" t="s">
        <v>76</v>
      </c>
      <c r="D910" s="11">
        <v>2024</v>
      </c>
      <c r="E910" s="10" t="s">
        <v>81</v>
      </c>
      <c r="F910" s="10" t="s">
        <v>83</v>
      </c>
      <c r="G910" s="10" t="s">
        <v>84</v>
      </c>
      <c r="H910" s="11">
        <v>162580</v>
      </c>
      <c r="I910" s="11">
        <v>6080</v>
      </c>
      <c r="J910" s="11">
        <v>5080</v>
      </c>
      <c r="K910" s="11">
        <v>233490</v>
      </c>
      <c r="L910" s="11">
        <v>3.7396935460557397E-2</v>
      </c>
      <c r="M910" s="11">
        <f t="shared" si="3"/>
        <v>3.7396973797515067</v>
      </c>
      <c r="N910" s="11">
        <v>0.83552631578947401</v>
      </c>
      <c r="O910" s="11">
        <v>1.4361530362969701</v>
      </c>
      <c r="P910" s="11">
        <v>0.40202702702702697</v>
      </c>
      <c r="Q910" s="11">
        <v>0.42857142857142899</v>
      </c>
      <c r="R910" s="11">
        <v>0.459302325581395</v>
      </c>
      <c r="S910" s="10" t="s">
        <v>84</v>
      </c>
      <c r="T910" s="10" t="s">
        <v>84</v>
      </c>
      <c r="U910" s="10"/>
      <c r="V910" s="10"/>
      <c r="W910" s="10"/>
      <c r="X910" s="10"/>
      <c r="Y910" s="10"/>
      <c r="Z910" s="10"/>
      <c r="AA910" s="10"/>
    </row>
    <row r="911" spans="1:27" ht="12.5" hidden="1" x14ac:dyDescent="0.25">
      <c r="A911" s="10" t="s">
        <v>77</v>
      </c>
      <c r="B911" s="10" t="s">
        <v>1554</v>
      </c>
      <c r="C911" s="10" t="s">
        <v>191</v>
      </c>
      <c r="D911" s="11">
        <v>2024</v>
      </c>
      <c r="E911" s="10" t="s">
        <v>124</v>
      </c>
      <c r="F911" s="10" t="s">
        <v>125</v>
      </c>
      <c r="G911" s="10" t="s">
        <v>84</v>
      </c>
      <c r="H911" s="12">
        <v>588.33333333333303</v>
      </c>
      <c r="I911" s="11">
        <v>22</v>
      </c>
      <c r="J911" s="11">
        <v>20</v>
      </c>
      <c r="K911" s="11">
        <v>75</v>
      </c>
      <c r="L911" s="11">
        <v>3.73937677053824E-2</v>
      </c>
      <c r="M911" s="11">
        <f t="shared" si="3"/>
        <v>3.7393767705382457</v>
      </c>
      <c r="N911" s="11">
        <v>0.90909090909090895</v>
      </c>
      <c r="O911" s="11">
        <v>0.12747875354107599</v>
      </c>
      <c r="P911" s="11">
        <v>0.57352941176470595</v>
      </c>
      <c r="Q911" s="11">
        <v>0.76086956521739102</v>
      </c>
      <c r="R911" s="11">
        <v>0.47674418604651198</v>
      </c>
      <c r="S911" s="10" t="s">
        <v>84</v>
      </c>
      <c r="T911" s="10" t="s">
        <v>84</v>
      </c>
      <c r="U911" s="10"/>
      <c r="V911" s="10"/>
      <c r="W911" s="10"/>
      <c r="X911" s="10"/>
      <c r="Y911" s="10"/>
      <c r="Z911" s="10"/>
      <c r="AA911" s="10"/>
    </row>
    <row r="912" spans="1:27" ht="12.5" hidden="1" x14ac:dyDescent="0.25">
      <c r="A912" s="10" t="s">
        <v>27</v>
      </c>
      <c r="B912" s="10" t="s">
        <v>1555</v>
      </c>
      <c r="C912" s="10" t="s">
        <v>191</v>
      </c>
      <c r="D912" s="11">
        <v>2024</v>
      </c>
      <c r="E912" s="10" t="s">
        <v>81</v>
      </c>
      <c r="F912" s="10" t="s">
        <v>125</v>
      </c>
      <c r="G912" s="10" t="s">
        <v>84</v>
      </c>
      <c r="H912" s="12">
        <v>695.75</v>
      </c>
      <c r="I912" s="11">
        <v>26</v>
      </c>
      <c r="J912" s="11">
        <v>14</v>
      </c>
      <c r="K912" s="11">
        <v>1570</v>
      </c>
      <c r="L912" s="11">
        <v>3.7369744879626299E-2</v>
      </c>
      <c r="M912" s="11">
        <f t="shared" si="3"/>
        <v>3.7369744879626308</v>
      </c>
      <c r="N912" s="11">
        <v>0.53846153846153799</v>
      </c>
      <c r="O912" s="11">
        <v>2.25655767157743</v>
      </c>
      <c r="P912" s="11">
        <v>0.57230392156862697</v>
      </c>
      <c r="Q912" s="11">
        <v>0.8</v>
      </c>
      <c r="R912" s="11">
        <v>0.83333333333333304</v>
      </c>
      <c r="S912" s="10" t="s">
        <v>84</v>
      </c>
      <c r="T912" s="10" t="s">
        <v>84</v>
      </c>
      <c r="U912" s="10"/>
      <c r="V912" s="10"/>
      <c r="W912" s="10"/>
      <c r="X912" s="10"/>
      <c r="Y912" s="10"/>
      <c r="Z912" s="10"/>
      <c r="AA912" s="10"/>
    </row>
    <row r="913" spans="1:27" ht="12.5" x14ac:dyDescent="0.25">
      <c r="A913" s="10" t="s">
        <v>12</v>
      </c>
      <c r="B913" s="10" t="s">
        <v>876</v>
      </c>
      <c r="C913" s="10" t="s">
        <v>76</v>
      </c>
      <c r="D913" s="11">
        <v>2024</v>
      </c>
      <c r="E913" s="10" t="s">
        <v>81</v>
      </c>
      <c r="F913" s="10" t="s">
        <v>83</v>
      </c>
      <c r="G913" s="10" t="s">
        <v>84</v>
      </c>
      <c r="H913" s="11">
        <v>17685</v>
      </c>
      <c r="I913" s="11">
        <v>659</v>
      </c>
      <c r="J913" s="11">
        <v>494</v>
      </c>
      <c r="K913" s="11">
        <v>41474</v>
      </c>
      <c r="L913" s="11">
        <v>3.7264270971754901E-2</v>
      </c>
      <c r="M913" s="11">
        <f t="shared" si="3"/>
        <v>3.7263217415889169</v>
      </c>
      <c r="N913" s="11">
        <v>0.74962063732928697</v>
      </c>
      <c r="O913" s="11">
        <v>2.3452175634029802</v>
      </c>
      <c r="P913" s="11">
        <v>0.40118243243243201</v>
      </c>
      <c r="Q913" s="11">
        <v>0.26388888888888901</v>
      </c>
      <c r="R913" s="11">
        <v>0.45736434108527102</v>
      </c>
      <c r="S913" s="10" t="s">
        <v>84</v>
      </c>
      <c r="T913" s="10" t="s">
        <v>84</v>
      </c>
      <c r="U913" s="10"/>
      <c r="V913" s="10"/>
      <c r="W913" s="10"/>
      <c r="X913" s="10"/>
      <c r="Y913" s="10"/>
      <c r="Z913" s="10"/>
      <c r="AA913" s="10"/>
    </row>
    <row r="914" spans="1:27" ht="12.5" hidden="1" x14ac:dyDescent="0.25">
      <c r="A914" s="10" t="s">
        <v>52</v>
      </c>
      <c r="B914" s="10" t="s">
        <v>1556</v>
      </c>
      <c r="C914" s="10" t="s">
        <v>191</v>
      </c>
      <c r="D914" s="11">
        <v>2024</v>
      </c>
      <c r="E914" s="10" t="s">
        <v>124</v>
      </c>
      <c r="F914" s="10" t="s">
        <v>125</v>
      </c>
      <c r="G914" s="10" t="s">
        <v>84</v>
      </c>
      <c r="H914" s="12">
        <v>188.5</v>
      </c>
      <c r="I914" s="11">
        <v>7</v>
      </c>
      <c r="J914" s="11">
        <v>7</v>
      </c>
      <c r="K914" s="11">
        <v>338</v>
      </c>
      <c r="L914" s="11">
        <v>3.71352785145889E-2</v>
      </c>
      <c r="M914" s="11">
        <f t="shared" si="3"/>
        <v>3.7135278514588856</v>
      </c>
      <c r="N914" s="11">
        <v>1</v>
      </c>
      <c r="O914" s="11">
        <v>1.7931034482758601</v>
      </c>
      <c r="P914" s="11">
        <v>0.56985294117647001</v>
      </c>
      <c r="Q914" s="11">
        <v>0.57142857142857095</v>
      </c>
      <c r="R914" s="11">
        <v>0.474806201550388</v>
      </c>
      <c r="S914" s="10" t="s">
        <v>84</v>
      </c>
      <c r="T914" s="10" t="s">
        <v>84</v>
      </c>
      <c r="U914" s="10"/>
      <c r="V914" s="10"/>
      <c r="W914" s="10"/>
      <c r="X914" s="10"/>
      <c r="Y914" s="10"/>
      <c r="Z914" s="10"/>
      <c r="AA914" s="10"/>
    </row>
    <row r="915" spans="1:27" ht="12.5" hidden="1" x14ac:dyDescent="0.25">
      <c r="A915" s="10" t="s">
        <v>36</v>
      </c>
      <c r="B915" s="10" t="s">
        <v>1557</v>
      </c>
      <c r="C915" s="10" t="s">
        <v>191</v>
      </c>
      <c r="D915" s="11">
        <v>2024</v>
      </c>
      <c r="E915" s="10" t="s">
        <v>124</v>
      </c>
      <c r="F915" s="10" t="s">
        <v>125</v>
      </c>
      <c r="G915" s="10" t="s">
        <v>84</v>
      </c>
      <c r="H915" s="12">
        <v>1780</v>
      </c>
      <c r="I915" s="11">
        <v>66</v>
      </c>
      <c r="J915" s="11">
        <v>28</v>
      </c>
      <c r="K915" s="11">
        <v>66</v>
      </c>
      <c r="L915" s="11">
        <v>3.7069974256962297E-2</v>
      </c>
      <c r="M915" s="11">
        <f t="shared" si="3"/>
        <v>3.707865168539326</v>
      </c>
      <c r="N915" s="11">
        <v>0.42424242424242398</v>
      </c>
      <c r="O915" s="11">
        <v>3.7069974256962297E-2</v>
      </c>
      <c r="P915" s="11">
        <v>0.56862745098039202</v>
      </c>
      <c r="Q915" s="11">
        <v>0.27500000000000002</v>
      </c>
      <c r="R915" s="11">
        <v>0.47286821705426402</v>
      </c>
      <c r="S915" s="10" t="s">
        <v>84</v>
      </c>
      <c r="T915" s="10" t="s">
        <v>84</v>
      </c>
      <c r="U915" s="10"/>
      <c r="V915" s="10"/>
      <c r="W915" s="10"/>
      <c r="X915" s="10"/>
      <c r="Y915" s="10"/>
      <c r="Z915" s="10"/>
      <c r="AA915" s="10"/>
    </row>
    <row r="916" spans="1:27" ht="12.5" hidden="1" x14ac:dyDescent="0.25">
      <c r="A916" s="10" t="s">
        <v>96</v>
      </c>
      <c r="B916" s="10" t="s">
        <v>1558</v>
      </c>
      <c r="C916" s="10" t="s">
        <v>191</v>
      </c>
      <c r="D916" s="11">
        <v>2024</v>
      </c>
      <c r="E916" s="10" t="s">
        <v>81</v>
      </c>
      <c r="F916" s="10" t="s">
        <v>125</v>
      </c>
      <c r="G916" s="10" t="s">
        <v>84</v>
      </c>
      <c r="H916" s="12">
        <v>1215</v>
      </c>
      <c r="I916" s="11">
        <v>45</v>
      </c>
      <c r="J916" s="11">
        <v>30</v>
      </c>
      <c r="K916" s="11">
        <v>854</v>
      </c>
      <c r="L916" s="11">
        <v>3.7047200878155898E-2</v>
      </c>
      <c r="M916" s="11">
        <f t="shared" si="3"/>
        <v>3.7037037037037033</v>
      </c>
      <c r="N916" s="11">
        <v>0.66666666666666696</v>
      </c>
      <c r="O916" s="11">
        <v>0.70307354555433599</v>
      </c>
      <c r="P916" s="11">
        <v>0.56740196078431404</v>
      </c>
      <c r="Q916" s="11">
        <v>0.90909090909090895</v>
      </c>
      <c r="R916" s="11">
        <v>0.79166666666666696</v>
      </c>
      <c r="S916" s="10" t="s">
        <v>84</v>
      </c>
      <c r="T916" s="10" t="s">
        <v>84</v>
      </c>
      <c r="U916" s="10"/>
      <c r="V916" s="10"/>
      <c r="W916" s="10"/>
      <c r="X916" s="10"/>
      <c r="Y916" s="10"/>
      <c r="Z916" s="10"/>
      <c r="AA916" s="10"/>
    </row>
    <row r="917" spans="1:27" ht="12.5" x14ac:dyDescent="0.25">
      <c r="A917" s="10" t="s">
        <v>62</v>
      </c>
      <c r="B917" s="10" t="s">
        <v>1021</v>
      </c>
      <c r="C917" s="10" t="s">
        <v>76</v>
      </c>
      <c r="D917" s="11">
        <v>2024</v>
      </c>
      <c r="E917" s="10" t="s">
        <v>124</v>
      </c>
      <c r="F917" s="10" t="s">
        <v>83</v>
      </c>
      <c r="G917" s="10" t="s">
        <v>84</v>
      </c>
      <c r="H917" s="11">
        <v>9839</v>
      </c>
      <c r="I917" s="11">
        <v>363</v>
      </c>
      <c r="J917" s="11">
        <v>237</v>
      </c>
      <c r="K917" s="11">
        <v>944</v>
      </c>
      <c r="L917" s="11">
        <v>3.6892430953732E-2</v>
      </c>
      <c r="M917" s="11">
        <f t="shared" si="3"/>
        <v>3.6893993292001221</v>
      </c>
      <c r="N917" s="11">
        <v>0.65289256198347101</v>
      </c>
      <c r="O917" s="11">
        <v>9.5940646887942196E-2</v>
      </c>
      <c r="P917" s="11">
        <v>0.400337837837838</v>
      </c>
      <c r="Q917" s="11">
        <v>0.41666666666666702</v>
      </c>
      <c r="R917" s="11">
        <v>0.29753914988814301</v>
      </c>
      <c r="S917" s="10" t="s">
        <v>84</v>
      </c>
      <c r="T917" s="10" t="s">
        <v>84</v>
      </c>
      <c r="U917" s="10"/>
      <c r="V917" s="10"/>
      <c r="W917" s="10"/>
      <c r="X917" s="10"/>
      <c r="Y917" s="10"/>
      <c r="Z917" s="10"/>
      <c r="AA917" s="10"/>
    </row>
    <row r="918" spans="1:27" ht="12.5" x14ac:dyDescent="0.25">
      <c r="A918" s="10" t="s">
        <v>110</v>
      </c>
      <c r="B918" s="10" t="s">
        <v>878</v>
      </c>
      <c r="C918" s="10" t="s">
        <v>76</v>
      </c>
      <c r="D918" s="11">
        <v>2024</v>
      </c>
      <c r="E918" s="10" t="s">
        <v>81</v>
      </c>
      <c r="F918" s="10" t="s">
        <v>83</v>
      </c>
      <c r="G918" s="10" t="s">
        <v>84</v>
      </c>
      <c r="H918" s="11">
        <v>5808</v>
      </c>
      <c r="I918" s="11">
        <v>214</v>
      </c>
      <c r="J918" s="11">
        <v>196</v>
      </c>
      <c r="K918" s="11">
        <v>6453</v>
      </c>
      <c r="L918" s="11">
        <v>3.6844672730924802E-2</v>
      </c>
      <c r="M918" s="11">
        <f t="shared" si="3"/>
        <v>3.6845730027548207</v>
      </c>
      <c r="N918" s="11">
        <v>0.91588785046729004</v>
      </c>
      <c r="O918" s="11">
        <v>1.1110218370685001</v>
      </c>
      <c r="P918" s="11">
        <v>0.39949324324324298</v>
      </c>
      <c r="Q918" s="11">
        <v>0.57575757575757602</v>
      </c>
      <c r="R918" s="11">
        <v>0.45542635658914699</v>
      </c>
      <c r="S918" s="10" t="s">
        <v>84</v>
      </c>
      <c r="T918" s="10" t="s">
        <v>84</v>
      </c>
      <c r="U918" s="10"/>
      <c r="V918" s="10"/>
      <c r="W918" s="10"/>
      <c r="X918" s="10"/>
      <c r="Y918" s="10"/>
      <c r="Z918" s="10"/>
      <c r="AA918" s="10"/>
    </row>
    <row r="919" spans="1:27" ht="12.5" x14ac:dyDescent="0.25">
      <c r="A919" s="10" t="s">
        <v>25</v>
      </c>
      <c r="B919" s="10" t="s">
        <v>879</v>
      </c>
      <c r="C919" s="10" t="s">
        <v>76</v>
      </c>
      <c r="D919" s="11">
        <v>2024</v>
      </c>
      <c r="E919" s="10" t="s">
        <v>81</v>
      </c>
      <c r="F919" s="10" t="s">
        <v>83</v>
      </c>
      <c r="G919" s="10" t="s">
        <v>84</v>
      </c>
      <c r="H919" s="11">
        <v>85280</v>
      </c>
      <c r="I919" s="11">
        <v>3113</v>
      </c>
      <c r="J919" s="11">
        <v>2468</v>
      </c>
      <c r="K919" s="11">
        <v>57524</v>
      </c>
      <c r="L919" s="11">
        <v>3.6503104952778302E-2</v>
      </c>
      <c r="M919" s="11">
        <f t="shared" si="3"/>
        <v>3.6503283302063787</v>
      </c>
      <c r="N919" s="11">
        <v>0.79280436877610005</v>
      </c>
      <c r="O919" s="11">
        <v>0.67452766119615204</v>
      </c>
      <c r="P919" s="11">
        <v>0.39864864864864902</v>
      </c>
      <c r="Q919" s="11">
        <v>0.25</v>
      </c>
      <c r="R919" s="11">
        <v>0.45348837209302301</v>
      </c>
      <c r="S919" s="10" t="s">
        <v>84</v>
      </c>
      <c r="T919" s="10" t="s">
        <v>84</v>
      </c>
      <c r="U919" s="10"/>
      <c r="V919" s="10"/>
      <c r="W919" s="10"/>
      <c r="X919" s="10"/>
      <c r="Y919" s="10"/>
      <c r="Z919" s="10"/>
      <c r="AA919" s="10"/>
    </row>
    <row r="920" spans="1:27" ht="12.5" x14ac:dyDescent="0.25">
      <c r="A920" s="10" t="s">
        <v>109</v>
      </c>
      <c r="B920" s="10" t="s">
        <v>1023</v>
      </c>
      <c r="C920" s="10" t="s">
        <v>76</v>
      </c>
      <c r="D920" s="11">
        <v>2024</v>
      </c>
      <c r="E920" s="10" t="s">
        <v>124</v>
      </c>
      <c r="F920" s="10" t="s">
        <v>83</v>
      </c>
      <c r="G920" s="10" t="s">
        <v>84</v>
      </c>
      <c r="H920" s="11">
        <v>1263</v>
      </c>
      <c r="I920" s="11">
        <v>46</v>
      </c>
      <c r="J920" s="11">
        <v>46</v>
      </c>
      <c r="K920" s="11">
        <v>623</v>
      </c>
      <c r="L920" s="11">
        <v>3.6423622566809602E-2</v>
      </c>
      <c r="M920" s="11">
        <f t="shared" si="3"/>
        <v>3.642121931908155</v>
      </c>
      <c r="N920" s="11">
        <v>1</v>
      </c>
      <c r="O920" s="11">
        <v>0.49330254041570398</v>
      </c>
      <c r="P920" s="11">
        <v>0.39695945945945998</v>
      </c>
      <c r="Q920" s="11">
        <v>0.55555555555555602</v>
      </c>
      <c r="R920" s="11">
        <v>0.29530201342281898</v>
      </c>
      <c r="S920" s="10" t="s">
        <v>84</v>
      </c>
      <c r="T920" s="10" t="s">
        <v>84</v>
      </c>
      <c r="U920" s="10"/>
      <c r="V920" s="10"/>
      <c r="W920" s="10"/>
      <c r="X920" s="10"/>
      <c r="Y920" s="10"/>
      <c r="Z920" s="10"/>
      <c r="AA920" s="10"/>
    </row>
    <row r="921" spans="1:27" ht="12.5" x14ac:dyDescent="0.25">
      <c r="A921" s="10" t="s">
        <v>43</v>
      </c>
      <c r="B921" s="10" t="s">
        <v>1026</v>
      </c>
      <c r="C921" s="10" t="s">
        <v>76</v>
      </c>
      <c r="D921" s="11">
        <v>2024</v>
      </c>
      <c r="E921" s="10" t="s">
        <v>124</v>
      </c>
      <c r="F921" s="10" t="s">
        <v>83</v>
      </c>
      <c r="G921" s="10" t="s">
        <v>84</v>
      </c>
      <c r="H921" s="11">
        <v>8156</v>
      </c>
      <c r="I921" s="11">
        <v>297</v>
      </c>
      <c r="J921" s="11">
        <v>207</v>
      </c>
      <c r="K921" s="11">
        <v>8993</v>
      </c>
      <c r="L921" s="11">
        <v>3.6413793103448298E-2</v>
      </c>
      <c r="M921" s="11">
        <f t="shared" si="3"/>
        <v>3.6414909269249631</v>
      </c>
      <c r="N921" s="11">
        <v>0.69696969696969702</v>
      </c>
      <c r="O921" s="11">
        <v>1.10259003831418</v>
      </c>
      <c r="P921" s="11">
        <v>0.39611486486486502</v>
      </c>
      <c r="Q921" s="11">
        <v>0.69230769230769196</v>
      </c>
      <c r="R921" s="11">
        <v>0.293064876957494</v>
      </c>
      <c r="S921" s="10" t="s">
        <v>84</v>
      </c>
      <c r="T921" s="10" t="s">
        <v>84</v>
      </c>
      <c r="U921" s="10"/>
      <c r="V921" s="10"/>
      <c r="W921" s="10"/>
      <c r="X921" s="10"/>
      <c r="Y921" s="10"/>
      <c r="Z921" s="10"/>
      <c r="AA921" s="10"/>
    </row>
    <row r="922" spans="1:27" ht="12.5" hidden="1" x14ac:dyDescent="0.25">
      <c r="A922" s="10" t="s">
        <v>12</v>
      </c>
      <c r="B922" s="10" t="s">
        <v>1559</v>
      </c>
      <c r="C922" s="10" t="s">
        <v>191</v>
      </c>
      <c r="D922" s="11">
        <v>2024</v>
      </c>
      <c r="E922" s="10" t="s">
        <v>124</v>
      </c>
      <c r="F922" s="10" t="s">
        <v>125</v>
      </c>
      <c r="G922" s="10" t="s">
        <v>84</v>
      </c>
      <c r="H922" s="12">
        <v>441.58333333333297</v>
      </c>
      <c r="I922" s="11">
        <v>16</v>
      </c>
      <c r="J922" s="11">
        <v>10</v>
      </c>
      <c r="K922" s="11">
        <v>757</v>
      </c>
      <c r="L922" s="11">
        <v>3.6233251556897501E-2</v>
      </c>
      <c r="M922" s="11">
        <f t="shared" si="3"/>
        <v>3.6233251556897557</v>
      </c>
      <c r="N922" s="11">
        <v>0.625</v>
      </c>
      <c r="O922" s="11">
        <v>1.71428571428571</v>
      </c>
      <c r="P922" s="11">
        <v>0.5625</v>
      </c>
      <c r="Q922" s="11">
        <v>0.42857142857142899</v>
      </c>
      <c r="R922" s="11">
        <v>0.47093023255813998</v>
      </c>
      <c r="S922" s="10" t="s">
        <v>84</v>
      </c>
      <c r="T922" s="10" t="s">
        <v>84</v>
      </c>
      <c r="U922" s="10"/>
      <c r="V922" s="10"/>
      <c r="W922" s="10"/>
      <c r="X922" s="10"/>
      <c r="Y922" s="10"/>
      <c r="Z922" s="10"/>
      <c r="AA922" s="10"/>
    </row>
    <row r="923" spans="1:27" ht="12.5" hidden="1" x14ac:dyDescent="0.25">
      <c r="A923" s="10" t="s">
        <v>13</v>
      </c>
      <c r="B923" s="10" t="s">
        <v>1560</v>
      </c>
      <c r="C923" s="10" t="s">
        <v>191</v>
      </c>
      <c r="D923" s="11">
        <v>2024</v>
      </c>
      <c r="E923" s="10" t="s">
        <v>124</v>
      </c>
      <c r="F923" s="10" t="s">
        <v>125</v>
      </c>
      <c r="G923" s="10" t="s">
        <v>84</v>
      </c>
      <c r="H923" s="12">
        <v>444.08333333333297</v>
      </c>
      <c r="I923" s="11">
        <v>16</v>
      </c>
      <c r="J923" s="11">
        <v>13</v>
      </c>
      <c r="K923" s="11">
        <v>34</v>
      </c>
      <c r="L923" s="11">
        <v>3.60292737849503E-2</v>
      </c>
      <c r="M923" s="11">
        <f t="shared" si="3"/>
        <v>3.6029273784950302</v>
      </c>
      <c r="N923" s="11">
        <v>0.8125</v>
      </c>
      <c r="O923" s="11">
        <v>7.6562206793019297E-2</v>
      </c>
      <c r="P923" s="11">
        <v>0.56004901960784303</v>
      </c>
      <c r="Q923" s="11">
        <v>0.24137931034482801</v>
      </c>
      <c r="R923" s="11">
        <v>0.468992248062016</v>
      </c>
      <c r="S923" s="10" t="s">
        <v>84</v>
      </c>
      <c r="T923" s="10" t="s">
        <v>84</v>
      </c>
      <c r="U923" s="10"/>
      <c r="V923" s="10"/>
      <c r="W923" s="10"/>
      <c r="X923" s="10"/>
      <c r="Y923" s="10"/>
      <c r="Z923" s="10"/>
      <c r="AA923" s="10"/>
    </row>
    <row r="924" spans="1:27" ht="12.5" x14ac:dyDescent="0.25">
      <c r="A924" s="10" t="s">
        <v>53</v>
      </c>
      <c r="B924" s="10" t="s">
        <v>1028</v>
      </c>
      <c r="C924" s="10" t="s">
        <v>76</v>
      </c>
      <c r="D924" s="11">
        <v>2024</v>
      </c>
      <c r="E924" s="10" t="s">
        <v>124</v>
      </c>
      <c r="F924" s="10" t="s">
        <v>83</v>
      </c>
      <c r="G924" s="10" t="s">
        <v>84</v>
      </c>
      <c r="H924" s="11">
        <v>24979</v>
      </c>
      <c r="I924" s="11">
        <v>899</v>
      </c>
      <c r="J924" s="11">
        <v>339</v>
      </c>
      <c r="K924" s="11">
        <v>6830</v>
      </c>
      <c r="L924" s="11">
        <v>3.5990111726811401E-2</v>
      </c>
      <c r="M924" s="11">
        <f t="shared" si="3"/>
        <v>3.5990231794707555</v>
      </c>
      <c r="N924" s="11">
        <v>0.37708565072302602</v>
      </c>
      <c r="O924" s="11">
        <v>0.27342876873651001</v>
      </c>
      <c r="P924" s="11">
        <v>0.39358108108108097</v>
      </c>
      <c r="Q924" s="11">
        <v>0.92500000000000004</v>
      </c>
      <c r="R924" s="11">
        <v>0.29082774049216997</v>
      </c>
      <c r="S924" s="10" t="s">
        <v>84</v>
      </c>
      <c r="T924" s="10" t="s">
        <v>84</v>
      </c>
      <c r="U924" s="10"/>
      <c r="V924" s="10"/>
      <c r="W924" s="10"/>
      <c r="X924" s="10"/>
      <c r="Y924" s="10"/>
      <c r="Z924" s="10"/>
      <c r="AA924" s="10"/>
    </row>
    <row r="925" spans="1:27" ht="12.5" hidden="1" x14ac:dyDescent="0.25">
      <c r="A925" s="10" t="s">
        <v>12</v>
      </c>
      <c r="B925" s="10" t="s">
        <v>1561</v>
      </c>
      <c r="C925" s="10" t="s">
        <v>191</v>
      </c>
      <c r="D925" s="11">
        <v>2024</v>
      </c>
      <c r="E925" s="10" t="s">
        <v>124</v>
      </c>
      <c r="F925" s="10" t="s">
        <v>125</v>
      </c>
      <c r="G925" s="10" t="s">
        <v>84</v>
      </c>
      <c r="H925" s="12">
        <v>500.5</v>
      </c>
      <c r="I925" s="11">
        <v>18</v>
      </c>
      <c r="J925" s="11">
        <v>13</v>
      </c>
      <c r="K925" s="11">
        <v>202</v>
      </c>
      <c r="L925" s="11">
        <v>3.5964035964036002E-2</v>
      </c>
      <c r="M925" s="11">
        <f t="shared" si="3"/>
        <v>3.5964035964035967</v>
      </c>
      <c r="N925" s="11">
        <v>0.72222222222222199</v>
      </c>
      <c r="O925" s="11">
        <v>0.40359640359640397</v>
      </c>
      <c r="P925" s="11">
        <v>0.55882352941176505</v>
      </c>
      <c r="Q925" s="11">
        <v>0.39682539682539703</v>
      </c>
      <c r="R925" s="11">
        <v>0.46705426356589103</v>
      </c>
      <c r="S925" s="10" t="s">
        <v>84</v>
      </c>
      <c r="T925" s="10" t="s">
        <v>84</v>
      </c>
      <c r="U925" s="10"/>
      <c r="V925" s="10"/>
      <c r="W925" s="10"/>
      <c r="X925" s="10"/>
      <c r="Y925" s="10"/>
      <c r="Z925" s="10"/>
      <c r="AA925" s="10"/>
    </row>
    <row r="926" spans="1:27" ht="12.5" x14ac:dyDescent="0.25">
      <c r="A926" s="10" t="s">
        <v>14</v>
      </c>
      <c r="B926" s="10" t="s">
        <v>881</v>
      </c>
      <c r="C926" s="10" t="s">
        <v>76</v>
      </c>
      <c r="D926" s="11">
        <v>2024</v>
      </c>
      <c r="E926" s="10" t="s">
        <v>81</v>
      </c>
      <c r="F926" s="10" t="s">
        <v>83</v>
      </c>
      <c r="G926" s="10" t="s">
        <v>84</v>
      </c>
      <c r="H926" s="11">
        <v>20053</v>
      </c>
      <c r="I926" s="11">
        <v>721</v>
      </c>
      <c r="J926" s="11">
        <v>324</v>
      </c>
      <c r="K926" s="11">
        <v>65921</v>
      </c>
      <c r="L926" s="11">
        <v>3.59551682437571E-2</v>
      </c>
      <c r="M926" s="11">
        <f t="shared" si="3"/>
        <v>3.5954719992021142</v>
      </c>
      <c r="N926" s="11">
        <v>0.44937586685159497</v>
      </c>
      <c r="O926" s="11">
        <v>3.28737953647255</v>
      </c>
      <c r="P926" s="11">
        <v>0.39273648648648701</v>
      </c>
      <c r="Q926" s="11">
        <v>7.1428571428571397E-2</v>
      </c>
      <c r="R926" s="11">
        <v>0.45155038759689903</v>
      </c>
      <c r="S926" s="10" t="s">
        <v>84</v>
      </c>
      <c r="T926" s="10" t="s">
        <v>84</v>
      </c>
      <c r="U926" s="10"/>
      <c r="V926" s="10"/>
      <c r="W926" s="10"/>
      <c r="X926" s="10"/>
      <c r="Y926" s="10"/>
      <c r="Z926" s="10"/>
      <c r="AA926" s="10"/>
    </row>
    <row r="927" spans="1:27" ht="12.5" hidden="1" x14ac:dyDescent="0.25">
      <c r="A927" s="10" t="s">
        <v>29</v>
      </c>
      <c r="B927" s="10" t="s">
        <v>1562</v>
      </c>
      <c r="C927" s="10" t="s">
        <v>191</v>
      </c>
      <c r="D927" s="11">
        <v>2024</v>
      </c>
      <c r="E927" s="10" t="s">
        <v>124</v>
      </c>
      <c r="F927" s="10" t="s">
        <v>125</v>
      </c>
      <c r="G927" s="10" t="s">
        <v>84</v>
      </c>
      <c r="H927" s="12">
        <v>1593</v>
      </c>
      <c r="I927" s="11">
        <v>57</v>
      </c>
      <c r="J927" s="11">
        <v>46</v>
      </c>
      <c r="K927" s="11">
        <v>133</v>
      </c>
      <c r="L927" s="11">
        <v>3.5774058577405898E-2</v>
      </c>
      <c r="M927" s="11">
        <f t="shared" si="3"/>
        <v>3.5781544256120528</v>
      </c>
      <c r="N927" s="11">
        <v>0.80701754385964897</v>
      </c>
      <c r="O927" s="11">
        <v>8.34728033472803E-2</v>
      </c>
      <c r="P927" s="11">
        <v>0.55514705882352899</v>
      </c>
      <c r="Q927" s="11">
        <v>0.47887323943662002</v>
      </c>
      <c r="R927" s="11">
        <v>0.46511627906976699</v>
      </c>
      <c r="S927" s="10" t="s">
        <v>84</v>
      </c>
      <c r="T927" s="10" t="s">
        <v>84</v>
      </c>
      <c r="U927" s="10"/>
      <c r="V927" s="10"/>
      <c r="W927" s="10"/>
      <c r="X927" s="10"/>
      <c r="Y927" s="10"/>
      <c r="Z927" s="10"/>
      <c r="AA927" s="10"/>
    </row>
    <row r="928" spans="1:27" ht="12.5" hidden="1" x14ac:dyDescent="0.25">
      <c r="A928" s="10" t="s">
        <v>14</v>
      </c>
      <c r="B928" s="10" t="s">
        <v>1563</v>
      </c>
      <c r="C928" s="10" t="s">
        <v>191</v>
      </c>
      <c r="D928" s="11">
        <v>2024</v>
      </c>
      <c r="E928" s="10" t="s">
        <v>124</v>
      </c>
      <c r="F928" s="10" t="s">
        <v>125</v>
      </c>
      <c r="G928" s="10" t="s">
        <v>84</v>
      </c>
      <c r="H928" s="12">
        <v>8359</v>
      </c>
      <c r="I928" s="11">
        <v>299</v>
      </c>
      <c r="J928" s="11">
        <v>217</v>
      </c>
      <c r="K928" s="11">
        <v>1674</v>
      </c>
      <c r="L928" s="11">
        <v>3.5768759159015499E-2</v>
      </c>
      <c r="M928" s="11">
        <f t="shared" si="3"/>
        <v>3.5769828926905132</v>
      </c>
      <c r="N928" s="11">
        <v>0.72575250836120397</v>
      </c>
      <c r="O928" s="11">
        <v>0.20025720010766501</v>
      </c>
      <c r="P928" s="11">
        <v>0.55392156862745101</v>
      </c>
      <c r="Q928" s="11">
        <v>0.340425531914894</v>
      </c>
      <c r="R928" s="11">
        <v>0.46317829457364301</v>
      </c>
      <c r="S928" s="10" t="s">
        <v>84</v>
      </c>
      <c r="T928" s="10" t="s">
        <v>84</v>
      </c>
      <c r="U928" s="10"/>
      <c r="V928" s="10"/>
      <c r="W928" s="10"/>
      <c r="X928" s="10"/>
      <c r="Y928" s="10"/>
      <c r="Z928" s="10"/>
      <c r="AA928" s="10"/>
    </row>
    <row r="929" spans="1:27" ht="12.5" x14ac:dyDescent="0.25">
      <c r="A929" s="10" t="s">
        <v>10</v>
      </c>
      <c r="B929" s="10" t="s">
        <v>884</v>
      </c>
      <c r="C929" s="10" t="s">
        <v>76</v>
      </c>
      <c r="D929" s="11">
        <v>2024</v>
      </c>
      <c r="E929" s="10" t="s">
        <v>81</v>
      </c>
      <c r="F929" s="10" t="s">
        <v>83</v>
      </c>
      <c r="G929" s="10" t="s">
        <v>84</v>
      </c>
      <c r="H929" s="11">
        <v>17745</v>
      </c>
      <c r="I929" s="11">
        <v>633</v>
      </c>
      <c r="J929" s="11">
        <v>153</v>
      </c>
      <c r="K929" s="11">
        <v>8207</v>
      </c>
      <c r="L929" s="11">
        <v>3.5671685247626102E-2</v>
      </c>
      <c r="M929" s="11">
        <f t="shared" si="3"/>
        <v>3.5672020287404904</v>
      </c>
      <c r="N929" s="11">
        <v>0.24170616113744101</v>
      </c>
      <c r="O929" s="11">
        <v>0.46249213400832201</v>
      </c>
      <c r="P929" s="11">
        <v>0.391891891891892</v>
      </c>
      <c r="Q929" s="11">
        <v>0.3</v>
      </c>
      <c r="R929" s="11">
        <v>0.44961240310077499</v>
      </c>
      <c r="S929" s="10" t="s">
        <v>84</v>
      </c>
      <c r="T929" s="10" t="s">
        <v>84</v>
      </c>
      <c r="U929" s="10"/>
      <c r="V929" s="10"/>
      <c r="W929" s="10"/>
      <c r="X929" s="10"/>
      <c r="Y929" s="10"/>
      <c r="Z929" s="10"/>
      <c r="AA929" s="10"/>
    </row>
    <row r="930" spans="1:27" ht="12.5" x14ac:dyDescent="0.25">
      <c r="A930" s="10" t="s">
        <v>104</v>
      </c>
      <c r="B930" s="10" t="s">
        <v>886</v>
      </c>
      <c r="C930" s="10" t="s">
        <v>76</v>
      </c>
      <c r="D930" s="11">
        <v>2024</v>
      </c>
      <c r="E930" s="10" t="s">
        <v>81</v>
      </c>
      <c r="F930" s="10" t="s">
        <v>83</v>
      </c>
      <c r="G930" s="10" t="s">
        <v>84</v>
      </c>
      <c r="H930" s="11">
        <v>20018</v>
      </c>
      <c r="I930" s="11">
        <v>712</v>
      </c>
      <c r="J930" s="11">
        <v>555</v>
      </c>
      <c r="K930" s="11">
        <v>5327</v>
      </c>
      <c r="L930" s="11">
        <v>3.55687291589478E-2</v>
      </c>
      <c r="M930" s="11">
        <f t="shared" si="3"/>
        <v>3.5567988810070936</v>
      </c>
      <c r="N930" s="11">
        <v>0.77949438202247201</v>
      </c>
      <c r="O930" s="11">
        <v>0.26611603964847602</v>
      </c>
      <c r="P930" s="11">
        <v>0.39104729729729698</v>
      </c>
      <c r="Q930" s="11">
        <v>0.34482758620689702</v>
      </c>
      <c r="R930" s="11">
        <v>0.44767441860465101</v>
      </c>
      <c r="S930" s="10" t="s">
        <v>84</v>
      </c>
      <c r="T930" s="10" t="s">
        <v>84</v>
      </c>
      <c r="U930" s="10"/>
      <c r="V930" s="10"/>
      <c r="W930" s="10"/>
      <c r="X930" s="10"/>
      <c r="Y930" s="10"/>
      <c r="Z930" s="10"/>
      <c r="AA930" s="10"/>
    </row>
    <row r="931" spans="1:27" ht="12.5" hidden="1" x14ac:dyDescent="0.25">
      <c r="A931" s="10" t="s">
        <v>52</v>
      </c>
      <c r="B931" s="10" t="s">
        <v>1564</v>
      </c>
      <c r="C931" s="10" t="s">
        <v>191</v>
      </c>
      <c r="D931" s="11">
        <v>2024</v>
      </c>
      <c r="E931" s="10" t="s">
        <v>124</v>
      </c>
      <c r="F931" s="10" t="s">
        <v>125</v>
      </c>
      <c r="G931" s="10" t="s">
        <v>84</v>
      </c>
      <c r="H931" s="12">
        <v>338.16666666666703</v>
      </c>
      <c r="I931" s="11">
        <v>12</v>
      </c>
      <c r="J931" s="11">
        <v>9</v>
      </c>
      <c r="K931" s="11">
        <v>0</v>
      </c>
      <c r="L931" s="11">
        <v>3.5485460818136999E-2</v>
      </c>
      <c r="M931" s="11">
        <f t="shared" si="3"/>
        <v>3.548546081813698</v>
      </c>
      <c r="N931" s="11">
        <v>0.75</v>
      </c>
      <c r="O931" s="11">
        <v>0</v>
      </c>
      <c r="P931" s="11">
        <v>0.55147058823529405</v>
      </c>
      <c r="Q931" s="11">
        <v>0.53571428571428603</v>
      </c>
      <c r="R931" s="11">
        <v>0.46124031007751898</v>
      </c>
      <c r="S931" s="10" t="s">
        <v>84</v>
      </c>
      <c r="T931" s="10" t="s">
        <v>84</v>
      </c>
      <c r="U931" s="10"/>
      <c r="V931" s="10"/>
      <c r="W931" s="10"/>
      <c r="X931" s="10"/>
      <c r="Y931" s="10"/>
      <c r="Z931" s="10"/>
      <c r="AA931" s="10"/>
    </row>
    <row r="932" spans="1:27" ht="12.5" x14ac:dyDescent="0.25">
      <c r="A932" s="10" t="s">
        <v>67</v>
      </c>
      <c r="B932" s="10" t="s">
        <v>1030</v>
      </c>
      <c r="C932" s="10" t="s">
        <v>76</v>
      </c>
      <c r="D932" s="11">
        <v>2024</v>
      </c>
      <c r="E932" s="10" t="s">
        <v>124</v>
      </c>
      <c r="F932" s="10" t="s">
        <v>83</v>
      </c>
      <c r="G932" s="10" t="s">
        <v>84</v>
      </c>
      <c r="H932" s="11">
        <v>15026</v>
      </c>
      <c r="I932" s="11">
        <v>530</v>
      </c>
      <c r="J932" s="11">
        <v>0</v>
      </c>
      <c r="K932" s="11">
        <v>2717</v>
      </c>
      <c r="L932" s="11">
        <v>3.5271803631442902E-2</v>
      </c>
      <c r="M932" s="11">
        <f t="shared" si="3"/>
        <v>3.5272194862238786</v>
      </c>
      <c r="N932" s="11">
        <v>0</v>
      </c>
      <c r="O932" s="11">
        <v>0.18081790654081201</v>
      </c>
      <c r="P932" s="11">
        <v>0.39020270270270302</v>
      </c>
      <c r="Q932" s="11">
        <v>0.33333333333333298</v>
      </c>
      <c r="R932" s="11">
        <v>0.288590604026846</v>
      </c>
      <c r="S932" s="10" t="s">
        <v>84</v>
      </c>
      <c r="T932" s="10" t="s">
        <v>84</v>
      </c>
      <c r="U932" s="10"/>
      <c r="V932" s="10"/>
      <c r="W932" s="10"/>
      <c r="X932" s="10"/>
      <c r="Y932" s="10"/>
      <c r="Z932" s="10"/>
      <c r="AA932" s="10"/>
    </row>
    <row r="933" spans="1:27" ht="12.5" hidden="1" x14ac:dyDescent="0.25">
      <c r="A933" s="10" t="s">
        <v>96</v>
      </c>
      <c r="B933" s="10" t="s">
        <v>1565</v>
      </c>
      <c r="C933" s="10" t="s">
        <v>191</v>
      </c>
      <c r="D933" s="11">
        <v>2024</v>
      </c>
      <c r="E933" s="10" t="s">
        <v>81</v>
      </c>
      <c r="F933" s="10" t="s">
        <v>125</v>
      </c>
      <c r="G933" s="10" t="s">
        <v>84</v>
      </c>
      <c r="H933" s="12">
        <v>4498</v>
      </c>
      <c r="I933" s="11">
        <v>158</v>
      </c>
      <c r="J933" s="11">
        <v>96</v>
      </c>
      <c r="K933" s="11">
        <v>3135</v>
      </c>
      <c r="L933" s="11">
        <v>3.5127373784159303E-2</v>
      </c>
      <c r="M933" s="11">
        <f t="shared" si="3"/>
        <v>3.5126722987994663</v>
      </c>
      <c r="N933" s="11">
        <v>0.607594936708861</v>
      </c>
      <c r="O933" s="11">
        <v>0.69698934691987002</v>
      </c>
      <c r="P933" s="11">
        <v>0.55024509803921595</v>
      </c>
      <c r="Q933" s="11">
        <v>0.72727272727272696</v>
      </c>
      <c r="R933" s="11">
        <v>0.75</v>
      </c>
      <c r="S933" s="10" t="s">
        <v>84</v>
      </c>
      <c r="T933" s="10" t="s">
        <v>84</v>
      </c>
      <c r="U933" s="10"/>
      <c r="V933" s="10"/>
      <c r="W933" s="10"/>
      <c r="X933" s="10"/>
      <c r="Y933" s="10"/>
      <c r="Z933" s="10"/>
      <c r="AA933" s="10"/>
    </row>
    <row r="934" spans="1:27" ht="12.5" hidden="1" x14ac:dyDescent="0.25">
      <c r="A934" s="10" t="s">
        <v>36</v>
      </c>
      <c r="B934" s="10" t="s">
        <v>1566</v>
      </c>
      <c r="C934" s="10" t="s">
        <v>191</v>
      </c>
      <c r="D934" s="11">
        <v>2024</v>
      </c>
      <c r="E934" s="10" t="s">
        <v>124</v>
      </c>
      <c r="F934" s="10" t="s">
        <v>125</v>
      </c>
      <c r="G934" s="10" t="s">
        <v>84</v>
      </c>
      <c r="H934" s="12">
        <v>8880</v>
      </c>
      <c r="I934" s="11">
        <v>311</v>
      </c>
      <c r="J934" s="11">
        <v>257</v>
      </c>
      <c r="K934" s="11">
        <v>933</v>
      </c>
      <c r="L934" s="11">
        <v>3.50238372311273E-2</v>
      </c>
      <c r="M934" s="11">
        <f t="shared" si="3"/>
        <v>3.5022522522522523</v>
      </c>
      <c r="N934" s="11">
        <v>0.82636655948552995</v>
      </c>
      <c r="O934" s="11">
        <v>0.105071511693382</v>
      </c>
      <c r="P934" s="11">
        <v>0.54779411764705899</v>
      </c>
      <c r="Q934" s="11">
        <v>0.25</v>
      </c>
      <c r="R934" s="11">
        <v>0.459302325581395</v>
      </c>
      <c r="S934" s="10" t="s">
        <v>84</v>
      </c>
      <c r="T934" s="10" t="s">
        <v>84</v>
      </c>
      <c r="U934" s="10"/>
      <c r="V934" s="10"/>
      <c r="W934" s="10"/>
      <c r="X934" s="10"/>
      <c r="Y934" s="10"/>
      <c r="Z934" s="10"/>
      <c r="AA934" s="10"/>
    </row>
    <row r="935" spans="1:27" ht="12.5" hidden="1" x14ac:dyDescent="0.25">
      <c r="A935" s="10" t="s">
        <v>16</v>
      </c>
      <c r="B935" s="10" t="s">
        <v>366</v>
      </c>
      <c r="C935" s="10" t="s">
        <v>191</v>
      </c>
      <c r="D935" s="11">
        <v>2024</v>
      </c>
      <c r="E935" s="10" t="s">
        <v>124</v>
      </c>
      <c r="F935" s="10" t="s">
        <v>83</v>
      </c>
      <c r="G935" s="10" t="s">
        <v>84</v>
      </c>
      <c r="H935" s="12">
        <v>3720</v>
      </c>
      <c r="I935" s="11">
        <v>130</v>
      </c>
      <c r="J935" s="11">
        <v>10</v>
      </c>
      <c r="K935" s="11">
        <v>1795</v>
      </c>
      <c r="L935" s="11">
        <v>3.4945453730875202E-2</v>
      </c>
      <c r="M935" s="11">
        <f t="shared" si="3"/>
        <v>3.4946236559139781</v>
      </c>
      <c r="N935" s="11">
        <v>7.69230769230769E-2</v>
      </c>
      <c r="O935" s="11">
        <v>0.48251607266862301</v>
      </c>
      <c r="P935" s="11">
        <v>0.54656862745098</v>
      </c>
      <c r="Q935" s="11">
        <v>0.45833333333333298</v>
      </c>
      <c r="R935" s="11">
        <v>0.45736434108527102</v>
      </c>
      <c r="S935" s="10" t="s">
        <v>84</v>
      </c>
      <c r="T935" s="10" t="s">
        <v>84</v>
      </c>
      <c r="U935" s="10"/>
      <c r="V935" s="10"/>
      <c r="W935" s="10"/>
      <c r="X935" s="10"/>
      <c r="Y935" s="10"/>
      <c r="Z935" s="10"/>
      <c r="AA935" s="10"/>
    </row>
    <row r="936" spans="1:27" ht="12.5" x14ac:dyDescent="0.25">
      <c r="A936" s="10" t="s">
        <v>25</v>
      </c>
      <c r="B936" s="10" t="s">
        <v>888</v>
      </c>
      <c r="C936" s="10" t="s">
        <v>76</v>
      </c>
      <c r="D936" s="11">
        <v>2024</v>
      </c>
      <c r="E936" s="10" t="s">
        <v>81</v>
      </c>
      <c r="F936" s="10" t="s">
        <v>83</v>
      </c>
      <c r="G936" s="10" t="s">
        <v>84</v>
      </c>
      <c r="H936" s="11">
        <v>34489</v>
      </c>
      <c r="I936" s="11">
        <v>1203</v>
      </c>
      <c r="J936" s="11">
        <v>1183</v>
      </c>
      <c r="K936" s="11">
        <v>24741</v>
      </c>
      <c r="L936" s="11">
        <v>3.4880433758345E-2</v>
      </c>
      <c r="M936" s="11">
        <f t="shared" si="3"/>
        <v>3.4880686595726171</v>
      </c>
      <c r="N936" s="11">
        <v>0.98337489609310103</v>
      </c>
      <c r="O936" s="11">
        <v>0.71735395811738401</v>
      </c>
      <c r="P936" s="11">
        <v>0.389358108108108</v>
      </c>
      <c r="Q936" s="11">
        <v>0.1875</v>
      </c>
      <c r="R936" s="11">
        <v>0.44573643410852698</v>
      </c>
      <c r="S936" s="10" t="s">
        <v>84</v>
      </c>
      <c r="T936" s="10" t="s">
        <v>84</v>
      </c>
      <c r="U936" s="10"/>
      <c r="V936" s="10"/>
      <c r="W936" s="10"/>
      <c r="X936" s="10"/>
      <c r="Y936" s="10"/>
      <c r="Z936" s="10"/>
      <c r="AA936" s="10"/>
    </row>
    <row r="937" spans="1:27" ht="12.5" x14ac:dyDescent="0.25">
      <c r="A937" s="10" t="s">
        <v>82</v>
      </c>
      <c r="B937" s="10" t="s">
        <v>1034</v>
      </c>
      <c r="C937" s="10" t="s">
        <v>76</v>
      </c>
      <c r="D937" s="11">
        <v>2024</v>
      </c>
      <c r="E937" s="10" t="s">
        <v>124</v>
      </c>
      <c r="F937" s="10" t="s">
        <v>83</v>
      </c>
      <c r="G937" s="10" t="s">
        <v>84</v>
      </c>
      <c r="H937" s="11">
        <v>1923</v>
      </c>
      <c r="I937" s="11">
        <v>67</v>
      </c>
      <c r="J937" s="11">
        <v>67</v>
      </c>
      <c r="K937" s="11">
        <v>2929</v>
      </c>
      <c r="L937" s="11">
        <v>3.4841393655746199E-2</v>
      </c>
      <c r="M937" s="11">
        <f t="shared" si="3"/>
        <v>3.4841393655746224</v>
      </c>
      <c r="N937" s="11">
        <v>1</v>
      </c>
      <c r="O937" s="11">
        <v>1.5231409256370301</v>
      </c>
      <c r="P937" s="11">
        <v>0.38851351351351299</v>
      </c>
      <c r="Q937" s="11">
        <v>0.63793103448275901</v>
      </c>
      <c r="R937" s="11">
        <v>0.28635346756152102</v>
      </c>
      <c r="S937" s="10" t="s">
        <v>84</v>
      </c>
      <c r="T937" s="10" t="s">
        <v>84</v>
      </c>
      <c r="U937" s="10"/>
      <c r="V937" s="10"/>
      <c r="W937" s="10"/>
      <c r="X937" s="10"/>
      <c r="Y937" s="10"/>
      <c r="Z937" s="10"/>
      <c r="AA937" s="10"/>
    </row>
    <row r="938" spans="1:27" ht="12.5" x14ac:dyDescent="0.25">
      <c r="A938" s="10" t="s">
        <v>77</v>
      </c>
      <c r="B938" s="10" t="s">
        <v>889</v>
      </c>
      <c r="C938" s="10" t="s">
        <v>76</v>
      </c>
      <c r="D938" s="11">
        <v>2024</v>
      </c>
      <c r="E938" s="10" t="s">
        <v>81</v>
      </c>
      <c r="F938" s="10" t="s">
        <v>83</v>
      </c>
      <c r="G938" s="10" t="s">
        <v>84</v>
      </c>
      <c r="H938" s="11">
        <v>9772</v>
      </c>
      <c r="I938" s="11">
        <v>340</v>
      </c>
      <c r="J938" s="11">
        <v>338</v>
      </c>
      <c r="K938" s="11">
        <v>13069</v>
      </c>
      <c r="L938" s="11">
        <v>3.4793286942284098E-2</v>
      </c>
      <c r="M938" s="11">
        <f t="shared" si="3"/>
        <v>3.4793286942284078</v>
      </c>
      <c r="N938" s="11">
        <v>0.99411764705882399</v>
      </c>
      <c r="O938" s="11">
        <v>1.33739255014327</v>
      </c>
      <c r="P938" s="11">
        <v>0.38766891891891903</v>
      </c>
      <c r="Q938" s="11">
        <v>0.5</v>
      </c>
      <c r="R938" s="11">
        <v>0.443798449612403</v>
      </c>
      <c r="S938" s="10" t="s">
        <v>84</v>
      </c>
      <c r="T938" s="10" t="s">
        <v>84</v>
      </c>
      <c r="U938" s="10"/>
      <c r="V938" s="10"/>
      <c r="W938" s="10"/>
      <c r="X938" s="10"/>
      <c r="Y938" s="10"/>
      <c r="Z938" s="10"/>
      <c r="AA938" s="10"/>
    </row>
    <row r="939" spans="1:27" ht="12.5" x14ac:dyDescent="0.25">
      <c r="A939" s="10" t="s">
        <v>62</v>
      </c>
      <c r="B939" s="10" t="s">
        <v>892</v>
      </c>
      <c r="C939" s="10" t="s">
        <v>76</v>
      </c>
      <c r="D939" s="11">
        <v>2024</v>
      </c>
      <c r="E939" s="10" t="s">
        <v>81</v>
      </c>
      <c r="F939" s="10" t="s">
        <v>83</v>
      </c>
      <c r="G939" s="10" t="s">
        <v>84</v>
      </c>
      <c r="H939" s="11">
        <v>8428</v>
      </c>
      <c r="I939" s="11">
        <v>293</v>
      </c>
      <c r="J939" s="11">
        <v>204</v>
      </c>
      <c r="K939" s="11">
        <v>629</v>
      </c>
      <c r="L939" s="11">
        <v>3.4764725075887203E-2</v>
      </c>
      <c r="M939" s="11">
        <f t="shared" si="3"/>
        <v>3.4765068818224965</v>
      </c>
      <c r="N939" s="11">
        <v>0.69624573378839605</v>
      </c>
      <c r="O939" s="11">
        <v>7.4631440521273101E-2</v>
      </c>
      <c r="P939" s="11">
        <v>0.38682432432432401</v>
      </c>
      <c r="Q939" s="11">
        <v>0.38888888888888901</v>
      </c>
      <c r="R939" s="11">
        <v>0.44186046511627902</v>
      </c>
      <c r="S939" s="10" t="s">
        <v>84</v>
      </c>
      <c r="T939" s="10" t="s">
        <v>84</v>
      </c>
      <c r="U939" s="10"/>
      <c r="V939" s="10"/>
      <c r="W939" s="10"/>
      <c r="X939" s="10"/>
      <c r="Y939" s="10"/>
      <c r="Z939" s="10"/>
      <c r="AA939" s="10"/>
    </row>
    <row r="940" spans="1:27" ht="12.5" x14ac:dyDescent="0.25">
      <c r="A940" s="10" t="s">
        <v>10</v>
      </c>
      <c r="B940" s="10" t="s">
        <v>894</v>
      </c>
      <c r="C940" s="10" t="s">
        <v>76</v>
      </c>
      <c r="D940" s="11">
        <v>2024</v>
      </c>
      <c r="E940" s="10" t="s">
        <v>81</v>
      </c>
      <c r="F940" s="10" t="s">
        <v>83</v>
      </c>
      <c r="G940" s="10" t="s">
        <v>84</v>
      </c>
      <c r="H940" s="11">
        <v>19258</v>
      </c>
      <c r="I940" s="11">
        <v>667</v>
      </c>
      <c r="J940" s="11">
        <v>248</v>
      </c>
      <c r="K940" s="11">
        <v>6368</v>
      </c>
      <c r="L940" s="11">
        <v>3.4635706280210003E-2</v>
      </c>
      <c r="M940" s="11">
        <f t="shared" si="3"/>
        <v>3.4634956901028144</v>
      </c>
      <c r="N940" s="11">
        <v>0.37181409295352302</v>
      </c>
      <c r="O940" s="11">
        <v>0.330674928924103</v>
      </c>
      <c r="P940" s="11">
        <v>0.38597972972972999</v>
      </c>
      <c r="Q940" s="11">
        <v>0.266666666666667</v>
      </c>
      <c r="R940" s="11">
        <v>0.43992248062015499</v>
      </c>
      <c r="S940" s="10" t="s">
        <v>84</v>
      </c>
      <c r="T940" s="10" t="s">
        <v>84</v>
      </c>
      <c r="U940" s="10"/>
      <c r="V940" s="10"/>
      <c r="W940" s="10"/>
      <c r="X940" s="10"/>
      <c r="Y940" s="10"/>
      <c r="Z940" s="10"/>
      <c r="AA940" s="10"/>
    </row>
    <row r="941" spans="1:27" ht="12.5" hidden="1" x14ac:dyDescent="0.25">
      <c r="A941" s="10" t="s">
        <v>110</v>
      </c>
      <c r="B941" s="10" t="s">
        <v>1567</v>
      </c>
      <c r="C941" s="10" t="s">
        <v>191</v>
      </c>
      <c r="D941" s="11">
        <v>2024</v>
      </c>
      <c r="E941" s="10" t="s">
        <v>124</v>
      </c>
      <c r="F941" s="10" t="s">
        <v>125</v>
      </c>
      <c r="G941" s="10" t="s">
        <v>84</v>
      </c>
      <c r="H941" s="12">
        <v>4679</v>
      </c>
      <c r="I941" s="11">
        <v>162</v>
      </c>
      <c r="J941" s="11">
        <v>161</v>
      </c>
      <c r="K941" s="11">
        <v>876</v>
      </c>
      <c r="L941" s="11">
        <v>3.4623399291146502E-2</v>
      </c>
      <c r="M941" s="11">
        <f t="shared" si="3"/>
        <v>3.46227826458645</v>
      </c>
      <c r="N941" s="11">
        <v>0.99382716049382702</v>
      </c>
      <c r="O941" s="11">
        <v>0.18722282579657001</v>
      </c>
      <c r="P941" s="11">
        <v>0.54289215686274495</v>
      </c>
      <c r="Q941" s="11">
        <v>1</v>
      </c>
      <c r="R941" s="11">
        <v>0.45542635658914699</v>
      </c>
      <c r="S941" s="10" t="s">
        <v>84</v>
      </c>
      <c r="T941" s="10" t="s">
        <v>84</v>
      </c>
      <c r="U941" s="10"/>
      <c r="V941" s="10"/>
      <c r="W941" s="10"/>
      <c r="X941" s="10"/>
      <c r="Y941" s="10"/>
      <c r="Z941" s="10"/>
      <c r="AA941" s="10"/>
    </row>
    <row r="942" spans="1:27" ht="12.5" x14ac:dyDescent="0.25">
      <c r="A942" s="10" t="s">
        <v>110</v>
      </c>
      <c r="B942" s="10" t="s">
        <v>1415</v>
      </c>
      <c r="C942" s="10" t="s">
        <v>76</v>
      </c>
      <c r="D942" s="11">
        <v>2024</v>
      </c>
      <c r="E942" s="10" t="s">
        <v>257</v>
      </c>
      <c r="F942" s="10" t="s">
        <v>83</v>
      </c>
      <c r="G942" s="10" t="s">
        <v>84</v>
      </c>
      <c r="H942" s="11">
        <v>16436</v>
      </c>
      <c r="I942" s="11">
        <v>568</v>
      </c>
      <c r="J942" s="11">
        <v>475</v>
      </c>
      <c r="K942" s="11">
        <v>7922</v>
      </c>
      <c r="L942" s="11">
        <v>3.45581114722181E-2</v>
      </c>
      <c r="M942" s="11">
        <f t="shared" si="3"/>
        <v>3.4558286687758581</v>
      </c>
      <c r="N942" s="11">
        <v>0.83626760563380298</v>
      </c>
      <c r="O942" s="11">
        <v>0.48198830824456401</v>
      </c>
      <c r="P942" s="11">
        <v>0.38513513513513498</v>
      </c>
      <c r="Q942" s="11">
        <v>0.54545454545454497</v>
      </c>
      <c r="R942" s="11">
        <v>0.5</v>
      </c>
      <c r="S942" s="10" t="s">
        <v>84</v>
      </c>
      <c r="T942" s="10" t="s">
        <v>84</v>
      </c>
      <c r="U942" s="10"/>
      <c r="V942" s="10"/>
      <c r="W942" s="10"/>
      <c r="X942" s="10"/>
      <c r="Y942" s="10"/>
      <c r="Z942" s="10"/>
      <c r="AA942" s="10"/>
    </row>
    <row r="943" spans="1:27" ht="12.5" x14ac:dyDescent="0.25">
      <c r="A943" s="10" t="s">
        <v>42</v>
      </c>
      <c r="B943" s="10" t="s">
        <v>896</v>
      </c>
      <c r="C943" s="10" t="s">
        <v>76</v>
      </c>
      <c r="D943" s="11">
        <v>2024</v>
      </c>
      <c r="E943" s="10" t="s">
        <v>81</v>
      </c>
      <c r="F943" s="10" t="s">
        <v>83</v>
      </c>
      <c r="G943" s="10" t="s">
        <v>84</v>
      </c>
      <c r="H943" s="11">
        <v>30338</v>
      </c>
      <c r="I943" s="11">
        <v>1042</v>
      </c>
      <c r="J943" s="11">
        <v>815</v>
      </c>
      <c r="K943" s="11">
        <v>25971</v>
      </c>
      <c r="L943" s="11">
        <v>3.4345892583935098E-2</v>
      </c>
      <c r="M943" s="11">
        <f t="shared" si="3"/>
        <v>3.4346364295602871</v>
      </c>
      <c r="N943" s="11">
        <v>0.78214971209213002</v>
      </c>
      <c r="O943" s="11">
        <v>0.85604335537176501</v>
      </c>
      <c r="P943" s="11">
        <v>0.38429054054054002</v>
      </c>
      <c r="Q943" s="11">
        <v>0.38095238095238099</v>
      </c>
      <c r="R943" s="11">
        <v>0.43798449612403101</v>
      </c>
      <c r="S943" s="10" t="s">
        <v>84</v>
      </c>
      <c r="T943" s="10" t="s">
        <v>84</v>
      </c>
      <c r="U943" s="10"/>
      <c r="V943" s="10"/>
      <c r="W943" s="10"/>
      <c r="X943" s="10"/>
      <c r="Y943" s="10"/>
      <c r="Z943" s="10"/>
      <c r="AA943" s="10"/>
    </row>
    <row r="944" spans="1:27" ht="12.5" x14ac:dyDescent="0.25">
      <c r="A944" s="10" t="s">
        <v>32</v>
      </c>
      <c r="B944" s="10" t="s">
        <v>898</v>
      </c>
      <c r="C944" s="10" t="s">
        <v>76</v>
      </c>
      <c r="D944" s="11">
        <v>2024</v>
      </c>
      <c r="E944" s="10" t="s">
        <v>81</v>
      </c>
      <c r="F944" s="10" t="s">
        <v>83</v>
      </c>
      <c r="G944" s="10" t="s">
        <v>84</v>
      </c>
      <c r="H944" s="11">
        <v>12208</v>
      </c>
      <c r="I944" s="11">
        <v>417</v>
      </c>
      <c r="J944" s="11">
        <v>356</v>
      </c>
      <c r="K944" s="11">
        <v>0</v>
      </c>
      <c r="L944" s="11">
        <v>3.4156763435061903E-2</v>
      </c>
      <c r="M944" s="11">
        <f t="shared" si="3"/>
        <v>3.4157929226736563</v>
      </c>
      <c r="N944" s="11">
        <v>0.85371702637889701</v>
      </c>
      <c r="O944" s="11">
        <v>0</v>
      </c>
      <c r="P944" s="11">
        <v>0.38260135135135098</v>
      </c>
      <c r="Q944" s="11">
        <v>0.20689655172413801</v>
      </c>
      <c r="R944" s="11">
        <v>0.43604651162790697</v>
      </c>
      <c r="S944" s="10" t="s">
        <v>84</v>
      </c>
      <c r="T944" s="10" t="s">
        <v>84</v>
      </c>
      <c r="U944" s="10"/>
      <c r="V944" s="10"/>
      <c r="W944" s="10"/>
      <c r="X944" s="10"/>
      <c r="Y944" s="10"/>
      <c r="Z944" s="10"/>
      <c r="AA944" s="10"/>
    </row>
    <row r="945" spans="1:27" ht="12.5" x14ac:dyDescent="0.25">
      <c r="A945" s="10" t="s">
        <v>62</v>
      </c>
      <c r="B945" s="10" t="s">
        <v>1036</v>
      </c>
      <c r="C945" s="10" t="s">
        <v>76</v>
      </c>
      <c r="D945" s="11">
        <v>2024</v>
      </c>
      <c r="E945" s="10" t="s">
        <v>124</v>
      </c>
      <c r="F945" s="10" t="s">
        <v>83</v>
      </c>
      <c r="G945" s="10" t="s">
        <v>84</v>
      </c>
      <c r="H945" s="11">
        <v>23546</v>
      </c>
      <c r="I945" s="11">
        <v>804</v>
      </c>
      <c r="J945" s="11">
        <v>604</v>
      </c>
      <c r="K945" s="11">
        <v>3904</v>
      </c>
      <c r="L945" s="11">
        <v>3.41465313735414E-2</v>
      </c>
      <c r="M945" s="11">
        <f t="shared" si="3"/>
        <v>3.4145927121379427</v>
      </c>
      <c r="N945" s="11">
        <v>0.75124378109452705</v>
      </c>
      <c r="O945" s="11">
        <v>0.16580604288844</v>
      </c>
      <c r="P945" s="11">
        <v>0.38175675675675702</v>
      </c>
      <c r="Q945" s="11">
        <v>0.36111111111111099</v>
      </c>
      <c r="R945" s="11">
        <v>0.28411633109619699</v>
      </c>
      <c r="S945" s="10" t="s">
        <v>84</v>
      </c>
      <c r="T945" s="10" t="s">
        <v>84</v>
      </c>
      <c r="U945" s="10"/>
      <c r="V945" s="10"/>
      <c r="W945" s="10"/>
      <c r="X945" s="10"/>
      <c r="Y945" s="10"/>
      <c r="Z945" s="10"/>
      <c r="AA945" s="10"/>
    </row>
    <row r="946" spans="1:27" ht="12.5" x14ac:dyDescent="0.25">
      <c r="A946" s="10" t="s">
        <v>42</v>
      </c>
      <c r="B946" s="10" t="s">
        <v>900</v>
      </c>
      <c r="C946" s="10" t="s">
        <v>76</v>
      </c>
      <c r="D946" s="11">
        <v>2024</v>
      </c>
      <c r="E946" s="10" t="s">
        <v>81</v>
      </c>
      <c r="F946" s="10" t="s">
        <v>83</v>
      </c>
      <c r="G946" s="10" t="s">
        <v>84</v>
      </c>
      <c r="H946" s="11">
        <v>3851</v>
      </c>
      <c r="I946" s="11">
        <v>131</v>
      </c>
      <c r="J946" s="11">
        <v>107</v>
      </c>
      <c r="K946" s="11">
        <v>677</v>
      </c>
      <c r="L946" s="11">
        <v>3.40186106903268E-2</v>
      </c>
      <c r="M946" s="11">
        <f t="shared" si="3"/>
        <v>3.4017138405608929</v>
      </c>
      <c r="N946" s="11">
        <v>0.81679389312977102</v>
      </c>
      <c r="O946" s="11">
        <v>0.17580610257519999</v>
      </c>
      <c r="P946" s="11">
        <v>0.380912162162162</v>
      </c>
      <c r="Q946" s="11">
        <v>0.35714285714285698</v>
      </c>
      <c r="R946" s="11">
        <v>0.434108527131783</v>
      </c>
      <c r="S946" s="10" t="s">
        <v>84</v>
      </c>
      <c r="T946" s="10" t="s">
        <v>84</v>
      </c>
      <c r="U946" s="10"/>
      <c r="V946" s="10"/>
      <c r="W946" s="10"/>
      <c r="X946" s="10"/>
      <c r="Y946" s="10"/>
      <c r="Z946" s="10"/>
      <c r="AA946" s="10"/>
    </row>
    <row r="947" spans="1:27" ht="12.5" hidden="1" x14ac:dyDescent="0.25">
      <c r="A947" s="10" t="s">
        <v>36</v>
      </c>
      <c r="B947" s="10" t="s">
        <v>1568</v>
      </c>
      <c r="C947" s="10" t="s">
        <v>191</v>
      </c>
      <c r="D947" s="11">
        <v>2024</v>
      </c>
      <c r="E947" s="10" t="s">
        <v>124</v>
      </c>
      <c r="F947" s="10" t="s">
        <v>125</v>
      </c>
      <c r="G947" s="10" t="s">
        <v>84</v>
      </c>
      <c r="H947" s="12">
        <v>1971</v>
      </c>
      <c r="I947" s="11">
        <v>67</v>
      </c>
      <c r="J947" s="11">
        <v>79</v>
      </c>
      <c r="K947" s="11">
        <v>534</v>
      </c>
      <c r="L947" s="11">
        <v>3.3990022829119802E-2</v>
      </c>
      <c r="M947" s="11">
        <f t="shared" si="3"/>
        <v>3.3992897006595637</v>
      </c>
      <c r="N947" s="11">
        <v>1.1791044776119399</v>
      </c>
      <c r="O947" s="11">
        <v>0.27090555508582098</v>
      </c>
      <c r="P947" s="11">
        <v>0.53799019607843102</v>
      </c>
      <c r="Q947" s="11">
        <v>0.2</v>
      </c>
      <c r="R947" s="11">
        <v>0.45155038759689903</v>
      </c>
      <c r="S947" s="10" t="s">
        <v>84</v>
      </c>
      <c r="T947" s="10" t="s">
        <v>84</v>
      </c>
      <c r="U947" s="10"/>
      <c r="V947" s="10"/>
      <c r="W947" s="10"/>
      <c r="X947" s="10"/>
      <c r="Y947" s="10"/>
      <c r="Z947" s="10"/>
      <c r="AA947" s="10"/>
    </row>
    <row r="948" spans="1:27" ht="12.5" hidden="1" x14ac:dyDescent="0.25">
      <c r="A948" s="10" t="s">
        <v>36</v>
      </c>
      <c r="B948" s="10" t="s">
        <v>1569</v>
      </c>
      <c r="C948" s="10" t="s">
        <v>191</v>
      </c>
      <c r="D948" s="11">
        <v>2024</v>
      </c>
      <c r="E948" s="10" t="s">
        <v>124</v>
      </c>
      <c r="F948" s="10" t="s">
        <v>125</v>
      </c>
      <c r="G948" s="10" t="s">
        <v>84</v>
      </c>
      <c r="H948" s="12">
        <v>1971</v>
      </c>
      <c r="I948" s="11">
        <v>67</v>
      </c>
      <c r="J948" s="11">
        <v>79</v>
      </c>
      <c r="K948" s="11">
        <v>504</v>
      </c>
      <c r="L948" s="11">
        <v>3.3990022829119802E-2</v>
      </c>
      <c r="M948" s="11">
        <f t="shared" si="3"/>
        <v>3.3992897006595637</v>
      </c>
      <c r="N948" s="11">
        <v>1.1791044776119399</v>
      </c>
      <c r="O948" s="11">
        <v>0.25568614187875199</v>
      </c>
      <c r="P948" s="11">
        <v>0.53799019607843102</v>
      </c>
      <c r="Q948" s="11">
        <v>0.2</v>
      </c>
      <c r="R948" s="11">
        <v>0.45155038759689903</v>
      </c>
      <c r="S948" s="10" t="s">
        <v>84</v>
      </c>
      <c r="T948" s="10" t="s">
        <v>84</v>
      </c>
      <c r="U948" s="10"/>
      <c r="V948" s="10"/>
      <c r="W948" s="10"/>
      <c r="X948" s="10"/>
      <c r="Y948" s="10"/>
      <c r="Z948" s="10"/>
      <c r="AA948" s="10"/>
    </row>
    <row r="949" spans="1:27" ht="12.5" x14ac:dyDescent="0.25">
      <c r="A949" s="10" t="s">
        <v>110</v>
      </c>
      <c r="B949" s="10" t="s">
        <v>1039</v>
      </c>
      <c r="C949" s="10" t="s">
        <v>76</v>
      </c>
      <c r="D949" s="11">
        <v>2024</v>
      </c>
      <c r="E949" s="10" t="s">
        <v>124</v>
      </c>
      <c r="F949" s="10" t="s">
        <v>83</v>
      </c>
      <c r="G949" s="10" t="s">
        <v>84</v>
      </c>
      <c r="H949" s="11">
        <v>424079</v>
      </c>
      <c r="I949" s="11">
        <v>14406</v>
      </c>
      <c r="J949" s="11">
        <v>14082</v>
      </c>
      <c r="K949" s="11">
        <v>69610</v>
      </c>
      <c r="L949" s="11">
        <v>3.3970079087057098E-2</v>
      </c>
      <c r="M949" s="11">
        <f t="shared" si="3"/>
        <v>3.3970085762322584</v>
      </c>
      <c r="N949" s="11">
        <v>0.97750937109537706</v>
      </c>
      <c r="O949" s="11">
        <v>0.16414391262321601</v>
      </c>
      <c r="P949" s="11">
        <v>0.38006756756756799</v>
      </c>
      <c r="Q949" s="11">
        <v>0.51515151515151503</v>
      </c>
      <c r="R949" s="11">
        <v>0.28187919463087202</v>
      </c>
      <c r="S949" s="10" t="s">
        <v>84</v>
      </c>
      <c r="T949" s="10" t="s">
        <v>84</v>
      </c>
      <c r="U949" s="10"/>
      <c r="V949" s="10"/>
      <c r="W949" s="10"/>
      <c r="X949" s="10"/>
      <c r="Y949" s="10"/>
      <c r="Z949" s="10"/>
      <c r="AA949" s="10"/>
    </row>
    <row r="950" spans="1:27" ht="12.5" x14ac:dyDescent="0.25">
      <c r="A950" s="10" t="s">
        <v>36</v>
      </c>
      <c r="B950" s="10" t="s">
        <v>902</v>
      </c>
      <c r="C950" s="10" t="s">
        <v>76</v>
      </c>
      <c r="D950" s="11">
        <v>2024</v>
      </c>
      <c r="E950" s="10" t="s">
        <v>81</v>
      </c>
      <c r="F950" s="10" t="s">
        <v>83</v>
      </c>
      <c r="G950" s="10" t="s">
        <v>84</v>
      </c>
      <c r="H950" s="11">
        <v>16369</v>
      </c>
      <c r="I950" s="11">
        <v>554</v>
      </c>
      <c r="J950" s="11">
        <v>495</v>
      </c>
      <c r="K950" s="11">
        <v>40149</v>
      </c>
      <c r="L950" s="11">
        <v>3.3843772908690999E-2</v>
      </c>
      <c r="M950" s="11">
        <f t="shared" si="3"/>
        <v>3.3844462092980634</v>
      </c>
      <c r="N950" s="11">
        <v>0.893501805054152</v>
      </c>
      <c r="O950" s="11">
        <v>2.4526960983953701</v>
      </c>
      <c r="P950" s="11">
        <v>0.37922297297297303</v>
      </c>
      <c r="Q950" s="11">
        <v>0.25531914893617003</v>
      </c>
      <c r="R950" s="11">
        <v>0.43217054263565902</v>
      </c>
      <c r="S950" s="10" t="s">
        <v>84</v>
      </c>
      <c r="T950" s="10" t="s">
        <v>84</v>
      </c>
      <c r="U950" s="10"/>
      <c r="V950" s="10"/>
      <c r="W950" s="10"/>
      <c r="X950" s="10"/>
      <c r="Y950" s="10"/>
      <c r="Z950" s="10"/>
      <c r="AA950" s="10"/>
    </row>
    <row r="951" spans="1:27" ht="12.5" x14ac:dyDescent="0.25">
      <c r="A951" s="10" t="s">
        <v>69</v>
      </c>
      <c r="B951" s="10" t="s">
        <v>1041</v>
      </c>
      <c r="C951" s="10" t="s">
        <v>76</v>
      </c>
      <c r="D951" s="11">
        <v>2024</v>
      </c>
      <c r="E951" s="10" t="s">
        <v>124</v>
      </c>
      <c r="F951" s="10" t="s">
        <v>83</v>
      </c>
      <c r="G951" s="10" t="s">
        <v>84</v>
      </c>
      <c r="H951" s="11">
        <v>3961</v>
      </c>
      <c r="I951" s="11">
        <v>134</v>
      </c>
      <c r="J951" s="11">
        <v>117</v>
      </c>
      <c r="K951" s="11">
        <v>3139</v>
      </c>
      <c r="L951" s="11">
        <v>3.3829840949255202E-2</v>
      </c>
      <c r="M951" s="11">
        <f t="shared" si="3"/>
        <v>3.3829840949255239</v>
      </c>
      <c r="N951" s="11">
        <v>0.87313432835820903</v>
      </c>
      <c r="O951" s="11">
        <v>0.79247664731128498</v>
      </c>
      <c r="P951" s="11">
        <v>0.37837837837837801</v>
      </c>
      <c r="Q951" s="11">
        <v>0.33333333333333298</v>
      </c>
      <c r="R951" s="11">
        <v>0.27964205816554799</v>
      </c>
      <c r="S951" s="10" t="s">
        <v>84</v>
      </c>
      <c r="T951" s="10" t="s">
        <v>84</v>
      </c>
      <c r="U951" s="10"/>
      <c r="V951" s="10"/>
      <c r="W951" s="10"/>
      <c r="X951" s="10"/>
      <c r="Y951" s="10"/>
      <c r="Z951" s="10"/>
      <c r="AA951" s="10"/>
    </row>
    <row r="952" spans="1:27" ht="12.5" x14ac:dyDescent="0.25">
      <c r="A952" s="10" t="s">
        <v>91</v>
      </c>
      <c r="B952" s="10" t="s">
        <v>904</v>
      </c>
      <c r="C952" s="10" t="s">
        <v>76</v>
      </c>
      <c r="D952" s="11">
        <v>2024</v>
      </c>
      <c r="E952" s="10" t="s">
        <v>81</v>
      </c>
      <c r="F952" s="10" t="s">
        <v>83</v>
      </c>
      <c r="G952" s="10" t="s">
        <v>84</v>
      </c>
      <c r="H952" s="11">
        <v>51470</v>
      </c>
      <c r="I952" s="11">
        <v>1740</v>
      </c>
      <c r="J952" s="11">
        <v>1727</v>
      </c>
      <c r="K952" s="11">
        <v>7959</v>
      </c>
      <c r="L952" s="11">
        <v>3.3806374314927098E-2</v>
      </c>
      <c r="M952" s="11">
        <f t="shared" si="3"/>
        <v>3.3806100641150185</v>
      </c>
      <c r="N952" s="11">
        <v>0.99252873563218402</v>
      </c>
      <c r="O952" s="11">
        <v>0.15463501906465801</v>
      </c>
      <c r="P952" s="11">
        <v>0.37668918918918898</v>
      </c>
      <c r="Q952" s="11">
        <v>0.6</v>
      </c>
      <c r="R952" s="11">
        <v>0.43023255813953498</v>
      </c>
      <c r="S952" s="10" t="s">
        <v>84</v>
      </c>
      <c r="T952" s="10" t="s">
        <v>84</v>
      </c>
      <c r="U952" s="10"/>
      <c r="V952" s="10"/>
      <c r="W952" s="10"/>
      <c r="X952" s="10"/>
      <c r="Y952" s="10"/>
      <c r="Z952" s="10"/>
      <c r="AA952" s="10"/>
    </row>
    <row r="953" spans="1:27" ht="12.5" x14ac:dyDescent="0.25">
      <c r="A953" s="10" t="s">
        <v>82</v>
      </c>
      <c r="B953" s="10" t="s">
        <v>1044</v>
      </c>
      <c r="C953" s="10" t="s">
        <v>76</v>
      </c>
      <c r="D953" s="11">
        <v>2024</v>
      </c>
      <c r="E953" s="10" t="s">
        <v>124</v>
      </c>
      <c r="F953" s="10" t="s">
        <v>83</v>
      </c>
      <c r="G953" s="10" t="s">
        <v>84</v>
      </c>
      <c r="H953" s="11">
        <v>1125</v>
      </c>
      <c r="I953" s="11">
        <v>38</v>
      </c>
      <c r="J953" s="11">
        <v>37</v>
      </c>
      <c r="K953" s="11">
        <v>2205</v>
      </c>
      <c r="L953" s="11">
        <v>3.37802800207423E-2</v>
      </c>
      <c r="M953" s="11">
        <f t="shared" si="3"/>
        <v>3.3777777777777773</v>
      </c>
      <c r="N953" s="11">
        <v>0.97368421052631604</v>
      </c>
      <c r="O953" s="11">
        <v>1.9601451959404399</v>
      </c>
      <c r="P953" s="11">
        <v>0.37584459459459502</v>
      </c>
      <c r="Q953" s="11">
        <v>0.60344827586206895</v>
      </c>
      <c r="R953" s="11">
        <v>0.27740492170022402</v>
      </c>
      <c r="S953" s="10" t="s">
        <v>84</v>
      </c>
      <c r="T953" s="10" t="s">
        <v>84</v>
      </c>
      <c r="U953" s="10"/>
      <c r="V953" s="10"/>
      <c r="W953" s="10"/>
      <c r="X953" s="10"/>
      <c r="Y953" s="10"/>
      <c r="Z953" s="10"/>
      <c r="AA953" s="10"/>
    </row>
    <row r="954" spans="1:27" ht="12.5" x14ac:dyDescent="0.25">
      <c r="A954" s="10" t="s">
        <v>104</v>
      </c>
      <c r="B954" s="10" t="s">
        <v>906</v>
      </c>
      <c r="C954" s="10" t="s">
        <v>76</v>
      </c>
      <c r="D954" s="11">
        <v>2024</v>
      </c>
      <c r="E954" s="10" t="s">
        <v>81</v>
      </c>
      <c r="F954" s="10" t="s">
        <v>83</v>
      </c>
      <c r="G954" s="10" t="s">
        <v>84</v>
      </c>
      <c r="H954" s="11">
        <v>6624</v>
      </c>
      <c r="I954" s="11">
        <v>222</v>
      </c>
      <c r="J954" s="11">
        <v>194</v>
      </c>
      <c r="K954" s="11">
        <v>3701</v>
      </c>
      <c r="L954" s="11">
        <v>3.3512384738278798E-2</v>
      </c>
      <c r="M954" s="11">
        <f t="shared" si="3"/>
        <v>3.3514492753623193</v>
      </c>
      <c r="N954" s="11">
        <v>0.87387387387387405</v>
      </c>
      <c r="O954" s="11">
        <v>0.55869070232599105</v>
      </c>
      <c r="P954" s="11">
        <v>0.37415540540540498</v>
      </c>
      <c r="Q954" s="11">
        <v>0.31034482758620702</v>
      </c>
      <c r="R954" s="11">
        <v>0.428294573643411</v>
      </c>
      <c r="S954" s="10" t="s">
        <v>84</v>
      </c>
      <c r="T954" s="10" t="s">
        <v>84</v>
      </c>
      <c r="U954" s="10"/>
      <c r="V954" s="10"/>
      <c r="W954" s="10"/>
      <c r="X954" s="10"/>
      <c r="Y954" s="10"/>
      <c r="Z954" s="10"/>
      <c r="AA954" s="10"/>
    </row>
    <row r="955" spans="1:27" ht="12.5" x14ac:dyDescent="0.25">
      <c r="A955" s="10" t="s">
        <v>6</v>
      </c>
      <c r="B955" s="10" t="s">
        <v>1046</v>
      </c>
      <c r="C955" s="10" t="s">
        <v>76</v>
      </c>
      <c r="D955" s="11">
        <v>2024</v>
      </c>
      <c r="E955" s="10" t="s">
        <v>124</v>
      </c>
      <c r="F955" s="10" t="s">
        <v>83</v>
      </c>
      <c r="G955" s="10" t="s">
        <v>84</v>
      </c>
      <c r="H955" s="11">
        <v>11667</v>
      </c>
      <c r="I955" s="11">
        <v>390</v>
      </c>
      <c r="J955" s="11">
        <v>209</v>
      </c>
      <c r="K955" s="11">
        <v>6046</v>
      </c>
      <c r="L955" s="11">
        <v>3.3427138836906997E-2</v>
      </c>
      <c r="M955" s="11">
        <f t="shared" si="3"/>
        <v>3.3427616353818461</v>
      </c>
      <c r="N955" s="11">
        <v>0.53589743589743599</v>
      </c>
      <c r="O955" s="11">
        <v>0.51820636258446096</v>
      </c>
      <c r="P955" s="11">
        <v>0.37331081081081102</v>
      </c>
      <c r="Q955" s="11">
        <v>0.58064516129032295</v>
      </c>
      <c r="R955" s="11">
        <v>0.27516778523489899</v>
      </c>
      <c r="S955" s="10" t="s">
        <v>84</v>
      </c>
      <c r="T955" s="10" t="s">
        <v>84</v>
      </c>
      <c r="U955" s="10"/>
      <c r="V955" s="10"/>
      <c r="W955" s="10"/>
      <c r="X955" s="10"/>
      <c r="Y955" s="10"/>
      <c r="Z955" s="10"/>
      <c r="AA955" s="10"/>
    </row>
    <row r="956" spans="1:27" ht="12.5" x14ac:dyDescent="0.25">
      <c r="A956" s="10" t="s">
        <v>112</v>
      </c>
      <c r="B956" s="10" t="s">
        <v>840</v>
      </c>
      <c r="C956" s="10" t="s">
        <v>76</v>
      </c>
      <c r="D956" s="11">
        <v>2024</v>
      </c>
      <c r="E956" s="10" t="s">
        <v>81</v>
      </c>
      <c r="F956" s="10" t="s">
        <v>83</v>
      </c>
      <c r="G956" s="10" t="s">
        <v>84</v>
      </c>
      <c r="H956" s="11">
        <v>901</v>
      </c>
      <c r="I956" s="11">
        <v>30</v>
      </c>
      <c r="J956" s="11">
        <v>28</v>
      </c>
      <c r="K956" s="11">
        <v>87</v>
      </c>
      <c r="L956" s="11">
        <v>3.3296337402885699E-2</v>
      </c>
      <c r="M956" s="11">
        <f t="shared" si="3"/>
        <v>3.3296337402885685</v>
      </c>
      <c r="N956" s="11">
        <v>0.93333333333333302</v>
      </c>
      <c r="O956" s="11">
        <v>9.6559378468368498E-2</v>
      </c>
      <c r="P956" s="11">
        <v>0.37246621621621601</v>
      </c>
      <c r="Q956" s="11">
        <v>0.83333333333333304</v>
      </c>
      <c r="R956" s="11">
        <v>0.42635658914728702</v>
      </c>
      <c r="S956" s="10" t="s">
        <v>84</v>
      </c>
      <c r="T956" s="10" t="s">
        <v>84</v>
      </c>
      <c r="U956" s="10"/>
      <c r="V956" s="10"/>
      <c r="W956" s="10"/>
      <c r="X956" s="10"/>
      <c r="Y956" s="10"/>
      <c r="Z956" s="10"/>
      <c r="AA956" s="10"/>
    </row>
    <row r="957" spans="1:27" ht="12.5" x14ac:dyDescent="0.25">
      <c r="A957" s="10" t="s">
        <v>6</v>
      </c>
      <c r="B957" s="10" t="s">
        <v>1050</v>
      </c>
      <c r="C957" s="10" t="s">
        <v>76</v>
      </c>
      <c r="D957" s="11">
        <v>2024</v>
      </c>
      <c r="E957" s="10" t="s">
        <v>124</v>
      </c>
      <c r="F957" s="10" t="s">
        <v>125</v>
      </c>
      <c r="G957" s="10" t="s">
        <v>84</v>
      </c>
      <c r="H957" s="11">
        <v>781</v>
      </c>
      <c r="I957" s="11">
        <v>26</v>
      </c>
      <c r="J957" s="11">
        <v>26</v>
      </c>
      <c r="K957" s="11">
        <v>641</v>
      </c>
      <c r="L957" s="11">
        <v>3.32729017809534E-2</v>
      </c>
      <c r="M957" s="11">
        <f t="shared" si="3"/>
        <v>3.3290653008962869</v>
      </c>
      <c r="N957" s="11">
        <v>1</v>
      </c>
      <c r="O957" s="11">
        <v>0.82030500159965902</v>
      </c>
      <c r="P957" s="11">
        <v>0.37077702702702697</v>
      </c>
      <c r="Q957" s="11">
        <v>0.54838709677419395</v>
      </c>
      <c r="R957" s="11">
        <v>0.27293064876957501</v>
      </c>
      <c r="S957" s="10" t="s">
        <v>84</v>
      </c>
      <c r="T957" s="10" t="s">
        <v>84</v>
      </c>
      <c r="U957" s="10"/>
      <c r="V957" s="10"/>
      <c r="W957" s="10"/>
      <c r="X957" s="10"/>
      <c r="Y957" s="10"/>
      <c r="Z957" s="10"/>
      <c r="AA957" s="10"/>
    </row>
    <row r="958" spans="1:27" ht="12.5" x14ac:dyDescent="0.25">
      <c r="A958" s="10" t="s">
        <v>53</v>
      </c>
      <c r="B958" s="10" t="s">
        <v>1054</v>
      </c>
      <c r="C958" s="10" t="s">
        <v>76</v>
      </c>
      <c r="D958" s="11">
        <v>2024</v>
      </c>
      <c r="E958" s="10" t="s">
        <v>124</v>
      </c>
      <c r="F958" s="10" t="s">
        <v>125</v>
      </c>
      <c r="G958" s="10" t="s">
        <v>84</v>
      </c>
      <c r="H958" s="11">
        <v>1113</v>
      </c>
      <c r="I958" s="11">
        <v>37</v>
      </c>
      <c r="J958" s="11">
        <v>31</v>
      </c>
      <c r="K958" s="11">
        <v>298</v>
      </c>
      <c r="L958" s="11">
        <v>3.3253445176752501E-2</v>
      </c>
      <c r="M958" s="11">
        <f t="shared" si="3"/>
        <v>3.3243486073674751</v>
      </c>
      <c r="N958" s="11">
        <v>0.83783783783783805</v>
      </c>
      <c r="O958" s="11">
        <v>0.26782504493708797</v>
      </c>
      <c r="P958" s="11">
        <v>0.36993243243243201</v>
      </c>
      <c r="Q958" s="11">
        <v>0.9</v>
      </c>
      <c r="R958" s="11">
        <v>0.27069351230425098</v>
      </c>
      <c r="S958" s="10" t="s">
        <v>84</v>
      </c>
      <c r="T958" s="10" t="s">
        <v>84</v>
      </c>
      <c r="U958" s="10"/>
      <c r="V958" s="10"/>
      <c r="W958" s="10"/>
      <c r="X958" s="10"/>
      <c r="Y958" s="10"/>
      <c r="Z958" s="10"/>
      <c r="AA958" s="10"/>
    </row>
    <row r="959" spans="1:27" ht="12.5" x14ac:dyDescent="0.25">
      <c r="A959" s="10" t="s">
        <v>42</v>
      </c>
      <c r="B959" s="10" t="s">
        <v>908</v>
      </c>
      <c r="C959" s="10" t="s">
        <v>76</v>
      </c>
      <c r="D959" s="11">
        <v>2024</v>
      </c>
      <c r="E959" s="10" t="s">
        <v>81</v>
      </c>
      <c r="F959" s="10" t="s">
        <v>83</v>
      </c>
      <c r="G959" s="10" t="s">
        <v>84</v>
      </c>
      <c r="H959" s="11">
        <v>14711</v>
      </c>
      <c r="I959" s="11">
        <v>488</v>
      </c>
      <c r="J959" s="11">
        <v>367</v>
      </c>
      <c r="K959" s="11">
        <v>4376</v>
      </c>
      <c r="L959" s="11">
        <v>3.3173583494782603E-2</v>
      </c>
      <c r="M959" s="11">
        <f t="shared" si="3"/>
        <v>3.3172455985317111</v>
      </c>
      <c r="N959" s="11">
        <v>0.75204918032786905</v>
      </c>
      <c r="O959" s="11">
        <v>0.29747459297780499</v>
      </c>
      <c r="P959" s="11">
        <v>0.369087837837838</v>
      </c>
      <c r="Q959" s="11">
        <v>0.33333333333333298</v>
      </c>
      <c r="R959" s="11">
        <v>0.42441860465116299</v>
      </c>
      <c r="S959" s="10" t="s">
        <v>84</v>
      </c>
      <c r="T959" s="10" t="s">
        <v>84</v>
      </c>
      <c r="U959" s="10"/>
      <c r="V959" s="10"/>
      <c r="W959" s="10"/>
      <c r="X959" s="10"/>
      <c r="Y959" s="10"/>
      <c r="Z959" s="10"/>
      <c r="AA959" s="10"/>
    </row>
    <row r="960" spans="1:27" ht="12.5" hidden="1" x14ac:dyDescent="0.25">
      <c r="A960" s="10" t="s">
        <v>77</v>
      </c>
      <c r="B960" s="10" t="s">
        <v>1570</v>
      </c>
      <c r="C960" s="10" t="s">
        <v>191</v>
      </c>
      <c r="D960" s="11">
        <v>2024</v>
      </c>
      <c r="E960" s="10" t="s">
        <v>124</v>
      </c>
      <c r="F960" s="10" t="s">
        <v>125</v>
      </c>
      <c r="G960" s="10" t="s">
        <v>84</v>
      </c>
      <c r="H960" s="12">
        <v>2519</v>
      </c>
      <c r="I960" s="11">
        <v>83</v>
      </c>
      <c r="J960" s="11">
        <v>34</v>
      </c>
      <c r="K960" s="11">
        <v>2658</v>
      </c>
      <c r="L960" s="11">
        <v>3.2949583167923797E-2</v>
      </c>
      <c r="M960" s="11">
        <f t="shared" si="3"/>
        <v>3.2949583167923775</v>
      </c>
      <c r="N960" s="11">
        <v>0.40963855421686701</v>
      </c>
      <c r="O960" s="11">
        <v>1.05518062723303</v>
      </c>
      <c r="P960" s="11">
        <v>0.53553921568627405</v>
      </c>
      <c r="Q960" s="11">
        <v>0.73913043478260898</v>
      </c>
      <c r="R960" s="11">
        <v>0.44961240310077499</v>
      </c>
      <c r="S960" s="10" t="s">
        <v>84</v>
      </c>
      <c r="T960" s="10" t="s">
        <v>84</v>
      </c>
      <c r="U960" s="10"/>
      <c r="V960" s="10"/>
      <c r="W960" s="10"/>
      <c r="X960" s="10"/>
      <c r="Y960" s="10"/>
      <c r="Z960" s="10"/>
      <c r="AA960" s="10"/>
    </row>
    <row r="961" spans="1:27" ht="12.5" x14ac:dyDescent="0.25">
      <c r="A961" s="10" t="s">
        <v>43</v>
      </c>
      <c r="B961" s="10" t="s">
        <v>1571</v>
      </c>
      <c r="C961" s="10" t="s">
        <v>76</v>
      </c>
      <c r="D961" s="11">
        <v>2024</v>
      </c>
      <c r="E961" s="10" t="s">
        <v>0</v>
      </c>
      <c r="F961" s="10" t="s">
        <v>83</v>
      </c>
      <c r="G961" s="10" t="s">
        <v>84</v>
      </c>
      <c r="H961" s="11">
        <v>767755</v>
      </c>
      <c r="I961" s="11">
        <v>25295</v>
      </c>
      <c r="J961" s="11">
        <v>20959</v>
      </c>
      <c r="K961" s="11">
        <v>111253</v>
      </c>
      <c r="L961" s="11">
        <v>3.2946729716335103E-2</v>
      </c>
      <c r="M961" s="11">
        <f t="shared" si="3"/>
        <v>3.294670825979642</v>
      </c>
      <c r="N961" s="11">
        <v>0.82858272385846998</v>
      </c>
      <c r="O961" s="11">
        <v>0.14490699826572201</v>
      </c>
      <c r="P961" s="11">
        <v>0.36824324324324298</v>
      </c>
      <c r="Q961" s="11">
        <v>0.61538461538461497</v>
      </c>
      <c r="R961" s="11">
        <v>0</v>
      </c>
      <c r="S961" s="10" t="s">
        <v>84</v>
      </c>
      <c r="T961" s="10" t="s">
        <v>84</v>
      </c>
      <c r="U961" s="10"/>
      <c r="V961" s="10"/>
      <c r="W961" s="10"/>
      <c r="X961" s="10"/>
      <c r="Y961" s="10"/>
      <c r="Z961" s="10"/>
      <c r="AA961" s="10"/>
    </row>
    <row r="962" spans="1:27" ht="12.5" x14ac:dyDescent="0.25">
      <c r="A962" s="10" t="s">
        <v>62</v>
      </c>
      <c r="B962" s="10" t="s">
        <v>910</v>
      </c>
      <c r="C962" s="10" t="s">
        <v>76</v>
      </c>
      <c r="D962" s="11">
        <v>2024</v>
      </c>
      <c r="E962" s="10" t="s">
        <v>81</v>
      </c>
      <c r="F962" s="10" t="s">
        <v>83</v>
      </c>
      <c r="G962" s="10" t="s">
        <v>84</v>
      </c>
      <c r="H962" s="11">
        <v>14979</v>
      </c>
      <c r="I962" s="11">
        <v>492</v>
      </c>
      <c r="J962" s="11">
        <v>394</v>
      </c>
      <c r="K962" s="11">
        <v>1503</v>
      </c>
      <c r="L962" s="11">
        <v>3.2845984378129398E-2</v>
      </c>
      <c r="M962" s="11">
        <f t="shared" si="3"/>
        <v>3.2845984378129383</v>
      </c>
      <c r="N962" s="11">
        <v>0.80081300813008105</v>
      </c>
      <c r="O962" s="11">
        <v>0.10034047666733401</v>
      </c>
      <c r="P962" s="11">
        <v>0.36739864864864902</v>
      </c>
      <c r="Q962" s="11">
        <v>0.33333333333333298</v>
      </c>
      <c r="R962" s="11">
        <v>0.42248062015503901</v>
      </c>
      <c r="S962" s="10" t="s">
        <v>84</v>
      </c>
      <c r="T962" s="10" t="s">
        <v>84</v>
      </c>
      <c r="U962" s="10"/>
      <c r="V962" s="10"/>
      <c r="W962" s="10"/>
      <c r="X962" s="10"/>
      <c r="Y962" s="10"/>
      <c r="Z962" s="10"/>
      <c r="AA962" s="10"/>
    </row>
    <row r="963" spans="1:27" ht="12.5" hidden="1" x14ac:dyDescent="0.25">
      <c r="A963" s="10" t="s">
        <v>29</v>
      </c>
      <c r="B963" s="10" t="s">
        <v>1572</v>
      </c>
      <c r="C963" s="10" t="s">
        <v>191</v>
      </c>
      <c r="D963" s="11">
        <v>2024</v>
      </c>
      <c r="E963" s="10" t="s">
        <v>257</v>
      </c>
      <c r="F963" s="10" t="s">
        <v>125</v>
      </c>
      <c r="G963" s="10" t="s">
        <v>84</v>
      </c>
      <c r="H963" s="12">
        <v>5307</v>
      </c>
      <c r="I963" s="11">
        <v>174</v>
      </c>
      <c r="J963" s="11">
        <v>118</v>
      </c>
      <c r="K963" s="11">
        <v>476</v>
      </c>
      <c r="L963" s="11">
        <v>3.2788429829933602E-2</v>
      </c>
      <c r="M963" s="11">
        <f t="shared" si="3"/>
        <v>3.278688524590164</v>
      </c>
      <c r="N963" s="11">
        <v>0.67816091954022995</v>
      </c>
      <c r="O963" s="11">
        <v>8.9697083902576899E-2</v>
      </c>
      <c r="P963" s="11">
        <v>0.53431372549019596</v>
      </c>
      <c r="Q963" s="11">
        <v>0.45070422535211302</v>
      </c>
      <c r="R963" s="11">
        <v>0.44444444444444398</v>
      </c>
      <c r="S963" s="10" t="s">
        <v>84</v>
      </c>
      <c r="T963" s="10" t="s">
        <v>84</v>
      </c>
      <c r="U963" s="10"/>
      <c r="V963" s="10"/>
      <c r="W963" s="10"/>
      <c r="X963" s="10"/>
      <c r="Y963" s="10"/>
      <c r="Z963" s="10"/>
      <c r="AA963" s="10"/>
    </row>
    <row r="964" spans="1:27" ht="12.5" x14ac:dyDescent="0.25">
      <c r="A964" s="10" t="s">
        <v>34</v>
      </c>
      <c r="B964" s="10" t="s">
        <v>912</v>
      </c>
      <c r="C964" s="10" t="s">
        <v>76</v>
      </c>
      <c r="D964" s="11">
        <v>2024</v>
      </c>
      <c r="E964" s="10" t="s">
        <v>81</v>
      </c>
      <c r="F964" s="10" t="s">
        <v>83</v>
      </c>
      <c r="G964" s="10" t="s">
        <v>84</v>
      </c>
      <c r="H964" s="11">
        <v>21538</v>
      </c>
      <c r="I964" s="11">
        <v>706</v>
      </c>
      <c r="J964" s="11">
        <v>656</v>
      </c>
      <c r="K964" s="11">
        <v>16699</v>
      </c>
      <c r="L964" s="11">
        <v>3.2779147014783898E-2</v>
      </c>
      <c r="M964" s="11">
        <f t="shared" si="3"/>
        <v>3.2779273841582324</v>
      </c>
      <c r="N964" s="11">
        <v>0.92917847025495703</v>
      </c>
      <c r="O964" s="11">
        <v>0.77532432861172296</v>
      </c>
      <c r="P964" s="11">
        <v>0.366554054054054</v>
      </c>
      <c r="Q964" s="11">
        <v>0.65306122448979598</v>
      </c>
      <c r="R964" s="11">
        <v>0.42054263565891498</v>
      </c>
      <c r="S964" s="10" t="s">
        <v>84</v>
      </c>
      <c r="T964" s="10" t="s">
        <v>84</v>
      </c>
      <c r="U964" s="10"/>
      <c r="V964" s="10"/>
      <c r="W964" s="10"/>
      <c r="X964" s="10"/>
      <c r="Y964" s="10"/>
      <c r="Z964" s="10"/>
      <c r="AA964" s="10"/>
    </row>
    <row r="965" spans="1:27" ht="12.5" x14ac:dyDescent="0.25">
      <c r="A965" s="10" t="s">
        <v>77</v>
      </c>
      <c r="B965" s="10" t="s">
        <v>914</v>
      </c>
      <c r="C965" s="10" t="s">
        <v>76</v>
      </c>
      <c r="D965" s="11">
        <v>2024</v>
      </c>
      <c r="E965" s="10" t="s">
        <v>81</v>
      </c>
      <c r="F965" s="10" t="s">
        <v>83</v>
      </c>
      <c r="G965" s="10" t="s">
        <v>84</v>
      </c>
      <c r="H965" s="11">
        <v>8464</v>
      </c>
      <c r="I965" s="11">
        <v>277</v>
      </c>
      <c r="J965" s="11">
        <v>211</v>
      </c>
      <c r="K965" s="11">
        <v>1052</v>
      </c>
      <c r="L965" s="11">
        <v>3.2727809776990101E-2</v>
      </c>
      <c r="M965" s="11">
        <f t="shared" si="3"/>
        <v>3.2726843100189038</v>
      </c>
      <c r="N965" s="11">
        <v>0.76173285198555996</v>
      </c>
      <c r="O965" s="11">
        <v>0.12429478658986901</v>
      </c>
      <c r="P965" s="11">
        <v>0.36570945945945998</v>
      </c>
      <c r="Q965" s="11">
        <v>0.46428571428571402</v>
      </c>
      <c r="R965" s="11">
        <v>0.418604651162791</v>
      </c>
      <c r="S965" s="10" t="s">
        <v>84</v>
      </c>
      <c r="T965" s="10" t="s">
        <v>84</v>
      </c>
      <c r="U965" s="10"/>
      <c r="V965" s="10"/>
      <c r="W965" s="10"/>
      <c r="X965" s="10"/>
      <c r="Y965" s="10"/>
      <c r="Z965" s="10"/>
      <c r="AA965" s="10"/>
    </row>
    <row r="966" spans="1:27" ht="12.5" x14ac:dyDescent="0.25">
      <c r="A966" s="10" t="s">
        <v>49</v>
      </c>
      <c r="B966" s="10" t="s">
        <v>1058</v>
      </c>
      <c r="C966" s="10" t="s">
        <v>76</v>
      </c>
      <c r="D966" s="11">
        <v>2024</v>
      </c>
      <c r="E966" s="10" t="s">
        <v>124</v>
      </c>
      <c r="F966" s="10" t="s">
        <v>83</v>
      </c>
      <c r="G966" s="10" t="s">
        <v>84</v>
      </c>
      <c r="H966" s="11">
        <v>2966</v>
      </c>
      <c r="I966" s="11">
        <v>97</v>
      </c>
      <c r="J966" s="11">
        <v>97</v>
      </c>
      <c r="K966" s="11">
        <v>572</v>
      </c>
      <c r="L966" s="11">
        <v>3.2703978422117301E-2</v>
      </c>
      <c r="M966" s="11">
        <f t="shared" si="3"/>
        <v>3.2703978422117328</v>
      </c>
      <c r="N966" s="11">
        <v>1</v>
      </c>
      <c r="O966" s="11">
        <v>0.192852326365475</v>
      </c>
      <c r="P966" s="11">
        <v>0.36486486486486502</v>
      </c>
      <c r="Q966" s="11">
        <v>0.46153846153846201</v>
      </c>
      <c r="R966" s="11">
        <v>0.26845637583892601</v>
      </c>
      <c r="S966" s="10" t="s">
        <v>84</v>
      </c>
      <c r="T966" s="10" t="s">
        <v>84</v>
      </c>
      <c r="U966" s="10"/>
      <c r="V966" s="10"/>
      <c r="W966" s="10"/>
      <c r="X966" s="10"/>
      <c r="Y966" s="10"/>
      <c r="Z966" s="10"/>
      <c r="AA966" s="10"/>
    </row>
    <row r="967" spans="1:27" ht="12.5" hidden="1" x14ac:dyDescent="0.25">
      <c r="A967" s="10" t="s">
        <v>53</v>
      </c>
      <c r="B967" s="10" t="s">
        <v>1573</v>
      </c>
      <c r="C967" s="10" t="s">
        <v>191</v>
      </c>
      <c r="D967" s="11">
        <v>2024</v>
      </c>
      <c r="E967" s="10" t="s">
        <v>124</v>
      </c>
      <c r="F967" s="10" t="s">
        <v>125</v>
      </c>
      <c r="G967" s="10" t="s">
        <v>84</v>
      </c>
      <c r="H967" s="12">
        <v>215.833333333333</v>
      </c>
      <c r="I967" s="11">
        <v>7</v>
      </c>
      <c r="J967" s="11">
        <v>0</v>
      </c>
      <c r="K967" s="11">
        <v>51</v>
      </c>
      <c r="L967" s="11">
        <v>3.24324324324324E-2</v>
      </c>
      <c r="M967" s="11">
        <f t="shared" si="3"/>
        <v>3.2432432432432483</v>
      </c>
      <c r="N967" s="11">
        <v>0</v>
      </c>
      <c r="O967" s="11">
        <v>0.23629343629343599</v>
      </c>
      <c r="P967" s="11">
        <v>0.53308823529411797</v>
      </c>
      <c r="Q967" s="11">
        <v>0.87096774193548399</v>
      </c>
      <c r="R967" s="11">
        <v>0.44767441860465101</v>
      </c>
      <c r="S967" s="10" t="s">
        <v>84</v>
      </c>
      <c r="T967" s="10" t="s">
        <v>84</v>
      </c>
      <c r="U967" s="10"/>
      <c r="V967" s="10"/>
      <c r="W967" s="10"/>
      <c r="X967" s="10"/>
      <c r="Y967" s="10"/>
      <c r="Z967" s="10"/>
      <c r="AA967" s="10"/>
    </row>
    <row r="968" spans="1:27" ht="12.5" x14ac:dyDescent="0.25">
      <c r="A968" s="10" t="s">
        <v>10</v>
      </c>
      <c r="B968" s="10" t="s">
        <v>915</v>
      </c>
      <c r="C968" s="10" t="s">
        <v>76</v>
      </c>
      <c r="D968" s="11">
        <v>2024</v>
      </c>
      <c r="E968" s="10" t="s">
        <v>81</v>
      </c>
      <c r="F968" s="10" t="s">
        <v>83</v>
      </c>
      <c r="G968" s="10" t="s">
        <v>84</v>
      </c>
      <c r="H968" s="11">
        <v>4379</v>
      </c>
      <c r="I968" s="11">
        <v>142</v>
      </c>
      <c r="J968" s="11">
        <v>128</v>
      </c>
      <c r="K968" s="11">
        <v>2360</v>
      </c>
      <c r="L968" s="11">
        <v>3.2426260704091298E-2</v>
      </c>
      <c r="M968" s="11">
        <f t="shared" si="3"/>
        <v>3.24274948618406</v>
      </c>
      <c r="N968" s="11">
        <v>0.90140845070422504</v>
      </c>
      <c r="O968" s="11">
        <v>0.53891531874405296</v>
      </c>
      <c r="P968" s="11">
        <v>0.36317567567567599</v>
      </c>
      <c r="Q968" s="11">
        <v>0.233333333333333</v>
      </c>
      <c r="R968" s="11">
        <v>0.41666666666666702</v>
      </c>
      <c r="S968" s="10" t="s">
        <v>84</v>
      </c>
      <c r="T968" s="10" t="s">
        <v>84</v>
      </c>
      <c r="U968" s="10"/>
      <c r="V968" s="10"/>
      <c r="W968" s="10"/>
      <c r="X968" s="10"/>
      <c r="Y968" s="10"/>
      <c r="Z968" s="10"/>
      <c r="AA968" s="10"/>
    </row>
    <row r="969" spans="1:27" ht="12.5" x14ac:dyDescent="0.25">
      <c r="A969" s="10" t="s">
        <v>80</v>
      </c>
      <c r="B969" s="10" t="s">
        <v>917</v>
      </c>
      <c r="C969" s="10" t="s">
        <v>76</v>
      </c>
      <c r="D969" s="11">
        <v>2024</v>
      </c>
      <c r="E969" s="10" t="s">
        <v>81</v>
      </c>
      <c r="F969" s="10" t="s">
        <v>83</v>
      </c>
      <c r="G969" s="10" t="s">
        <v>84</v>
      </c>
      <c r="H969" s="11">
        <v>23694</v>
      </c>
      <c r="I969" s="11">
        <v>768</v>
      </c>
      <c r="J969" s="11">
        <v>919</v>
      </c>
      <c r="K969" s="11">
        <v>2607</v>
      </c>
      <c r="L969" s="11">
        <v>3.2413839189935401E-2</v>
      </c>
      <c r="M969" s="11">
        <f t="shared" si="3"/>
        <v>3.2413269182071409</v>
      </c>
      <c r="N969" s="11">
        <v>1.1966145833333299</v>
      </c>
      <c r="O969" s="11">
        <v>0.11002979006271001</v>
      </c>
      <c r="P969" s="11">
        <v>0.36233108108108097</v>
      </c>
      <c r="Q969" s="11">
        <v>0.5</v>
      </c>
      <c r="R969" s="11">
        <v>0.41472868217054298</v>
      </c>
      <c r="S969" s="10" t="s">
        <v>84</v>
      </c>
      <c r="T969" s="10" t="s">
        <v>84</v>
      </c>
      <c r="U969" s="10"/>
      <c r="V969" s="10"/>
      <c r="W969" s="10"/>
      <c r="X969" s="10"/>
      <c r="Y969" s="10"/>
      <c r="Z969" s="10"/>
      <c r="AA969" s="10"/>
    </row>
    <row r="970" spans="1:27" ht="12.5" hidden="1" x14ac:dyDescent="0.25">
      <c r="A970" s="10" t="s">
        <v>32</v>
      </c>
      <c r="B970" s="10" t="s">
        <v>1574</v>
      </c>
      <c r="C970" s="10" t="s">
        <v>191</v>
      </c>
      <c r="D970" s="11">
        <v>2024</v>
      </c>
      <c r="E970" s="10" t="s">
        <v>257</v>
      </c>
      <c r="F970" s="10" t="s">
        <v>125</v>
      </c>
      <c r="G970" s="10" t="s">
        <v>84</v>
      </c>
      <c r="H970" s="12">
        <v>50952</v>
      </c>
      <c r="I970" s="11">
        <v>1647</v>
      </c>
      <c r="J970" s="11">
        <v>886</v>
      </c>
      <c r="K970" s="11">
        <v>13561</v>
      </c>
      <c r="L970" s="11">
        <v>3.2324646479845301E-2</v>
      </c>
      <c r="M970" s="11">
        <f t="shared" si="3"/>
        <v>3.2324540744229866</v>
      </c>
      <c r="N970" s="11">
        <v>0.53794778384942299</v>
      </c>
      <c r="O970" s="11">
        <v>0.26615332781613998</v>
      </c>
      <c r="P970" s="11">
        <v>0.53186274509803899</v>
      </c>
      <c r="Q970" s="11">
        <v>0.35714285714285698</v>
      </c>
      <c r="R970" s="11">
        <v>0.41666666666666702</v>
      </c>
      <c r="S970" s="10" t="s">
        <v>84</v>
      </c>
      <c r="T970" s="10" t="s">
        <v>84</v>
      </c>
      <c r="U970" s="10"/>
      <c r="V970" s="10"/>
      <c r="W970" s="10"/>
      <c r="X970" s="10"/>
      <c r="Y970" s="10"/>
      <c r="Z970" s="10"/>
      <c r="AA970" s="10"/>
    </row>
    <row r="971" spans="1:27" ht="12.5" hidden="1" x14ac:dyDescent="0.25">
      <c r="A971" s="10" t="s">
        <v>32</v>
      </c>
      <c r="B971" s="10" t="s">
        <v>1575</v>
      </c>
      <c r="C971" s="10" t="s">
        <v>191</v>
      </c>
      <c r="D971" s="11">
        <v>2024</v>
      </c>
      <c r="E971" s="10" t="s">
        <v>124</v>
      </c>
      <c r="F971" s="10" t="s">
        <v>125</v>
      </c>
      <c r="G971" s="10" t="s">
        <v>84</v>
      </c>
      <c r="H971" s="12">
        <v>898.33333333333303</v>
      </c>
      <c r="I971" s="11">
        <v>29</v>
      </c>
      <c r="J971" s="11">
        <v>16</v>
      </c>
      <c r="K971" s="11">
        <v>366</v>
      </c>
      <c r="L971" s="11">
        <v>3.2282003710575102E-2</v>
      </c>
      <c r="M971" s="11">
        <f t="shared" si="3"/>
        <v>3.2282003710575151</v>
      </c>
      <c r="N971" s="11">
        <v>0.55172413793103403</v>
      </c>
      <c r="O971" s="11">
        <v>0.40742115027829301</v>
      </c>
      <c r="P971" s="11">
        <v>0.53063725490196101</v>
      </c>
      <c r="Q971" s="11">
        <v>0.28571428571428598</v>
      </c>
      <c r="R971" s="11">
        <v>0.44573643410852698</v>
      </c>
      <c r="S971" s="10" t="s">
        <v>84</v>
      </c>
      <c r="T971" s="10" t="s">
        <v>84</v>
      </c>
      <c r="U971" s="10"/>
      <c r="V971" s="10"/>
      <c r="W971" s="10"/>
      <c r="X971" s="10"/>
      <c r="Y971" s="10"/>
      <c r="Z971" s="10"/>
      <c r="AA971" s="10"/>
    </row>
    <row r="972" spans="1:27" ht="12.5" hidden="1" x14ac:dyDescent="0.25">
      <c r="A972" s="10" t="s">
        <v>53</v>
      </c>
      <c r="B972" s="10" t="s">
        <v>1576</v>
      </c>
      <c r="C972" s="10" t="s">
        <v>191</v>
      </c>
      <c r="D972" s="11">
        <v>2024</v>
      </c>
      <c r="E972" s="10" t="s">
        <v>124</v>
      </c>
      <c r="F972" s="10" t="s">
        <v>125</v>
      </c>
      <c r="G972" s="10" t="s">
        <v>84</v>
      </c>
      <c r="H972" s="12">
        <v>496.25</v>
      </c>
      <c r="I972" s="11">
        <v>16</v>
      </c>
      <c r="J972" s="11">
        <v>12</v>
      </c>
      <c r="K972" s="11">
        <v>127</v>
      </c>
      <c r="L972" s="11">
        <v>3.2241813602015099E-2</v>
      </c>
      <c r="M972" s="11">
        <f t="shared" si="3"/>
        <v>3.224181360201511</v>
      </c>
      <c r="N972" s="11">
        <v>0.75</v>
      </c>
      <c r="O972" s="11">
        <v>0.25591939546599501</v>
      </c>
      <c r="P972" s="11">
        <v>0.52941176470588203</v>
      </c>
      <c r="Q972" s="11">
        <v>0.83870967741935498</v>
      </c>
      <c r="R972" s="11">
        <v>0.443798449612403</v>
      </c>
      <c r="S972" s="10" t="s">
        <v>84</v>
      </c>
      <c r="T972" s="10" t="s">
        <v>84</v>
      </c>
      <c r="U972" s="10"/>
      <c r="V972" s="10"/>
      <c r="W972" s="10"/>
      <c r="X972" s="10"/>
      <c r="Y972" s="10"/>
      <c r="Z972" s="10"/>
      <c r="AA972" s="10"/>
    </row>
    <row r="973" spans="1:27" ht="12.5" x14ac:dyDescent="0.25">
      <c r="A973" s="10" t="s">
        <v>77</v>
      </c>
      <c r="B973" s="10" t="s">
        <v>919</v>
      </c>
      <c r="C973" s="10" t="s">
        <v>76</v>
      </c>
      <c r="D973" s="11">
        <v>2024</v>
      </c>
      <c r="E973" s="10" t="s">
        <v>81</v>
      </c>
      <c r="F973" s="10" t="s">
        <v>83</v>
      </c>
      <c r="G973" s="10" t="s">
        <v>84</v>
      </c>
      <c r="H973" s="11">
        <v>15731</v>
      </c>
      <c r="I973" s="11">
        <v>506</v>
      </c>
      <c r="J973" s="11">
        <v>494</v>
      </c>
      <c r="K973" s="11">
        <v>7920</v>
      </c>
      <c r="L973" s="11">
        <v>3.21666392960634E-2</v>
      </c>
      <c r="M973" s="11">
        <f t="shared" si="3"/>
        <v>3.2165787298963826</v>
      </c>
      <c r="N973" s="11">
        <v>0.97628458498023696</v>
      </c>
      <c r="O973" s="11">
        <v>0.50347783246012301</v>
      </c>
      <c r="P973" s="11">
        <v>0.35979729729729698</v>
      </c>
      <c r="Q973" s="11">
        <v>0.42857142857142899</v>
      </c>
      <c r="R973" s="11">
        <v>0.412790697674419</v>
      </c>
      <c r="S973" s="10" t="s">
        <v>84</v>
      </c>
      <c r="T973" s="10" t="s">
        <v>84</v>
      </c>
      <c r="U973" s="10"/>
      <c r="V973" s="10"/>
      <c r="W973" s="10"/>
      <c r="X973" s="10"/>
      <c r="Y973" s="10"/>
      <c r="Z973" s="10"/>
      <c r="AA973" s="10"/>
    </row>
    <row r="974" spans="1:27" ht="12.5" x14ac:dyDescent="0.25">
      <c r="A974" s="10" t="s">
        <v>25</v>
      </c>
      <c r="B974" s="10" t="s">
        <v>920</v>
      </c>
      <c r="C974" s="10" t="s">
        <v>76</v>
      </c>
      <c r="D974" s="11">
        <v>2024</v>
      </c>
      <c r="E974" s="10" t="s">
        <v>81</v>
      </c>
      <c r="F974" s="10" t="s">
        <v>83</v>
      </c>
      <c r="G974" s="10" t="s">
        <v>84</v>
      </c>
      <c r="H974" s="11">
        <v>17743</v>
      </c>
      <c r="I974" s="11">
        <v>570</v>
      </c>
      <c r="J974" s="11">
        <v>434</v>
      </c>
      <c r="K974" s="11">
        <v>15668</v>
      </c>
      <c r="L974" s="11">
        <v>3.21247416870186E-2</v>
      </c>
      <c r="M974" s="11">
        <f t="shared" si="3"/>
        <v>3.2125345206560332</v>
      </c>
      <c r="N974" s="11">
        <v>0.76140350877192997</v>
      </c>
      <c r="O974" s="11">
        <v>0.88303588202141703</v>
      </c>
      <c r="P974" s="11">
        <v>0.35895270270270302</v>
      </c>
      <c r="Q974" s="11">
        <v>0.125</v>
      </c>
      <c r="R974" s="11">
        <v>0.41085271317829503</v>
      </c>
      <c r="S974" s="10" t="s">
        <v>84</v>
      </c>
      <c r="T974" s="10" t="s">
        <v>84</v>
      </c>
      <c r="U974" s="10"/>
      <c r="V974" s="10"/>
      <c r="W974" s="10"/>
      <c r="X974" s="10"/>
      <c r="Y974" s="10"/>
      <c r="Z974" s="10"/>
      <c r="AA974" s="10"/>
    </row>
    <row r="975" spans="1:27" ht="12.5" x14ac:dyDescent="0.25">
      <c r="A975" s="10" t="s">
        <v>118</v>
      </c>
      <c r="B975" s="10" t="s">
        <v>1061</v>
      </c>
      <c r="C975" s="10" t="s">
        <v>76</v>
      </c>
      <c r="D975" s="11">
        <v>2024</v>
      </c>
      <c r="E975" s="10" t="s">
        <v>124</v>
      </c>
      <c r="F975" s="10" t="s">
        <v>125</v>
      </c>
      <c r="G975" s="10" t="s">
        <v>84</v>
      </c>
      <c r="H975" s="11">
        <v>2973</v>
      </c>
      <c r="I975" s="11">
        <v>95</v>
      </c>
      <c r="J975" s="11">
        <v>95</v>
      </c>
      <c r="K975" s="11">
        <v>3232</v>
      </c>
      <c r="L975" s="11">
        <v>3.1951568149331498E-2</v>
      </c>
      <c r="M975" s="11">
        <f t="shared" si="3"/>
        <v>3.1954254961318531</v>
      </c>
      <c r="N975" s="11">
        <v>1</v>
      </c>
      <c r="O975" s="11">
        <v>1.08702598166989</v>
      </c>
      <c r="P975" s="11">
        <v>0.35557432432432401</v>
      </c>
      <c r="Q975" s="11">
        <v>0.42857142857142899</v>
      </c>
      <c r="R975" s="11">
        <v>0.26621923937360198</v>
      </c>
      <c r="S975" s="10" t="s">
        <v>84</v>
      </c>
      <c r="T975" s="10" t="s">
        <v>84</v>
      </c>
      <c r="U975" s="10"/>
      <c r="V975" s="10"/>
      <c r="W975" s="10"/>
      <c r="X975" s="10"/>
      <c r="Y975" s="10"/>
      <c r="Z975" s="10"/>
      <c r="AA975" s="10"/>
    </row>
    <row r="976" spans="1:27" ht="12.5" x14ac:dyDescent="0.25">
      <c r="A976" s="10" t="s">
        <v>32</v>
      </c>
      <c r="B976" s="10" t="s">
        <v>922</v>
      </c>
      <c r="C976" s="10" t="s">
        <v>76</v>
      </c>
      <c r="D976" s="11">
        <v>2024</v>
      </c>
      <c r="E976" s="10" t="s">
        <v>81</v>
      </c>
      <c r="F976" s="10" t="s">
        <v>83</v>
      </c>
      <c r="G976" s="10" t="s">
        <v>84</v>
      </c>
      <c r="H976" s="11">
        <v>68334</v>
      </c>
      <c r="I976" s="11">
        <v>2183</v>
      </c>
      <c r="J976" s="11">
        <v>1942</v>
      </c>
      <c r="K976" s="11">
        <v>2149</v>
      </c>
      <c r="L976" s="11">
        <v>3.1946029794831299E-2</v>
      </c>
      <c r="M976" s="11">
        <f t="shared" si="3"/>
        <v>3.1946029794831272</v>
      </c>
      <c r="N976" s="11">
        <v>0.88960146587265199</v>
      </c>
      <c r="O976" s="11">
        <v>3.1448473673427603E-2</v>
      </c>
      <c r="P976" s="11">
        <v>0.35472972972972999</v>
      </c>
      <c r="Q976" s="11">
        <v>0.17241379310344801</v>
      </c>
      <c r="R976" s="11">
        <v>0.40891472868217099</v>
      </c>
      <c r="S976" s="10" t="s">
        <v>84</v>
      </c>
      <c r="T976" s="10" t="s">
        <v>84</v>
      </c>
      <c r="U976" s="10"/>
      <c r="V976" s="10"/>
      <c r="W976" s="10"/>
      <c r="X976" s="10"/>
      <c r="Y976" s="10"/>
      <c r="Z976" s="10"/>
      <c r="AA976" s="10"/>
    </row>
    <row r="977" spans="1:27" ht="12.5" x14ac:dyDescent="0.25">
      <c r="A977" s="10" t="s">
        <v>36</v>
      </c>
      <c r="B977" s="10" t="s">
        <v>924</v>
      </c>
      <c r="C977" s="10" t="s">
        <v>76</v>
      </c>
      <c r="D977" s="11">
        <v>2024</v>
      </c>
      <c r="E977" s="10" t="s">
        <v>81</v>
      </c>
      <c r="F977" s="10" t="s">
        <v>83</v>
      </c>
      <c r="G977" s="10" t="s">
        <v>84</v>
      </c>
      <c r="H977" s="11">
        <v>50014</v>
      </c>
      <c r="I977" s="11">
        <v>1596</v>
      </c>
      <c r="J977" s="11">
        <v>1274</v>
      </c>
      <c r="K977" s="11">
        <v>5433</v>
      </c>
      <c r="L977" s="11">
        <v>3.1910799052939698E-2</v>
      </c>
      <c r="M977" s="11">
        <f t="shared" si="3"/>
        <v>3.1911064901827491</v>
      </c>
      <c r="N977" s="11">
        <v>0.79824561403508798</v>
      </c>
      <c r="O977" s="11">
        <v>0.108628678730966</v>
      </c>
      <c r="P977" s="11">
        <v>0.35388513513513498</v>
      </c>
      <c r="Q977" s="11">
        <v>0.23404255319148901</v>
      </c>
      <c r="R977" s="11">
        <v>0.40697674418604701</v>
      </c>
      <c r="S977" s="10" t="s">
        <v>84</v>
      </c>
      <c r="T977" s="10" t="s">
        <v>84</v>
      </c>
      <c r="U977" s="10"/>
      <c r="V977" s="10"/>
      <c r="W977" s="10"/>
      <c r="X977" s="10"/>
      <c r="Y977" s="10"/>
      <c r="Z977" s="10"/>
      <c r="AA977" s="10"/>
    </row>
    <row r="978" spans="1:27" ht="12.5" hidden="1" x14ac:dyDescent="0.25">
      <c r="A978" s="10" t="s">
        <v>52</v>
      </c>
      <c r="B978" s="10" t="s">
        <v>1581</v>
      </c>
      <c r="C978" s="10" t="s">
        <v>191</v>
      </c>
      <c r="D978" s="11">
        <v>2024</v>
      </c>
      <c r="E978" s="10" t="s">
        <v>124</v>
      </c>
      <c r="F978" s="10" t="s">
        <v>125</v>
      </c>
      <c r="G978" s="10" t="s">
        <v>84</v>
      </c>
      <c r="H978" s="12">
        <v>720.83333333333303</v>
      </c>
      <c r="I978" s="11">
        <v>23</v>
      </c>
      <c r="J978" s="11">
        <v>20</v>
      </c>
      <c r="K978" s="11">
        <v>32</v>
      </c>
      <c r="L978" s="11">
        <v>3.1907514450867001E-2</v>
      </c>
      <c r="M978" s="11">
        <f t="shared" si="3"/>
        <v>3.1907514450867063</v>
      </c>
      <c r="N978" s="11">
        <v>0.86956521739130399</v>
      </c>
      <c r="O978" s="11">
        <v>4.4393063583815E-2</v>
      </c>
      <c r="P978" s="11">
        <v>0.52573529411764697</v>
      </c>
      <c r="Q978" s="11">
        <v>0.5</v>
      </c>
      <c r="R978" s="11">
        <v>0.44186046511627902</v>
      </c>
      <c r="S978" s="10" t="s">
        <v>84</v>
      </c>
      <c r="T978" s="10" t="s">
        <v>84</v>
      </c>
      <c r="U978" s="10"/>
      <c r="V978" s="10"/>
      <c r="W978" s="10"/>
      <c r="X978" s="10"/>
      <c r="Y978" s="10"/>
      <c r="Z978" s="10"/>
      <c r="AA978" s="10"/>
    </row>
    <row r="979" spans="1:27" ht="12.5" x14ac:dyDescent="0.25">
      <c r="A979" s="10" t="s">
        <v>101</v>
      </c>
      <c r="B979" s="10" t="s">
        <v>926</v>
      </c>
      <c r="C979" s="10" t="s">
        <v>76</v>
      </c>
      <c r="D979" s="11">
        <v>2024</v>
      </c>
      <c r="E979" s="10" t="s">
        <v>81</v>
      </c>
      <c r="F979" s="10" t="s">
        <v>83</v>
      </c>
      <c r="G979" s="10" t="s">
        <v>84</v>
      </c>
      <c r="H979" s="11">
        <v>51789</v>
      </c>
      <c r="I979" s="11">
        <v>1642</v>
      </c>
      <c r="J979" s="11">
        <v>1381</v>
      </c>
      <c r="K979" s="11">
        <v>36609</v>
      </c>
      <c r="L979" s="11">
        <v>3.1705778613081402E-2</v>
      </c>
      <c r="M979" s="11">
        <f t="shared" si="3"/>
        <v>3.1705574542856594</v>
      </c>
      <c r="N979" s="11">
        <v>0.84104750304506704</v>
      </c>
      <c r="O979" s="11">
        <v>0.70689211281747599</v>
      </c>
      <c r="P979" s="11">
        <v>0.352195945945946</v>
      </c>
      <c r="Q979" s="11">
        <v>0.42857142857142899</v>
      </c>
      <c r="R979" s="11">
        <v>0.40503875968992198</v>
      </c>
      <c r="S979" s="10" t="s">
        <v>84</v>
      </c>
      <c r="T979" s="10" t="s">
        <v>84</v>
      </c>
      <c r="U979" s="10"/>
      <c r="V979" s="10"/>
      <c r="W979" s="10"/>
      <c r="X979" s="10"/>
      <c r="Y979" s="10"/>
      <c r="Z979" s="10"/>
      <c r="AA979" s="10"/>
    </row>
    <row r="980" spans="1:27" ht="12.5" x14ac:dyDescent="0.25">
      <c r="A980" s="10" t="s">
        <v>25</v>
      </c>
      <c r="B980" s="10" t="s">
        <v>928</v>
      </c>
      <c r="C980" s="10" t="s">
        <v>76</v>
      </c>
      <c r="D980" s="11">
        <v>2024</v>
      </c>
      <c r="E980" s="10" t="s">
        <v>81</v>
      </c>
      <c r="F980" s="10" t="s">
        <v>83</v>
      </c>
      <c r="G980" s="10" t="s">
        <v>84</v>
      </c>
      <c r="H980" s="11">
        <v>165918</v>
      </c>
      <c r="I980" s="11">
        <v>5252</v>
      </c>
      <c r="J980" s="11">
        <v>4841</v>
      </c>
      <c r="K980" s="11">
        <v>68458</v>
      </c>
      <c r="L980" s="11">
        <v>3.1654222421339098E-2</v>
      </c>
      <c r="M980" s="11">
        <f t="shared" si="3"/>
        <v>3.1654190624284282</v>
      </c>
      <c r="N980" s="11">
        <v>0.92174409748667196</v>
      </c>
      <c r="O980" s="11">
        <v>0.412601819977157</v>
      </c>
      <c r="P980" s="11">
        <v>0.35135135135135098</v>
      </c>
      <c r="Q980" s="11">
        <v>6.25E-2</v>
      </c>
      <c r="R980" s="11">
        <v>0.403100775193798</v>
      </c>
      <c r="S980" s="10" t="s">
        <v>84</v>
      </c>
      <c r="T980" s="10" t="s">
        <v>84</v>
      </c>
      <c r="U980" s="10"/>
      <c r="V980" s="10"/>
      <c r="W980" s="10"/>
      <c r="X980" s="10"/>
      <c r="Y980" s="10"/>
      <c r="Z980" s="10"/>
      <c r="AA980" s="10"/>
    </row>
    <row r="981" spans="1:27" ht="12.5" hidden="1" x14ac:dyDescent="0.25">
      <c r="A981" s="10" t="s">
        <v>36</v>
      </c>
      <c r="B981" s="10" t="s">
        <v>1582</v>
      </c>
      <c r="C981" s="10" t="s">
        <v>191</v>
      </c>
      <c r="D981" s="11">
        <v>2024</v>
      </c>
      <c r="E981" s="10" t="s">
        <v>124</v>
      </c>
      <c r="F981" s="10" t="s">
        <v>83</v>
      </c>
      <c r="G981" s="10" t="s">
        <v>84</v>
      </c>
      <c r="H981" s="12">
        <v>49769</v>
      </c>
      <c r="I981" s="11">
        <v>1572</v>
      </c>
      <c r="J981" s="11">
        <v>1284</v>
      </c>
      <c r="K981" s="11">
        <v>63237</v>
      </c>
      <c r="L981" s="11">
        <v>3.1586138534285303E-2</v>
      </c>
      <c r="M981" s="11">
        <f t="shared" si="3"/>
        <v>3.1585926982659891</v>
      </c>
      <c r="N981" s="11">
        <v>0.81679389312977102</v>
      </c>
      <c r="O981" s="11">
        <v>1.2706187293209901</v>
      </c>
      <c r="P981" s="11">
        <v>0.52328431372549</v>
      </c>
      <c r="Q981" s="11">
        <v>0.17499999999999999</v>
      </c>
      <c r="R981" s="11">
        <v>0.43992248062015499</v>
      </c>
      <c r="S981" s="10" t="s">
        <v>84</v>
      </c>
      <c r="T981" s="10" t="s">
        <v>84</v>
      </c>
      <c r="U981" s="10"/>
      <c r="V981" s="10"/>
      <c r="W981" s="10"/>
      <c r="X981" s="10"/>
      <c r="Y981" s="10"/>
      <c r="Z981" s="10"/>
      <c r="AA981" s="10"/>
    </row>
    <row r="982" spans="1:27" ht="12.5" x14ac:dyDescent="0.25">
      <c r="A982" s="10" t="s">
        <v>34</v>
      </c>
      <c r="B982" s="10" t="s">
        <v>930</v>
      </c>
      <c r="C982" s="10" t="s">
        <v>76</v>
      </c>
      <c r="D982" s="11">
        <v>2024</v>
      </c>
      <c r="E982" s="10" t="s">
        <v>81</v>
      </c>
      <c r="F982" s="10" t="s">
        <v>83</v>
      </c>
      <c r="G982" s="10" t="s">
        <v>84</v>
      </c>
      <c r="H982" s="11">
        <v>18360</v>
      </c>
      <c r="I982" s="11">
        <v>577</v>
      </c>
      <c r="J982" s="11">
        <v>509</v>
      </c>
      <c r="K982" s="11">
        <v>10217</v>
      </c>
      <c r="L982" s="11">
        <v>3.1427157893781303E-2</v>
      </c>
      <c r="M982" s="11">
        <f t="shared" si="3"/>
        <v>3.1427015250544663</v>
      </c>
      <c r="N982" s="11">
        <v>0.88214904679376105</v>
      </c>
      <c r="O982" s="11">
        <v>0.55648400728035297</v>
      </c>
      <c r="P982" s="11">
        <v>0.349662162162162</v>
      </c>
      <c r="Q982" s="11">
        <v>0.63265306122449005</v>
      </c>
      <c r="R982" s="11">
        <v>0.40116279069767402</v>
      </c>
      <c r="S982" s="10" t="s">
        <v>84</v>
      </c>
      <c r="T982" s="10" t="s">
        <v>84</v>
      </c>
      <c r="U982" s="10"/>
      <c r="V982" s="10"/>
      <c r="W982" s="10"/>
      <c r="X982" s="10"/>
      <c r="Y982" s="10"/>
      <c r="Z982" s="10"/>
      <c r="AA982" s="10"/>
    </row>
    <row r="983" spans="1:27" ht="12.5" hidden="1" x14ac:dyDescent="0.25">
      <c r="A983" s="10" t="s">
        <v>103</v>
      </c>
      <c r="B983" s="10" t="s">
        <v>1583</v>
      </c>
      <c r="C983" s="10" t="s">
        <v>191</v>
      </c>
      <c r="D983" s="11">
        <v>2024</v>
      </c>
      <c r="E983" s="10" t="s">
        <v>124</v>
      </c>
      <c r="F983" s="10" t="s">
        <v>125</v>
      </c>
      <c r="G983" s="10" t="s">
        <v>84</v>
      </c>
      <c r="H983" s="12">
        <v>2900</v>
      </c>
      <c r="I983" s="11">
        <v>91</v>
      </c>
      <c r="J983" s="11">
        <v>111</v>
      </c>
      <c r="K983" s="11">
        <v>1555</v>
      </c>
      <c r="L983" s="11">
        <v>3.1376605465046101E-2</v>
      </c>
      <c r="M983" s="11">
        <f t="shared" si="3"/>
        <v>3.1379310344827585</v>
      </c>
      <c r="N983" s="11">
        <v>1.2197802197802201</v>
      </c>
      <c r="O983" s="11">
        <v>0.53616067580380999</v>
      </c>
      <c r="P983" s="11">
        <v>0.51960784313725505</v>
      </c>
      <c r="Q983" s="11">
        <v>1</v>
      </c>
      <c r="R983" s="11">
        <v>0.43798449612403101</v>
      </c>
      <c r="S983" s="10" t="s">
        <v>84</v>
      </c>
      <c r="T983" s="10" t="s">
        <v>84</v>
      </c>
      <c r="U983" s="10"/>
      <c r="V983" s="10"/>
      <c r="W983" s="10"/>
      <c r="X983" s="10"/>
      <c r="Y983" s="10"/>
      <c r="Z983" s="10"/>
      <c r="AA983" s="10"/>
    </row>
    <row r="984" spans="1:27" ht="12.5" hidden="1" x14ac:dyDescent="0.25">
      <c r="A984" s="10" t="s">
        <v>58</v>
      </c>
      <c r="B984" s="10" t="s">
        <v>1584</v>
      </c>
      <c r="C984" s="10" t="s">
        <v>191</v>
      </c>
      <c r="D984" s="11">
        <v>2024</v>
      </c>
      <c r="E984" s="10" t="s">
        <v>124</v>
      </c>
      <c r="F984" s="10" t="s">
        <v>125</v>
      </c>
      <c r="G984" s="10" t="s">
        <v>84</v>
      </c>
      <c r="H984" s="12">
        <v>2774</v>
      </c>
      <c r="I984" s="11">
        <v>87</v>
      </c>
      <c r="J984" s="11">
        <v>68</v>
      </c>
      <c r="K984" s="11">
        <v>8862</v>
      </c>
      <c r="L984" s="11">
        <v>3.13617110757307E-2</v>
      </c>
      <c r="M984" s="11">
        <f t="shared" si="3"/>
        <v>3.1362653208363374</v>
      </c>
      <c r="N984" s="11">
        <v>0.78160919540229901</v>
      </c>
      <c r="O984" s="11">
        <v>3.19456877647271</v>
      </c>
      <c r="P984" s="11">
        <v>0.51838235294117696</v>
      </c>
      <c r="Q984" s="11">
        <v>0.320754716981132</v>
      </c>
      <c r="R984" s="11">
        <v>0.43604651162790697</v>
      </c>
      <c r="S984" s="10" t="s">
        <v>84</v>
      </c>
      <c r="T984" s="10" t="s">
        <v>84</v>
      </c>
      <c r="U984" s="10"/>
      <c r="V984" s="10"/>
      <c r="W984" s="10"/>
      <c r="X984" s="10"/>
      <c r="Y984" s="10"/>
      <c r="Z984" s="10"/>
      <c r="AA984" s="10"/>
    </row>
    <row r="985" spans="1:27" ht="12.5" hidden="1" x14ac:dyDescent="0.25">
      <c r="A985" s="10" t="s">
        <v>13</v>
      </c>
      <c r="B985" s="10" t="s">
        <v>1585</v>
      </c>
      <c r="C985" s="10" t="s">
        <v>191</v>
      </c>
      <c r="D985" s="11">
        <v>2024</v>
      </c>
      <c r="E985" s="10" t="s">
        <v>124</v>
      </c>
      <c r="F985" s="10" t="s">
        <v>125</v>
      </c>
      <c r="G985" s="10" t="s">
        <v>84</v>
      </c>
      <c r="H985" s="12">
        <v>414.75</v>
      </c>
      <c r="I985" s="11">
        <v>13</v>
      </c>
      <c r="J985" s="11">
        <v>4</v>
      </c>
      <c r="K985" s="11">
        <v>0</v>
      </c>
      <c r="L985" s="11">
        <v>3.1344183242917399E-2</v>
      </c>
      <c r="M985" s="11">
        <f t="shared" si="3"/>
        <v>3.1344183242917421</v>
      </c>
      <c r="N985" s="11">
        <v>0.30769230769230799</v>
      </c>
      <c r="O985" s="11">
        <v>0</v>
      </c>
      <c r="P985" s="11">
        <v>0.51715686274509798</v>
      </c>
      <c r="Q985" s="11">
        <v>0.22413793103448301</v>
      </c>
      <c r="R985" s="11">
        <v>0.434108527131783</v>
      </c>
      <c r="S985" s="10" t="s">
        <v>84</v>
      </c>
      <c r="T985" s="10" t="s">
        <v>84</v>
      </c>
      <c r="U985" s="10"/>
      <c r="V985" s="10"/>
      <c r="W985" s="10"/>
      <c r="X985" s="10"/>
      <c r="Y985" s="10"/>
      <c r="Z985" s="10"/>
      <c r="AA985" s="10"/>
    </row>
    <row r="986" spans="1:27" ht="12.5" hidden="1" x14ac:dyDescent="0.25">
      <c r="A986" s="10" t="s">
        <v>13</v>
      </c>
      <c r="B986" s="10" t="s">
        <v>1586</v>
      </c>
      <c r="C986" s="10" t="s">
        <v>191</v>
      </c>
      <c r="D986" s="11">
        <v>2024</v>
      </c>
      <c r="E986" s="10" t="s">
        <v>124</v>
      </c>
      <c r="F986" s="10" t="s">
        <v>125</v>
      </c>
      <c r="G986" s="10" t="s">
        <v>84</v>
      </c>
      <c r="H986" s="12">
        <v>801.41666666666697</v>
      </c>
      <c r="I986" s="11">
        <v>25</v>
      </c>
      <c r="J986" s="11">
        <v>12</v>
      </c>
      <c r="K986" s="11">
        <v>0</v>
      </c>
      <c r="L986" s="11">
        <v>3.1194759280440899E-2</v>
      </c>
      <c r="M986" s="11">
        <f t="shared" si="3"/>
        <v>3.1194759280440874</v>
      </c>
      <c r="N986" s="11">
        <v>0.48</v>
      </c>
      <c r="O986" s="11">
        <v>0</v>
      </c>
      <c r="P986" s="11">
        <v>0.51593137254902</v>
      </c>
      <c r="Q986" s="11">
        <v>0.20689655172413801</v>
      </c>
      <c r="R986" s="11">
        <v>0.43217054263565902</v>
      </c>
      <c r="S986" s="10" t="s">
        <v>84</v>
      </c>
      <c r="T986" s="10" t="s">
        <v>84</v>
      </c>
      <c r="U986" s="10"/>
      <c r="V986" s="10"/>
      <c r="W986" s="10"/>
      <c r="X986" s="10"/>
      <c r="Y986" s="10"/>
      <c r="Z986" s="10"/>
      <c r="AA986" s="10"/>
    </row>
    <row r="987" spans="1:27" ht="12.5" x14ac:dyDescent="0.25">
      <c r="A987" s="10" t="s">
        <v>101</v>
      </c>
      <c r="B987" s="10" t="s">
        <v>1577</v>
      </c>
      <c r="C987" s="10" t="s">
        <v>76</v>
      </c>
      <c r="D987" s="11">
        <v>2024</v>
      </c>
      <c r="E987" s="10" t="s">
        <v>257</v>
      </c>
      <c r="F987" s="10" t="s">
        <v>83</v>
      </c>
      <c r="G987" s="10" t="s">
        <v>84</v>
      </c>
      <c r="H987" s="11">
        <v>1053407</v>
      </c>
      <c r="I987" s="11">
        <v>32759</v>
      </c>
      <c r="J987" s="11">
        <v>16934</v>
      </c>
      <c r="K987" s="11">
        <v>377198</v>
      </c>
      <c r="L987" s="11">
        <v>3.1098134173654101E-2</v>
      </c>
      <c r="M987" s="11">
        <f t="shared" si="3"/>
        <v>3.109814155402423</v>
      </c>
      <c r="N987" s="11">
        <v>0.51692664611251904</v>
      </c>
      <c r="O987" s="11">
        <v>0.35807423956878998</v>
      </c>
      <c r="P987" s="11">
        <v>0.34712837837837801</v>
      </c>
      <c r="Q987" s="11">
        <v>0.28571428571428598</v>
      </c>
      <c r="R987" s="11">
        <v>0.47727272727272702</v>
      </c>
      <c r="S987" s="10" t="s">
        <v>84</v>
      </c>
      <c r="T987" s="10" t="s">
        <v>84</v>
      </c>
      <c r="U987" s="10"/>
      <c r="V987" s="10"/>
      <c r="W987" s="10"/>
      <c r="X987" s="10"/>
      <c r="Y987" s="10"/>
      <c r="Z987" s="10"/>
      <c r="AA987" s="10"/>
    </row>
    <row r="988" spans="1:27" ht="12.5" hidden="1" x14ac:dyDescent="0.25">
      <c r="A988" s="10" t="s">
        <v>58</v>
      </c>
      <c r="B988" s="10" t="s">
        <v>1587</v>
      </c>
      <c r="C988" s="10" t="s">
        <v>191</v>
      </c>
      <c r="D988" s="11">
        <v>2024</v>
      </c>
      <c r="E988" s="10" t="s">
        <v>124</v>
      </c>
      <c r="F988" s="10" t="s">
        <v>125</v>
      </c>
      <c r="G988" s="10" t="s">
        <v>84</v>
      </c>
      <c r="H988" s="12">
        <v>5827</v>
      </c>
      <c r="I988" s="11">
        <v>181</v>
      </c>
      <c r="J988" s="11">
        <v>224</v>
      </c>
      <c r="K988" s="11">
        <v>1200</v>
      </c>
      <c r="L988" s="11">
        <v>3.1060963576301E-2</v>
      </c>
      <c r="M988" s="11">
        <f t="shared" si="3"/>
        <v>3.1062296207310793</v>
      </c>
      <c r="N988" s="11">
        <v>1.2375690607734799</v>
      </c>
      <c r="O988" s="11">
        <v>0.205929040284868</v>
      </c>
      <c r="P988" s="11">
        <v>0.51470588235294101</v>
      </c>
      <c r="Q988" s="11">
        <v>0.30188679245283001</v>
      </c>
      <c r="R988" s="11">
        <v>0.43023255813953498</v>
      </c>
      <c r="S988" s="10" t="s">
        <v>84</v>
      </c>
      <c r="T988" s="10" t="s">
        <v>84</v>
      </c>
      <c r="U988" s="10"/>
      <c r="V988" s="10"/>
      <c r="W988" s="10"/>
      <c r="X988" s="10"/>
      <c r="Y988" s="10"/>
      <c r="Z988" s="10"/>
      <c r="AA988" s="10"/>
    </row>
    <row r="989" spans="1:27" ht="12.5" x14ac:dyDescent="0.25">
      <c r="A989" s="10" t="s">
        <v>13</v>
      </c>
      <c r="B989" s="10" t="s">
        <v>1064</v>
      </c>
      <c r="C989" s="10" t="s">
        <v>76</v>
      </c>
      <c r="D989" s="11">
        <v>2024</v>
      </c>
      <c r="E989" s="10" t="s">
        <v>124</v>
      </c>
      <c r="F989" s="10" t="s">
        <v>125</v>
      </c>
      <c r="G989" s="10" t="s">
        <v>84</v>
      </c>
      <c r="H989" s="11">
        <v>1874</v>
      </c>
      <c r="I989" s="11">
        <v>58</v>
      </c>
      <c r="J989" s="11">
        <v>31</v>
      </c>
      <c r="K989" s="11">
        <v>3541</v>
      </c>
      <c r="L989" s="11">
        <v>3.09512162582826E-2</v>
      </c>
      <c r="M989" s="11">
        <f t="shared" si="3"/>
        <v>3.0949839914621133</v>
      </c>
      <c r="N989" s="11">
        <v>0.53448275862068995</v>
      </c>
      <c r="O989" s="11">
        <v>1.88962511673411</v>
      </c>
      <c r="P989" s="11">
        <v>0.34628378378378399</v>
      </c>
      <c r="Q989" s="11">
        <v>4.7619047619047603E-2</v>
      </c>
      <c r="R989" s="11">
        <v>0.26398210290827701</v>
      </c>
      <c r="S989" s="10" t="s">
        <v>84</v>
      </c>
      <c r="T989" s="10" t="s">
        <v>84</v>
      </c>
      <c r="U989" s="10"/>
      <c r="V989" s="10"/>
      <c r="W989" s="10"/>
      <c r="X989" s="10"/>
      <c r="Y989" s="10"/>
      <c r="Z989" s="10"/>
      <c r="AA989" s="10"/>
    </row>
    <row r="990" spans="1:27" ht="12.5" x14ac:dyDescent="0.25">
      <c r="A990" s="10" t="s">
        <v>45</v>
      </c>
      <c r="B990" s="10" t="s">
        <v>1066</v>
      </c>
      <c r="C990" s="10" t="s">
        <v>76</v>
      </c>
      <c r="D990" s="11">
        <v>2024</v>
      </c>
      <c r="E990" s="10" t="s">
        <v>124</v>
      </c>
      <c r="F990" s="10" t="s">
        <v>83</v>
      </c>
      <c r="G990" s="10" t="s">
        <v>84</v>
      </c>
      <c r="H990" s="11">
        <v>25079</v>
      </c>
      <c r="I990" s="11">
        <v>775</v>
      </c>
      <c r="J990" s="11">
        <v>775</v>
      </c>
      <c r="K990" s="11">
        <v>20815</v>
      </c>
      <c r="L990" s="11">
        <v>3.09026566316104E-2</v>
      </c>
      <c r="M990" s="11">
        <f t="shared" si="3"/>
        <v>3.0902348578491967</v>
      </c>
      <c r="N990" s="11">
        <v>1</v>
      </c>
      <c r="O990" s="11">
        <v>0.829985545531576</v>
      </c>
      <c r="P990" s="11">
        <v>0.34543918918918898</v>
      </c>
      <c r="Q990" s="11">
        <v>0.6</v>
      </c>
      <c r="R990" s="11">
        <v>0.26174496644295298</v>
      </c>
      <c r="S990" s="10" t="s">
        <v>84</v>
      </c>
      <c r="T990" s="10" t="s">
        <v>84</v>
      </c>
      <c r="U990" s="10"/>
      <c r="V990" s="10"/>
      <c r="W990" s="10"/>
      <c r="X990" s="10"/>
      <c r="Y990" s="10"/>
      <c r="Z990" s="10"/>
      <c r="AA990" s="10"/>
    </row>
    <row r="991" spans="1:27" ht="12.5" hidden="1" x14ac:dyDescent="0.25">
      <c r="A991" s="10" t="s">
        <v>10</v>
      </c>
      <c r="B991" s="10" t="s">
        <v>1588</v>
      </c>
      <c r="C991" s="10" t="s">
        <v>191</v>
      </c>
      <c r="D991" s="11">
        <v>2024</v>
      </c>
      <c r="E991" s="10" t="s">
        <v>124</v>
      </c>
      <c r="F991" s="10" t="s">
        <v>125</v>
      </c>
      <c r="G991" s="10" t="s">
        <v>84</v>
      </c>
      <c r="H991" s="12">
        <v>1461</v>
      </c>
      <c r="I991" s="11">
        <v>45</v>
      </c>
      <c r="J991" s="11">
        <v>33</v>
      </c>
      <c r="K991" s="11">
        <v>92</v>
      </c>
      <c r="L991" s="11">
        <v>3.0804335424985702E-2</v>
      </c>
      <c r="M991" s="11">
        <f t="shared" si="3"/>
        <v>3.0800821355236137</v>
      </c>
      <c r="N991" s="11">
        <v>0.73333333333333295</v>
      </c>
      <c r="O991" s="11">
        <v>6.2977752424415306E-2</v>
      </c>
      <c r="P991" s="11">
        <v>0.51348039215686303</v>
      </c>
      <c r="Q991" s="11">
        <v>0.31034482758620702</v>
      </c>
      <c r="R991" s="11">
        <v>0.428294573643411</v>
      </c>
      <c r="S991" s="10" t="s">
        <v>84</v>
      </c>
      <c r="T991" s="10" t="s">
        <v>84</v>
      </c>
      <c r="U991" s="10"/>
      <c r="V991" s="10"/>
      <c r="W991" s="10"/>
      <c r="X991" s="10"/>
      <c r="Y991" s="10"/>
      <c r="Z991" s="10"/>
      <c r="AA991" s="10"/>
    </row>
    <row r="992" spans="1:27" ht="12.5" hidden="1" x14ac:dyDescent="0.25">
      <c r="A992" s="10" t="s">
        <v>14</v>
      </c>
      <c r="B992" s="10" t="s">
        <v>1589</v>
      </c>
      <c r="C992" s="10" t="s">
        <v>191</v>
      </c>
      <c r="D992" s="11">
        <v>2024</v>
      </c>
      <c r="E992" s="10" t="s">
        <v>124</v>
      </c>
      <c r="F992" s="10" t="s">
        <v>125</v>
      </c>
      <c r="G992" s="10" t="s">
        <v>84</v>
      </c>
      <c r="H992" s="12">
        <v>521.83333333333303</v>
      </c>
      <c r="I992" s="11">
        <v>16</v>
      </c>
      <c r="J992" s="11">
        <v>16</v>
      </c>
      <c r="K992" s="11">
        <v>0</v>
      </c>
      <c r="L992" s="11">
        <v>3.0661130629191999E-2</v>
      </c>
      <c r="M992" s="11">
        <f t="shared" si="3"/>
        <v>3.0661130629191966</v>
      </c>
      <c r="N992" s="11">
        <v>1</v>
      </c>
      <c r="O992" s="11">
        <v>0</v>
      </c>
      <c r="P992" s="11">
        <v>0.51225490196078405</v>
      </c>
      <c r="Q992" s="11">
        <v>0.319148936170213</v>
      </c>
      <c r="R992" s="11">
        <v>0.42635658914728702</v>
      </c>
      <c r="S992" s="10" t="s">
        <v>84</v>
      </c>
      <c r="T992" s="10" t="s">
        <v>84</v>
      </c>
      <c r="U992" s="10"/>
      <c r="V992" s="10"/>
      <c r="W992" s="10"/>
      <c r="X992" s="10"/>
      <c r="Y992" s="10"/>
      <c r="Z992" s="10"/>
      <c r="AA992" s="10"/>
    </row>
    <row r="993" spans="1:27" ht="12.5" hidden="1" x14ac:dyDescent="0.25">
      <c r="A993" s="10" t="s">
        <v>96</v>
      </c>
      <c r="B993" s="10" t="s">
        <v>1590</v>
      </c>
      <c r="C993" s="10" t="s">
        <v>191</v>
      </c>
      <c r="D993" s="11">
        <v>2024</v>
      </c>
      <c r="E993" s="10" t="s">
        <v>257</v>
      </c>
      <c r="F993" s="10" t="s">
        <v>125</v>
      </c>
      <c r="G993" s="10" t="s">
        <v>84</v>
      </c>
      <c r="H993" s="12">
        <v>1284</v>
      </c>
      <c r="I993" s="11">
        <v>39</v>
      </c>
      <c r="J993" s="11">
        <v>34</v>
      </c>
      <c r="K993" s="11">
        <v>1153</v>
      </c>
      <c r="L993" s="11">
        <v>3.0379746835442999E-2</v>
      </c>
      <c r="M993" s="11">
        <f t="shared" si="3"/>
        <v>3.0373831775700935</v>
      </c>
      <c r="N993" s="11">
        <v>0.87179487179487203</v>
      </c>
      <c r="O993" s="11">
        <v>0.89814995131450803</v>
      </c>
      <c r="P993" s="11">
        <v>0.50857843137254899</v>
      </c>
      <c r="Q993" s="11">
        <v>0.54545454545454497</v>
      </c>
      <c r="R993" s="11">
        <v>0.38888888888888901</v>
      </c>
      <c r="S993" s="10" t="s">
        <v>84</v>
      </c>
      <c r="T993" s="10" t="s">
        <v>84</v>
      </c>
      <c r="U993" s="10"/>
      <c r="V993" s="10"/>
      <c r="W993" s="10"/>
      <c r="X993" s="10"/>
      <c r="Y993" s="10"/>
      <c r="Z993" s="10"/>
      <c r="AA993" s="10"/>
    </row>
    <row r="994" spans="1:27" ht="12.5" hidden="1" x14ac:dyDescent="0.25">
      <c r="A994" s="10" t="s">
        <v>62</v>
      </c>
      <c r="B994" s="10" t="s">
        <v>1591</v>
      </c>
      <c r="C994" s="10" t="s">
        <v>191</v>
      </c>
      <c r="D994" s="11">
        <v>2024</v>
      </c>
      <c r="E994" s="10" t="s">
        <v>124</v>
      </c>
      <c r="F994" s="10" t="s">
        <v>125</v>
      </c>
      <c r="G994" s="10" t="s">
        <v>84</v>
      </c>
      <c r="H994" s="12">
        <v>14925</v>
      </c>
      <c r="I994" s="11">
        <v>453</v>
      </c>
      <c r="J994" s="11">
        <v>360</v>
      </c>
      <c r="K994" s="11">
        <v>35708</v>
      </c>
      <c r="L994" s="11">
        <v>3.03515893266928E-2</v>
      </c>
      <c r="M994" s="11">
        <f t="shared" si="3"/>
        <v>3.0351758793969847</v>
      </c>
      <c r="N994" s="11">
        <v>0.79470198675496695</v>
      </c>
      <c r="O994" s="11">
        <v>2.3924824540343201</v>
      </c>
      <c r="P994" s="11">
        <v>0.50735294117647101</v>
      </c>
      <c r="Q994" s="11">
        <v>0.8</v>
      </c>
      <c r="R994" s="11">
        <v>0.42441860465116299</v>
      </c>
      <c r="S994" s="10" t="s">
        <v>84</v>
      </c>
      <c r="T994" s="10" t="s">
        <v>84</v>
      </c>
      <c r="U994" s="10"/>
      <c r="V994" s="10"/>
      <c r="W994" s="10"/>
      <c r="X994" s="10"/>
      <c r="Y994" s="10"/>
      <c r="Z994" s="10"/>
      <c r="AA994" s="10"/>
    </row>
    <row r="995" spans="1:27" ht="12.5" x14ac:dyDescent="0.25">
      <c r="A995" s="10" t="s">
        <v>77</v>
      </c>
      <c r="B995" s="10" t="s">
        <v>1068</v>
      </c>
      <c r="C995" s="10" t="s">
        <v>76</v>
      </c>
      <c r="D995" s="11">
        <v>2024</v>
      </c>
      <c r="E995" s="10" t="s">
        <v>124</v>
      </c>
      <c r="F995" s="10" t="s">
        <v>125</v>
      </c>
      <c r="G995" s="10" t="s">
        <v>84</v>
      </c>
      <c r="H995" s="11">
        <v>758</v>
      </c>
      <c r="I995" s="11">
        <v>23</v>
      </c>
      <c r="J995" s="11">
        <v>23</v>
      </c>
      <c r="K995" s="11">
        <v>23</v>
      </c>
      <c r="L995" s="11">
        <v>3.03496811084231E-2</v>
      </c>
      <c r="M995" s="11">
        <f t="shared" si="3"/>
        <v>3.0343007915567282</v>
      </c>
      <c r="N995" s="11">
        <v>1</v>
      </c>
      <c r="O995" s="11">
        <v>3.03496811084231E-2</v>
      </c>
      <c r="P995" s="11">
        <v>0.34375</v>
      </c>
      <c r="Q995" s="11">
        <v>0.39285714285714302</v>
      </c>
      <c r="R995" s="11">
        <v>0.259507829977629</v>
      </c>
      <c r="S995" s="10" t="s">
        <v>84</v>
      </c>
      <c r="T995" s="10" t="s">
        <v>84</v>
      </c>
      <c r="U995" s="10"/>
      <c r="V995" s="10"/>
      <c r="W995" s="10"/>
      <c r="X995" s="10"/>
      <c r="Y995" s="10"/>
      <c r="Z995" s="10"/>
      <c r="AA995" s="10"/>
    </row>
    <row r="996" spans="1:27" ht="12.5" x14ac:dyDescent="0.25">
      <c r="A996" s="10" t="s">
        <v>32</v>
      </c>
      <c r="B996" s="10" t="s">
        <v>931</v>
      </c>
      <c r="C996" s="10" t="s">
        <v>76</v>
      </c>
      <c r="D996" s="11">
        <v>2024</v>
      </c>
      <c r="E996" s="10" t="s">
        <v>81</v>
      </c>
      <c r="F996" s="10" t="s">
        <v>83</v>
      </c>
      <c r="G996" s="10" t="s">
        <v>84</v>
      </c>
      <c r="H996" s="11">
        <v>59685</v>
      </c>
      <c r="I996" s="11">
        <v>1804</v>
      </c>
      <c r="J996" s="11">
        <v>1523</v>
      </c>
      <c r="K996" s="11">
        <v>20124</v>
      </c>
      <c r="L996" s="11">
        <v>3.02252231497732E-2</v>
      </c>
      <c r="M996" s="11">
        <f t="shared" si="3"/>
        <v>3.0225349752869231</v>
      </c>
      <c r="N996" s="11">
        <v>0.84423503325942395</v>
      </c>
      <c r="O996" s="11">
        <v>0.33716873096786898</v>
      </c>
      <c r="P996" s="11">
        <v>0.34290540540540498</v>
      </c>
      <c r="Q996" s="11">
        <v>0.13793103448275901</v>
      </c>
      <c r="R996" s="11">
        <v>0.39922480620154999</v>
      </c>
      <c r="S996" s="10" t="s">
        <v>84</v>
      </c>
      <c r="T996" s="10" t="s">
        <v>84</v>
      </c>
      <c r="U996" s="10"/>
      <c r="V996" s="10"/>
      <c r="W996" s="10"/>
      <c r="X996" s="10"/>
      <c r="Y996" s="10"/>
      <c r="Z996" s="10"/>
      <c r="AA996" s="10"/>
    </row>
    <row r="997" spans="1:27" ht="12.5" x14ac:dyDescent="0.25">
      <c r="A997" s="10" t="s">
        <v>110</v>
      </c>
      <c r="B997" s="10" t="s">
        <v>1429</v>
      </c>
      <c r="C997" s="10" t="s">
        <v>76</v>
      </c>
      <c r="D997" s="11">
        <v>2024</v>
      </c>
      <c r="E997" s="10" t="s">
        <v>257</v>
      </c>
      <c r="F997" s="10" t="s">
        <v>83</v>
      </c>
      <c r="G997" s="10" t="s">
        <v>84</v>
      </c>
      <c r="H997" s="11">
        <v>45311</v>
      </c>
      <c r="I997" s="11">
        <v>1368</v>
      </c>
      <c r="J997" s="11">
        <v>441</v>
      </c>
      <c r="K997" s="11">
        <v>53194</v>
      </c>
      <c r="L997" s="11">
        <v>3.0191510844556801E-2</v>
      </c>
      <c r="M997" s="11">
        <f t="shared" si="3"/>
        <v>3.019134426518947</v>
      </c>
      <c r="N997" s="11">
        <v>0.32236842105263203</v>
      </c>
      <c r="O997" s="11">
        <v>1.17398189171444</v>
      </c>
      <c r="P997" s="11">
        <v>0.34206081081081102</v>
      </c>
      <c r="Q997" s="11">
        <v>0.48484848484848497</v>
      </c>
      <c r="R997" s="11">
        <v>0.45454545454545497</v>
      </c>
      <c r="S997" s="10" t="s">
        <v>84</v>
      </c>
      <c r="T997" s="10" t="s">
        <v>84</v>
      </c>
      <c r="U997" s="10"/>
      <c r="V997" s="10"/>
      <c r="W997" s="10"/>
      <c r="X997" s="10"/>
      <c r="Y997" s="10"/>
      <c r="Z997" s="10"/>
      <c r="AA997" s="10"/>
    </row>
    <row r="998" spans="1:27" ht="12.5" hidden="1" x14ac:dyDescent="0.25">
      <c r="A998" s="10" t="s">
        <v>55</v>
      </c>
      <c r="B998" s="10" t="s">
        <v>1592</v>
      </c>
      <c r="C998" s="10" t="s">
        <v>191</v>
      </c>
      <c r="D998" s="11">
        <v>2024</v>
      </c>
      <c r="E998" s="10" t="s">
        <v>124</v>
      </c>
      <c r="F998" s="10" t="s">
        <v>125</v>
      </c>
      <c r="G998" s="10" t="s">
        <v>84</v>
      </c>
      <c r="H998" s="12">
        <v>497</v>
      </c>
      <c r="I998" s="11">
        <v>15</v>
      </c>
      <c r="J998" s="11">
        <v>15</v>
      </c>
      <c r="K998" s="11">
        <v>100</v>
      </c>
      <c r="L998" s="11">
        <v>3.0181086519114698E-2</v>
      </c>
      <c r="M998" s="11">
        <f t="shared" si="3"/>
        <v>3.0181086519114686</v>
      </c>
      <c r="N998" s="11">
        <v>1</v>
      </c>
      <c r="O998" s="11">
        <v>0.20120724346076499</v>
      </c>
      <c r="P998" s="11">
        <v>0.50367647058823495</v>
      </c>
      <c r="Q998" s="11">
        <v>0.48148148148148101</v>
      </c>
      <c r="R998" s="11">
        <v>0.42248062015503901</v>
      </c>
      <c r="S998" s="10" t="s">
        <v>84</v>
      </c>
      <c r="T998" s="10" t="s">
        <v>84</v>
      </c>
      <c r="U998" s="10"/>
      <c r="V998" s="10"/>
      <c r="W998" s="10"/>
      <c r="X998" s="10"/>
      <c r="Y998" s="10"/>
      <c r="Z998" s="10"/>
      <c r="AA998" s="10"/>
    </row>
    <row r="999" spans="1:27" ht="12.5" x14ac:dyDescent="0.25">
      <c r="A999" s="10" t="s">
        <v>42</v>
      </c>
      <c r="B999" s="10" t="s">
        <v>933</v>
      </c>
      <c r="C999" s="10" t="s">
        <v>76</v>
      </c>
      <c r="D999" s="11">
        <v>2024</v>
      </c>
      <c r="E999" s="10" t="s">
        <v>81</v>
      </c>
      <c r="F999" s="10" t="s">
        <v>83</v>
      </c>
      <c r="G999" s="10" t="s">
        <v>84</v>
      </c>
      <c r="H999" s="11">
        <v>30610</v>
      </c>
      <c r="I999" s="11">
        <v>921</v>
      </c>
      <c r="J999" s="11">
        <v>847</v>
      </c>
      <c r="K999" s="11">
        <v>5084</v>
      </c>
      <c r="L999" s="11">
        <v>3.00886979532498E-2</v>
      </c>
      <c r="M999" s="11">
        <f t="shared" si="3"/>
        <v>3.0088206468474357</v>
      </c>
      <c r="N999" s="11">
        <v>0.91965255157437598</v>
      </c>
      <c r="O999" s="11">
        <v>0.166092226269622</v>
      </c>
      <c r="P999" s="11">
        <v>0.34121621621621601</v>
      </c>
      <c r="Q999" s="11">
        <v>0.30952380952380998</v>
      </c>
      <c r="R999" s="11">
        <v>0.39728682170542601</v>
      </c>
      <c r="S999" s="10" t="s">
        <v>84</v>
      </c>
      <c r="T999" s="10" t="s">
        <v>84</v>
      </c>
      <c r="U999" s="10"/>
      <c r="V999" s="10"/>
      <c r="W999" s="10"/>
      <c r="X999" s="10"/>
      <c r="Y999" s="10"/>
      <c r="Z999" s="10"/>
      <c r="AA999" s="10"/>
    </row>
    <row r="1000" spans="1:27" ht="12.5" x14ac:dyDescent="0.25">
      <c r="A1000" s="10" t="s">
        <v>58</v>
      </c>
      <c r="B1000" s="10" t="s">
        <v>935</v>
      </c>
      <c r="C1000" s="10" t="s">
        <v>76</v>
      </c>
      <c r="D1000" s="11">
        <v>2024</v>
      </c>
      <c r="E1000" s="10" t="s">
        <v>81</v>
      </c>
      <c r="F1000" s="10" t="s">
        <v>83</v>
      </c>
      <c r="G1000" s="10" t="s">
        <v>84</v>
      </c>
      <c r="H1000" s="11">
        <v>56858</v>
      </c>
      <c r="I1000" s="11">
        <v>1676</v>
      </c>
      <c r="J1000" s="11">
        <v>922</v>
      </c>
      <c r="K1000" s="11">
        <v>101973</v>
      </c>
      <c r="L1000" s="11">
        <v>2.9476985761290899E-2</v>
      </c>
      <c r="M1000" s="11">
        <f t="shared" si="3"/>
        <v>2.9476942558654895</v>
      </c>
      <c r="N1000" s="11">
        <v>0.55011933174224303</v>
      </c>
      <c r="O1000" s="11">
        <v>1.79347056625067</v>
      </c>
      <c r="P1000" s="11">
        <v>0.33952702702702697</v>
      </c>
      <c r="Q1000" s="11">
        <v>2.7027027027027001E-2</v>
      </c>
      <c r="R1000" s="11">
        <v>0.39534883720930197</v>
      </c>
      <c r="S1000" s="10" t="s">
        <v>84</v>
      </c>
      <c r="T1000" s="10" t="s">
        <v>84</v>
      </c>
      <c r="U1000" s="10"/>
      <c r="V1000" s="10"/>
      <c r="W1000" s="10"/>
      <c r="X1000" s="10"/>
      <c r="Y1000" s="10"/>
      <c r="Z1000" s="10"/>
      <c r="AA1000" s="10"/>
    </row>
    <row r="1001" spans="1:27" ht="12.5" hidden="1" x14ac:dyDescent="0.25">
      <c r="A1001" s="10" t="s">
        <v>77</v>
      </c>
      <c r="B1001" s="10" t="s">
        <v>1593</v>
      </c>
      <c r="C1001" s="10" t="s">
        <v>191</v>
      </c>
      <c r="D1001" s="11">
        <v>2024</v>
      </c>
      <c r="E1001" s="10" t="s">
        <v>124</v>
      </c>
      <c r="F1001" s="10" t="s">
        <v>125</v>
      </c>
      <c r="G1001" s="10" t="s">
        <v>84</v>
      </c>
      <c r="H1001" s="12">
        <v>714.25</v>
      </c>
      <c r="I1001" s="11">
        <v>21</v>
      </c>
      <c r="J1001" s="11">
        <v>21</v>
      </c>
      <c r="K1001" s="11">
        <v>21</v>
      </c>
      <c r="L1001" s="11">
        <v>2.9401470073503699E-2</v>
      </c>
      <c r="M1001" s="11">
        <f t="shared" si="3"/>
        <v>2.9401470073503675</v>
      </c>
      <c r="N1001" s="11">
        <v>1</v>
      </c>
      <c r="O1001" s="11">
        <v>2.9401470073503699E-2</v>
      </c>
      <c r="P1001" s="11">
        <v>0.5</v>
      </c>
      <c r="Q1001" s="11">
        <v>0.71739130434782605</v>
      </c>
      <c r="R1001" s="11">
        <v>0.42054263565891498</v>
      </c>
      <c r="S1001" s="10" t="s">
        <v>84</v>
      </c>
      <c r="T1001" s="10" t="s">
        <v>84</v>
      </c>
      <c r="U1001" s="10"/>
      <c r="V1001" s="10"/>
      <c r="W1001" s="10"/>
      <c r="X1001" s="10"/>
      <c r="Y1001" s="10"/>
      <c r="Z1001" s="10"/>
      <c r="AA1001" s="10"/>
    </row>
    <row r="1002" spans="1:27" ht="12.5" hidden="1" x14ac:dyDescent="0.25">
      <c r="A1002" s="10" t="s">
        <v>29</v>
      </c>
      <c r="B1002" s="10" t="s">
        <v>1594</v>
      </c>
      <c r="C1002" s="10" t="s">
        <v>191</v>
      </c>
      <c r="D1002" s="11">
        <v>2024</v>
      </c>
      <c r="E1002" s="10" t="s">
        <v>257</v>
      </c>
      <c r="F1002" s="10" t="s">
        <v>125</v>
      </c>
      <c r="G1002" s="10" t="s">
        <v>84</v>
      </c>
      <c r="H1002" s="12">
        <v>70588</v>
      </c>
      <c r="I1002" s="11">
        <v>2071</v>
      </c>
      <c r="J1002" s="11">
        <v>823</v>
      </c>
      <c r="K1002" s="11">
        <v>58226</v>
      </c>
      <c r="L1002" s="11">
        <v>2.9339091281501601E-2</v>
      </c>
      <c r="M1002" s="11">
        <f t="shared" si="3"/>
        <v>2.9339264464214883</v>
      </c>
      <c r="N1002" s="11">
        <v>0.397392563978754</v>
      </c>
      <c r="O1002" s="11">
        <v>0.82486621388542303</v>
      </c>
      <c r="P1002" s="11">
        <v>0.49877450980392202</v>
      </c>
      <c r="Q1002" s="11">
        <v>0.43661971830985902</v>
      </c>
      <c r="R1002" s="11">
        <v>0.36111111111111099</v>
      </c>
      <c r="S1002" s="10" t="s">
        <v>84</v>
      </c>
      <c r="T1002" s="10" t="s">
        <v>84</v>
      </c>
      <c r="U1002" s="10"/>
      <c r="V1002" s="10"/>
      <c r="W1002" s="10"/>
      <c r="X1002" s="10"/>
      <c r="Y1002" s="10"/>
      <c r="Z1002" s="10"/>
      <c r="AA1002" s="10"/>
    </row>
    <row r="1003" spans="1:27" ht="12.5" hidden="1" x14ac:dyDescent="0.25">
      <c r="A1003" s="10" t="s">
        <v>42</v>
      </c>
      <c r="B1003" s="10" t="s">
        <v>1595</v>
      </c>
      <c r="C1003" s="10" t="s">
        <v>191</v>
      </c>
      <c r="D1003" s="11">
        <v>2024</v>
      </c>
      <c r="E1003" s="10" t="s">
        <v>124</v>
      </c>
      <c r="F1003" s="10" t="s">
        <v>125</v>
      </c>
      <c r="G1003" s="10" t="s">
        <v>84</v>
      </c>
      <c r="H1003" s="12">
        <v>2659</v>
      </c>
      <c r="I1003" s="11">
        <v>78</v>
      </c>
      <c r="J1003" s="11">
        <v>57</v>
      </c>
      <c r="K1003" s="11">
        <v>2638</v>
      </c>
      <c r="L1003" s="11">
        <v>2.9333416904321698E-2</v>
      </c>
      <c r="M1003" s="11">
        <f t="shared" si="3"/>
        <v>2.9334336216622789</v>
      </c>
      <c r="N1003" s="11">
        <v>0.73076923076923095</v>
      </c>
      <c r="O1003" s="11">
        <v>0.99207120248205805</v>
      </c>
      <c r="P1003" s="11">
        <v>0.49754901960784298</v>
      </c>
      <c r="Q1003" s="11">
        <v>0.66666666666666696</v>
      </c>
      <c r="R1003" s="11">
        <v>0.418604651162791</v>
      </c>
      <c r="S1003" s="10" t="s">
        <v>84</v>
      </c>
      <c r="T1003" s="10" t="s">
        <v>84</v>
      </c>
      <c r="U1003" s="10"/>
      <c r="V1003" s="10"/>
      <c r="W1003" s="10"/>
      <c r="X1003" s="10"/>
      <c r="Y1003" s="10"/>
      <c r="Z1003" s="10"/>
      <c r="AA1003" s="10"/>
    </row>
    <row r="1004" spans="1:27" ht="12.5" x14ac:dyDescent="0.25">
      <c r="A1004" s="10" t="s">
        <v>82</v>
      </c>
      <c r="B1004" s="10" t="s">
        <v>1070</v>
      </c>
      <c r="C1004" s="10" t="s">
        <v>76</v>
      </c>
      <c r="D1004" s="11">
        <v>2024</v>
      </c>
      <c r="E1004" s="10" t="s">
        <v>124</v>
      </c>
      <c r="F1004" s="10" t="s">
        <v>83</v>
      </c>
      <c r="G1004" s="10" t="s">
        <v>84</v>
      </c>
      <c r="H1004" s="11">
        <v>2459</v>
      </c>
      <c r="I1004" s="11">
        <v>72</v>
      </c>
      <c r="J1004" s="11">
        <v>71</v>
      </c>
      <c r="K1004" s="11">
        <v>1465</v>
      </c>
      <c r="L1004" s="11">
        <v>2.9282179895614401E-2</v>
      </c>
      <c r="M1004" s="11">
        <f t="shared" si="3"/>
        <v>2.928019520130134</v>
      </c>
      <c r="N1004" s="11">
        <v>0.98611111111111105</v>
      </c>
      <c r="O1004" s="11">
        <v>0.59581102148715503</v>
      </c>
      <c r="P1004" s="11">
        <v>0.33868243243243201</v>
      </c>
      <c r="Q1004" s="11">
        <v>0.568965517241379</v>
      </c>
      <c r="R1004" s="11">
        <v>0.25727069351230403</v>
      </c>
      <c r="S1004" s="10" t="s">
        <v>84</v>
      </c>
      <c r="T1004" s="10" t="s">
        <v>84</v>
      </c>
      <c r="U1004" s="10"/>
      <c r="V1004" s="10"/>
      <c r="W1004" s="10"/>
      <c r="X1004" s="10"/>
      <c r="Y1004" s="10"/>
      <c r="Z1004" s="10"/>
      <c r="AA1004" s="10"/>
    </row>
    <row r="1005" spans="1:27" ht="12.5" x14ac:dyDescent="0.25">
      <c r="A1005" s="10" t="s">
        <v>36</v>
      </c>
      <c r="B1005" s="10" t="s">
        <v>937</v>
      </c>
      <c r="C1005" s="10" t="s">
        <v>76</v>
      </c>
      <c r="D1005" s="11">
        <v>2024</v>
      </c>
      <c r="E1005" s="10" t="s">
        <v>81</v>
      </c>
      <c r="F1005" s="10" t="s">
        <v>83</v>
      </c>
      <c r="G1005" s="10" t="s">
        <v>84</v>
      </c>
      <c r="H1005" s="11">
        <v>34568</v>
      </c>
      <c r="I1005" s="11">
        <v>1012</v>
      </c>
      <c r="J1005" s="11">
        <v>702</v>
      </c>
      <c r="K1005" s="11">
        <v>4958</v>
      </c>
      <c r="L1005" s="11">
        <v>2.9275560066246101E-2</v>
      </c>
      <c r="M1005" s="11">
        <f t="shared" si="3"/>
        <v>2.9275630641055308</v>
      </c>
      <c r="N1005" s="11">
        <v>0.69367588932806301</v>
      </c>
      <c r="O1005" s="11">
        <v>0.14342710158937599</v>
      </c>
      <c r="P1005" s="11">
        <v>0.337837837837838</v>
      </c>
      <c r="Q1005" s="11">
        <v>0.21276595744680901</v>
      </c>
      <c r="R1005" s="11">
        <v>0.39341085271317799</v>
      </c>
      <c r="S1005" s="10" t="s">
        <v>84</v>
      </c>
      <c r="T1005" s="10" t="s">
        <v>84</v>
      </c>
      <c r="U1005" s="10"/>
      <c r="V1005" s="10"/>
      <c r="W1005" s="10"/>
      <c r="X1005" s="10"/>
      <c r="Y1005" s="10"/>
      <c r="Z1005" s="10"/>
      <c r="AA1005" s="10"/>
    </row>
    <row r="1006" spans="1:27" ht="12.5" hidden="1" x14ac:dyDescent="0.25">
      <c r="A1006" s="10" t="s">
        <v>14</v>
      </c>
      <c r="B1006" s="10" t="s">
        <v>1596</v>
      </c>
      <c r="C1006" s="10" t="s">
        <v>191</v>
      </c>
      <c r="D1006" s="11">
        <v>2024</v>
      </c>
      <c r="E1006" s="10" t="s">
        <v>257</v>
      </c>
      <c r="F1006" s="10" t="s">
        <v>125</v>
      </c>
      <c r="G1006" s="10" t="s">
        <v>84</v>
      </c>
      <c r="H1006" s="12">
        <v>12041</v>
      </c>
      <c r="I1006" s="11">
        <v>352</v>
      </c>
      <c r="J1006" s="11">
        <v>178</v>
      </c>
      <c r="K1006" s="11">
        <v>4079</v>
      </c>
      <c r="L1006" s="11">
        <v>2.9232643118148601E-2</v>
      </c>
      <c r="M1006" s="11">
        <f t="shared" si="3"/>
        <v>2.9233452371065525</v>
      </c>
      <c r="N1006" s="11">
        <v>0.50568181818181801</v>
      </c>
      <c r="O1006" s="11">
        <v>0.33874986158786402</v>
      </c>
      <c r="P1006" s="11">
        <v>0.49509803921568601</v>
      </c>
      <c r="Q1006" s="11">
        <v>0.29787234042553201</v>
      </c>
      <c r="R1006" s="11">
        <v>0.33333333333333298</v>
      </c>
      <c r="S1006" s="10" t="s">
        <v>84</v>
      </c>
      <c r="T1006" s="10" t="s">
        <v>84</v>
      </c>
      <c r="U1006" s="10"/>
      <c r="V1006" s="10"/>
      <c r="W1006" s="10"/>
      <c r="X1006" s="10"/>
      <c r="Y1006" s="10"/>
      <c r="Z1006" s="10"/>
      <c r="AA1006" s="10"/>
    </row>
    <row r="1007" spans="1:27" ht="12.5" hidden="1" x14ac:dyDescent="0.25">
      <c r="A1007" s="10" t="s">
        <v>29</v>
      </c>
      <c r="B1007" s="10" t="s">
        <v>1597</v>
      </c>
      <c r="C1007" s="10" t="s">
        <v>191</v>
      </c>
      <c r="D1007" s="11">
        <v>2024</v>
      </c>
      <c r="E1007" s="10" t="s">
        <v>257</v>
      </c>
      <c r="F1007" s="10" t="s">
        <v>125</v>
      </c>
      <c r="G1007" s="10" t="s">
        <v>84</v>
      </c>
      <c r="H1007" s="12">
        <v>15706</v>
      </c>
      <c r="I1007" s="11">
        <v>459</v>
      </c>
      <c r="J1007" s="11">
        <v>279</v>
      </c>
      <c r="K1007" s="11">
        <v>2562</v>
      </c>
      <c r="L1007" s="11">
        <v>2.9224655252001599E-2</v>
      </c>
      <c r="M1007" s="11">
        <f t="shared" si="3"/>
        <v>2.9224500191009808</v>
      </c>
      <c r="N1007" s="11">
        <v>0.60784313725490202</v>
      </c>
      <c r="O1007" s="11">
        <v>0.16312323911901599</v>
      </c>
      <c r="P1007" s="11">
        <v>0.49387254901960798</v>
      </c>
      <c r="Q1007" s="11">
        <v>0.42253521126760601</v>
      </c>
      <c r="R1007" s="11">
        <v>0.30555555555555602</v>
      </c>
      <c r="S1007" s="10" t="s">
        <v>84</v>
      </c>
      <c r="T1007" s="10" t="s">
        <v>84</v>
      </c>
      <c r="U1007" s="10"/>
      <c r="V1007" s="10"/>
      <c r="W1007" s="10"/>
      <c r="X1007" s="10"/>
      <c r="Y1007" s="10"/>
      <c r="Z1007" s="10"/>
      <c r="AA1007" s="10"/>
    </row>
    <row r="1008" spans="1:27" ht="12.5" x14ac:dyDescent="0.25">
      <c r="A1008" s="10" t="s">
        <v>53</v>
      </c>
      <c r="B1008" s="10" t="s">
        <v>1072</v>
      </c>
      <c r="C1008" s="10" t="s">
        <v>76</v>
      </c>
      <c r="D1008" s="11">
        <v>2024</v>
      </c>
      <c r="E1008" s="10" t="s">
        <v>124</v>
      </c>
      <c r="F1008" s="10" t="s">
        <v>83</v>
      </c>
      <c r="G1008" s="10" t="s">
        <v>84</v>
      </c>
      <c r="H1008" s="11">
        <v>10080</v>
      </c>
      <c r="I1008" s="11">
        <v>294</v>
      </c>
      <c r="J1008" s="11">
        <v>192</v>
      </c>
      <c r="K1008" s="11">
        <v>1942</v>
      </c>
      <c r="L1008" s="11">
        <v>2.9166666666666698E-2</v>
      </c>
      <c r="M1008" s="11">
        <f t="shared" si="3"/>
        <v>2.9166666666666665</v>
      </c>
      <c r="N1008" s="11">
        <v>0.65306122448979598</v>
      </c>
      <c r="O1008" s="11">
        <v>0.19265873015873</v>
      </c>
      <c r="P1008" s="11">
        <v>0.33699324324324298</v>
      </c>
      <c r="Q1008" s="11">
        <v>0.875</v>
      </c>
      <c r="R1008" s="11">
        <v>0.25503355704698</v>
      </c>
      <c r="S1008" s="10" t="s">
        <v>84</v>
      </c>
      <c r="T1008" s="10" t="s">
        <v>84</v>
      </c>
      <c r="U1008" s="10"/>
      <c r="V1008" s="10"/>
      <c r="W1008" s="10"/>
      <c r="X1008" s="10"/>
      <c r="Y1008" s="10"/>
      <c r="Z1008" s="10"/>
      <c r="AA1008" s="10"/>
    </row>
    <row r="1009" spans="1:27" ht="12.5" hidden="1" x14ac:dyDescent="0.25">
      <c r="A1009" s="10" t="s">
        <v>96</v>
      </c>
      <c r="B1009" s="10" t="s">
        <v>1598</v>
      </c>
      <c r="C1009" s="10" t="s">
        <v>191</v>
      </c>
      <c r="D1009" s="11">
        <v>2024</v>
      </c>
      <c r="E1009" s="10" t="s">
        <v>81</v>
      </c>
      <c r="F1009" s="10" t="s">
        <v>125</v>
      </c>
      <c r="G1009" s="10" t="s">
        <v>84</v>
      </c>
      <c r="H1009" s="12">
        <v>6488</v>
      </c>
      <c r="I1009" s="11">
        <v>189</v>
      </c>
      <c r="J1009" s="11">
        <v>49</v>
      </c>
      <c r="K1009" s="11">
        <v>1344</v>
      </c>
      <c r="L1009" s="11">
        <v>2.9132947976878602E-2</v>
      </c>
      <c r="M1009" s="11">
        <f t="shared" si="3"/>
        <v>2.9130702836004931</v>
      </c>
      <c r="N1009" s="11">
        <v>0.25925925925925902</v>
      </c>
      <c r="O1009" s="11">
        <v>0.207167630057803</v>
      </c>
      <c r="P1009" s="11">
        <v>0.49264705882352899</v>
      </c>
      <c r="Q1009" s="11">
        <v>0.45454545454545497</v>
      </c>
      <c r="R1009" s="11">
        <v>0.70833333333333304</v>
      </c>
      <c r="S1009" s="10" t="s">
        <v>84</v>
      </c>
      <c r="T1009" s="10" t="s">
        <v>84</v>
      </c>
      <c r="U1009" s="10"/>
      <c r="V1009" s="10"/>
      <c r="W1009" s="10"/>
      <c r="X1009" s="10"/>
      <c r="Y1009" s="10"/>
      <c r="Z1009" s="10"/>
      <c r="AA1009" s="10"/>
    </row>
    <row r="1010" spans="1:27" ht="12.5" hidden="1" x14ac:dyDescent="0.25">
      <c r="A1010" s="10" t="s">
        <v>58</v>
      </c>
      <c r="B1010" s="10" t="s">
        <v>1599</v>
      </c>
      <c r="C1010" s="10" t="s">
        <v>191</v>
      </c>
      <c r="D1010" s="11">
        <v>2024</v>
      </c>
      <c r="E1010" s="10" t="s">
        <v>124</v>
      </c>
      <c r="F1010" s="10" t="s">
        <v>125</v>
      </c>
      <c r="G1010" s="10" t="s">
        <v>84</v>
      </c>
      <c r="H1010" s="12">
        <v>1270</v>
      </c>
      <c r="I1010" s="11">
        <v>37</v>
      </c>
      <c r="J1010" s="11">
        <v>19</v>
      </c>
      <c r="K1010" s="11">
        <v>136</v>
      </c>
      <c r="L1010" s="11">
        <v>2.9131946722656E-2</v>
      </c>
      <c r="M1010" s="11">
        <f t="shared" si="3"/>
        <v>2.9133858267716537</v>
      </c>
      <c r="N1010" s="11">
        <v>0.51351351351351304</v>
      </c>
      <c r="O1010" s="11">
        <v>0.107079587953546</v>
      </c>
      <c r="P1010" s="11">
        <v>0.49142156862745101</v>
      </c>
      <c r="Q1010" s="11">
        <v>0.26415094339622602</v>
      </c>
      <c r="R1010" s="11">
        <v>0.41666666666666702</v>
      </c>
      <c r="S1010" s="10" t="s">
        <v>84</v>
      </c>
      <c r="T1010" s="10" t="s">
        <v>84</v>
      </c>
      <c r="U1010" s="10"/>
      <c r="V1010" s="10"/>
      <c r="W1010" s="10"/>
      <c r="X1010" s="10"/>
      <c r="Y1010" s="10"/>
      <c r="Z1010" s="10"/>
      <c r="AA1010" s="10"/>
    </row>
    <row r="1011" spans="1:27" ht="12.5" hidden="1" x14ac:dyDescent="0.25">
      <c r="A1011" s="10" t="s">
        <v>77</v>
      </c>
      <c r="B1011" s="10" t="s">
        <v>1600</v>
      </c>
      <c r="C1011" s="10" t="s">
        <v>191</v>
      </c>
      <c r="D1011" s="11">
        <v>2024</v>
      </c>
      <c r="E1011" s="10" t="s">
        <v>124</v>
      </c>
      <c r="F1011" s="10" t="s">
        <v>125</v>
      </c>
      <c r="G1011" s="10" t="s">
        <v>84</v>
      </c>
      <c r="H1011" s="12">
        <v>2555</v>
      </c>
      <c r="I1011" s="11">
        <v>74</v>
      </c>
      <c r="J1011" s="11">
        <v>71</v>
      </c>
      <c r="K1011" s="11">
        <v>156</v>
      </c>
      <c r="L1011" s="11">
        <v>2.8958095548671101E-2</v>
      </c>
      <c r="M1011" s="11">
        <f t="shared" si="3"/>
        <v>2.8962818003913893</v>
      </c>
      <c r="N1011" s="11">
        <v>0.95945945945945899</v>
      </c>
      <c r="O1011" s="11">
        <v>6.1046796021522902E-2</v>
      </c>
      <c r="P1011" s="11">
        <v>0.48774509803921601</v>
      </c>
      <c r="Q1011" s="11">
        <v>0.69565217391304301</v>
      </c>
      <c r="R1011" s="11">
        <v>0.41472868217054298</v>
      </c>
      <c r="S1011" s="10" t="s">
        <v>84</v>
      </c>
      <c r="T1011" s="10" t="s">
        <v>84</v>
      </c>
      <c r="U1011" s="10"/>
      <c r="V1011" s="10"/>
      <c r="W1011" s="10"/>
      <c r="X1011" s="10"/>
      <c r="Y1011" s="10"/>
      <c r="Z1011" s="10"/>
      <c r="AA1011" s="10"/>
    </row>
    <row r="1012" spans="1:27" ht="12.5" hidden="1" x14ac:dyDescent="0.25">
      <c r="A1012" s="10" t="s">
        <v>29</v>
      </c>
      <c r="B1012" s="10" t="s">
        <v>1601</v>
      </c>
      <c r="C1012" s="10" t="s">
        <v>191</v>
      </c>
      <c r="D1012" s="11">
        <v>2024</v>
      </c>
      <c r="E1012" s="10" t="s">
        <v>257</v>
      </c>
      <c r="F1012" s="10" t="s">
        <v>125</v>
      </c>
      <c r="G1012" s="10" t="s">
        <v>84</v>
      </c>
      <c r="H1012" s="12">
        <v>7460</v>
      </c>
      <c r="I1012" s="11">
        <v>216</v>
      </c>
      <c r="J1012" s="11">
        <v>102</v>
      </c>
      <c r="K1012" s="11">
        <v>5608</v>
      </c>
      <c r="L1012" s="11">
        <v>2.8953129886957699E-2</v>
      </c>
      <c r="M1012" s="11">
        <f t="shared" si="3"/>
        <v>2.8954423592493299</v>
      </c>
      <c r="N1012" s="11">
        <v>0.47222222222222199</v>
      </c>
      <c r="O1012" s="11">
        <v>0.75170903891693897</v>
      </c>
      <c r="P1012" s="11">
        <v>0.48651960784313703</v>
      </c>
      <c r="Q1012" s="11">
        <v>0.40845070422535201</v>
      </c>
      <c r="R1012" s="11">
        <v>0.27777777777777801</v>
      </c>
      <c r="S1012" s="10" t="s">
        <v>84</v>
      </c>
      <c r="T1012" s="10" t="s">
        <v>84</v>
      </c>
      <c r="U1012" s="10"/>
      <c r="V1012" s="10"/>
      <c r="W1012" s="10"/>
      <c r="X1012" s="10"/>
      <c r="Y1012" s="10"/>
      <c r="Z1012" s="10"/>
      <c r="AA1012" s="10"/>
    </row>
    <row r="1013" spans="1:27" ht="12.5" x14ac:dyDescent="0.25">
      <c r="A1013" s="10" t="s">
        <v>10</v>
      </c>
      <c r="B1013" s="10" t="s">
        <v>938</v>
      </c>
      <c r="C1013" s="10" t="s">
        <v>76</v>
      </c>
      <c r="D1013" s="11">
        <v>2024</v>
      </c>
      <c r="E1013" s="10" t="s">
        <v>81</v>
      </c>
      <c r="F1013" s="10" t="s">
        <v>83</v>
      </c>
      <c r="G1013" s="10" t="s">
        <v>84</v>
      </c>
      <c r="H1013" s="11">
        <v>19658</v>
      </c>
      <c r="I1013" s="11">
        <v>569</v>
      </c>
      <c r="J1013" s="11">
        <v>387</v>
      </c>
      <c r="K1013" s="11">
        <v>14750</v>
      </c>
      <c r="L1013" s="11">
        <v>2.8945572319418699E-2</v>
      </c>
      <c r="M1013" s="11">
        <f t="shared" si="3"/>
        <v>2.8944958795401363</v>
      </c>
      <c r="N1013" s="11">
        <v>0.68014059753954303</v>
      </c>
      <c r="O1013" s="11">
        <v>0.75034655836805997</v>
      </c>
      <c r="P1013" s="11">
        <v>0.33614864864864902</v>
      </c>
      <c r="Q1013" s="11">
        <v>0.2</v>
      </c>
      <c r="R1013" s="11">
        <v>0.39147286821705402</v>
      </c>
      <c r="S1013" s="10" t="s">
        <v>84</v>
      </c>
      <c r="T1013" s="10" t="s">
        <v>84</v>
      </c>
      <c r="U1013" s="10"/>
      <c r="V1013" s="10"/>
      <c r="W1013" s="10"/>
      <c r="X1013" s="10"/>
      <c r="Y1013" s="10"/>
      <c r="Z1013" s="10"/>
      <c r="AA1013" s="10"/>
    </row>
    <row r="1014" spans="1:27" ht="12.5" x14ac:dyDescent="0.25">
      <c r="A1014" s="10" t="s">
        <v>103</v>
      </c>
      <c r="B1014" s="10" t="s">
        <v>1075</v>
      </c>
      <c r="C1014" s="10" t="s">
        <v>76</v>
      </c>
      <c r="D1014" s="11">
        <v>2024</v>
      </c>
      <c r="E1014" s="10" t="s">
        <v>124</v>
      </c>
      <c r="F1014" s="10" t="s">
        <v>83</v>
      </c>
      <c r="G1014" s="10" t="s">
        <v>84</v>
      </c>
      <c r="H1014" s="11">
        <v>81077</v>
      </c>
      <c r="I1014" s="11">
        <v>2344</v>
      </c>
      <c r="J1014" s="11">
        <v>2155</v>
      </c>
      <c r="K1014" s="11">
        <v>63457</v>
      </c>
      <c r="L1014" s="11">
        <v>2.8910639933643699E-2</v>
      </c>
      <c r="M1014" s="11">
        <f t="shared" si="3"/>
        <v>2.8910788509688321</v>
      </c>
      <c r="N1014" s="11">
        <v>0.91936860068259396</v>
      </c>
      <c r="O1014" s="11">
        <v>0.782671705746257</v>
      </c>
      <c r="P1014" s="11">
        <v>0.335304054054054</v>
      </c>
      <c r="Q1014" s="11">
        <v>0.34782608695652201</v>
      </c>
      <c r="R1014" s="11">
        <v>0.25279642058165502</v>
      </c>
      <c r="S1014" s="10" t="s">
        <v>84</v>
      </c>
      <c r="T1014" s="10" t="s">
        <v>84</v>
      </c>
      <c r="U1014" s="10"/>
      <c r="V1014" s="10"/>
      <c r="W1014" s="10"/>
      <c r="X1014" s="10"/>
      <c r="Y1014" s="10"/>
      <c r="Z1014" s="10"/>
      <c r="AA1014" s="10"/>
    </row>
    <row r="1015" spans="1:27" ht="12.5" x14ac:dyDescent="0.25">
      <c r="A1015" s="10" t="s">
        <v>34</v>
      </c>
      <c r="B1015" s="10" t="s">
        <v>1077</v>
      </c>
      <c r="C1015" s="10" t="s">
        <v>76</v>
      </c>
      <c r="D1015" s="11">
        <v>2024</v>
      </c>
      <c r="E1015" s="10" t="s">
        <v>124</v>
      </c>
      <c r="F1015" s="10" t="s">
        <v>125</v>
      </c>
      <c r="G1015" s="10" t="s">
        <v>84</v>
      </c>
      <c r="H1015" s="11">
        <v>1870</v>
      </c>
      <c r="I1015" s="11">
        <v>54</v>
      </c>
      <c r="J1015" s="11">
        <v>50</v>
      </c>
      <c r="K1015" s="11">
        <v>214</v>
      </c>
      <c r="L1015" s="11">
        <v>2.8875718550866701E-2</v>
      </c>
      <c r="M1015" s="11">
        <f t="shared" si="3"/>
        <v>2.8877005347593583</v>
      </c>
      <c r="N1015" s="11">
        <v>0.92592592592592604</v>
      </c>
      <c r="O1015" s="11">
        <v>0.114433403146027</v>
      </c>
      <c r="P1015" s="11">
        <v>0.33361486486486502</v>
      </c>
      <c r="Q1015" s="11">
        <v>0.59183673469387799</v>
      </c>
      <c r="R1015" s="11">
        <v>0.25055928411633099</v>
      </c>
      <c r="S1015" s="10" t="s">
        <v>84</v>
      </c>
      <c r="T1015" s="10" t="s">
        <v>84</v>
      </c>
      <c r="U1015" s="10"/>
      <c r="V1015" s="10"/>
      <c r="W1015" s="10"/>
      <c r="X1015" s="10"/>
      <c r="Y1015" s="10"/>
      <c r="Z1015" s="10"/>
      <c r="AA1015" s="10"/>
    </row>
    <row r="1016" spans="1:27" ht="12.5" x14ac:dyDescent="0.25">
      <c r="A1016" s="10" t="s">
        <v>12</v>
      </c>
      <c r="B1016" s="10" t="s">
        <v>941</v>
      </c>
      <c r="C1016" s="10" t="s">
        <v>76</v>
      </c>
      <c r="D1016" s="11">
        <v>2024</v>
      </c>
      <c r="E1016" s="10" t="s">
        <v>81</v>
      </c>
      <c r="F1016" s="10" t="s">
        <v>83</v>
      </c>
      <c r="G1016" s="10" t="s">
        <v>84</v>
      </c>
      <c r="H1016" s="11">
        <v>5548</v>
      </c>
      <c r="I1016" s="11">
        <v>160</v>
      </c>
      <c r="J1016" s="11">
        <v>94</v>
      </c>
      <c r="K1016" s="11">
        <v>8066</v>
      </c>
      <c r="L1016" s="11">
        <v>2.8839221341023801E-2</v>
      </c>
      <c r="M1016" s="11">
        <f t="shared" si="3"/>
        <v>2.8839221341023791</v>
      </c>
      <c r="N1016" s="11">
        <v>0.58750000000000002</v>
      </c>
      <c r="O1016" s="11">
        <v>1.4538572458543599</v>
      </c>
      <c r="P1016" s="11">
        <v>0.33192567567567599</v>
      </c>
      <c r="Q1016" s="11">
        <v>0.25</v>
      </c>
      <c r="R1016" s="11">
        <v>0.38953488372092998</v>
      </c>
      <c r="S1016" s="10" t="s">
        <v>84</v>
      </c>
      <c r="T1016" s="10" t="s">
        <v>84</v>
      </c>
      <c r="U1016" s="10"/>
      <c r="V1016" s="10"/>
      <c r="W1016" s="10"/>
      <c r="X1016" s="10"/>
      <c r="Y1016" s="10"/>
      <c r="Z1016" s="10"/>
      <c r="AA1016" s="10"/>
    </row>
    <row r="1017" spans="1:27" ht="12.5" x14ac:dyDescent="0.25">
      <c r="A1017" s="10" t="s">
        <v>42</v>
      </c>
      <c r="B1017" s="10" t="s">
        <v>943</v>
      </c>
      <c r="C1017" s="10" t="s">
        <v>76</v>
      </c>
      <c r="D1017" s="11">
        <v>2024</v>
      </c>
      <c r="E1017" s="10" t="s">
        <v>81</v>
      </c>
      <c r="F1017" s="10" t="s">
        <v>83</v>
      </c>
      <c r="G1017" s="10" t="s">
        <v>84</v>
      </c>
      <c r="H1017" s="11">
        <v>18946</v>
      </c>
      <c r="I1017" s="11">
        <v>546</v>
      </c>
      <c r="J1017" s="11">
        <v>507</v>
      </c>
      <c r="K1017" s="11">
        <v>24460</v>
      </c>
      <c r="L1017" s="11">
        <v>2.88192550627232E-2</v>
      </c>
      <c r="M1017" s="11">
        <f t="shared" si="3"/>
        <v>2.8818748020690381</v>
      </c>
      <c r="N1017" s="11">
        <v>0.92857142857142905</v>
      </c>
      <c r="O1017" s="11">
        <v>1.29106040079526</v>
      </c>
      <c r="P1017" s="11">
        <v>0.33108108108108097</v>
      </c>
      <c r="Q1017" s="11">
        <v>0.28571428571428598</v>
      </c>
      <c r="R1017" s="11">
        <v>0.387596899224806</v>
      </c>
      <c r="S1017" s="10" t="s">
        <v>84</v>
      </c>
      <c r="T1017" s="10" t="s">
        <v>84</v>
      </c>
      <c r="U1017" s="10"/>
      <c r="V1017" s="10"/>
      <c r="W1017" s="10"/>
      <c r="X1017" s="10"/>
      <c r="Y1017" s="10"/>
      <c r="Z1017" s="10"/>
      <c r="AA1017" s="10"/>
    </row>
    <row r="1018" spans="1:27" ht="12.5" x14ac:dyDescent="0.25">
      <c r="A1018" s="10" t="s">
        <v>25</v>
      </c>
      <c r="B1018" s="10" t="s">
        <v>946</v>
      </c>
      <c r="C1018" s="10" t="s">
        <v>76</v>
      </c>
      <c r="D1018" s="11">
        <v>2024</v>
      </c>
      <c r="E1018" s="10" t="s">
        <v>81</v>
      </c>
      <c r="F1018" s="10" t="s">
        <v>83</v>
      </c>
      <c r="G1018" s="10" t="s">
        <v>84</v>
      </c>
      <c r="H1018" s="11">
        <v>6571</v>
      </c>
      <c r="I1018" s="11">
        <v>189</v>
      </c>
      <c r="J1018" s="11">
        <v>145</v>
      </c>
      <c r="K1018" s="11">
        <v>4367</v>
      </c>
      <c r="L1018" s="11">
        <v>2.8761286395454999E-2</v>
      </c>
      <c r="M1018" s="11">
        <f t="shared" si="3"/>
        <v>2.87627453964389</v>
      </c>
      <c r="N1018" s="11">
        <v>0.76719576719576699</v>
      </c>
      <c r="O1018" s="11">
        <v>0.66455310946535495</v>
      </c>
      <c r="P1018" s="11">
        <v>0.33023648648648701</v>
      </c>
      <c r="Q1018" s="11">
        <v>0</v>
      </c>
      <c r="R1018" s="11">
        <v>0.38565891472868202</v>
      </c>
      <c r="S1018" s="10" t="s">
        <v>84</v>
      </c>
      <c r="T1018" s="10" t="s">
        <v>84</v>
      </c>
      <c r="U1018" s="10"/>
      <c r="V1018" s="10"/>
      <c r="W1018" s="10"/>
      <c r="X1018" s="10"/>
      <c r="Y1018" s="10"/>
      <c r="Z1018" s="10"/>
      <c r="AA1018" s="10"/>
    </row>
    <row r="1019" spans="1:27" ht="12.5" x14ac:dyDescent="0.25">
      <c r="A1019" s="10" t="s">
        <v>77</v>
      </c>
      <c r="B1019" s="10" t="s">
        <v>1079</v>
      </c>
      <c r="C1019" s="10" t="s">
        <v>76</v>
      </c>
      <c r="D1019" s="11">
        <v>2024</v>
      </c>
      <c r="E1019" s="10" t="s">
        <v>124</v>
      </c>
      <c r="F1019" s="10" t="s">
        <v>83</v>
      </c>
      <c r="G1019" s="10" t="s">
        <v>84</v>
      </c>
      <c r="H1019" s="11">
        <v>8668</v>
      </c>
      <c r="I1019" s="11">
        <v>248</v>
      </c>
      <c r="J1019" s="11">
        <v>237</v>
      </c>
      <c r="K1019" s="11">
        <v>2580</v>
      </c>
      <c r="L1019" s="11">
        <v>2.8610982925703701E-2</v>
      </c>
      <c r="M1019" s="11">
        <f t="shared" si="3"/>
        <v>2.8610982925703738</v>
      </c>
      <c r="N1019" s="11">
        <v>0.95564516129032295</v>
      </c>
      <c r="O1019" s="11">
        <v>0.29764651592062802</v>
      </c>
      <c r="P1019" s="11">
        <v>0.32854729729729698</v>
      </c>
      <c r="Q1019" s="11">
        <v>0.35714285714285698</v>
      </c>
      <c r="R1019" s="11">
        <v>0.24832214765100699</v>
      </c>
      <c r="S1019" s="10" t="s">
        <v>84</v>
      </c>
      <c r="T1019" s="10" t="s">
        <v>84</v>
      </c>
      <c r="U1019" s="10"/>
      <c r="V1019" s="10"/>
      <c r="W1019" s="10"/>
      <c r="X1019" s="10"/>
      <c r="Y1019" s="10"/>
      <c r="Z1019" s="10"/>
      <c r="AA1019" s="10"/>
    </row>
    <row r="1020" spans="1:27" ht="12.5" x14ac:dyDescent="0.25">
      <c r="A1020" s="10" t="s">
        <v>82</v>
      </c>
      <c r="B1020" s="10" t="s">
        <v>948</v>
      </c>
      <c r="C1020" s="10" t="s">
        <v>76</v>
      </c>
      <c r="D1020" s="11">
        <v>2024</v>
      </c>
      <c r="E1020" s="10" t="s">
        <v>81</v>
      </c>
      <c r="F1020" s="10" t="s">
        <v>83</v>
      </c>
      <c r="G1020" s="10" t="s">
        <v>84</v>
      </c>
      <c r="H1020" s="11">
        <v>10596</v>
      </c>
      <c r="I1020" s="11">
        <v>303</v>
      </c>
      <c r="J1020" s="11">
        <v>280</v>
      </c>
      <c r="K1020" s="11">
        <v>3046</v>
      </c>
      <c r="L1020" s="11">
        <v>2.8595471597209699E-2</v>
      </c>
      <c r="M1020" s="11">
        <f t="shared" si="3"/>
        <v>2.8595696489241225</v>
      </c>
      <c r="N1020" s="11">
        <v>0.92409240924092395</v>
      </c>
      <c r="O1020" s="11">
        <v>0.28746470787161899</v>
      </c>
      <c r="P1020" s="11">
        <v>0.32770270270270302</v>
      </c>
      <c r="Q1020" s="11">
        <v>0.55172413793103403</v>
      </c>
      <c r="R1020" s="11">
        <v>0.38372093023255799</v>
      </c>
      <c r="S1020" s="10" t="s">
        <v>84</v>
      </c>
      <c r="T1020" s="10" t="s">
        <v>84</v>
      </c>
      <c r="U1020" s="10"/>
      <c r="V1020" s="10"/>
      <c r="W1020" s="10"/>
      <c r="X1020" s="10"/>
      <c r="Y1020" s="10"/>
      <c r="Z1020" s="10"/>
      <c r="AA1020" s="10"/>
    </row>
    <row r="1021" spans="1:27" ht="12.5" x14ac:dyDescent="0.25">
      <c r="A1021" s="10" t="s">
        <v>42</v>
      </c>
      <c r="B1021" s="10" t="s">
        <v>950</v>
      </c>
      <c r="C1021" s="10" t="s">
        <v>76</v>
      </c>
      <c r="D1021" s="11">
        <v>2024</v>
      </c>
      <c r="E1021" s="10" t="s">
        <v>81</v>
      </c>
      <c r="F1021" s="10" t="s">
        <v>83</v>
      </c>
      <c r="G1021" s="10" t="s">
        <v>84</v>
      </c>
      <c r="H1021" s="11">
        <v>9810</v>
      </c>
      <c r="I1021" s="11">
        <v>279</v>
      </c>
      <c r="J1021" s="11">
        <v>180</v>
      </c>
      <c r="K1021" s="11">
        <v>2043</v>
      </c>
      <c r="L1021" s="11">
        <v>2.8441333378640101E-2</v>
      </c>
      <c r="M1021" s="11">
        <f t="shared" si="3"/>
        <v>2.8440366972477067</v>
      </c>
      <c r="N1021" s="11">
        <v>0.64516129032258096</v>
      </c>
      <c r="O1021" s="11">
        <v>0.20826395732101</v>
      </c>
      <c r="P1021" s="11">
        <v>0.326858108108108</v>
      </c>
      <c r="Q1021" s="11">
        <v>0.26190476190476197</v>
      </c>
      <c r="R1021" s="11">
        <v>0.38178294573643401</v>
      </c>
      <c r="S1021" s="10" t="s">
        <v>84</v>
      </c>
      <c r="T1021" s="10" t="s">
        <v>84</v>
      </c>
      <c r="U1021" s="10"/>
      <c r="V1021" s="10"/>
      <c r="W1021" s="10"/>
      <c r="X1021" s="10"/>
      <c r="Y1021" s="10"/>
      <c r="Z1021" s="10"/>
      <c r="AA1021" s="10"/>
    </row>
    <row r="1022" spans="1:27" ht="12.5" x14ac:dyDescent="0.25">
      <c r="A1022" s="10" t="s">
        <v>62</v>
      </c>
      <c r="B1022" s="10" t="s">
        <v>952</v>
      </c>
      <c r="C1022" s="10" t="s">
        <v>76</v>
      </c>
      <c r="D1022" s="11">
        <v>2024</v>
      </c>
      <c r="E1022" s="10" t="s">
        <v>81</v>
      </c>
      <c r="F1022" s="10" t="s">
        <v>83</v>
      </c>
      <c r="G1022" s="10" t="s">
        <v>84</v>
      </c>
      <c r="H1022" s="11">
        <v>19269</v>
      </c>
      <c r="I1022" s="11">
        <v>548</v>
      </c>
      <c r="J1022" s="11">
        <v>464</v>
      </c>
      <c r="K1022" s="11">
        <v>15138</v>
      </c>
      <c r="L1022" s="11">
        <v>2.84400773279475E-2</v>
      </c>
      <c r="M1022" s="11">
        <f t="shared" ref="M1022:M1276" si="4">(I1022/H1022)*100</f>
        <v>2.8439462348850486</v>
      </c>
      <c r="N1022" s="11">
        <v>0.84671532846715303</v>
      </c>
      <c r="O1022" s="11">
        <v>0.78563118720888503</v>
      </c>
      <c r="P1022" s="11">
        <v>0.32601351351351299</v>
      </c>
      <c r="Q1022" s="11">
        <v>0.22222222222222199</v>
      </c>
      <c r="R1022" s="11">
        <v>0.37984496124030998</v>
      </c>
      <c r="S1022" s="10" t="s">
        <v>84</v>
      </c>
      <c r="T1022" s="10" t="s">
        <v>84</v>
      </c>
      <c r="U1022" s="10"/>
      <c r="V1022" s="10"/>
      <c r="W1022" s="10"/>
      <c r="X1022" s="10"/>
      <c r="Y1022" s="10"/>
      <c r="Z1022" s="10"/>
      <c r="AA1022" s="10"/>
    </row>
    <row r="1023" spans="1:27" ht="12.5" hidden="1" x14ac:dyDescent="0.25">
      <c r="A1023" s="10" t="s">
        <v>14</v>
      </c>
      <c r="B1023" s="10" t="s">
        <v>1602</v>
      </c>
      <c r="C1023" s="10" t="s">
        <v>191</v>
      </c>
      <c r="D1023" s="11">
        <v>2024</v>
      </c>
      <c r="E1023" s="10" t="s">
        <v>124</v>
      </c>
      <c r="F1023" s="10" t="s">
        <v>83</v>
      </c>
      <c r="G1023" s="10" t="s">
        <v>84</v>
      </c>
      <c r="H1023" s="12">
        <v>3302</v>
      </c>
      <c r="I1023" s="11">
        <v>93</v>
      </c>
      <c r="J1023" s="11">
        <v>13</v>
      </c>
      <c r="K1023" s="11">
        <v>105</v>
      </c>
      <c r="L1023" s="11">
        <v>2.8161905723226001E-2</v>
      </c>
      <c r="M1023" s="11">
        <f t="shared" si="4"/>
        <v>2.8164748637189581</v>
      </c>
      <c r="N1023" s="11">
        <v>0.13978494623655899</v>
      </c>
      <c r="O1023" s="11">
        <v>3.1795700010093901E-2</v>
      </c>
      <c r="P1023" s="11">
        <v>0.48284313725490202</v>
      </c>
      <c r="Q1023" s="11">
        <v>0.27659574468085102</v>
      </c>
      <c r="R1023" s="11">
        <v>0.412790697674419</v>
      </c>
      <c r="S1023" s="10" t="s">
        <v>84</v>
      </c>
      <c r="T1023" s="10" t="s">
        <v>84</v>
      </c>
      <c r="U1023" s="10"/>
      <c r="V1023" s="10"/>
      <c r="W1023" s="10"/>
      <c r="X1023" s="10"/>
      <c r="Y1023" s="10"/>
      <c r="Z1023" s="10"/>
      <c r="AA1023" s="10"/>
    </row>
    <row r="1024" spans="1:27" ht="12.5" hidden="1" x14ac:dyDescent="0.25">
      <c r="A1024" s="10" t="s">
        <v>19</v>
      </c>
      <c r="B1024" s="10" t="s">
        <v>1603</v>
      </c>
      <c r="C1024" s="10" t="s">
        <v>191</v>
      </c>
      <c r="D1024" s="11">
        <v>2024</v>
      </c>
      <c r="E1024" s="10" t="s">
        <v>124</v>
      </c>
      <c r="F1024" s="10" t="s">
        <v>125</v>
      </c>
      <c r="G1024" s="10" t="s">
        <v>84</v>
      </c>
      <c r="H1024" s="12">
        <v>959.16666666666697</v>
      </c>
      <c r="I1024" s="11">
        <v>27</v>
      </c>
      <c r="J1024" s="11">
        <v>53</v>
      </c>
      <c r="K1024" s="11">
        <v>19</v>
      </c>
      <c r="L1024" s="11">
        <v>2.81494352736751E-2</v>
      </c>
      <c r="M1024" s="11">
        <f t="shared" si="4"/>
        <v>2.8149435273675056</v>
      </c>
      <c r="N1024" s="11">
        <v>1.9629629629629599</v>
      </c>
      <c r="O1024" s="11">
        <v>1.9808861859252801E-2</v>
      </c>
      <c r="P1024" s="11">
        <v>0.48161764705882398</v>
      </c>
      <c r="Q1024" s="11">
        <v>9.0909090909090898E-2</v>
      </c>
      <c r="R1024" s="11">
        <v>0.41085271317829503</v>
      </c>
      <c r="S1024" s="10" t="s">
        <v>84</v>
      </c>
      <c r="T1024" s="10" t="s">
        <v>84</v>
      </c>
      <c r="U1024" s="10"/>
      <c r="V1024" s="10"/>
      <c r="W1024" s="10"/>
      <c r="X1024" s="10"/>
      <c r="Y1024" s="10"/>
      <c r="Z1024" s="10"/>
      <c r="AA1024" s="10"/>
    </row>
    <row r="1025" spans="1:27" ht="12.5" hidden="1" x14ac:dyDescent="0.25">
      <c r="A1025" s="10" t="s">
        <v>55</v>
      </c>
      <c r="B1025" s="10" t="s">
        <v>1604</v>
      </c>
      <c r="C1025" s="10" t="s">
        <v>191</v>
      </c>
      <c r="D1025" s="11">
        <v>2024</v>
      </c>
      <c r="E1025" s="10" t="s">
        <v>124</v>
      </c>
      <c r="F1025" s="10" t="s">
        <v>125</v>
      </c>
      <c r="G1025" s="10" t="s">
        <v>84</v>
      </c>
      <c r="H1025" s="12">
        <v>748.41666666666697</v>
      </c>
      <c r="I1025" s="11">
        <v>21</v>
      </c>
      <c r="J1025" s="11">
        <v>18</v>
      </c>
      <c r="K1025" s="11">
        <v>1919</v>
      </c>
      <c r="L1025" s="11">
        <v>2.80592361652377E-2</v>
      </c>
      <c r="M1025" s="11">
        <f t="shared" si="4"/>
        <v>2.8059236165237715</v>
      </c>
      <c r="N1025" s="11">
        <v>0.85714285714285698</v>
      </c>
      <c r="O1025" s="11">
        <v>2.5640797238614899</v>
      </c>
      <c r="P1025" s="11">
        <v>0.480392156862745</v>
      </c>
      <c r="Q1025" s="11">
        <v>0.44444444444444398</v>
      </c>
      <c r="R1025" s="11">
        <v>0.40891472868217099</v>
      </c>
      <c r="S1025" s="10" t="s">
        <v>84</v>
      </c>
      <c r="T1025" s="10" t="s">
        <v>84</v>
      </c>
      <c r="U1025" s="10"/>
      <c r="V1025" s="10"/>
      <c r="W1025" s="10"/>
      <c r="X1025" s="10"/>
      <c r="Y1025" s="10"/>
      <c r="Z1025" s="10"/>
      <c r="AA1025" s="10"/>
    </row>
    <row r="1026" spans="1:27" ht="12.5" hidden="1" x14ac:dyDescent="0.25">
      <c r="A1026" s="10" t="s">
        <v>42</v>
      </c>
      <c r="B1026" s="10" t="s">
        <v>1605</v>
      </c>
      <c r="C1026" s="10" t="s">
        <v>191</v>
      </c>
      <c r="D1026" s="11">
        <v>2024</v>
      </c>
      <c r="E1026" s="10" t="s">
        <v>124</v>
      </c>
      <c r="F1026" s="10" t="s">
        <v>83</v>
      </c>
      <c r="G1026" s="10" t="s">
        <v>84</v>
      </c>
      <c r="H1026" s="12">
        <v>4422</v>
      </c>
      <c r="I1026" s="11">
        <v>124</v>
      </c>
      <c r="J1026" s="11">
        <v>124</v>
      </c>
      <c r="K1026" s="11">
        <v>10636</v>
      </c>
      <c r="L1026" s="11">
        <v>2.8042138589978002E-2</v>
      </c>
      <c r="M1026" s="11">
        <f t="shared" si="4"/>
        <v>2.8041610131162371</v>
      </c>
      <c r="N1026" s="11">
        <v>1</v>
      </c>
      <c r="O1026" s="11">
        <v>2.40529182292746</v>
      </c>
      <c r="P1026" s="11">
        <v>0.47916666666666702</v>
      </c>
      <c r="Q1026" s="11">
        <v>0.57142857142857095</v>
      </c>
      <c r="R1026" s="11">
        <v>0.40697674418604701</v>
      </c>
      <c r="S1026" s="10" t="s">
        <v>84</v>
      </c>
      <c r="T1026" s="10" t="s">
        <v>84</v>
      </c>
      <c r="U1026" s="10"/>
      <c r="V1026" s="10"/>
      <c r="W1026" s="10"/>
      <c r="X1026" s="10"/>
      <c r="Y1026" s="10"/>
      <c r="Z1026" s="10"/>
      <c r="AA1026" s="10"/>
    </row>
    <row r="1027" spans="1:27" ht="12.5" x14ac:dyDescent="0.25">
      <c r="A1027" s="10" t="s">
        <v>104</v>
      </c>
      <c r="B1027" s="10" t="s">
        <v>954</v>
      </c>
      <c r="C1027" s="10" t="s">
        <v>76</v>
      </c>
      <c r="D1027" s="11">
        <v>2024</v>
      </c>
      <c r="E1027" s="10" t="s">
        <v>81</v>
      </c>
      <c r="F1027" s="10" t="s">
        <v>83</v>
      </c>
      <c r="G1027" s="10" t="s">
        <v>84</v>
      </c>
      <c r="H1027" s="11">
        <v>11113</v>
      </c>
      <c r="I1027" s="11">
        <v>311</v>
      </c>
      <c r="J1027" s="11">
        <v>215</v>
      </c>
      <c r="K1027" s="11">
        <v>11202</v>
      </c>
      <c r="L1027" s="11">
        <v>2.7984403119376101E-2</v>
      </c>
      <c r="M1027" s="11">
        <f t="shared" si="4"/>
        <v>2.7985242508773509</v>
      </c>
      <c r="N1027" s="11">
        <v>0.69131832797427695</v>
      </c>
      <c r="O1027" s="11">
        <v>1.00797840431914</v>
      </c>
      <c r="P1027" s="11">
        <v>0.32516891891891903</v>
      </c>
      <c r="Q1027" s="11">
        <v>0.24137931034482801</v>
      </c>
      <c r="R1027" s="11">
        <v>0.377906976744186</v>
      </c>
      <c r="S1027" s="10" t="s">
        <v>84</v>
      </c>
      <c r="T1027" s="10" t="s">
        <v>84</v>
      </c>
      <c r="U1027" s="10"/>
      <c r="V1027" s="10"/>
      <c r="W1027" s="10"/>
      <c r="X1027" s="10"/>
      <c r="Y1027" s="10"/>
      <c r="Z1027" s="10"/>
      <c r="AA1027" s="10"/>
    </row>
    <row r="1028" spans="1:27" ht="12.5" hidden="1" x14ac:dyDescent="0.25">
      <c r="A1028" s="10" t="s">
        <v>6</v>
      </c>
      <c r="B1028" s="10" t="s">
        <v>1606</v>
      </c>
      <c r="C1028" s="10" t="s">
        <v>191</v>
      </c>
      <c r="D1028" s="11">
        <v>2024</v>
      </c>
      <c r="E1028" s="10" t="s">
        <v>124</v>
      </c>
      <c r="F1028" s="10" t="s">
        <v>125</v>
      </c>
      <c r="G1028" s="10" t="s">
        <v>84</v>
      </c>
      <c r="H1028" s="12">
        <v>322.33333333333297</v>
      </c>
      <c r="I1028" s="11">
        <v>9</v>
      </c>
      <c r="J1028" s="11">
        <v>2</v>
      </c>
      <c r="K1028" s="11">
        <v>0</v>
      </c>
      <c r="L1028" s="11">
        <v>2.7921406411582202E-2</v>
      </c>
      <c r="M1028" s="11">
        <f t="shared" si="4"/>
        <v>2.7921406411582241</v>
      </c>
      <c r="N1028" s="11">
        <v>0.22222222222222199</v>
      </c>
      <c r="O1028" s="11">
        <v>0</v>
      </c>
      <c r="P1028" s="11">
        <v>0.47794117647058798</v>
      </c>
      <c r="Q1028" s="11">
        <v>0.8</v>
      </c>
      <c r="R1028" s="11">
        <v>0.40503875968992198</v>
      </c>
      <c r="S1028" s="10" t="s">
        <v>84</v>
      </c>
      <c r="T1028" s="10" t="s">
        <v>84</v>
      </c>
      <c r="U1028" s="10"/>
      <c r="V1028" s="10"/>
      <c r="W1028" s="10"/>
      <c r="X1028" s="10"/>
      <c r="Y1028" s="10"/>
      <c r="Z1028" s="10"/>
      <c r="AA1028" s="10"/>
    </row>
    <row r="1029" spans="1:27" ht="12.5" hidden="1" x14ac:dyDescent="0.25">
      <c r="A1029" s="10" t="s">
        <v>109</v>
      </c>
      <c r="B1029" s="10" t="s">
        <v>1607</v>
      </c>
      <c r="C1029" s="10" t="s">
        <v>191</v>
      </c>
      <c r="D1029" s="11">
        <v>2024</v>
      </c>
      <c r="E1029" s="10" t="s">
        <v>124</v>
      </c>
      <c r="F1029" s="10" t="s">
        <v>125</v>
      </c>
      <c r="G1029" s="10" t="s">
        <v>84</v>
      </c>
      <c r="H1029" s="12">
        <v>829.33333333333303</v>
      </c>
      <c r="I1029" s="11">
        <v>23</v>
      </c>
      <c r="J1029" s="11">
        <v>21</v>
      </c>
      <c r="K1029" s="11">
        <v>383</v>
      </c>
      <c r="L1029" s="11">
        <v>2.7733118971061101E-2</v>
      </c>
      <c r="M1029" s="11">
        <f t="shared" si="4"/>
        <v>2.7733118971061104</v>
      </c>
      <c r="N1029" s="11">
        <v>0.91304347826086996</v>
      </c>
      <c r="O1029" s="11">
        <v>0.46181672025723502</v>
      </c>
      <c r="P1029" s="11">
        <v>0.47671568627451</v>
      </c>
      <c r="Q1029" s="11">
        <v>0.75</v>
      </c>
      <c r="R1029" s="11">
        <v>0.403100775193798</v>
      </c>
      <c r="S1029" s="10" t="s">
        <v>84</v>
      </c>
      <c r="T1029" s="10" t="s">
        <v>84</v>
      </c>
      <c r="U1029" s="10"/>
      <c r="V1029" s="10"/>
      <c r="W1029" s="10"/>
      <c r="X1029" s="10"/>
      <c r="Y1029" s="10"/>
      <c r="Z1029" s="10"/>
      <c r="AA1029" s="10"/>
    </row>
    <row r="1030" spans="1:27" ht="12.5" x14ac:dyDescent="0.25">
      <c r="A1030" s="10" t="s">
        <v>12</v>
      </c>
      <c r="B1030" s="10" t="s">
        <v>957</v>
      </c>
      <c r="C1030" s="10" t="s">
        <v>76</v>
      </c>
      <c r="D1030" s="11">
        <v>2024</v>
      </c>
      <c r="E1030" s="10" t="s">
        <v>81</v>
      </c>
      <c r="F1030" s="10" t="s">
        <v>83</v>
      </c>
      <c r="G1030" s="10" t="s">
        <v>84</v>
      </c>
      <c r="H1030" s="11">
        <v>20015</v>
      </c>
      <c r="I1030" s="11">
        <v>555</v>
      </c>
      <c r="J1030" s="11">
        <v>412</v>
      </c>
      <c r="K1030" s="11">
        <v>2706</v>
      </c>
      <c r="L1030" s="11">
        <v>2.7728856746730601E-2</v>
      </c>
      <c r="M1030" s="11">
        <f t="shared" si="4"/>
        <v>2.7729203097676742</v>
      </c>
      <c r="N1030" s="11">
        <v>0.74234234234234198</v>
      </c>
      <c r="O1030" s="11">
        <v>0.13519691235433001</v>
      </c>
      <c r="P1030" s="11">
        <v>0.32432432432432401</v>
      </c>
      <c r="Q1030" s="11">
        <v>0.23611111111111099</v>
      </c>
      <c r="R1030" s="11">
        <v>0.37596899224806202</v>
      </c>
      <c r="S1030" s="10" t="s">
        <v>84</v>
      </c>
      <c r="T1030" s="10" t="s">
        <v>84</v>
      </c>
      <c r="U1030" s="10"/>
      <c r="V1030" s="10"/>
      <c r="W1030" s="10"/>
      <c r="X1030" s="10"/>
      <c r="Y1030" s="10"/>
      <c r="Z1030" s="10"/>
      <c r="AA1030" s="10"/>
    </row>
    <row r="1031" spans="1:27" ht="12.5" x14ac:dyDescent="0.25">
      <c r="A1031" s="10" t="s">
        <v>12</v>
      </c>
      <c r="B1031" s="10" t="s">
        <v>959</v>
      </c>
      <c r="C1031" s="10" t="s">
        <v>76</v>
      </c>
      <c r="D1031" s="11">
        <v>2024</v>
      </c>
      <c r="E1031" s="10" t="s">
        <v>81</v>
      </c>
      <c r="F1031" s="10" t="s">
        <v>83</v>
      </c>
      <c r="G1031" s="10" t="s">
        <v>84</v>
      </c>
      <c r="H1031" s="11">
        <v>37629</v>
      </c>
      <c r="I1031" s="11">
        <v>1043</v>
      </c>
      <c r="J1031" s="11">
        <v>841</v>
      </c>
      <c r="K1031" s="11">
        <v>36325</v>
      </c>
      <c r="L1031" s="11">
        <v>2.77182290097975E-2</v>
      </c>
      <c r="M1031" s="11">
        <f t="shared" si="4"/>
        <v>2.7717983470195859</v>
      </c>
      <c r="N1031" s="11">
        <v>0.80632790028763202</v>
      </c>
      <c r="O1031" s="11">
        <v>0.96535442836135599</v>
      </c>
      <c r="P1031" s="11">
        <v>0.32347972972972999</v>
      </c>
      <c r="Q1031" s="11">
        <v>0.22222222222222199</v>
      </c>
      <c r="R1031" s="11">
        <v>0.37403100775193798</v>
      </c>
      <c r="S1031" s="10" t="s">
        <v>84</v>
      </c>
      <c r="T1031" s="10" t="s">
        <v>84</v>
      </c>
      <c r="U1031" s="10"/>
      <c r="V1031" s="10"/>
      <c r="W1031" s="10"/>
      <c r="X1031" s="10"/>
      <c r="Y1031" s="10"/>
      <c r="Z1031" s="10"/>
      <c r="AA1031" s="10"/>
    </row>
    <row r="1032" spans="1:27" ht="12.5" x14ac:dyDescent="0.25">
      <c r="A1032" s="10" t="s">
        <v>62</v>
      </c>
      <c r="B1032" s="10" t="s">
        <v>962</v>
      </c>
      <c r="C1032" s="10" t="s">
        <v>76</v>
      </c>
      <c r="D1032" s="11">
        <v>2024</v>
      </c>
      <c r="E1032" s="10" t="s">
        <v>81</v>
      </c>
      <c r="F1032" s="10" t="s">
        <v>83</v>
      </c>
      <c r="G1032" s="10" t="s">
        <v>84</v>
      </c>
      <c r="H1032" s="11">
        <v>14381</v>
      </c>
      <c r="I1032" s="11">
        <v>397</v>
      </c>
      <c r="J1032" s="11">
        <v>205</v>
      </c>
      <c r="K1032" s="11">
        <v>6328</v>
      </c>
      <c r="L1032" s="11">
        <v>2.7606188792953599E-2</v>
      </c>
      <c r="M1032" s="11">
        <f t="shared" si="4"/>
        <v>2.7605868854738893</v>
      </c>
      <c r="N1032" s="11">
        <v>0.51637279596977304</v>
      </c>
      <c r="O1032" s="11">
        <v>0.44003013269977398</v>
      </c>
      <c r="P1032" s="11">
        <v>0.32179054054054002</v>
      </c>
      <c r="Q1032" s="11">
        <v>0.194444444444444</v>
      </c>
      <c r="R1032" s="11">
        <v>0.372093023255814</v>
      </c>
      <c r="S1032" s="10" t="s">
        <v>84</v>
      </c>
      <c r="T1032" s="10" t="s">
        <v>84</v>
      </c>
      <c r="U1032" s="10"/>
      <c r="V1032" s="10"/>
      <c r="W1032" s="10"/>
      <c r="X1032" s="10"/>
      <c r="Y1032" s="10"/>
      <c r="Z1032" s="10"/>
      <c r="AA1032" s="10"/>
    </row>
    <row r="1033" spans="1:27" ht="12.5" hidden="1" x14ac:dyDescent="0.25">
      <c r="A1033" s="10" t="s">
        <v>65</v>
      </c>
      <c r="B1033" s="10" t="s">
        <v>1608</v>
      </c>
      <c r="C1033" s="10" t="s">
        <v>191</v>
      </c>
      <c r="D1033" s="11">
        <v>2024</v>
      </c>
      <c r="E1033" s="10" t="s">
        <v>124</v>
      </c>
      <c r="F1033" s="10" t="s">
        <v>125</v>
      </c>
      <c r="G1033" s="10" t="s">
        <v>84</v>
      </c>
      <c r="H1033" s="12">
        <v>3822</v>
      </c>
      <c r="I1033" s="11">
        <v>105</v>
      </c>
      <c r="J1033" s="11">
        <v>60</v>
      </c>
      <c r="K1033" s="11">
        <v>1350</v>
      </c>
      <c r="L1033" s="11">
        <v>2.74725274725275E-2</v>
      </c>
      <c r="M1033" s="11">
        <f t="shared" si="4"/>
        <v>2.7472527472527473</v>
      </c>
      <c r="N1033" s="11">
        <v>0.57142857142857095</v>
      </c>
      <c r="O1033" s="11">
        <v>0.35321821036106699</v>
      </c>
      <c r="P1033" s="11">
        <v>0.47426470588235298</v>
      </c>
      <c r="Q1033" s="11">
        <v>0.55555555555555602</v>
      </c>
      <c r="R1033" s="11">
        <v>0.40116279069767402</v>
      </c>
      <c r="S1033" s="10" t="s">
        <v>84</v>
      </c>
      <c r="T1033" s="10" t="s">
        <v>84</v>
      </c>
      <c r="U1033" s="10"/>
      <c r="V1033" s="10"/>
      <c r="W1033" s="10"/>
      <c r="X1033" s="10"/>
      <c r="Y1033" s="10"/>
      <c r="Z1033" s="10"/>
      <c r="AA1033" s="10"/>
    </row>
    <row r="1034" spans="1:27" ht="12.5" x14ac:dyDescent="0.25">
      <c r="A1034" s="10" t="s">
        <v>86</v>
      </c>
      <c r="B1034" s="10" t="s">
        <v>964</v>
      </c>
      <c r="C1034" s="10" t="s">
        <v>76</v>
      </c>
      <c r="D1034" s="11">
        <v>2024</v>
      </c>
      <c r="E1034" s="10" t="s">
        <v>81</v>
      </c>
      <c r="F1034" s="10" t="s">
        <v>83</v>
      </c>
      <c r="G1034" s="10" t="s">
        <v>84</v>
      </c>
      <c r="H1034" s="11">
        <v>28123</v>
      </c>
      <c r="I1034" s="11">
        <v>772</v>
      </c>
      <c r="J1034" s="11">
        <v>620</v>
      </c>
      <c r="K1034" s="11">
        <v>22473</v>
      </c>
      <c r="L1034" s="11">
        <v>2.7450596926030999E-2</v>
      </c>
      <c r="M1034" s="11">
        <f t="shared" si="4"/>
        <v>2.7450840948689681</v>
      </c>
      <c r="N1034" s="11">
        <v>0.80310880829015496</v>
      </c>
      <c r="O1034" s="11">
        <v>0.79908972113820398</v>
      </c>
      <c r="P1034" s="11">
        <v>0.32010135135135098</v>
      </c>
      <c r="Q1034" s="11">
        <v>0.217391304347826</v>
      </c>
      <c r="R1034" s="11">
        <v>0.37015503875969002</v>
      </c>
      <c r="S1034" s="10" t="s">
        <v>84</v>
      </c>
      <c r="T1034" s="10" t="s">
        <v>84</v>
      </c>
      <c r="U1034" s="10"/>
      <c r="V1034" s="10"/>
      <c r="W1034" s="10"/>
      <c r="X1034" s="10"/>
      <c r="Y1034" s="10"/>
      <c r="Z1034" s="10"/>
      <c r="AA1034" s="10"/>
    </row>
    <row r="1035" spans="1:27" ht="12.5" x14ac:dyDescent="0.25">
      <c r="A1035" s="10" t="s">
        <v>103</v>
      </c>
      <c r="B1035" s="10" t="s">
        <v>1082</v>
      </c>
      <c r="C1035" s="10" t="s">
        <v>76</v>
      </c>
      <c r="D1035" s="11">
        <v>2024</v>
      </c>
      <c r="E1035" s="10" t="s">
        <v>124</v>
      </c>
      <c r="F1035" s="10" t="s">
        <v>83</v>
      </c>
      <c r="G1035" s="10" t="s">
        <v>84</v>
      </c>
      <c r="H1035" s="11">
        <v>51728</v>
      </c>
      <c r="I1035" s="11">
        <v>1415</v>
      </c>
      <c r="J1035" s="11">
        <v>1278</v>
      </c>
      <c r="K1035" s="11">
        <v>19368</v>
      </c>
      <c r="L1035" s="11">
        <v>2.73545360522475E-2</v>
      </c>
      <c r="M1035" s="11">
        <f t="shared" si="4"/>
        <v>2.7354624188060623</v>
      </c>
      <c r="N1035" s="11">
        <v>0.90318021201413401</v>
      </c>
      <c r="O1035" s="11">
        <v>0.37441883693281203</v>
      </c>
      <c r="P1035" s="11">
        <v>0.318412162162162</v>
      </c>
      <c r="Q1035" s="11">
        <v>0.30434782608695699</v>
      </c>
      <c r="R1035" s="11">
        <v>0.24608501118568199</v>
      </c>
      <c r="S1035" s="10" t="s">
        <v>84</v>
      </c>
      <c r="T1035" s="10" t="s">
        <v>84</v>
      </c>
      <c r="U1035" s="10"/>
      <c r="V1035" s="10"/>
      <c r="W1035" s="10"/>
      <c r="X1035" s="10"/>
      <c r="Y1035" s="10"/>
      <c r="Z1035" s="10"/>
      <c r="AA1035" s="10"/>
    </row>
    <row r="1036" spans="1:27" ht="12.5" x14ac:dyDescent="0.25">
      <c r="A1036" s="10" t="s">
        <v>96</v>
      </c>
      <c r="B1036" s="10" t="s">
        <v>966</v>
      </c>
      <c r="C1036" s="10" t="s">
        <v>76</v>
      </c>
      <c r="D1036" s="11">
        <v>2024</v>
      </c>
      <c r="E1036" s="10" t="s">
        <v>81</v>
      </c>
      <c r="F1036" s="10" t="s">
        <v>83</v>
      </c>
      <c r="G1036" s="10" t="s">
        <v>84</v>
      </c>
      <c r="H1036" s="11">
        <v>13478</v>
      </c>
      <c r="I1036" s="11">
        <v>368</v>
      </c>
      <c r="J1036" s="11">
        <v>298</v>
      </c>
      <c r="K1036" s="11">
        <v>7599</v>
      </c>
      <c r="L1036" s="11">
        <v>2.7303754266211601E-2</v>
      </c>
      <c r="M1036" s="11">
        <f t="shared" si="4"/>
        <v>2.7303754266211606</v>
      </c>
      <c r="N1036" s="11">
        <v>0.809782608695652</v>
      </c>
      <c r="O1036" s="11">
        <v>0.56380768660038605</v>
      </c>
      <c r="P1036" s="11">
        <v>0.31756756756756799</v>
      </c>
      <c r="Q1036" s="11">
        <v>0.58823529411764697</v>
      </c>
      <c r="R1036" s="11">
        <v>0.36821705426356599</v>
      </c>
      <c r="S1036" s="10" t="s">
        <v>84</v>
      </c>
      <c r="T1036" s="10" t="s">
        <v>84</v>
      </c>
      <c r="U1036" s="10"/>
      <c r="V1036" s="10"/>
      <c r="W1036" s="10"/>
      <c r="X1036" s="10"/>
      <c r="Y1036" s="10"/>
      <c r="Z1036" s="10"/>
      <c r="AA1036" s="10"/>
    </row>
    <row r="1037" spans="1:27" ht="12.5" hidden="1" x14ac:dyDescent="0.25">
      <c r="A1037" s="10" t="s">
        <v>86</v>
      </c>
      <c r="B1037" s="10" t="s">
        <v>1609</v>
      </c>
      <c r="C1037" s="10" t="s">
        <v>191</v>
      </c>
      <c r="D1037" s="11">
        <v>2024</v>
      </c>
      <c r="E1037" s="10" t="s">
        <v>124</v>
      </c>
      <c r="F1037" s="10" t="s">
        <v>83</v>
      </c>
      <c r="G1037" s="10" t="s">
        <v>84</v>
      </c>
      <c r="H1037" s="12">
        <v>11995</v>
      </c>
      <c r="I1037" s="11">
        <v>327</v>
      </c>
      <c r="J1037" s="11">
        <v>217</v>
      </c>
      <c r="K1037" s="11">
        <v>0</v>
      </c>
      <c r="L1037" s="11">
        <v>2.7260790729663802E-2</v>
      </c>
      <c r="M1037" s="11">
        <f t="shared" si="4"/>
        <v>2.7261358899541475</v>
      </c>
      <c r="N1037" s="11">
        <v>0.663608562691132</v>
      </c>
      <c r="O1037" s="11">
        <v>0</v>
      </c>
      <c r="P1037" s="11">
        <v>0.47303921568627399</v>
      </c>
      <c r="Q1037" s="11">
        <v>0.75</v>
      </c>
      <c r="R1037" s="11">
        <v>0.39922480620154999</v>
      </c>
      <c r="S1037" s="10" t="s">
        <v>84</v>
      </c>
      <c r="T1037" s="10" t="s">
        <v>84</v>
      </c>
      <c r="U1037" s="10"/>
      <c r="V1037" s="10"/>
      <c r="W1037" s="10"/>
      <c r="X1037" s="10"/>
      <c r="Y1037" s="10"/>
      <c r="Z1037" s="10"/>
      <c r="AA1037" s="10"/>
    </row>
    <row r="1038" spans="1:27" ht="12.5" x14ac:dyDescent="0.25">
      <c r="A1038" s="10" t="s">
        <v>52</v>
      </c>
      <c r="B1038" s="10" t="s">
        <v>717</v>
      </c>
      <c r="C1038" s="10" t="s">
        <v>76</v>
      </c>
      <c r="D1038" s="11">
        <v>2024</v>
      </c>
      <c r="E1038" s="10" t="s">
        <v>81</v>
      </c>
      <c r="F1038" s="10" t="s">
        <v>83</v>
      </c>
      <c r="G1038" s="10" t="s">
        <v>84</v>
      </c>
      <c r="H1038" s="11">
        <v>12999</v>
      </c>
      <c r="I1038" s="11">
        <v>354</v>
      </c>
      <c r="J1038" s="11">
        <v>244</v>
      </c>
      <c r="K1038" s="11">
        <v>9643</v>
      </c>
      <c r="L1038" s="11">
        <v>2.7232689484514901E-2</v>
      </c>
      <c r="M1038" s="11">
        <f t="shared" si="4"/>
        <v>2.7232864066466651</v>
      </c>
      <c r="N1038" s="11">
        <v>0.68926553672316404</v>
      </c>
      <c r="O1038" s="11">
        <v>0.74182153869824197</v>
      </c>
      <c r="P1038" s="11">
        <v>0.31672297297297303</v>
      </c>
      <c r="Q1038" s="11">
        <v>0.23404255319148901</v>
      </c>
      <c r="R1038" s="11">
        <v>0.36627906976744201</v>
      </c>
      <c r="S1038" s="10" t="s">
        <v>84</v>
      </c>
      <c r="T1038" s="10" t="s">
        <v>84</v>
      </c>
      <c r="U1038" s="10"/>
      <c r="V1038" s="10"/>
      <c r="W1038" s="10"/>
      <c r="X1038" s="10"/>
      <c r="Y1038" s="10"/>
      <c r="Z1038" s="10"/>
      <c r="AA1038" s="10"/>
    </row>
    <row r="1039" spans="1:27" ht="12.5" hidden="1" x14ac:dyDescent="0.25">
      <c r="A1039" s="10" t="s">
        <v>16</v>
      </c>
      <c r="B1039" s="10" t="s">
        <v>1610</v>
      </c>
      <c r="C1039" s="10" t="s">
        <v>191</v>
      </c>
      <c r="D1039" s="11">
        <v>2024</v>
      </c>
      <c r="E1039" s="10" t="s">
        <v>257</v>
      </c>
      <c r="F1039" s="10" t="s">
        <v>125</v>
      </c>
      <c r="G1039" s="10" t="s">
        <v>84</v>
      </c>
      <c r="H1039" s="12">
        <v>50249</v>
      </c>
      <c r="I1039" s="11">
        <v>1362</v>
      </c>
      <c r="J1039" s="11">
        <v>884</v>
      </c>
      <c r="K1039" s="11">
        <v>6326</v>
      </c>
      <c r="L1039" s="11">
        <v>2.7104927113219102E-2</v>
      </c>
      <c r="M1039" s="11">
        <f t="shared" si="4"/>
        <v>2.7105017015263986</v>
      </c>
      <c r="N1039" s="11">
        <v>0.64904552129221704</v>
      </c>
      <c r="O1039" s="11">
        <v>0.12589263503540701</v>
      </c>
      <c r="P1039" s="11">
        <v>0.47181372549019601</v>
      </c>
      <c r="Q1039" s="11">
        <v>0.375</v>
      </c>
      <c r="R1039" s="11">
        <v>0.25</v>
      </c>
      <c r="S1039" s="10" t="s">
        <v>84</v>
      </c>
      <c r="T1039" s="10" t="s">
        <v>84</v>
      </c>
      <c r="U1039" s="10"/>
      <c r="V1039" s="10"/>
      <c r="W1039" s="10"/>
      <c r="X1039" s="10"/>
      <c r="Y1039" s="10"/>
      <c r="Z1039" s="10"/>
      <c r="AA1039" s="10"/>
    </row>
    <row r="1040" spans="1:27" ht="12.5" x14ac:dyDescent="0.25">
      <c r="A1040" s="10" t="s">
        <v>115</v>
      </c>
      <c r="B1040" s="10" t="s">
        <v>1436</v>
      </c>
      <c r="C1040" s="10" t="s">
        <v>76</v>
      </c>
      <c r="D1040" s="11">
        <v>2024</v>
      </c>
      <c r="E1040" s="10" t="s">
        <v>1340</v>
      </c>
      <c r="F1040" s="10" t="s">
        <v>83</v>
      </c>
      <c r="G1040" s="10" t="s">
        <v>84</v>
      </c>
      <c r="H1040" s="11">
        <v>22869</v>
      </c>
      <c r="I1040" s="11">
        <v>614</v>
      </c>
      <c r="J1040" s="11">
        <v>540</v>
      </c>
      <c r="K1040" s="11">
        <v>5150</v>
      </c>
      <c r="L1040" s="11">
        <v>2.68481809701493E-2</v>
      </c>
      <c r="M1040" s="11">
        <f t="shared" si="4"/>
        <v>2.6848572303117759</v>
      </c>
      <c r="N1040" s="11">
        <v>0.87947882736156302</v>
      </c>
      <c r="O1040" s="11">
        <v>0.22519239738805999</v>
      </c>
      <c r="P1040" s="11">
        <v>0.31418918918918898</v>
      </c>
      <c r="Q1040" s="11">
        <v>0.88888888888888895</v>
      </c>
      <c r="R1040" s="11">
        <v>0</v>
      </c>
      <c r="S1040" s="10" t="s">
        <v>84</v>
      </c>
      <c r="T1040" s="10" t="s">
        <v>84</v>
      </c>
      <c r="U1040" s="10"/>
      <c r="V1040" s="10"/>
      <c r="W1040" s="10"/>
      <c r="X1040" s="10"/>
      <c r="Y1040" s="10"/>
      <c r="Z1040" s="10"/>
      <c r="AA1040" s="10"/>
    </row>
    <row r="1041" spans="1:27" ht="12.5" x14ac:dyDescent="0.25">
      <c r="A1041" s="10" t="s">
        <v>34</v>
      </c>
      <c r="B1041" s="10" t="s">
        <v>1084</v>
      </c>
      <c r="C1041" s="10" t="s">
        <v>76</v>
      </c>
      <c r="D1041" s="11">
        <v>2024</v>
      </c>
      <c r="E1041" s="10" t="s">
        <v>124</v>
      </c>
      <c r="F1041" s="10" t="s">
        <v>83</v>
      </c>
      <c r="G1041" s="10" t="s">
        <v>84</v>
      </c>
      <c r="H1041" s="11">
        <v>54944</v>
      </c>
      <c r="I1041" s="11">
        <v>1475</v>
      </c>
      <c r="J1041" s="11">
        <v>1469</v>
      </c>
      <c r="K1041" s="11">
        <v>50363</v>
      </c>
      <c r="L1041" s="11">
        <v>2.68453118530394E-2</v>
      </c>
      <c r="M1041" s="11">
        <f t="shared" si="4"/>
        <v>2.6845515433896332</v>
      </c>
      <c r="N1041" s="11">
        <v>0.99593220338983002</v>
      </c>
      <c r="O1041" s="11">
        <v>0.91661724803703104</v>
      </c>
      <c r="P1041" s="11">
        <v>0.31334459459459502</v>
      </c>
      <c r="Q1041" s="11">
        <v>0.55102040816326503</v>
      </c>
      <c r="R1041" s="11">
        <v>0.24384787472035799</v>
      </c>
      <c r="S1041" s="10" t="s">
        <v>84</v>
      </c>
      <c r="T1041" s="10" t="s">
        <v>84</v>
      </c>
      <c r="U1041" s="10"/>
      <c r="V1041" s="10"/>
      <c r="W1041" s="10"/>
      <c r="X1041" s="10"/>
      <c r="Y1041" s="10"/>
      <c r="Z1041" s="10"/>
      <c r="AA1041" s="10"/>
    </row>
    <row r="1042" spans="1:27" ht="12.5" x14ac:dyDescent="0.25">
      <c r="A1042" s="10" t="s">
        <v>62</v>
      </c>
      <c r="B1042" s="10" t="s">
        <v>969</v>
      </c>
      <c r="C1042" s="10" t="s">
        <v>76</v>
      </c>
      <c r="D1042" s="11">
        <v>2024</v>
      </c>
      <c r="E1042" s="10" t="s">
        <v>81</v>
      </c>
      <c r="F1042" s="10" t="s">
        <v>83</v>
      </c>
      <c r="G1042" s="10" t="s">
        <v>84</v>
      </c>
      <c r="H1042" s="11">
        <v>10557</v>
      </c>
      <c r="I1042" s="11">
        <v>283</v>
      </c>
      <c r="J1042" s="11">
        <v>264</v>
      </c>
      <c r="K1042" s="11">
        <v>1626</v>
      </c>
      <c r="L1042" s="11">
        <v>2.68070696147076E-2</v>
      </c>
      <c r="M1042" s="11">
        <f t="shared" si="4"/>
        <v>2.6806858008904042</v>
      </c>
      <c r="N1042" s="11">
        <v>0.93286219081272104</v>
      </c>
      <c r="O1042" s="11">
        <v>0.154022244500051</v>
      </c>
      <c r="P1042" s="11">
        <v>0.3125</v>
      </c>
      <c r="Q1042" s="11">
        <v>0.16666666666666699</v>
      </c>
      <c r="R1042" s="11">
        <v>0.36434108527131798</v>
      </c>
      <c r="S1042" s="10" t="s">
        <v>84</v>
      </c>
      <c r="T1042" s="10" t="s">
        <v>84</v>
      </c>
      <c r="U1042" s="10"/>
      <c r="V1042" s="10"/>
      <c r="W1042" s="10"/>
      <c r="X1042" s="10"/>
      <c r="Y1042" s="10"/>
      <c r="Z1042" s="10"/>
      <c r="AA1042" s="10"/>
    </row>
    <row r="1043" spans="1:27" ht="12.5" x14ac:dyDescent="0.25">
      <c r="A1043" s="10" t="s">
        <v>29</v>
      </c>
      <c r="B1043" s="10" t="s">
        <v>75</v>
      </c>
      <c r="C1043" s="10" t="s">
        <v>76</v>
      </c>
      <c r="D1043" s="11">
        <v>2024</v>
      </c>
      <c r="E1043" s="10" t="s">
        <v>81</v>
      </c>
      <c r="F1043" s="10" t="s">
        <v>83</v>
      </c>
      <c r="G1043" s="10" t="s">
        <v>84</v>
      </c>
      <c r="H1043" s="11">
        <v>150</v>
      </c>
      <c r="I1043" s="11">
        <v>4</v>
      </c>
      <c r="J1043" s="11">
        <v>4</v>
      </c>
      <c r="K1043" s="11">
        <v>710</v>
      </c>
      <c r="L1043" s="11">
        <v>2.6607538802660799E-2</v>
      </c>
      <c r="M1043" s="11">
        <f t="shared" si="4"/>
        <v>2.666666666666667</v>
      </c>
      <c r="N1043" s="11">
        <v>1</v>
      </c>
      <c r="O1043" s="11">
        <v>4.7228381374722801</v>
      </c>
      <c r="P1043" s="11">
        <v>0.31165540540540498</v>
      </c>
      <c r="Q1043" s="11">
        <v>0.20408163265306101</v>
      </c>
      <c r="R1043" s="11">
        <v>0.362403100775194</v>
      </c>
      <c r="S1043" s="10" t="s">
        <v>84</v>
      </c>
      <c r="T1043" s="10" t="s">
        <v>84</v>
      </c>
      <c r="U1043" s="10"/>
      <c r="V1043" s="10"/>
      <c r="W1043" s="10"/>
      <c r="X1043" s="10"/>
      <c r="Y1043" s="10"/>
      <c r="Z1043" s="10"/>
      <c r="AA1043" s="10"/>
    </row>
    <row r="1044" spans="1:27" ht="12.5" x14ac:dyDescent="0.25">
      <c r="A1044" s="10" t="s">
        <v>16</v>
      </c>
      <c r="B1044" s="10" t="s">
        <v>1087</v>
      </c>
      <c r="C1044" s="10" t="s">
        <v>76</v>
      </c>
      <c r="D1044" s="11">
        <v>2024</v>
      </c>
      <c r="E1044" s="10" t="s">
        <v>124</v>
      </c>
      <c r="F1044" s="10" t="s">
        <v>125</v>
      </c>
      <c r="G1044" s="10" t="s">
        <v>84</v>
      </c>
      <c r="H1044" s="11">
        <v>27041</v>
      </c>
      <c r="I1044" s="11">
        <v>715</v>
      </c>
      <c r="J1044" s="11">
        <v>650</v>
      </c>
      <c r="K1044" s="11">
        <v>4957</v>
      </c>
      <c r="L1044" s="11">
        <v>2.6441737265283399E-2</v>
      </c>
      <c r="M1044" s="11">
        <f t="shared" si="4"/>
        <v>2.644132983247661</v>
      </c>
      <c r="N1044" s="11">
        <v>0.90909090909090895</v>
      </c>
      <c r="O1044" s="11">
        <v>0.183317051222391</v>
      </c>
      <c r="P1044" s="11">
        <v>0.30996621621621601</v>
      </c>
      <c r="Q1044" s="11">
        <v>0.1</v>
      </c>
      <c r="R1044" s="11">
        <v>0.24161073825503401</v>
      </c>
      <c r="S1044" s="10" t="s">
        <v>84</v>
      </c>
      <c r="T1044" s="10" t="s">
        <v>84</v>
      </c>
      <c r="U1044" s="10"/>
      <c r="V1044" s="10"/>
      <c r="W1044" s="10"/>
      <c r="X1044" s="10"/>
      <c r="Y1044" s="10"/>
      <c r="Z1044" s="10"/>
      <c r="AA1044" s="10"/>
    </row>
    <row r="1045" spans="1:27" ht="12.5" hidden="1" x14ac:dyDescent="0.25">
      <c r="A1045" s="10" t="s">
        <v>14</v>
      </c>
      <c r="B1045" s="10" t="s">
        <v>1611</v>
      </c>
      <c r="C1045" s="10" t="s">
        <v>191</v>
      </c>
      <c r="D1045" s="11">
        <v>2024</v>
      </c>
      <c r="E1045" s="10" t="s">
        <v>257</v>
      </c>
      <c r="F1045" s="10" t="s">
        <v>125</v>
      </c>
      <c r="G1045" s="10" t="s">
        <v>84</v>
      </c>
      <c r="H1045" s="12">
        <v>6925</v>
      </c>
      <c r="I1045" s="11">
        <v>183</v>
      </c>
      <c r="J1045" s="11">
        <v>99</v>
      </c>
      <c r="K1045" s="11">
        <v>445</v>
      </c>
      <c r="L1045" s="11">
        <v>2.6426946821184901E-2</v>
      </c>
      <c r="M1045" s="11">
        <f t="shared" si="4"/>
        <v>2.6425992779783392</v>
      </c>
      <c r="N1045" s="11">
        <v>0.54098360655737698</v>
      </c>
      <c r="O1045" s="11">
        <v>6.4262247734575298E-2</v>
      </c>
      <c r="P1045" s="11">
        <v>0.46936274509803899</v>
      </c>
      <c r="Q1045" s="11">
        <v>0.25531914893617003</v>
      </c>
      <c r="R1045" s="11">
        <v>0.22222222222222199</v>
      </c>
      <c r="S1045" s="10" t="s">
        <v>84</v>
      </c>
      <c r="T1045" s="10" t="s">
        <v>84</v>
      </c>
      <c r="U1045" s="10"/>
      <c r="V1045" s="10"/>
      <c r="W1045" s="10"/>
      <c r="X1045" s="10"/>
      <c r="Y1045" s="10"/>
      <c r="Z1045" s="10"/>
      <c r="AA1045" s="10"/>
    </row>
    <row r="1046" spans="1:27" ht="12.5" x14ac:dyDescent="0.25">
      <c r="A1046" s="10" t="s">
        <v>82</v>
      </c>
      <c r="B1046" s="10" t="s">
        <v>972</v>
      </c>
      <c r="C1046" s="10" t="s">
        <v>76</v>
      </c>
      <c r="D1046" s="11">
        <v>2024</v>
      </c>
      <c r="E1046" s="10" t="s">
        <v>81</v>
      </c>
      <c r="F1046" s="10" t="s">
        <v>83</v>
      </c>
      <c r="G1046" s="10" t="s">
        <v>84</v>
      </c>
      <c r="H1046" s="11">
        <v>16215</v>
      </c>
      <c r="I1046" s="11">
        <v>428</v>
      </c>
      <c r="J1046" s="11">
        <v>375</v>
      </c>
      <c r="K1046" s="11">
        <v>4057</v>
      </c>
      <c r="L1046" s="11">
        <v>2.6395719946345101E-2</v>
      </c>
      <c r="M1046" s="11">
        <f t="shared" si="4"/>
        <v>2.6395312981806969</v>
      </c>
      <c r="N1046" s="11">
        <v>0.87616822429906505</v>
      </c>
      <c r="O1046" s="11">
        <v>0.25020428930449101</v>
      </c>
      <c r="P1046" s="11">
        <v>0.30912162162162199</v>
      </c>
      <c r="Q1046" s="11">
        <v>0.53448275862068995</v>
      </c>
      <c r="R1046" s="11">
        <v>0.36046511627907002</v>
      </c>
      <c r="S1046" s="10" t="s">
        <v>84</v>
      </c>
      <c r="T1046" s="10" t="s">
        <v>84</v>
      </c>
      <c r="U1046" s="10"/>
      <c r="V1046" s="10"/>
      <c r="W1046" s="10"/>
      <c r="X1046" s="10"/>
      <c r="Y1046" s="10"/>
      <c r="Z1046" s="10"/>
      <c r="AA1046" s="10"/>
    </row>
    <row r="1047" spans="1:27" ht="12.5" x14ac:dyDescent="0.25">
      <c r="A1047" s="10" t="s">
        <v>82</v>
      </c>
      <c r="B1047" s="10" t="s">
        <v>1089</v>
      </c>
      <c r="C1047" s="10" t="s">
        <v>76</v>
      </c>
      <c r="D1047" s="11">
        <v>2024</v>
      </c>
      <c r="E1047" s="10" t="s">
        <v>124</v>
      </c>
      <c r="F1047" s="10" t="s">
        <v>83</v>
      </c>
      <c r="G1047" s="10" t="s">
        <v>84</v>
      </c>
      <c r="H1047" s="11">
        <v>1256</v>
      </c>
      <c r="I1047" s="11">
        <v>33</v>
      </c>
      <c r="J1047" s="11">
        <v>29</v>
      </c>
      <c r="K1047" s="11">
        <v>35</v>
      </c>
      <c r="L1047" s="11">
        <v>2.6284348864993999E-2</v>
      </c>
      <c r="M1047" s="11">
        <f t="shared" si="4"/>
        <v>2.6273885350318471</v>
      </c>
      <c r="N1047" s="11">
        <v>0.87878787878787901</v>
      </c>
      <c r="O1047" s="11">
        <v>2.78773397052967E-2</v>
      </c>
      <c r="P1047" s="11">
        <v>0.30827702702702697</v>
      </c>
      <c r="Q1047" s="11">
        <v>0.51724137931034497</v>
      </c>
      <c r="R1047" s="11">
        <v>0.23937360178970901</v>
      </c>
      <c r="S1047" s="10" t="s">
        <v>84</v>
      </c>
      <c r="T1047" s="10" t="s">
        <v>84</v>
      </c>
      <c r="U1047" s="10"/>
      <c r="V1047" s="10"/>
      <c r="W1047" s="10"/>
      <c r="X1047" s="10"/>
      <c r="Y1047" s="10"/>
      <c r="Z1047" s="10"/>
      <c r="AA1047" s="10"/>
    </row>
    <row r="1048" spans="1:27" ht="12.5" x14ac:dyDescent="0.25">
      <c r="A1048" s="10" t="s">
        <v>12</v>
      </c>
      <c r="B1048" s="10" t="s">
        <v>974</v>
      </c>
      <c r="C1048" s="10" t="s">
        <v>76</v>
      </c>
      <c r="D1048" s="11">
        <v>2024</v>
      </c>
      <c r="E1048" s="10" t="s">
        <v>81</v>
      </c>
      <c r="F1048" s="10" t="s">
        <v>83</v>
      </c>
      <c r="G1048" s="10" t="s">
        <v>84</v>
      </c>
      <c r="H1048" s="11">
        <v>9680</v>
      </c>
      <c r="I1048" s="11">
        <v>253</v>
      </c>
      <c r="J1048" s="11">
        <v>157</v>
      </c>
      <c r="K1048" s="11">
        <v>3884</v>
      </c>
      <c r="L1048" s="11">
        <v>2.6135913637850599E-2</v>
      </c>
      <c r="M1048" s="11">
        <f t="shared" si="4"/>
        <v>2.6136363636363633</v>
      </c>
      <c r="N1048" s="11">
        <v>0.62055335968379399</v>
      </c>
      <c r="O1048" s="11">
        <v>0.40123276114391998</v>
      </c>
      <c r="P1048" s="11">
        <v>0.306587837837838</v>
      </c>
      <c r="Q1048" s="11">
        <v>0.20833333333333301</v>
      </c>
      <c r="R1048" s="11">
        <v>0.35852713178294598</v>
      </c>
      <c r="S1048" s="10" t="s">
        <v>84</v>
      </c>
      <c r="T1048" s="10" t="s">
        <v>84</v>
      </c>
      <c r="U1048" s="10"/>
      <c r="V1048" s="10"/>
      <c r="W1048" s="10"/>
      <c r="X1048" s="10"/>
      <c r="Y1048" s="10"/>
      <c r="Z1048" s="10"/>
      <c r="AA1048" s="10"/>
    </row>
    <row r="1049" spans="1:27" ht="12.5" x14ac:dyDescent="0.25">
      <c r="A1049" s="10" t="s">
        <v>101</v>
      </c>
      <c r="B1049" s="10" t="s">
        <v>977</v>
      </c>
      <c r="C1049" s="10" t="s">
        <v>76</v>
      </c>
      <c r="D1049" s="11">
        <v>2024</v>
      </c>
      <c r="E1049" s="10" t="s">
        <v>81</v>
      </c>
      <c r="F1049" s="10" t="s">
        <v>83</v>
      </c>
      <c r="G1049" s="10" t="s">
        <v>84</v>
      </c>
      <c r="H1049" s="11">
        <v>2411</v>
      </c>
      <c r="I1049" s="11">
        <v>63</v>
      </c>
      <c r="J1049" s="11">
        <v>53</v>
      </c>
      <c r="K1049" s="11">
        <v>901</v>
      </c>
      <c r="L1049" s="11">
        <v>2.6132042862080901E-2</v>
      </c>
      <c r="M1049" s="11">
        <f t="shared" si="4"/>
        <v>2.6130236416424717</v>
      </c>
      <c r="N1049" s="11">
        <v>0.84126984126984095</v>
      </c>
      <c r="O1049" s="11">
        <v>0.373729692360871</v>
      </c>
      <c r="P1049" s="11">
        <v>0.30574324324324298</v>
      </c>
      <c r="Q1049" s="11">
        <v>0.214285714285714</v>
      </c>
      <c r="R1049" s="11">
        <v>0.35658914728682201</v>
      </c>
      <c r="S1049" s="10" t="s">
        <v>84</v>
      </c>
      <c r="T1049" s="10" t="s">
        <v>84</v>
      </c>
      <c r="U1049" s="10"/>
      <c r="V1049" s="10"/>
      <c r="W1049" s="10"/>
      <c r="X1049" s="10"/>
      <c r="Y1049" s="10"/>
      <c r="Z1049" s="10"/>
      <c r="AA1049" s="10"/>
    </row>
    <row r="1050" spans="1:27" ht="12.5" x14ac:dyDescent="0.25">
      <c r="A1050" s="10" t="s">
        <v>92</v>
      </c>
      <c r="B1050" s="10" t="s">
        <v>1092</v>
      </c>
      <c r="C1050" s="10" t="s">
        <v>76</v>
      </c>
      <c r="D1050" s="11">
        <v>2024</v>
      </c>
      <c r="E1050" s="10" t="s">
        <v>124</v>
      </c>
      <c r="F1050" s="10" t="s">
        <v>83</v>
      </c>
      <c r="G1050" s="10" t="s">
        <v>84</v>
      </c>
      <c r="H1050" s="11">
        <v>12596</v>
      </c>
      <c r="I1050" s="11">
        <v>329</v>
      </c>
      <c r="J1050" s="11">
        <v>300</v>
      </c>
      <c r="K1050" s="11">
        <v>8586</v>
      </c>
      <c r="L1050" s="11">
        <v>2.6119402985074602E-2</v>
      </c>
      <c r="M1050" s="11">
        <f t="shared" si="4"/>
        <v>2.6119402985074625</v>
      </c>
      <c r="N1050" s="11">
        <v>0.91185410334346495</v>
      </c>
      <c r="O1050" s="11">
        <v>0.68164496665608099</v>
      </c>
      <c r="P1050" s="11">
        <v>0.30489864864864902</v>
      </c>
      <c r="Q1050" s="11">
        <v>0.66666666666666696</v>
      </c>
      <c r="R1050" s="11">
        <v>0.23713646532438501</v>
      </c>
      <c r="S1050" s="10" t="s">
        <v>84</v>
      </c>
      <c r="T1050" s="10" t="s">
        <v>84</v>
      </c>
      <c r="U1050" s="10"/>
      <c r="V1050" s="10"/>
      <c r="W1050" s="10"/>
      <c r="X1050" s="10"/>
      <c r="Y1050" s="10"/>
      <c r="Z1050" s="10"/>
      <c r="AA1050" s="10"/>
    </row>
    <row r="1051" spans="1:27" ht="12.5" x14ac:dyDescent="0.25">
      <c r="A1051" s="10" t="s">
        <v>52</v>
      </c>
      <c r="B1051" s="10" t="s">
        <v>979</v>
      </c>
      <c r="C1051" s="10" t="s">
        <v>76</v>
      </c>
      <c r="D1051" s="11">
        <v>2024</v>
      </c>
      <c r="E1051" s="10" t="s">
        <v>81</v>
      </c>
      <c r="F1051" s="10" t="s">
        <v>83</v>
      </c>
      <c r="G1051" s="10" t="s">
        <v>84</v>
      </c>
      <c r="H1051" s="11">
        <v>5088</v>
      </c>
      <c r="I1051" s="11">
        <v>132</v>
      </c>
      <c r="J1051" s="11">
        <v>105</v>
      </c>
      <c r="K1051" s="11">
        <v>2345</v>
      </c>
      <c r="L1051" s="11">
        <v>2.5945095983751599E-2</v>
      </c>
      <c r="M1051" s="11">
        <f t="shared" si="4"/>
        <v>2.5943396226415096</v>
      </c>
      <c r="N1051" s="11">
        <v>0.79545454545454497</v>
      </c>
      <c r="O1051" s="11">
        <v>0.46091856122649499</v>
      </c>
      <c r="P1051" s="11">
        <v>0.304054054054054</v>
      </c>
      <c r="Q1051" s="11">
        <v>0.21276595744680901</v>
      </c>
      <c r="R1051" s="11">
        <v>0.35465116279069803</v>
      </c>
      <c r="S1051" s="10" t="s">
        <v>84</v>
      </c>
      <c r="T1051" s="10" t="s">
        <v>84</v>
      </c>
      <c r="U1051" s="10"/>
      <c r="V1051" s="10"/>
      <c r="W1051" s="10"/>
      <c r="X1051" s="10"/>
      <c r="Y1051" s="10"/>
      <c r="Z1051" s="10"/>
      <c r="AA1051" s="10"/>
    </row>
    <row r="1052" spans="1:27" ht="12.5" x14ac:dyDescent="0.25">
      <c r="A1052" s="10" t="s">
        <v>22</v>
      </c>
      <c r="B1052" s="10" t="s">
        <v>982</v>
      </c>
      <c r="C1052" s="10" t="s">
        <v>76</v>
      </c>
      <c r="D1052" s="11">
        <v>2024</v>
      </c>
      <c r="E1052" s="10" t="s">
        <v>81</v>
      </c>
      <c r="F1052" s="10" t="s">
        <v>83</v>
      </c>
      <c r="G1052" s="10" t="s">
        <v>84</v>
      </c>
      <c r="H1052" s="11">
        <v>5169</v>
      </c>
      <c r="I1052" s="11">
        <v>134</v>
      </c>
      <c r="J1052" s="11">
        <v>130</v>
      </c>
      <c r="K1052" s="11">
        <v>3952</v>
      </c>
      <c r="L1052" s="11">
        <v>2.5921686844099099E-2</v>
      </c>
      <c r="M1052" s="11">
        <f t="shared" si="4"/>
        <v>2.5923776359063648</v>
      </c>
      <c r="N1052" s="11">
        <v>0.97014925373134298</v>
      </c>
      <c r="O1052" s="11">
        <v>0.76449631647671401</v>
      </c>
      <c r="P1052" s="11">
        <v>0.30320945945945998</v>
      </c>
      <c r="Q1052" s="11">
        <v>0.14285714285714299</v>
      </c>
      <c r="R1052" s="11">
        <v>0.35271317829457399</v>
      </c>
      <c r="S1052" s="10" t="s">
        <v>84</v>
      </c>
      <c r="T1052" s="10" t="s">
        <v>84</v>
      </c>
      <c r="U1052" s="10"/>
      <c r="V1052" s="10"/>
      <c r="W1052" s="10"/>
      <c r="X1052" s="10"/>
      <c r="Y1052" s="10"/>
      <c r="Z1052" s="10"/>
      <c r="AA1052" s="10"/>
    </row>
    <row r="1053" spans="1:27" ht="12.5" x14ac:dyDescent="0.25">
      <c r="A1053" s="10" t="s">
        <v>12</v>
      </c>
      <c r="B1053" s="10" t="s">
        <v>1094</v>
      </c>
      <c r="C1053" s="10" t="s">
        <v>76</v>
      </c>
      <c r="D1053" s="11">
        <v>2024</v>
      </c>
      <c r="E1053" s="10" t="s">
        <v>124</v>
      </c>
      <c r="F1053" s="10" t="s">
        <v>125</v>
      </c>
      <c r="G1053" s="10" t="s">
        <v>84</v>
      </c>
      <c r="H1053" s="11">
        <v>2396</v>
      </c>
      <c r="I1053" s="11">
        <v>62</v>
      </c>
      <c r="J1053" s="11">
        <v>26</v>
      </c>
      <c r="K1053" s="11">
        <v>3736</v>
      </c>
      <c r="L1053" s="11">
        <v>2.5878260869565201E-2</v>
      </c>
      <c r="M1053" s="11">
        <f t="shared" si="4"/>
        <v>2.5876460767946576</v>
      </c>
      <c r="N1053" s="11">
        <v>0.41935483870967699</v>
      </c>
      <c r="O1053" s="11">
        <v>1.5593739130434801</v>
      </c>
      <c r="P1053" s="11">
        <v>0.30152027027027001</v>
      </c>
      <c r="Q1053" s="11">
        <v>0.194444444444444</v>
      </c>
      <c r="R1053" s="11">
        <v>0.23489932885906001</v>
      </c>
      <c r="S1053" s="10" t="s">
        <v>84</v>
      </c>
      <c r="T1053" s="10" t="s">
        <v>84</v>
      </c>
      <c r="U1053" s="10"/>
      <c r="V1053" s="10"/>
      <c r="W1053" s="10"/>
      <c r="X1053" s="10"/>
      <c r="Y1053" s="10"/>
      <c r="Z1053" s="10"/>
      <c r="AA1053" s="10"/>
    </row>
    <row r="1054" spans="1:27" ht="12.5" hidden="1" x14ac:dyDescent="0.25">
      <c r="A1054" s="10" t="s">
        <v>77</v>
      </c>
      <c r="B1054" s="10" t="s">
        <v>1612</v>
      </c>
      <c r="C1054" s="10" t="s">
        <v>191</v>
      </c>
      <c r="D1054" s="11">
        <v>2024</v>
      </c>
      <c r="E1054" s="10" t="s">
        <v>124</v>
      </c>
      <c r="F1054" s="10" t="s">
        <v>125</v>
      </c>
      <c r="G1054" s="10" t="s">
        <v>84</v>
      </c>
      <c r="H1054" s="12">
        <v>852</v>
      </c>
      <c r="I1054" s="11">
        <v>22</v>
      </c>
      <c r="J1054" s="11">
        <v>20</v>
      </c>
      <c r="K1054" s="11">
        <v>1269</v>
      </c>
      <c r="L1054" s="11">
        <v>2.5821596244131498E-2</v>
      </c>
      <c r="M1054" s="11">
        <f t="shared" si="4"/>
        <v>2.5821596244131455</v>
      </c>
      <c r="N1054" s="11">
        <v>0.90909090909090895</v>
      </c>
      <c r="O1054" s="11">
        <v>1.48943661971831</v>
      </c>
      <c r="P1054" s="11">
        <v>0.46568627450980399</v>
      </c>
      <c r="Q1054" s="11">
        <v>0.65217391304347805</v>
      </c>
      <c r="R1054" s="11">
        <v>0.39728682170542601</v>
      </c>
      <c r="S1054" s="10" t="s">
        <v>84</v>
      </c>
      <c r="T1054" s="10" t="s">
        <v>84</v>
      </c>
      <c r="U1054" s="10"/>
      <c r="V1054" s="10"/>
      <c r="W1054" s="10"/>
      <c r="X1054" s="10"/>
      <c r="Y1054" s="10"/>
      <c r="Z1054" s="10"/>
      <c r="AA1054" s="10"/>
    </row>
    <row r="1055" spans="1:27" ht="12.5" x14ac:dyDescent="0.25">
      <c r="A1055" s="10" t="s">
        <v>77</v>
      </c>
      <c r="B1055" s="10" t="s">
        <v>984</v>
      </c>
      <c r="C1055" s="10" t="s">
        <v>76</v>
      </c>
      <c r="D1055" s="11">
        <v>2024</v>
      </c>
      <c r="E1055" s="10" t="s">
        <v>81</v>
      </c>
      <c r="F1055" s="10" t="s">
        <v>83</v>
      </c>
      <c r="G1055" s="10" t="s">
        <v>84</v>
      </c>
      <c r="H1055" s="11">
        <v>9048</v>
      </c>
      <c r="I1055" s="11">
        <v>233</v>
      </c>
      <c r="J1055" s="11">
        <v>186</v>
      </c>
      <c r="K1055" s="11">
        <v>8729</v>
      </c>
      <c r="L1055" s="11">
        <v>2.5752733234473298E-2</v>
      </c>
      <c r="M1055" s="11">
        <f t="shared" si="4"/>
        <v>2.575154730327144</v>
      </c>
      <c r="N1055" s="11">
        <v>0.79828326180257503</v>
      </c>
      <c r="O1055" s="11">
        <v>0.96478801890007504</v>
      </c>
      <c r="P1055" s="11">
        <v>0.30067567567567599</v>
      </c>
      <c r="Q1055" s="11">
        <v>0.25</v>
      </c>
      <c r="R1055" s="11">
        <v>0.35077519379845001</v>
      </c>
      <c r="S1055" s="10" t="s">
        <v>84</v>
      </c>
      <c r="T1055" s="10" t="s">
        <v>84</v>
      </c>
      <c r="U1055" s="10"/>
      <c r="V1055" s="10"/>
      <c r="W1055" s="10"/>
      <c r="X1055" s="10"/>
      <c r="Y1055" s="10"/>
      <c r="Z1055" s="10"/>
      <c r="AA1055" s="10"/>
    </row>
    <row r="1056" spans="1:27" ht="12.5" hidden="1" x14ac:dyDescent="0.25">
      <c r="A1056" s="10" t="s">
        <v>36</v>
      </c>
      <c r="B1056" s="10" t="s">
        <v>1613</v>
      </c>
      <c r="C1056" s="10" t="s">
        <v>191</v>
      </c>
      <c r="D1056" s="11">
        <v>2024</v>
      </c>
      <c r="E1056" s="10" t="s">
        <v>124</v>
      </c>
      <c r="F1056" s="10" t="s">
        <v>125</v>
      </c>
      <c r="G1056" s="10" t="s">
        <v>84</v>
      </c>
      <c r="H1056" s="12">
        <v>1671</v>
      </c>
      <c r="I1056" s="11">
        <v>43</v>
      </c>
      <c r="J1056" s="11">
        <v>46</v>
      </c>
      <c r="K1056" s="11">
        <v>97</v>
      </c>
      <c r="L1056" s="11">
        <v>2.5738228252194701E-2</v>
      </c>
      <c r="M1056" s="11">
        <f t="shared" si="4"/>
        <v>2.5733093955715143</v>
      </c>
      <c r="N1056" s="11">
        <v>1.0697674418604699</v>
      </c>
      <c r="O1056" s="11">
        <v>5.8060654429369501E-2</v>
      </c>
      <c r="P1056" s="11">
        <v>0.46446078431372601</v>
      </c>
      <c r="Q1056" s="11">
        <v>0.15</v>
      </c>
      <c r="R1056" s="11">
        <v>0.39534883720930197</v>
      </c>
      <c r="S1056" s="10" t="s">
        <v>84</v>
      </c>
      <c r="T1056" s="10" t="s">
        <v>84</v>
      </c>
      <c r="U1056" s="10"/>
      <c r="V1056" s="10"/>
      <c r="W1056" s="10"/>
      <c r="X1056" s="10"/>
      <c r="Y1056" s="10"/>
      <c r="Z1056" s="10"/>
      <c r="AA1056" s="10"/>
    </row>
    <row r="1057" spans="1:27" ht="12.5" x14ac:dyDescent="0.25">
      <c r="A1057" s="10" t="s">
        <v>72</v>
      </c>
      <c r="B1057" s="10" t="s">
        <v>1096</v>
      </c>
      <c r="C1057" s="10" t="s">
        <v>76</v>
      </c>
      <c r="D1057" s="11">
        <v>2024</v>
      </c>
      <c r="E1057" s="10" t="s">
        <v>124</v>
      </c>
      <c r="F1057" s="10" t="s">
        <v>83</v>
      </c>
      <c r="G1057" s="10" t="s">
        <v>84</v>
      </c>
      <c r="H1057" s="11">
        <v>8017</v>
      </c>
      <c r="I1057" s="11">
        <v>206</v>
      </c>
      <c r="J1057" s="11">
        <v>128</v>
      </c>
      <c r="K1057" s="11">
        <v>6298</v>
      </c>
      <c r="L1057" s="11">
        <v>2.5696465696465699E-2</v>
      </c>
      <c r="M1057" s="11">
        <f t="shared" si="4"/>
        <v>2.5695397280778347</v>
      </c>
      <c r="N1057" s="11">
        <v>0.62135922330097104</v>
      </c>
      <c r="O1057" s="11">
        <v>0.785613305613306</v>
      </c>
      <c r="P1057" s="11">
        <v>0.29983108108108097</v>
      </c>
      <c r="Q1057" s="11">
        <v>0.4</v>
      </c>
      <c r="R1057" s="11">
        <v>0.23266219239373601</v>
      </c>
      <c r="S1057" s="10" t="s">
        <v>84</v>
      </c>
      <c r="T1057" s="10" t="s">
        <v>84</v>
      </c>
      <c r="U1057" s="10"/>
      <c r="V1057" s="10"/>
      <c r="W1057" s="10"/>
      <c r="X1057" s="10"/>
      <c r="Y1057" s="10"/>
      <c r="Z1057" s="10"/>
      <c r="AA1057" s="10"/>
    </row>
    <row r="1058" spans="1:27" ht="12.5" x14ac:dyDescent="0.25">
      <c r="A1058" s="10" t="s">
        <v>91</v>
      </c>
      <c r="B1058" s="10" t="s">
        <v>987</v>
      </c>
      <c r="C1058" s="10" t="s">
        <v>76</v>
      </c>
      <c r="D1058" s="11">
        <v>2024</v>
      </c>
      <c r="E1058" s="10" t="s">
        <v>81</v>
      </c>
      <c r="F1058" s="10" t="s">
        <v>83</v>
      </c>
      <c r="G1058" s="10" t="s">
        <v>84</v>
      </c>
      <c r="H1058" s="11">
        <v>19453</v>
      </c>
      <c r="I1058" s="11">
        <v>499</v>
      </c>
      <c r="J1058" s="11">
        <v>458</v>
      </c>
      <c r="K1058" s="11">
        <v>960</v>
      </c>
      <c r="L1058" s="11">
        <v>2.56512407952399E-2</v>
      </c>
      <c r="M1058" s="11">
        <f t="shared" si="4"/>
        <v>2.5651570451858325</v>
      </c>
      <c r="N1058" s="11">
        <v>0.91783567134268496</v>
      </c>
      <c r="O1058" s="11">
        <v>4.9349080487836199E-2</v>
      </c>
      <c r="P1058" s="11">
        <v>0.29898648648648701</v>
      </c>
      <c r="Q1058" s="11">
        <v>0.46666666666666701</v>
      </c>
      <c r="R1058" s="11">
        <v>0.34883720930232598</v>
      </c>
      <c r="S1058" s="10" t="s">
        <v>84</v>
      </c>
      <c r="T1058" s="10" t="s">
        <v>84</v>
      </c>
      <c r="U1058" s="10"/>
      <c r="V1058" s="10"/>
      <c r="W1058" s="10"/>
      <c r="X1058" s="10"/>
      <c r="Y1058" s="10"/>
      <c r="Z1058" s="10"/>
      <c r="AA1058" s="10"/>
    </row>
    <row r="1059" spans="1:27" ht="12.5" x14ac:dyDescent="0.25">
      <c r="A1059" s="10" t="s">
        <v>109</v>
      </c>
      <c r="B1059" s="10" t="s">
        <v>1098</v>
      </c>
      <c r="C1059" s="10" t="s">
        <v>76</v>
      </c>
      <c r="D1059" s="11">
        <v>2024</v>
      </c>
      <c r="E1059" s="10" t="s">
        <v>124</v>
      </c>
      <c r="F1059" s="10" t="s">
        <v>83</v>
      </c>
      <c r="G1059" s="10" t="s">
        <v>84</v>
      </c>
      <c r="H1059" s="11">
        <v>10544</v>
      </c>
      <c r="I1059" s="11">
        <v>270</v>
      </c>
      <c r="J1059" s="11">
        <v>228</v>
      </c>
      <c r="K1059" s="11">
        <v>8714</v>
      </c>
      <c r="L1059" s="11">
        <v>2.56071826566662E-2</v>
      </c>
      <c r="M1059" s="11">
        <f t="shared" si="4"/>
        <v>2.5606980273141122</v>
      </c>
      <c r="N1059" s="11">
        <v>0.844444444444444</v>
      </c>
      <c r="O1059" s="11">
        <v>0.82644810988958906</v>
      </c>
      <c r="P1059" s="11">
        <v>0.298141891891892</v>
      </c>
      <c r="Q1059" s="11">
        <v>0.38888888888888901</v>
      </c>
      <c r="R1059" s="11">
        <v>0.230425055928412</v>
      </c>
      <c r="S1059" s="10" t="s">
        <v>84</v>
      </c>
      <c r="T1059" s="10" t="s">
        <v>84</v>
      </c>
      <c r="U1059" s="10"/>
      <c r="V1059" s="10"/>
      <c r="W1059" s="10"/>
      <c r="X1059" s="10"/>
      <c r="Y1059" s="10"/>
      <c r="Z1059" s="10"/>
      <c r="AA1059" s="10"/>
    </row>
    <row r="1060" spans="1:27" ht="12.5" x14ac:dyDescent="0.25">
      <c r="A1060" s="10" t="s">
        <v>45</v>
      </c>
      <c r="B1060" s="10" t="s">
        <v>1100</v>
      </c>
      <c r="C1060" s="10" t="s">
        <v>76</v>
      </c>
      <c r="D1060" s="11">
        <v>2024</v>
      </c>
      <c r="E1060" s="10" t="s">
        <v>124</v>
      </c>
      <c r="F1060" s="10" t="s">
        <v>83</v>
      </c>
      <c r="G1060" s="10" t="s">
        <v>84</v>
      </c>
      <c r="H1060" s="11">
        <v>14499</v>
      </c>
      <c r="I1060" s="11">
        <v>371</v>
      </c>
      <c r="J1060" s="11">
        <v>355</v>
      </c>
      <c r="K1060" s="11">
        <v>3654</v>
      </c>
      <c r="L1060" s="11">
        <v>2.55879715842472E-2</v>
      </c>
      <c r="M1060" s="11">
        <f t="shared" si="4"/>
        <v>2.5587971584247189</v>
      </c>
      <c r="N1060" s="11">
        <v>0.95687331536388098</v>
      </c>
      <c r="O1060" s="11">
        <v>0.25201738050900102</v>
      </c>
      <c r="P1060" s="11">
        <v>0.29729729729729698</v>
      </c>
      <c r="Q1060" s="11">
        <v>0.4</v>
      </c>
      <c r="R1060" s="11">
        <v>0.228187919463087</v>
      </c>
      <c r="S1060" s="10" t="s">
        <v>84</v>
      </c>
      <c r="T1060" s="10" t="s">
        <v>84</v>
      </c>
      <c r="U1060" s="10"/>
      <c r="V1060" s="10"/>
      <c r="W1060" s="10"/>
      <c r="X1060" s="10"/>
      <c r="Y1060" s="10"/>
      <c r="Z1060" s="10"/>
      <c r="AA1060" s="10"/>
    </row>
    <row r="1061" spans="1:27" ht="12.5" hidden="1" x14ac:dyDescent="0.25">
      <c r="A1061" s="10" t="s">
        <v>14</v>
      </c>
      <c r="B1061" s="10" t="s">
        <v>1614</v>
      </c>
      <c r="C1061" s="10" t="s">
        <v>191</v>
      </c>
      <c r="D1061" s="11">
        <v>2024</v>
      </c>
      <c r="E1061" s="10" t="s">
        <v>124</v>
      </c>
      <c r="F1061" s="10" t="s">
        <v>125</v>
      </c>
      <c r="G1061" s="10" t="s">
        <v>84</v>
      </c>
      <c r="H1061" s="12">
        <v>706.5</v>
      </c>
      <c r="I1061" s="11">
        <v>18</v>
      </c>
      <c r="J1061" s="11">
        <v>9</v>
      </c>
      <c r="K1061" s="11">
        <v>0</v>
      </c>
      <c r="L1061" s="11">
        <v>2.54777070063694E-2</v>
      </c>
      <c r="M1061" s="11">
        <f t="shared" si="4"/>
        <v>2.547770700636943</v>
      </c>
      <c r="N1061" s="11">
        <v>0.5</v>
      </c>
      <c r="O1061" s="11">
        <v>0</v>
      </c>
      <c r="P1061" s="11">
        <v>0.46200980392156898</v>
      </c>
      <c r="Q1061" s="11">
        <v>0.23404255319148901</v>
      </c>
      <c r="R1061" s="11">
        <v>0.39341085271317799</v>
      </c>
      <c r="S1061" s="10" t="s">
        <v>84</v>
      </c>
      <c r="T1061" s="10" t="s">
        <v>84</v>
      </c>
      <c r="U1061" s="10"/>
      <c r="V1061" s="10"/>
      <c r="W1061" s="10"/>
      <c r="X1061" s="10"/>
      <c r="Y1061" s="10"/>
      <c r="Z1061" s="10"/>
      <c r="AA1061" s="10"/>
    </row>
    <row r="1062" spans="1:27" ht="12.5" x14ac:dyDescent="0.25">
      <c r="A1062" s="10" t="s">
        <v>118</v>
      </c>
      <c r="B1062" s="10" t="s">
        <v>977</v>
      </c>
      <c r="C1062" s="10" t="s">
        <v>76</v>
      </c>
      <c r="D1062" s="11">
        <v>2024</v>
      </c>
      <c r="E1062" s="10" t="s">
        <v>81</v>
      </c>
      <c r="F1062" s="10" t="s">
        <v>83</v>
      </c>
      <c r="G1062" s="10" t="s">
        <v>84</v>
      </c>
      <c r="H1062" s="11">
        <v>24470</v>
      </c>
      <c r="I1062" s="11">
        <v>623</v>
      </c>
      <c r="J1062" s="11">
        <v>572</v>
      </c>
      <c r="K1062" s="11">
        <v>9884</v>
      </c>
      <c r="L1062" s="11">
        <v>2.5459833332765702E-2</v>
      </c>
      <c r="M1062" s="11">
        <f t="shared" si="4"/>
        <v>2.5459746628524722</v>
      </c>
      <c r="N1062" s="11">
        <v>0.91813804173354696</v>
      </c>
      <c r="O1062" s="11">
        <v>0.40392454680747403</v>
      </c>
      <c r="P1062" s="11">
        <v>0.29645270270270302</v>
      </c>
      <c r="Q1062" s="11">
        <v>0.35714285714285698</v>
      </c>
      <c r="R1062" s="11">
        <v>0.346899224806202</v>
      </c>
      <c r="S1062" s="10" t="s">
        <v>84</v>
      </c>
      <c r="T1062" s="10" t="s">
        <v>84</v>
      </c>
      <c r="U1062" s="10"/>
      <c r="V1062" s="10"/>
      <c r="W1062" s="10"/>
      <c r="X1062" s="10"/>
      <c r="Y1062" s="10"/>
      <c r="Z1062" s="10"/>
      <c r="AA1062" s="10"/>
    </row>
    <row r="1063" spans="1:27" ht="12.5" hidden="1" x14ac:dyDescent="0.25">
      <c r="A1063" s="10" t="s">
        <v>29</v>
      </c>
      <c r="B1063" s="10" t="s">
        <v>1615</v>
      </c>
      <c r="C1063" s="10" t="s">
        <v>191</v>
      </c>
      <c r="D1063" s="11">
        <v>2024</v>
      </c>
      <c r="E1063" s="10" t="s">
        <v>124</v>
      </c>
      <c r="F1063" s="10" t="s">
        <v>125</v>
      </c>
      <c r="G1063" s="10" t="s">
        <v>84</v>
      </c>
      <c r="H1063" s="12">
        <v>4799</v>
      </c>
      <c r="I1063" s="11">
        <v>122</v>
      </c>
      <c r="J1063" s="11">
        <v>48</v>
      </c>
      <c r="K1063" s="11">
        <v>145</v>
      </c>
      <c r="L1063" s="11">
        <v>2.5422404362095599E-2</v>
      </c>
      <c r="M1063" s="11">
        <f t="shared" si="4"/>
        <v>2.5421962908939366</v>
      </c>
      <c r="N1063" s="11">
        <v>0.39344262295082</v>
      </c>
      <c r="O1063" s="11">
        <v>3.0215152725441501E-2</v>
      </c>
      <c r="P1063" s="11">
        <v>0.46078431372549</v>
      </c>
      <c r="Q1063" s="11">
        <v>0.39436619718309901</v>
      </c>
      <c r="R1063" s="11">
        <v>0.39147286821705402</v>
      </c>
      <c r="S1063" s="10" t="s">
        <v>84</v>
      </c>
      <c r="T1063" s="10" t="s">
        <v>84</v>
      </c>
      <c r="U1063" s="10"/>
      <c r="V1063" s="10"/>
      <c r="W1063" s="10"/>
      <c r="X1063" s="10"/>
      <c r="Y1063" s="10"/>
      <c r="Z1063" s="10"/>
      <c r="AA1063" s="10"/>
    </row>
    <row r="1064" spans="1:27" ht="12.5" x14ac:dyDescent="0.25">
      <c r="A1064" s="10" t="s">
        <v>52</v>
      </c>
      <c r="B1064" s="10" t="s">
        <v>991</v>
      </c>
      <c r="C1064" s="10" t="s">
        <v>76</v>
      </c>
      <c r="D1064" s="11">
        <v>2024</v>
      </c>
      <c r="E1064" s="10" t="s">
        <v>81</v>
      </c>
      <c r="F1064" s="10" t="s">
        <v>83</v>
      </c>
      <c r="G1064" s="10" t="s">
        <v>84</v>
      </c>
      <c r="H1064" s="11">
        <v>31121</v>
      </c>
      <c r="I1064" s="11">
        <v>791</v>
      </c>
      <c r="J1064" s="11">
        <v>575</v>
      </c>
      <c r="K1064" s="11">
        <v>12472</v>
      </c>
      <c r="L1064" s="11">
        <v>2.5416648815389201E-2</v>
      </c>
      <c r="M1064" s="11">
        <f t="shared" si="4"/>
        <v>2.5416921050094792</v>
      </c>
      <c r="N1064" s="11">
        <v>0.72692793931732003</v>
      </c>
      <c r="O1064" s="11">
        <v>0.40075403795895598</v>
      </c>
      <c r="P1064" s="11">
        <v>0.295608108108108</v>
      </c>
      <c r="Q1064" s="11">
        <v>0.19148936170212799</v>
      </c>
      <c r="R1064" s="11">
        <v>0.34496124031007802</v>
      </c>
      <c r="S1064" s="10" t="s">
        <v>84</v>
      </c>
      <c r="T1064" s="10" t="s">
        <v>84</v>
      </c>
      <c r="U1064" s="10"/>
      <c r="V1064" s="10"/>
      <c r="W1064" s="10"/>
      <c r="X1064" s="10"/>
      <c r="Y1064" s="10"/>
      <c r="Z1064" s="10"/>
      <c r="AA1064" s="10"/>
    </row>
    <row r="1065" spans="1:27" ht="12.5" x14ac:dyDescent="0.25">
      <c r="A1065" s="10" t="s">
        <v>86</v>
      </c>
      <c r="B1065" s="10" t="s">
        <v>993</v>
      </c>
      <c r="C1065" s="10" t="s">
        <v>76</v>
      </c>
      <c r="D1065" s="11">
        <v>2024</v>
      </c>
      <c r="E1065" s="10" t="s">
        <v>81</v>
      </c>
      <c r="F1065" s="10" t="s">
        <v>83</v>
      </c>
      <c r="G1065" s="10" t="s">
        <v>84</v>
      </c>
      <c r="H1065" s="11">
        <v>43136</v>
      </c>
      <c r="I1065" s="11">
        <v>1096</v>
      </c>
      <c r="J1065" s="11">
        <v>930</v>
      </c>
      <c r="K1065" s="11">
        <v>42232</v>
      </c>
      <c r="L1065" s="11">
        <v>2.5407913699641099E-2</v>
      </c>
      <c r="M1065" s="11">
        <f t="shared" si="4"/>
        <v>2.5408011869436202</v>
      </c>
      <c r="N1065" s="11">
        <v>0.84854014598540195</v>
      </c>
      <c r="O1065" s="11">
        <v>0.97903924394456299</v>
      </c>
      <c r="P1065" s="11">
        <v>0.29476351351351299</v>
      </c>
      <c r="Q1065" s="11">
        <v>0.173913043478261</v>
      </c>
      <c r="R1065" s="11">
        <v>0.34302325581395299</v>
      </c>
      <c r="S1065" s="10" t="s">
        <v>84</v>
      </c>
      <c r="T1065" s="10" t="s">
        <v>84</v>
      </c>
      <c r="U1065" s="10"/>
      <c r="V1065" s="10"/>
      <c r="W1065" s="10"/>
      <c r="X1065" s="10"/>
      <c r="Y1065" s="10"/>
      <c r="Z1065" s="10"/>
      <c r="AA1065" s="10"/>
    </row>
    <row r="1066" spans="1:27" ht="12.5" x14ac:dyDescent="0.25">
      <c r="A1066" s="10" t="s">
        <v>49</v>
      </c>
      <c r="B1066" s="10" t="s">
        <v>995</v>
      </c>
      <c r="C1066" s="10" t="s">
        <v>76</v>
      </c>
      <c r="D1066" s="11">
        <v>2024</v>
      </c>
      <c r="E1066" s="10" t="s">
        <v>81</v>
      </c>
      <c r="F1066" s="10" t="s">
        <v>83</v>
      </c>
      <c r="G1066" s="10" t="s">
        <v>84</v>
      </c>
      <c r="H1066" s="11">
        <v>35981</v>
      </c>
      <c r="I1066" s="11">
        <v>907</v>
      </c>
      <c r="J1066" s="11">
        <v>756</v>
      </c>
      <c r="K1066" s="11">
        <v>6691</v>
      </c>
      <c r="L1066" s="11">
        <v>2.5207865298654399E-2</v>
      </c>
      <c r="M1066" s="11">
        <f t="shared" si="4"/>
        <v>2.5207748533948475</v>
      </c>
      <c r="N1066" s="11">
        <v>0.83351708930540203</v>
      </c>
      <c r="O1066" s="11">
        <v>0.18596011765523299</v>
      </c>
      <c r="P1066" s="11">
        <v>0.29391891891891903</v>
      </c>
      <c r="Q1066" s="11">
        <v>0.38461538461538503</v>
      </c>
      <c r="R1066" s="11">
        <v>0.34108527131782901</v>
      </c>
      <c r="S1066" s="10" t="s">
        <v>84</v>
      </c>
      <c r="T1066" s="10" t="s">
        <v>84</v>
      </c>
      <c r="U1066" s="10"/>
      <c r="V1066" s="10"/>
      <c r="W1066" s="10"/>
      <c r="X1066" s="10"/>
      <c r="Y1066" s="10"/>
      <c r="Z1066" s="10"/>
      <c r="AA1066" s="10"/>
    </row>
    <row r="1067" spans="1:27" ht="12.5" hidden="1" x14ac:dyDescent="0.25">
      <c r="A1067" s="10" t="s">
        <v>14</v>
      </c>
      <c r="B1067" s="10" t="s">
        <v>1616</v>
      </c>
      <c r="C1067" s="10" t="s">
        <v>191</v>
      </c>
      <c r="D1067" s="11">
        <v>2024</v>
      </c>
      <c r="E1067" s="10" t="s">
        <v>124</v>
      </c>
      <c r="F1067" s="10" t="s">
        <v>125</v>
      </c>
      <c r="G1067" s="10" t="s">
        <v>84</v>
      </c>
      <c r="H1067" s="12">
        <v>317.83333333333297</v>
      </c>
      <c r="I1067" s="11">
        <v>8</v>
      </c>
      <c r="J1067" s="11">
        <v>5</v>
      </c>
      <c r="K1067" s="11">
        <v>12</v>
      </c>
      <c r="L1067" s="11">
        <v>2.51704247509177E-2</v>
      </c>
      <c r="M1067" s="11">
        <f t="shared" si="4"/>
        <v>2.5170424750917699</v>
      </c>
      <c r="N1067" s="11">
        <v>0.625</v>
      </c>
      <c r="O1067" s="11">
        <v>3.7755637126376501E-2</v>
      </c>
      <c r="P1067" s="11">
        <v>0.45833333333333298</v>
      </c>
      <c r="Q1067" s="11">
        <v>0.21276595744680901</v>
      </c>
      <c r="R1067" s="11">
        <v>0.38953488372092998</v>
      </c>
      <c r="S1067" s="10" t="s">
        <v>84</v>
      </c>
      <c r="T1067" s="10" t="s">
        <v>84</v>
      </c>
      <c r="U1067" s="10"/>
      <c r="V1067" s="10"/>
      <c r="W1067" s="10"/>
      <c r="X1067" s="10"/>
      <c r="Y1067" s="10"/>
      <c r="Z1067" s="10"/>
      <c r="AA1067" s="10"/>
    </row>
    <row r="1068" spans="1:27" ht="12.5" x14ac:dyDescent="0.25">
      <c r="A1068" s="10" t="s">
        <v>29</v>
      </c>
      <c r="B1068" s="10" t="s">
        <v>946</v>
      </c>
      <c r="C1068" s="10" t="s">
        <v>76</v>
      </c>
      <c r="D1068" s="11">
        <v>2024</v>
      </c>
      <c r="E1068" s="10" t="s">
        <v>81</v>
      </c>
      <c r="F1068" s="10" t="s">
        <v>83</v>
      </c>
      <c r="G1068" s="10" t="s">
        <v>84</v>
      </c>
      <c r="H1068" s="11">
        <v>21144</v>
      </c>
      <c r="I1068" s="11">
        <v>529</v>
      </c>
      <c r="J1068" s="11">
        <v>274</v>
      </c>
      <c r="K1068" s="11">
        <v>12076</v>
      </c>
      <c r="L1068" s="11">
        <v>2.50190165019884E-2</v>
      </c>
      <c r="M1068" s="11">
        <f t="shared" si="4"/>
        <v>2.5018917896329929</v>
      </c>
      <c r="N1068" s="11">
        <v>0.51795841209829896</v>
      </c>
      <c r="O1068" s="11">
        <v>0.57113354116826398</v>
      </c>
      <c r="P1068" s="11">
        <v>0.29307432432432401</v>
      </c>
      <c r="Q1068" s="11">
        <v>0.183673469387755</v>
      </c>
      <c r="R1068" s="11">
        <v>0.33914728682170497</v>
      </c>
      <c r="S1068" s="10" t="s">
        <v>84</v>
      </c>
      <c r="T1068" s="10" t="s">
        <v>84</v>
      </c>
      <c r="U1068" s="10"/>
      <c r="V1068" s="10"/>
      <c r="W1068" s="10"/>
      <c r="X1068" s="10"/>
      <c r="Y1068" s="10"/>
      <c r="Z1068" s="10"/>
      <c r="AA1068" s="10"/>
    </row>
    <row r="1069" spans="1:27" ht="12.5" x14ac:dyDescent="0.25">
      <c r="A1069" s="10" t="s">
        <v>36</v>
      </c>
      <c r="B1069" s="10" t="s">
        <v>999</v>
      </c>
      <c r="C1069" s="10" t="s">
        <v>76</v>
      </c>
      <c r="D1069" s="11">
        <v>2024</v>
      </c>
      <c r="E1069" s="10" t="s">
        <v>81</v>
      </c>
      <c r="F1069" s="10" t="s">
        <v>83</v>
      </c>
      <c r="G1069" s="10" t="s">
        <v>84</v>
      </c>
      <c r="H1069" s="11">
        <v>55075</v>
      </c>
      <c r="I1069" s="11">
        <v>1375</v>
      </c>
      <c r="J1069" s="11">
        <v>334</v>
      </c>
      <c r="K1069" s="11">
        <v>46099</v>
      </c>
      <c r="L1069" s="11">
        <v>2.4965804413348999E-2</v>
      </c>
      <c r="M1069" s="11">
        <f t="shared" si="4"/>
        <v>2.4965955515206537</v>
      </c>
      <c r="N1069" s="11">
        <v>0.24290909090909099</v>
      </c>
      <c r="O1069" s="11">
        <v>0.83701717647343599</v>
      </c>
      <c r="P1069" s="11">
        <v>0.29138513513513498</v>
      </c>
      <c r="Q1069" s="11">
        <v>0.19148936170212799</v>
      </c>
      <c r="R1069" s="11">
        <v>0.337209302325581</v>
      </c>
      <c r="S1069" s="10" t="s">
        <v>84</v>
      </c>
      <c r="T1069" s="10" t="s">
        <v>84</v>
      </c>
      <c r="U1069" s="10"/>
      <c r="V1069" s="10"/>
      <c r="W1069" s="10"/>
      <c r="X1069" s="10"/>
      <c r="Y1069" s="10"/>
      <c r="Z1069" s="10"/>
      <c r="AA1069" s="10"/>
    </row>
    <row r="1070" spans="1:27" ht="12.5" hidden="1" x14ac:dyDescent="0.25">
      <c r="A1070" s="10" t="s">
        <v>29</v>
      </c>
      <c r="B1070" s="10" t="s">
        <v>1617</v>
      </c>
      <c r="C1070" s="10" t="s">
        <v>191</v>
      </c>
      <c r="D1070" s="11">
        <v>2024</v>
      </c>
      <c r="E1070" s="10" t="s">
        <v>257</v>
      </c>
      <c r="F1070" s="10" t="s">
        <v>125</v>
      </c>
      <c r="G1070" s="10" t="s">
        <v>84</v>
      </c>
      <c r="H1070" s="12">
        <v>15266</v>
      </c>
      <c r="I1070" s="11">
        <v>381</v>
      </c>
      <c r="J1070" s="11">
        <v>204</v>
      </c>
      <c r="K1070" s="11">
        <v>2177</v>
      </c>
      <c r="L1070" s="11">
        <v>2.4957830437417099E-2</v>
      </c>
      <c r="M1070" s="11">
        <f t="shared" si="4"/>
        <v>2.495742172147255</v>
      </c>
      <c r="N1070" s="11">
        <v>0.535433070866142</v>
      </c>
      <c r="O1070" s="11">
        <v>0.14260681591143601</v>
      </c>
      <c r="P1070" s="11">
        <v>0.45343137254902</v>
      </c>
      <c r="Q1070" s="11">
        <v>0.38028169014084501</v>
      </c>
      <c r="R1070" s="11">
        <v>0.194444444444444</v>
      </c>
      <c r="S1070" s="10" t="s">
        <v>84</v>
      </c>
      <c r="T1070" s="10" t="s">
        <v>84</v>
      </c>
      <c r="U1070" s="10"/>
      <c r="V1070" s="10"/>
      <c r="W1070" s="10"/>
      <c r="X1070" s="10"/>
      <c r="Y1070" s="10"/>
      <c r="Z1070" s="10"/>
      <c r="AA1070" s="10"/>
    </row>
    <row r="1071" spans="1:27" ht="12.5" x14ac:dyDescent="0.25">
      <c r="A1071" s="10" t="s">
        <v>12</v>
      </c>
      <c r="B1071" s="10" t="s">
        <v>1002</v>
      </c>
      <c r="C1071" s="10" t="s">
        <v>76</v>
      </c>
      <c r="D1071" s="11">
        <v>2024</v>
      </c>
      <c r="E1071" s="10" t="s">
        <v>81</v>
      </c>
      <c r="F1071" s="10" t="s">
        <v>83</v>
      </c>
      <c r="G1071" s="10" t="s">
        <v>84</v>
      </c>
      <c r="H1071" s="11">
        <v>18722</v>
      </c>
      <c r="I1071" s="11">
        <v>465</v>
      </c>
      <c r="J1071" s="11">
        <v>351</v>
      </c>
      <c r="K1071" s="11">
        <v>6648</v>
      </c>
      <c r="L1071" s="11">
        <v>2.4837311160765999E-2</v>
      </c>
      <c r="M1071" s="11">
        <f t="shared" si="4"/>
        <v>2.4837090054481359</v>
      </c>
      <c r="N1071" s="11">
        <v>0.75483870967741895</v>
      </c>
      <c r="O1071" s="11">
        <v>0.35509342924037002</v>
      </c>
      <c r="P1071" s="11">
        <v>0.289695945945946</v>
      </c>
      <c r="Q1071" s="11">
        <v>0.180555555555556</v>
      </c>
      <c r="R1071" s="11">
        <v>0.33527131782945702</v>
      </c>
      <c r="S1071" s="10" t="s">
        <v>84</v>
      </c>
      <c r="T1071" s="10" t="s">
        <v>84</v>
      </c>
      <c r="U1071" s="10"/>
      <c r="V1071" s="10"/>
      <c r="W1071" s="10"/>
      <c r="X1071" s="10"/>
      <c r="Y1071" s="10"/>
      <c r="Z1071" s="10"/>
      <c r="AA1071" s="10"/>
    </row>
    <row r="1072" spans="1:27" ht="12.5" x14ac:dyDescent="0.25">
      <c r="A1072" s="10" t="s">
        <v>29</v>
      </c>
      <c r="B1072" s="10" t="s">
        <v>1003</v>
      </c>
      <c r="C1072" s="10" t="s">
        <v>76</v>
      </c>
      <c r="D1072" s="11">
        <v>2024</v>
      </c>
      <c r="E1072" s="10" t="s">
        <v>81</v>
      </c>
      <c r="F1072" s="10" t="s">
        <v>83</v>
      </c>
      <c r="G1072" s="10" t="s">
        <v>84</v>
      </c>
      <c r="H1072" s="11">
        <v>2778</v>
      </c>
      <c r="I1072" s="11">
        <v>69</v>
      </c>
      <c r="J1072" s="11">
        <v>58</v>
      </c>
      <c r="K1072" s="11">
        <v>4467</v>
      </c>
      <c r="L1072" s="11">
        <v>2.48372679005309E-2</v>
      </c>
      <c r="M1072" s="11">
        <f t="shared" si="4"/>
        <v>2.4838012958963285</v>
      </c>
      <c r="N1072" s="11">
        <v>0.84057971014492705</v>
      </c>
      <c r="O1072" s="11">
        <v>1.6079431262561099</v>
      </c>
      <c r="P1072" s="11">
        <v>0.28885135135135098</v>
      </c>
      <c r="Q1072" s="11">
        <v>0.16326530612244899</v>
      </c>
      <c r="R1072" s="11">
        <v>0.33333333333333298</v>
      </c>
      <c r="S1072" s="10" t="s">
        <v>84</v>
      </c>
      <c r="T1072" s="10" t="s">
        <v>84</v>
      </c>
      <c r="U1072" s="10"/>
      <c r="V1072" s="10"/>
      <c r="W1072" s="10"/>
      <c r="X1072" s="10"/>
      <c r="Y1072" s="10"/>
      <c r="Z1072" s="10"/>
      <c r="AA1072" s="10"/>
    </row>
    <row r="1073" spans="1:27" ht="12.5" x14ac:dyDescent="0.25">
      <c r="A1073" s="10" t="s">
        <v>42</v>
      </c>
      <c r="B1073" s="10" t="s">
        <v>1005</v>
      </c>
      <c r="C1073" s="10" t="s">
        <v>76</v>
      </c>
      <c r="D1073" s="11">
        <v>2024</v>
      </c>
      <c r="E1073" s="10" t="s">
        <v>81</v>
      </c>
      <c r="F1073" s="10" t="s">
        <v>83</v>
      </c>
      <c r="G1073" s="10" t="s">
        <v>84</v>
      </c>
      <c r="H1073" s="11">
        <v>18792</v>
      </c>
      <c r="I1073" s="11">
        <v>466</v>
      </c>
      <c r="J1073" s="11">
        <v>355</v>
      </c>
      <c r="K1073" s="11">
        <v>1723</v>
      </c>
      <c r="L1073" s="11">
        <v>2.4797896258586399E-2</v>
      </c>
      <c r="M1073" s="11">
        <f t="shared" si="4"/>
        <v>2.4797786292039166</v>
      </c>
      <c r="N1073" s="11">
        <v>0.76180257510729599</v>
      </c>
      <c r="O1073" s="11">
        <v>9.1688358913185206E-2</v>
      </c>
      <c r="P1073" s="11">
        <v>0.28800675675675702</v>
      </c>
      <c r="Q1073" s="11">
        <v>0.238095238095238</v>
      </c>
      <c r="R1073" s="11">
        <v>0.331395348837209</v>
      </c>
      <c r="S1073" s="10" t="s">
        <v>84</v>
      </c>
      <c r="T1073" s="10" t="s">
        <v>84</v>
      </c>
      <c r="U1073" s="10"/>
      <c r="V1073" s="10"/>
      <c r="W1073" s="10"/>
      <c r="X1073" s="10"/>
      <c r="Y1073" s="10"/>
      <c r="Z1073" s="10"/>
      <c r="AA1073" s="10"/>
    </row>
    <row r="1074" spans="1:27" ht="12.5" hidden="1" x14ac:dyDescent="0.25">
      <c r="A1074" s="10" t="s">
        <v>55</v>
      </c>
      <c r="B1074" s="10" t="s">
        <v>1618</v>
      </c>
      <c r="C1074" s="10" t="s">
        <v>191</v>
      </c>
      <c r="D1074" s="11">
        <v>2024</v>
      </c>
      <c r="E1074" s="10" t="s">
        <v>124</v>
      </c>
      <c r="F1074" s="10" t="s">
        <v>125</v>
      </c>
      <c r="G1074" s="10" t="s">
        <v>84</v>
      </c>
      <c r="H1074" s="12">
        <v>1251</v>
      </c>
      <c r="I1074" s="11">
        <v>31</v>
      </c>
      <c r="J1074" s="11">
        <v>29</v>
      </c>
      <c r="K1074" s="11">
        <v>1130</v>
      </c>
      <c r="L1074" s="11">
        <v>2.47851289226464E-2</v>
      </c>
      <c r="M1074" s="11">
        <f t="shared" si="4"/>
        <v>2.478017585931255</v>
      </c>
      <c r="N1074" s="11">
        <v>0.93548387096774199</v>
      </c>
      <c r="O1074" s="11">
        <v>0.90345792524485302</v>
      </c>
      <c r="P1074" s="11">
        <v>0.45098039215686297</v>
      </c>
      <c r="Q1074" s="11">
        <v>0.407407407407407</v>
      </c>
      <c r="R1074" s="11">
        <v>0.387596899224806</v>
      </c>
      <c r="S1074" s="10" t="s">
        <v>84</v>
      </c>
      <c r="T1074" s="10" t="s">
        <v>84</v>
      </c>
      <c r="U1074" s="10"/>
      <c r="V1074" s="10"/>
      <c r="W1074" s="10"/>
      <c r="X1074" s="10"/>
      <c r="Y1074" s="10"/>
      <c r="Z1074" s="10"/>
      <c r="AA1074" s="10"/>
    </row>
    <row r="1075" spans="1:27" ht="12.5" hidden="1" x14ac:dyDescent="0.25">
      <c r="A1075" s="10" t="s">
        <v>29</v>
      </c>
      <c r="B1075" s="10" t="s">
        <v>1619</v>
      </c>
      <c r="C1075" s="10" t="s">
        <v>191</v>
      </c>
      <c r="D1075" s="11">
        <v>2024</v>
      </c>
      <c r="E1075" s="10" t="s">
        <v>257</v>
      </c>
      <c r="F1075" s="10" t="s">
        <v>125</v>
      </c>
      <c r="G1075" s="10" t="s">
        <v>84</v>
      </c>
      <c r="H1075" s="12">
        <v>10216</v>
      </c>
      <c r="I1075" s="11">
        <v>253</v>
      </c>
      <c r="J1075" s="11">
        <v>178</v>
      </c>
      <c r="K1075" s="11">
        <v>4004</v>
      </c>
      <c r="L1075" s="11">
        <v>2.4765478424015001E-2</v>
      </c>
      <c r="M1075" s="11">
        <f t="shared" si="4"/>
        <v>2.4765074393108848</v>
      </c>
      <c r="N1075" s="11">
        <v>0.70355731225296403</v>
      </c>
      <c r="O1075" s="11">
        <v>0.391940615058324</v>
      </c>
      <c r="P1075" s="11">
        <v>0.44975490196078399</v>
      </c>
      <c r="Q1075" s="11">
        <v>0.36619718309859201</v>
      </c>
      <c r="R1075" s="11">
        <v>0.16666666666666699</v>
      </c>
      <c r="S1075" s="10" t="s">
        <v>84</v>
      </c>
      <c r="T1075" s="10" t="s">
        <v>84</v>
      </c>
      <c r="U1075" s="10"/>
      <c r="V1075" s="10"/>
      <c r="W1075" s="10"/>
      <c r="X1075" s="10"/>
      <c r="Y1075" s="10"/>
      <c r="Z1075" s="10"/>
      <c r="AA1075" s="10"/>
    </row>
    <row r="1076" spans="1:27" ht="12.5" x14ac:dyDescent="0.25">
      <c r="A1076" s="10" t="s">
        <v>91</v>
      </c>
      <c r="B1076" s="10" t="s">
        <v>1007</v>
      </c>
      <c r="C1076" s="10" t="s">
        <v>76</v>
      </c>
      <c r="D1076" s="11">
        <v>2024</v>
      </c>
      <c r="E1076" s="10" t="s">
        <v>81</v>
      </c>
      <c r="F1076" s="10" t="s">
        <v>83</v>
      </c>
      <c r="G1076" s="10" t="s">
        <v>84</v>
      </c>
      <c r="H1076" s="11">
        <v>5721</v>
      </c>
      <c r="I1076" s="11">
        <v>141</v>
      </c>
      <c r="J1076" s="11">
        <v>141</v>
      </c>
      <c r="K1076" s="11">
        <v>582</v>
      </c>
      <c r="L1076" s="11">
        <v>2.4645322923646101E-2</v>
      </c>
      <c r="M1076" s="11">
        <f t="shared" si="4"/>
        <v>2.464604090194022</v>
      </c>
      <c r="N1076" s="11">
        <v>1</v>
      </c>
      <c r="O1076" s="11">
        <v>0.101727503131646</v>
      </c>
      <c r="P1076" s="11">
        <v>0.287162162162162</v>
      </c>
      <c r="Q1076" s="11">
        <v>0.4</v>
      </c>
      <c r="R1076" s="11">
        <v>0.32945736434108502</v>
      </c>
      <c r="S1076" s="10" t="s">
        <v>84</v>
      </c>
      <c r="T1076" s="10" t="s">
        <v>84</v>
      </c>
      <c r="U1076" s="10"/>
      <c r="V1076" s="10"/>
      <c r="W1076" s="10"/>
      <c r="X1076" s="10"/>
      <c r="Y1076" s="10"/>
      <c r="Z1076" s="10"/>
      <c r="AA1076" s="10"/>
    </row>
    <row r="1077" spans="1:27" ht="12.5" x14ac:dyDescent="0.25">
      <c r="A1077" s="10" t="s">
        <v>36</v>
      </c>
      <c r="B1077" s="10" t="s">
        <v>1009</v>
      </c>
      <c r="C1077" s="10" t="s">
        <v>76</v>
      </c>
      <c r="D1077" s="11">
        <v>2024</v>
      </c>
      <c r="E1077" s="10" t="s">
        <v>81</v>
      </c>
      <c r="F1077" s="10" t="s">
        <v>83</v>
      </c>
      <c r="G1077" s="10" t="s">
        <v>84</v>
      </c>
      <c r="H1077" s="11">
        <v>21965</v>
      </c>
      <c r="I1077" s="11">
        <v>539</v>
      </c>
      <c r="J1077" s="11">
        <v>148</v>
      </c>
      <c r="K1077" s="11">
        <v>42390</v>
      </c>
      <c r="L1077" s="11">
        <v>2.4538666990409099E-2</v>
      </c>
      <c r="M1077" s="11">
        <f t="shared" si="4"/>
        <v>2.4539039380833145</v>
      </c>
      <c r="N1077" s="11">
        <v>0.27458256029684602</v>
      </c>
      <c r="O1077" s="11">
        <v>1.92985917202865</v>
      </c>
      <c r="P1077" s="11">
        <v>0.28631756756756799</v>
      </c>
      <c r="Q1077" s="11">
        <v>0.170212765957447</v>
      </c>
      <c r="R1077" s="11">
        <v>0.32751937984496099</v>
      </c>
      <c r="S1077" s="10" t="s">
        <v>84</v>
      </c>
      <c r="T1077" s="10" t="s">
        <v>84</v>
      </c>
      <c r="U1077" s="10"/>
      <c r="V1077" s="10"/>
      <c r="W1077" s="10"/>
      <c r="X1077" s="10"/>
      <c r="Y1077" s="10"/>
      <c r="Z1077" s="10"/>
      <c r="AA1077" s="10"/>
    </row>
    <row r="1078" spans="1:27" ht="12.5" x14ac:dyDescent="0.25">
      <c r="A1078" s="10" t="s">
        <v>82</v>
      </c>
      <c r="B1078" s="10" t="s">
        <v>1103</v>
      </c>
      <c r="C1078" s="10" t="s">
        <v>76</v>
      </c>
      <c r="D1078" s="11">
        <v>2024</v>
      </c>
      <c r="E1078" s="10" t="s">
        <v>124</v>
      </c>
      <c r="F1078" s="10" t="s">
        <v>83</v>
      </c>
      <c r="G1078" s="10" t="s">
        <v>84</v>
      </c>
      <c r="H1078" s="11">
        <v>4772</v>
      </c>
      <c r="I1078" s="11">
        <v>116</v>
      </c>
      <c r="J1078" s="11">
        <v>95</v>
      </c>
      <c r="K1078" s="11">
        <v>9968</v>
      </c>
      <c r="L1078" s="11">
        <v>2.43067681776909E-2</v>
      </c>
      <c r="M1078" s="11">
        <f t="shared" si="4"/>
        <v>2.4308466051969826</v>
      </c>
      <c r="N1078" s="11">
        <v>0.818965517241379</v>
      </c>
      <c r="O1078" s="11">
        <v>2.0887057344415698</v>
      </c>
      <c r="P1078" s="11">
        <v>0.28462837837837801</v>
      </c>
      <c r="Q1078" s="11">
        <v>0.5</v>
      </c>
      <c r="R1078" s="11">
        <v>0.225950782997763</v>
      </c>
      <c r="S1078" s="10" t="s">
        <v>84</v>
      </c>
      <c r="T1078" s="10" t="s">
        <v>84</v>
      </c>
      <c r="U1078" s="10"/>
      <c r="V1078" s="10"/>
      <c r="W1078" s="10"/>
      <c r="X1078" s="10"/>
      <c r="Y1078" s="10"/>
      <c r="Z1078" s="10"/>
      <c r="AA1078" s="10"/>
    </row>
    <row r="1079" spans="1:27" ht="12.5" hidden="1" x14ac:dyDescent="0.25">
      <c r="A1079" s="10" t="s">
        <v>42</v>
      </c>
      <c r="B1079" s="10" t="s">
        <v>1620</v>
      </c>
      <c r="C1079" s="10" t="s">
        <v>191</v>
      </c>
      <c r="D1079" s="11">
        <v>2024</v>
      </c>
      <c r="E1079" s="10" t="s">
        <v>124</v>
      </c>
      <c r="F1079" s="10" t="s">
        <v>125</v>
      </c>
      <c r="G1079" s="10" t="s">
        <v>84</v>
      </c>
      <c r="H1079" s="12">
        <v>3708</v>
      </c>
      <c r="I1079" s="11">
        <v>90</v>
      </c>
      <c r="J1079" s="11">
        <v>42</v>
      </c>
      <c r="K1079" s="11">
        <v>165</v>
      </c>
      <c r="L1079" s="11">
        <v>2.4271844660194199E-2</v>
      </c>
      <c r="M1079" s="11">
        <f t="shared" si="4"/>
        <v>2.4271844660194173</v>
      </c>
      <c r="N1079" s="11">
        <v>0.46666666666666701</v>
      </c>
      <c r="O1079" s="11">
        <v>4.4498381877022701E-2</v>
      </c>
      <c r="P1079" s="11">
        <v>0.44730392156862703</v>
      </c>
      <c r="Q1079" s="11">
        <v>0.52380952380952395</v>
      </c>
      <c r="R1079" s="11">
        <v>0.38565891472868202</v>
      </c>
      <c r="S1079" s="10" t="s">
        <v>84</v>
      </c>
      <c r="T1079" s="10" t="s">
        <v>84</v>
      </c>
      <c r="U1079" s="10"/>
      <c r="V1079" s="10"/>
      <c r="W1079" s="10"/>
      <c r="X1079" s="10"/>
      <c r="Y1079" s="10"/>
      <c r="Z1079" s="10"/>
      <c r="AA1079" s="10"/>
    </row>
    <row r="1080" spans="1:27" ht="12.5" hidden="1" x14ac:dyDescent="0.25">
      <c r="A1080" s="10" t="s">
        <v>55</v>
      </c>
      <c r="B1080" s="10" t="s">
        <v>1621</v>
      </c>
      <c r="C1080" s="10" t="s">
        <v>191</v>
      </c>
      <c r="D1080" s="11">
        <v>2024</v>
      </c>
      <c r="E1080" s="10" t="s">
        <v>124</v>
      </c>
      <c r="F1080" s="10" t="s">
        <v>125</v>
      </c>
      <c r="G1080" s="10" t="s">
        <v>84</v>
      </c>
      <c r="H1080" s="12">
        <v>82.416666666666998</v>
      </c>
      <c r="I1080" s="11">
        <v>2</v>
      </c>
      <c r="J1080" s="11">
        <v>0</v>
      </c>
      <c r="K1080" s="11">
        <v>119</v>
      </c>
      <c r="L1080" s="11">
        <v>2.4266936299292202E-2</v>
      </c>
      <c r="M1080" s="11">
        <f t="shared" si="4"/>
        <v>2.4266936299292117</v>
      </c>
      <c r="N1080" s="11">
        <v>0</v>
      </c>
      <c r="O1080" s="11">
        <v>1.4438827098078899</v>
      </c>
      <c r="P1080" s="11">
        <v>0.44607843137254899</v>
      </c>
      <c r="Q1080" s="11">
        <v>0.37037037037037002</v>
      </c>
      <c r="R1080" s="11">
        <v>0.38372093023255799</v>
      </c>
      <c r="S1080" s="10" t="s">
        <v>84</v>
      </c>
      <c r="T1080" s="10" t="s">
        <v>84</v>
      </c>
      <c r="U1080" s="10"/>
      <c r="V1080" s="10"/>
      <c r="W1080" s="10"/>
      <c r="X1080" s="10"/>
      <c r="Y1080" s="10"/>
      <c r="Z1080" s="10"/>
      <c r="AA1080" s="10"/>
    </row>
    <row r="1081" spans="1:27" ht="12.5" hidden="1" x14ac:dyDescent="0.25">
      <c r="A1081" s="10" t="s">
        <v>13</v>
      </c>
      <c r="B1081" s="10" t="s">
        <v>1622</v>
      </c>
      <c r="C1081" s="10" t="s">
        <v>191</v>
      </c>
      <c r="D1081" s="11">
        <v>2024</v>
      </c>
      <c r="E1081" s="10" t="s">
        <v>124</v>
      </c>
      <c r="F1081" s="10" t="s">
        <v>125</v>
      </c>
      <c r="G1081" s="10" t="s">
        <v>84</v>
      </c>
      <c r="H1081" s="12">
        <v>3898</v>
      </c>
      <c r="I1081" s="11">
        <v>94</v>
      </c>
      <c r="J1081" s="11">
        <v>73</v>
      </c>
      <c r="K1081" s="11">
        <v>519</v>
      </c>
      <c r="L1081" s="11">
        <v>2.4115961859152501E-2</v>
      </c>
      <c r="M1081" s="11">
        <f t="shared" si="4"/>
        <v>2.4114930733709596</v>
      </c>
      <c r="N1081" s="11">
        <v>0.77659574468085102</v>
      </c>
      <c r="O1081" s="11">
        <v>0.13315089579681</v>
      </c>
      <c r="P1081" s="11">
        <v>0.44485294117647101</v>
      </c>
      <c r="Q1081" s="11">
        <v>0.17241379310344801</v>
      </c>
      <c r="R1081" s="11">
        <v>0.38178294573643401</v>
      </c>
      <c r="S1081" s="10" t="s">
        <v>84</v>
      </c>
      <c r="T1081" s="10" t="s">
        <v>84</v>
      </c>
      <c r="U1081" s="10"/>
      <c r="V1081" s="10"/>
      <c r="W1081" s="10"/>
      <c r="X1081" s="10"/>
      <c r="Y1081" s="10"/>
      <c r="Z1081" s="10"/>
      <c r="AA1081" s="10"/>
    </row>
    <row r="1082" spans="1:27" ht="12.5" x14ac:dyDescent="0.25">
      <c r="A1082" s="10" t="s">
        <v>40</v>
      </c>
      <c r="B1082" s="10" t="s">
        <v>1105</v>
      </c>
      <c r="C1082" s="10" t="s">
        <v>76</v>
      </c>
      <c r="D1082" s="11">
        <v>2024</v>
      </c>
      <c r="E1082" s="10" t="s">
        <v>124</v>
      </c>
      <c r="F1082" s="10" t="s">
        <v>83</v>
      </c>
      <c r="G1082" s="10" t="s">
        <v>84</v>
      </c>
      <c r="H1082" s="11">
        <v>13440</v>
      </c>
      <c r="I1082" s="11">
        <v>324</v>
      </c>
      <c r="J1082" s="11">
        <v>314</v>
      </c>
      <c r="K1082" s="11">
        <v>9999</v>
      </c>
      <c r="L1082" s="11">
        <v>2.4107890249573698E-2</v>
      </c>
      <c r="M1082" s="11">
        <f t="shared" si="4"/>
        <v>2.410714285714286</v>
      </c>
      <c r="N1082" s="11">
        <v>0.969135802469136</v>
      </c>
      <c r="O1082" s="11">
        <v>0.74399627964656601</v>
      </c>
      <c r="P1082" s="11">
        <v>0.28378378378378399</v>
      </c>
      <c r="Q1082" s="11">
        <v>0.25</v>
      </c>
      <c r="R1082" s="11">
        <v>0.223713646532438</v>
      </c>
      <c r="S1082" s="10" t="s">
        <v>84</v>
      </c>
      <c r="T1082" s="10" t="s">
        <v>84</v>
      </c>
      <c r="U1082" s="10"/>
      <c r="V1082" s="10"/>
      <c r="W1082" s="10"/>
      <c r="X1082" s="10"/>
      <c r="Y1082" s="10"/>
      <c r="Z1082" s="10"/>
      <c r="AA1082" s="10"/>
    </row>
    <row r="1083" spans="1:27" ht="12.5" hidden="1" x14ac:dyDescent="0.25">
      <c r="A1083" s="10" t="s">
        <v>12</v>
      </c>
      <c r="B1083" s="10" t="s">
        <v>1623</v>
      </c>
      <c r="C1083" s="10" t="s">
        <v>191</v>
      </c>
      <c r="D1083" s="11">
        <v>2024</v>
      </c>
      <c r="E1083" s="10" t="s">
        <v>124</v>
      </c>
      <c r="F1083" s="10" t="s">
        <v>125</v>
      </c>
      <c r="G1083" s="10" t="s">
        <v>84</v>
      </c>
      <c r="H1083" s="12">
        <v>705.25</v>
      </c>
      <c r="I1083" s="11">
        <v>17</v>
      </c>
      <c r="J1083" s="11">
        <v>9</v>
      </c>
      <c r="K1083" s="11">
        <v>673</v>
      </c>
      <c r="L1083" s="11">
        <v>2.41049273307338E-2</v>
      </c>
      <c r="M1083" s="11">
        <f t="shared" si="4"/>
        <v>2.4104927330733781</v>
      </c>
      <c r="N1083" s="11">
        <v>0.52941176470588203</v>
      </c>
      <c r="O1083" s="11">
        <v>0.95427153491669603</v>
      </c>
      <c r="P1083" s="11">
        <v>0.44362745098039202</v>
      </c>
      <c r="Q1083" s="11">
        <v>0.34920634920634902</v>
      </c>
      <c r="R1083" s="11">
        <v>0.37984496124030998</v>
      </c>
      <c r="S1083" s="10" t="s">
        <v>84</v>
      </c>
      <c r="T1083" s="10" t="s">
        <v>84</v>
      </c>
      <c r="U1083" s="10"/>
      <c r="V1083" s="10"/>
      <c r="W1083" s="10"/>
      <c r="X1083" s="10"/>
      <c r="Y1083" s="10"/>
      <c r="Z1083" s="10"/>
      <c r="AA1083" s="10"/>
    </row>
    <row r="1084" spans="1:27" ht="12.5" x14ac:dyDescent="0.25">
      <c r="A1084" s="10" t="s">
        <v>86</v>
      </c>
      <c r="B1084" s="10" t="s">
        <v>1107</v>
      </c>
      <c r="C1084" s="10" t="s">
        <v>76</v>
      </c>
      <c r="D1084" s="11">
        <v>2024</v>
      </c>
      <c r="E1084" s="10" t="s">
        <v>124</v>
      </c>
      <c r="F1084" s="10" t="s">
        <v>83</v>
      </c>
      <c r="G1084" s="10" t="s">
        <v>84</v>
      </c>
      <c r="H1084" s="11">
        <v>5565</v>
      </c>
      <c r="I1084" s="11">
        <v>134</v>
      </c>
      <c r="J1084" s="11">
        <v>16</v>
      </c>
      <c r="K1084" s="11">
        <v>13960</v>
      </c>
      <c r="L1084" s="11">
        <v>2.4078344464077101E-2</v>
      </c>
      <c r="M1084" s="11">
        <f t="shared" si="4"/>
        <v>2.4079065588499553</v>
      </c>
      <c r="N1084" s="11">
        <v>0.119402985074627</v>
      </c>
      <c r="O1084" s="11">
        <v>2.5084603635710199</v>
      </c>
      <c r="P1084" s="11">
        <v>0.28293918918918898</v>
      </c>
      <c r="Q1084" s="11">
        <v>0.15217391304347799</v>
      </c>
      <c r="R1084" s="11">
        <v>0.221476510067114</v>
      </c>
      <c r="S1084" s="10" t="s">
        <v>84</v>
      </c>
      <c r="T1084" s="10" t="s">
        <v>84</v>
      </c>
      <c r="U1084" s="10"/>
      <c r="V1084" s="10"/>
      <c r="W1084" s="10"/>
      <c r="X1084" s="10"/>
      <c r="Y1084" s="10"/>
      <c r="Z1084" s="10"/>
      <c r="AA1084" s="10"/>
    </row>
    <row r="1085" spans="1:27" ht="12.5" hidden="1" x14ac:dyDescent="0.25">
      <c r="A1085" s="10" t="s">
        <v>86</v>
      </c>
      <c r="B1085" s="10" t="s">
        <v>1624</v>
      </c>
      <c r="C1085" s="10" t="s">
        <v>191</v>
      </c>
      <c r="D1085" s="11">
        <v>2024</v>
      </c>
      <c r="E1085" s="10" t="s">
        <v>124</v>
      </c>
      <c r="F1085" s="10" t="s">
        <v>125</v>
      </c>
      <c r="G1085" s="10" t="s">
        <v>84</v>
      </c>
      <c r="H1085" s="12">
        <v>3952</v>
      </c>
      <c r="I1085" s="11">
        <v>95</v>
      </c>
      <c r="J1085" s="11">
        <v>89</v>
      </c>
      <c r="K1085" s="11">
        <v>8867</v>
      </c>
      <c r="L1085" s="11">
        <v>2.40409962251418E-2</v>
      </c>
      <c r="M1085" s="11">
        <f t="shared" si="4"/>
        <v>2.4038461538461542</v>
      </c>
      <c r="N1085" s="11">
        <v>0.93684210526315803</v>
      </c>
      <c r="O1085" s="11">
        <v>2.2439106687192898</v>
      </c>
      <c r="P1085" s="11">
        <v>0.44240196078431399</v>
      </c>
      <c r="Q1085" s="11">
        <v>0.625</v>
      </c>
      <c r="R1085" s="11">
        <v>0.377906976744186</v>
      </c>
      <c r="S1085" s="10" t="s">
        <v>84</v>
      </c>
      <c r="T1085" s="10" t="s">
        <v>84</v>
      </c>
      <c r="U1085" s="10"/>
      <c r="V1085" s="10"/>
      <c r="W1085" s="10"/>
      <c r="X1085" s="10"/>
      <c r="Y1085" s="10"/>
      <c r="Z1085" s="10"/>
      <c r="AA1085" s="10"/>
    </row>
    <row r="1086" spans="1:27" ht="12.5" x14ac:dyDescent="0.25">
      <c r="A1086" s="10" t="s">
        <v>104</v>
      </c>
      <c r="B1086" s="10" t="s">
        <v>1011</v>
      </c>
      <c r="C1086" s="10" t="s">
        <v>76</v>
      </c>
      <c r="D1086" s="11">
        <v>2024</v>
      </c>
      <c r="E1086" s="10" t="s">
        <v>81</v>
      </c>
      <c r="F1086" s="10" t="s">
        <v>83</v>
      </c>
      <c r="G1086" s="10" t="s">
        <v>84</v>
      </c>
      <c r="H1086" s="11">
        <v>39777</v>
      </c>
      <c r="I1086" s="11">
        <v>950</v>
      </c>
      <c r="J1086" s="11">
        <v>780</v>
      </c>
      <c r="K1086" s="11">
        <v>7160</v>
      </c>
      <c r="L1086" s="11">
        <v>2.38832486246182E-2</v>
      </c>
      <c r="M1086" s="11">
        <f t="shared" si="4"/>
        <v>2.3883148553184004</v>
      </c>
      <c r="N1086" s="11">
        <v>0.82105263157894703</v>
      </c>
      <c r="O1086" s="11">
        <v>0.180004273844491</v>
      </c>
      <c r="P1086" s="11">
        <v>0.28125</v>
      </c>
      <c r="Q1086" s="11">
        <v>0.20689655172413801</v>
      </c>
      <c r="R1086" s="11">
        <v>0.32558139534883701</v>
      </c>
      <c r="S1086" s="10" t="s">
        <v>84</v>
      </c>
      <c r="T1086" s="10" t="s">
        <v>84</v>
      </c>
      <c r="U1086" s="10"/>
      <c r="V1086" s="10"/>
      <c r="W1086" s="10"/>
      <c r="X1086" s="10"/>
      <c r="Y1086" s="10"/>
      <c r="Z1086" s="10"/>
      <c r="AA1086" s="10"/>
    </row>
    <row r="1087" spans="1:27" ht="12.5" x14ac:dyDescent="0.25">
      <c r="A1087" s="10" t="s">
        <v>42</v>
      </c>
      <c r="B1087" s="10" t="s">
        <v>1013</v>
      </c>
      <c r="C1087" s="10" t="s">
        <v>76</v>
      </c>
      <c r="D1087" s="11">
        <v>2024</v>
      </c>
      <c r="E1087" s="10" t="s">
        <v>81</v>
      </c>
      <c r="F1087" s="10" t="s">
        <v>83</v>
      </c>
      <c r="G1087" s="10" t="s">
        <v>84</v>
      </c>
      <c r="H1087" s="11">
        <v>11427</v>
      </c>
      <c r="I1087" s="11">
        <v>272</v>
      </c>
      <c r="J1087" s="11">
        <v>225</v>
      </c>
      <c r="K1087" s="11">
        <v>3822</v>
      </c>
      <c r="L1087" s="11">
        <v>2.3802578612682999E-2</v>
      </c>
      <c r="M1087" s="11">
        <f t="shared" si="4"/>
        <v>2.3803272950030632</v>
      </c>
      <c r="N1087" s="11">
        <v>0.82720588235294101</v>
      </c>
      <c r="O1087" s="11">
        <v>0.334461233300274</v>
      </c>
      <c r="P1087" s="11">
        <v>0.28040540540540498</v>
      </c>
      <c r="Q1087" s="11">
        <v>0.214285714285714</v>
      </c>
      <c r="R1087" s="11">
        <v>0.32364341085271298</v>
      </c>
      <c r="S1087" s="10" t="s">
        <v>84</v>
      </c>
      <c r="T1087" s="10" t="s">
        <v>84</v>
      </c>
      <c r="U1087" s="10"/>
      <c r="V1087" s="10"/>
      <c r="W1087" s="10"/>
      <c r="X1087" s="10"/>
      <c r="Y1087" s="10"/>
      <c r="Z1087" s="10"/>
      <c r="AA1087" s="10"/>
    </row>
    <row r="1088" spans="1:27" ht="12.5" hidden="1" x14ac:dyDescent="0.25">
      <c r="A1088" s="10" t="s">
        <v>62</v>
      </c>
      <c r="B1088" s="10" t="s">
        <v>952</v>
      </c>
      <c r="C1088" s="10" t="s">
        <v>191</v>
      </c>
      <c r="D1088" s="11">
        <v>2024</v>
      </c>
      <c r="E1088" s="10" t="s">
        <v>81</v>
      </c>
      <c r="F1088" s="10" t="s">
        <v>83</v>
      </c>
      <c r="G1088" s="10" t="s">
        <v>84</v>
      </c>
      <c r="H1088" s="12">
        <v>971.16666666666697</v>
      </c>
      <c r="I1088" s="11">
        <v>23</v>
      </c>
      <c r="J1088" s="11">
        <v>13</v>
      </c>
      <c r="K1088" s="11">
        <v>270</v>
      </c>
      <c r="L1088" s="11">
        <v>2.36828556718723E-2</v>
      </c>
      <c r="M1088" s="11">
        <f t="shared" si="4"/>
        <v>2.3682855671872312</v>
      </c>
      <c r="N1088" s="11">
        <v>0.565217391304348</v>
      </c>
      <c r="O1088" s="11">
        <v>0.27801613180023999</v>
      </c>
      <c r="P1088" s="11">
        <v>0.441176470588235</v>
      </c>
      <c r="Q1088" s="11">
        <v>0.68</v>
      </c>
      <c r="R1088" s="11">
        <v>0.66666666666666696</v>
      </c>
      <c r="S1088" s="10" t="s">
        <v>84</v>
      </c>
      <c r="T1088" s="10" t="s">
        <v>84</v>
      </c>
      <c r="U1088" s="10"/>
      <c r="V1088" s="10"/>
      <c r="W1088" s="10"/>
      <c r="X1088" s="10"/>
      <c r="Y1088" s="10"/>
      <c r="Z1088" s="10"/>
      <c r="AA1088" s="10"/>
    </row>
    <row r="1089" spans="1:27" ht="12.5" x14ac:dyDescent="0.25">
      <c r="A1089" s="10" t="s">
        <v>53</v>
      </c>
      <c r="B1089" s="10" t="s">
        <v>1109</v>
      </c>
      <c r="C1089" s="10" t="s">
        <v>76</v>
      </c>
      <c r="D1089" s="11">
        <v>2024</v>
      </c>
      <c r="E1089" s="10" t="s">
        <v>124</v>
      </c>
      <c r="F1089" s="10" t="s">
        <v>125</v>
      </c>
      <c r="G1089" s="10" t="s">
        <v>84</v>
      </c>
      <c r="H1089" s="11">
        <v>380</v>
      </c>
      <c r="I1089" s="11">
        <v>9</v>
      </c>
      <c r="J1089" s="11">
        <v>6</v>
      </c>
      <c r="K1089" s="11">
        <v>754</v>
      </c>
      <c r="L1089" s="11">
        <v>2.3658269441402001E-2</v>
      </c>
      <c r="M1089" s="11">
        <f t="shared" si="4"/>
        <v>2.3684210526315792</v>
      </c>
      <c r="N1089" s="11">
        <v>0.66666666666666696</v>
      </c>
      <c r="O1089" s="11">
        <v>1.9820372398685699</v>
      </c>
      <c r="P1089" s="11">
        <v>0.27956081081081102</v>
      </c>
      <c r="Q1089" s="11">
        <v>0.82499999999999996</v>
      </c>
      <c r="R1089" s="11">
        <v>0.21923937360178999</v>
      </c>
      <c r="S1089" s="10" t="s">
        <v>84</v>
      </c>
      <c r="T1089" s="10" t="s">
        <v>84</v>
      </c>
      <c r="U1089" s="10"/>
      <c r="V1089" s="10"/>
      <c r="W1089" s="10"/>
      <c r="X1089" s="10"/>
      <c r="Y1089" s="10"/>
      <c r="Z1089" s="10"/>
      <c r="AA1089" s="10"/>
    </row>
    <row r="1090" spans="1:27" ht="12.5" x14ac:dyDescent="0.25">
      <c r="A1090" s="10" t="s">
        <v>6</v>
      </c>
      <c r="B1090" s="10" t="s">
        <v>1578</v>
      </c>
      <c r="C1090" s="10" t="s">
        <v>76</v>
      </c>
      <c r="D1090" s="11">
        <v>2024</v>
      </c>
      <c r="E1090" s="10" t="s">
        <v>257</v>
      </c>
      <c r="F1090" s="10" t="s">
        <v>83</v>
      </c>
      <c r="G1090" s="10" t="s">
        <v>84</v>
      </c>
      <c r="H1090" s="11">
        <v>361412</v>
      </c>
      <c r="I1090" s="11">
        <v>8540</v>
      </c>
      <c r="J1090" s="11">
        <v>6378</v>
      </c>
      <c r="K1090" s="11">
        <v>231533</v>
      </c>
      <c r="L1090" s="11">
        <v>2.3629520114144799E-2</v>
      </c>
      <c r="M1090" s="11">
        <f t="shared" si="4"/>
        <v>2.362954190785032</v>
      </c>
      <c r="N1090" s="11">
        <v>0.74683840749414498</v>
      </c>
      <c r="O1090" s="11">
        <v>0.64063392044359302</v>
      </c>
      <c r="P1090" s="11">
        <v>0.27871621621621601</v>
      </c>
      <c r="Q1090" s="11">
        <v>0.51612903225806495</v>
      </c>
      <c r="R1090" s="11">
        <v>0.43181818181818199</v>
      </c>
      <c r="S1090" s="10" t="s">
        <v>84</v>
      </c>
      <c r="T1090" s="10" t="s">
        <v>84</v>
      </c>
      <c r="U1090" s="10"/>
      <c r="V1090" s="10"/>
      <c r="W1090" s="10"/>
      <c r="X1090" s="10"/>
      <c r="Y1090" s="10"/>
      <c r="Z1090" s="10"/>
      <c r="AA1090" s="10"/>
    </row>
    <row r="1091" spans="1:27" ht="12.5" hidden="1" x14ac:dyDescent="0.25">
      <c r="A1091" s="10" t="s">
        <v>16</v>
      </c>
      <c r="B1091" s="10" t="s">
        <v>1625</v>
      </c>
      <c r="C1091" s="10" t="s">
        <v>191</v>
      </c>
      <c r="D1091" s="11">
        <v>2024</v>
      </c>
      <c r="E1091" s="10" t="s">
        <v>124</v>
      </c>
      <c r="F1091" s="10" t="s">
        <v>125</v>
      </c>
      <c r="G1091" s="10" t="s">
        <v>84</v>
      </c>
      <c r="H1091" s="12">
        <v>3953</v>
      </c>
      <c r="I1091" s="11">
        <v>93</v>
      </c>
      <c r="J1091" s="11">
        <v>71</v>
      </c>
      <c r="K1091" s="11">
        <v>10878</v>
      </c>
      <c r="L1091" s="11">
        <v>2.3525939667348301E-2</v>
      </c>
      <c r="M1091" s="11">
        <f t="shared" si="4"/>
        <v>2.3526435618517585</v>
      </c>
      <c r="N1091" s="11">
        <v>0.76344086021505397</v>
      </c>
      <c r="O1091" s="11">
        <v>2.7517760398001601</v>
      </c>
      <c r="P1091" s="11">
        <v>0.43995098039215702</v>
      </c>
      <c r="Q1091" s="11">
        <v>0.33333333333333298</v>
      </c>
      <c r="R1091" s="11">
        <v>0.37596899224806202</v>
      </c>
      <c r="S1091" s="10" t="s">
        <v>84</v>
      </c>
      <c r="T1091" s="10" t="s">
        <v>84</v>
      </c>
      <c r="U1091" s="10"/>
      <c r="V1091" s="10"/>
      <c r="W1091" s="10"/>
      <c r="X1091" s="10"/>
      <c r="Y1091" s="10"/>
      <c r="Z1091" s="10"/>
      <c r="AA1091" s="10"/>
    </row>
    <row r="1092" spans="1:27" ht="12.5" hidden="1" x14ac:dyDescent="0.25">
      <c r="A1092" s="10" t="s">
        <v>29</v>
      </c>
      <c r="B1092" s="10" t="s">
        <v>1626</v>
      </c>
      <c r="C1092" s="10" t="s">
        <v>191</v>
      </c>
      <c r="D1092" s="11">
        <v>2024</v>
      </c>
      <c r="E1092" s="10" t="s">
        <v>257</v>
      </c>
      <c r="F1092" s="10" t="s">
        <v>125</v>
      </c>
      <c r="G1092" s="10" t="s">
        <v>84</v>
      </c>
      <c r="H1092" s="12">
        <v>14830</v>
      </c>
      <c r="I1092" s="11">
        <v>348</v>
      </c>
      <c r="J1092" s="11">
        <v>151</v>
      </c>
      <c r="K1092" s="11">
        <v>7136</v>
      </c>
      <c r="L1092" s="11">
        <v>2.3466474858953899E-2</v>
      </c>
      <c r="M1092" s="11">
        <f t="shared" si="4"/>
        <v>2.3465947403910992</v>
      </c>
      <c r="N1092" s="11">
        <v>0.43390804597701099</v>
      </c>
      <c r="O1092" s="11">
        <v>0.48119759940659501</v>
      </c>
      <c r="P1092" s="11">
        <v>0.43872549019607798</v>
      </c>
      <c r="Q1092" s="11">
        <v>0.352112676056338</v>
      </c>
      <c r="R1092" s="11">
        <v>0.13888888888888901</v>
      </c>
      <c r="S1092" s="10" t="s">
        <v>84</v>
      </c>
      <c r="T1092" s="10" t="s">
        <v>84</v>
      </c>
      <c r="U1092" s="10"/>
      <c r="V1092" s="10"/>
      <c r="W1092" s="10"/>
      <c r="X1092" s="10"/>
      <c r="Y1092" s="10"/>
      <c r="Z1092" s="10"/>
      <c r="AA1092" s="10"/>
    </row>
    <row r="1093" spans="1:27" ht="12.5" hidden="1" x14ac:dyDescent="0.25">
      <c r="A1093" s="10" t="s">
        <v>12</v>
      </c>
      <c r="B1093" s="10" t="s">
        <v>1627</v>
      </c>
      <c r="C1093" s="10" t="s">
        <v>191</v>
      </c>
      <c r="D1093" s="11">
        <v>2024</v>
      </c>
      <c r="E1093" s="10" t="s">
        <v>124</v>
      </c>
      <c r="F1093" s="10" t="s">
        <v>125</v>
      </c>
      <c r="G1093" s="10" t="s">
        <v>84</v>
      </c>
      <c r="H1093" s="12">
        <v>1537</v>
      </c>
      <c r="I1093" s="11">
        <v>36</v>
      </c>
      <c r="J1093" s="11">
        <v>17</v>
      </c>
      <c r="K1093" s="11">
        <v>38</v>
      </c>
      <c r="L1093" s="11">
        <v>2.34235211191238E-2</v>
      </c>
      <c r="M1093" s="11">
        <f t="shared" si="4"/>
        <v>2.3422251138581651</v>
      </c>
      <c r="N1093" s="11">
        <v>0.47222222222222199</v>
      </c>
      <c r="O1093" s="11">
        <v>2.4724827847963999E-2</v>
      </c>
      <c r="P1093" s="11">
        <v>0.4375</v>
      </c>
      <c r="Q1093" s="11">
        <v>0.33333333333333298</v>
      </c>
      <c r="R1093" s="11">
        <v>0.37403100775193798</v>
      </c>
      <c r="S1093" s="10" t="s">
        <v>84</v>
      </c>
      <c r="T1093" s="10" t="s">
        <v>84</v>
      </c>
      <c r="U1093" s="10"/>
      <c r="V1093" s="10"/>
      <c r="W1093" s="10"/>
      <c r="X1093" s="10"/>
      <c r="Y1093" s="10"/>
      <c r="Z1093" s="10"/>
      <c r="AA1093" s="10"/>
    </row>
    <row r="1094" spans="1:27" ht="12.5" x14ac:dyDescent="0.25">
      <c r="A1094" s="10" t="s">
        <v>52</v>
      </c>
      <c r="B1094" s="10" t="s">
        <v>1015</v>
      </c>
      <c r="C1094" s="10" t="s">
        <v>76</v>
      </c>
      <c r="D1094" s="11">
        <v>2024</v>
      </c>
      <c r="E1094" s="10" t="s">
        <v>81</v>
      </c>
      <c r="F1094" s="10" t="s">
        <v>83</v>
      </c>
      <c r="G1094" s="10" t="s">
        <v>84</v>
      </c>
      <c r="H1094" s="11">
        <v>35290</v>
      </c>
      <c r="I1094" s="11">
        <v>821</v>
      </c>
      <c r="J1094" s="11">
        <v>711</v>
      </c>
      <c r="K1094" s="11">
        <v>13061</v>
      </c>
      <c r="L1094" s="11">
        <v>2.3264380844431901E-2</v>
      </c>
      <c r="M1094" s="11">
        <f t="shared" si="4"/>
        <v>2.3264380844431853</v>
      </c>
      <c r="N1094" s="11">
        <v>0.86601705237515203</v>
      </c>
      <c r="O1094" s="11">
        <v>0.37010484556531598</v>
      </c>
      <c r="P1094" s="11">
        <v>0.27702702702702697</v>
      </c>
      <c r="Q1094" s="11">
        <v>0.170212765957447</v>
      </c>
      <c r="R1094" s="11">
        <v>0.321705426356589</v>
      </c>
      <c r="S1094" s="10" t="s">
        <v>84</v>
      </c>
      <c r="T1094" s="10" t="s">
        <v>84</v>
      </c>
      <c r="U1094" s="10"/>
      <c r="V1094" s="10"/>
      <c r="W1094" s="10"/>
      <c r="X1094" s="10"/>
      <c r="Y1094" s="10"/>
      <c r="Z1094" s="10"/>
      <c r="AA1094" s="10"/>
    </row>
    <row r="1095" spans="1:27" ht="12.5" x14ac:dyDescent="0.25">
      <c r="A1095" s="10" t="s">
        <v>77</v>
      </c>
      <c r="B1095" s="10" t="s">
        <v>1017</v>
      </c>
      <c r="C1095" s="10" t="s">
        <v>76</v>
      </c>
      <c r="D1095" s="11">
        <v>2024</v>
      </c>
      <c r="E1095" s="10" t="s">
        <v>81</v>
      </c>
      <c r="F1095" s="10" t="s">
        <v>83</v>
      </c>
      <c r="G1095" s="10" t="s">
        <v>84</v>
      </c>
      <c r="H1095" s="11">
        <v>22709</v>
      </c>
      <c r="I1095" s="11">
        <v>528</v>
      </c>
      <c r="J1095" s="11">
        <v>352</v>
      </c>
      <c r="K1095" s="11">
        <v>3677</v>
      </c>
      <c r="L1095" s="11">
        <v>2.3250522916590199E-2</v>
      </c>
      <c r="M1095" s="11">
        <f t="shared" si="4"/>
        <v>2.3250693557620328</v>
      </c>
      <c r="N1095" s="11">
        <v>0.66666666666666696</v>
      </c>
      <c r="O1095" s="11">
        <v>0.16191699387178499</v>
      </c>
      <c r="P1095" s="11">
        <v>0.27618243243243201</v>
      </c>
      <c r="Q1095" s="11">
        <v>0.214285714285714</v>
      </c>
      <c r="R1095" s="11">
        <v>0.31976744186046502</v>
      </c>
      <c r="S1095" s="10" t="s">
        <v>84</v>
      </c>
      <c r="T1095" s="10" t="s">
        <v>84</v>
      </c>
      <c r="U1095" s="10"/>
      <c r="V1095" s="10"/>
      <c r="W1095" s="10"/>
      <c r="X1095" s="10"/>
      <c r="Y1095" s="10"/>
      <c r="Z1095" s="10"/>
      <c r="AA1095" s="10"/>
    </row>
    <row r="1096" spans="1:27" ht="12.5" x14ac:dyDescent="0.25">
      <c r="A1096" s="10" t="s">
        <v>88</v>
      </c>
      <c r="B1096" s="10" t="s">
        <v>1019</v>
      </c>
      <c r="C1096" s="10" t="s">
        <v>76</v>
      </c>
      <c r="D1096" s="11">
        <v>2024</v>
      </c>
      <c r="E1096" s="10" t="s">
        <v>81</v>
      </c>
      <c r="F1096" s="10" t="s">
        <v>83</v>
      </c>
      <c r="G1096" s="10" t="s">
        <v>84</v>
      </c>
      <c r="H1096" s="11">
        <v>35601</v>
      </c>
      <c r="I1096" s="11">
        <v>827</v>
      </c>
      <c r="J1096" s="11">
        <v>634</v>
      </c>
      <c r="K1096" s="11">
        <v>51817</v>
      </c>
      <c r="L1096" s="11">
        <v>2.3229412687229199E-2</v>
      </c>
      <c r="M1096" s="11">
        <f t="shared" si="4"/>
        <v>2.3229684559422488</v>
      </c>
      <c r="N1096" s="11">
        <v>0.76662636033857301</v>
      </c>
      <c r="O1096" s="11">
        <v>1.4554757886507299</v>
      </c>
      <c r="P1096" s="11">
        <v>0.275337837837838</v>
      </c>
      <c r="Q1096" s="11">
        <v>0.66666666666666696</v>
      </c>
      <c r="R1096" s="11">
        <v>0.31782945736434098</v>
      </c>
      <c r="S1096" s="10" t="s">
        <v>84</v>
      </c>
      <c r="T1096" s="10" t="s">
        <v>84</v>
      </c>
      <c r="U1096" s="10"/>
      <c r="V1096" s="10"/>
      <c r="W1096" s="10"/>
      <c r="X1096" s="10"/>
      <c r="Y1096" s="10"/>
      <c r="Z1096" s="10"/>
      <c r="AA1096" s="10"/>
    </row>
    <row r="1097" spans="1:27" ht="12.5" x14ac:dyDescent="0.25">
      <c r="A1097" s="10" t="s">
        <v>86</v>
      </c>
      <c r="B1097" s="10" t="s">
        <v>1003</v>
      </c>
      <c r="C1097" s="10" t="s">
        <v>76</v>
      </c>
      <c r="D1097" s="11">
        <v>2024</v>
      </c>
      <c r="E1097" s="10" t="s">
        <v>81</v>
      </c>
      <c r="F1097" s="10" t="s">
        <v>83</v>
      </c>
      <c r="G1097" s="10" t="s">
        <v>84</v>
      </c>
      <c r="H1097" s="11">
        <v>1553</v>
      </c>
      <c r="I1097" s="11">
        <v>36</v>
      </c>
      <c r="J1097" s="11">
        <v>28</v>
      </c>
      <c r="K1097" s="11">
        <v>2905</v>
      </c>
      <c r="L1097" s="11">
        <v>2.3174722386138099E-2</v>
      </c>
      <c r="M1097" s="11">
        <f t="shared" si="4"/>
        <v>2.3180940115904698</v>
      </c>
      <c r="N1097" s="11">
        <v>0.77777777777777801</v>
      </c>
      <c r="O1097" s="11">
        <v>1.87007134810364</v>
      </c>
      <c r="P1097" s="11">
        <v>0.27449324324324298</v>
      </c>
      <c r="Q1097" s="11">
        <v>0.13043478260869601</v>
      </c>
      <c r="R1097" s="11">
        <v>0.315891472868217</v>
      </c>
      <c r="S1097" s="10" t="s">
        <v>84</v>
      </c>
      <c r="T1097" s="10" t="s">
        <v>84</v>
      </c>
      <c r="U1097" s="10"/>
      <c r="V1097" s="10"/>
      <c r="W1097" s="10"/>
      <c r="X1097" s="10"/>
      <c r="Y1097" s="10"/>
      <c r="Z1097" s="10"/>
      <c r="AA1097" s="10"/>
    </row>
    <row r="1098" spans="1:27" ht="12.5" x14ac:dyDescent="0.25">
      <c r="A1098" s="10" t="s">
        <v>32</v>
      </c>
      <c r="B1098" s="10" t="s">
        <v>1022</v>
      </c>
      <c r="C1098" s="10" t="s">
        <v>76</v>
      </c>
      <c r="D1098" s="11">
        <v>2024</v>
      </c>
      <c r="E1098" s="10" t="s">
        <v>81</v>
      </c>
      <c r="F1098" s="10" t="s">
        <v>83</v>
      </c>
      <c r="G1098" s="10" t="s">
        <v>84</v>
      </c>
      <c r="H1098" s="11">
        <v>17643</v>
      </c>
      <c r="I1098" s="11">
        <v>403</v>
      </c>
      <c r="J1098" s="11">
        <v>114</v>
      </c>
      <c r="K1098" s="11">
        <v>61191</v>
      </c>
      <c r="L1098" s="11">
        <v>2.2842567663312999E-2</v>
      </c>
      <c r="M1098" s="11">
        <f t="shared" si="4"/>
        <v>2.2841920308337582</v>
      </c>
      <c r="N1098" s="11">
        <v>0.28287841191066998</v>
      </c>
      <c r="O1098" s="11">
        <v>3.46838599971659</v>
      </c>
      <c r="P1098" s="11">
        <v>0.27195945945945998</v>
      </c>
      <c r="Q1098" s="11">
        <v>0.10344827586206901</v>
      </c>
      <c r="R1098" s="11">
        <v>0.31395348837209303</v>
      </c>
      <c r="S1098" s="10" t="s">
        <v>84</v>
      </c>
      <c r="T1098" s="10" t="s">
        <v>84</v>
      </c>
      <c r="U1098" s="10"/>
      <c r="V1098" s="10"/>
      <c r="W1098" s="10"/>
      <c r="X1098" s="10"/>
      <c r="Y1098" s="10"/>
      <c r="Z1098" s="10"/>
      <c r="AA1098" s="10"/>
    </row>
    <row r="1099" spans="1:27" ht="12.5" hidden="1" x14ac:dyDescent="0.25">
      <c r="A1099" s="10" t="s">
        <v>10</v>
      </c>
      <c r="B1099" s="10" t="s">
        <v>1628</v>
      </c>
      <c r="C1099" s="10" t="s">
        <v>191</v>
      </c>
      <c r="D1099" s="11">
        <v>2024</v>
      </c>
      <c r="E1099" s="10" t="s">
        <v>124</v>
      </c>
      <c r="F1099" s="10" t="s">
        <v>125</v>
      </c>
      <c r="G1099" s="10" t="s">
        <v>84</v>
      </c>
      <c r="H1099" s="12">
        <v>87.5833333333333</v>
      </c>
      <c r="I1099" s="11">
        <v>2</v>
      </c>
      <c r="J1099" s="11">
        <v>2</v>
      </c>
      <c r="K1099" s="11">
        <v>2</v>
      </c>
      <c r="L1099" s="11">
        <v>2.2835394862036201E-2</v>
      </c>
      <c r="M1099" s="11">
        <f t="shared" si="4"/>
        <v>2.2835394862036162</v>
      </c>
      <c r="N1099" s="11">
        <v>1</v>
      </c>
      <c r="O1099" s="11">
        <v>2.2835394862036201E-2</v>
      </c>
      <c r="P1099" s="11">
        <v>0.42892156862745101</v>
      </c>
      <c r="Q1099" s="11">
        <v>0.27586206896551702</v>
      </c>
      <c r="R1099" s="11">
        <v>0.372093023255814</v>
      </c>
      <c r="S1099" s="10" t="s">
        <v>84</v>
      </c>
      <c r="T1099" s="10" t="s">
        <v>84</v>
      </c>
      <c r="U1099" s="10"/>
      <c r="V1099" s="10"/>
      <c r="W1099" s="10"/>
      <c r="X1099" s="10"/>
      <c r="Y1099" s="10"/>
      <c r="Z1099" s="10"/>
      <c r="AA1099" s="10"/>
    </row>
    <row r="1100" spans="1:27" ht="12.5" hidden="1" x14ac:dyDescent="0.25">
      <c r="A1100" s="10" t="s">
        <v>29</v>
      </c>
      <c r="B1100" s="10" t="s">
        <v>1629</v>
      </c>
      <c r="C1100" s="10" t="s">
        <v>191</v>
      </c>
      <c r="D1100" s="11">
        <v>2024</v>
      </c>
      <c r="E1100" s="10" t="s">
        <v>124</v>
      </c>
      <c r="F1100" s="10" t="s">
        <v>125</v>
      </c>
      <c r="G1100" s="10" t="s">
        <v>84</v>
      </c>
      <c r="H1100" s="12">
        <v>2282</v>
      </c>
      <c r="I1100" s="11">
        <v>52</v>
      </c>
      <c r="J1100" s="11">
        <v>10</v>
      </c>
      <c r="K1100" s="11">
        <v>151</v>
      </c>
      <c r="L1100" s="11">
        <v>2.2785364784926598E-2</v>
      </c>
      <c r="M1100" s="11">
        <f t="shared" si="4"/>
        <v>2.2787028921998247</v>
      </c>
      <c r="N1100" s="11">
        <v>0.19230769230769201</v>
      </c>
      <c r="O1100" s="11">
        <v>6.6165193894690694E-2</v>
      </c>
      <c r="P1100" s="11">
        <v>0.42769607843137297</v>
      </c>
      <c r="Q1100" s="11">
        <v>0.338028169014085</v>
      </c>
      <c r="R1100" s="11">
        <v>0.37015503875969002</v>
      </c>
      <c r="S1100" s="10" t="s">
        <v>84</v>
      </c>
      <c r="T1100" s="10" t="s">
        <v>84</v>
      </c>
      <c r="U1100" s="10"/>
      <c r="V1100" s="10"/>
      <c r="W1100" s="10"/>
      <c r="X1100" s="10"/>
      <c r="Y1100" s="10"/>
      <c r="Z1100" s="10"/>
      <c r="AA1100" s="10"/>
    </row>
    <row r="1101" spans="1:27" ht="12.5" x14ac:dyDescent="0.25">
      <c r="A1101" s="10" t="s">
        <v>19</v>
      </c>
      <c r="B1101" s="10" t="s">
        <v>1025</v>
      </c>
      <c r="C1101" s="10" t="s">
        <v>76</v>
      </c>
      <c r="D1101" s="11">
        <v>2024</v>
      </c>
      <c r="E1101" s="10" t="s">
        <v>81</v>
      </c>
      <c r="F1101" s="10" t="s">
        <v>83</v>
      </c>
      <c r="G1101" s="10" t="s">
        <v>84</v>
      </c>
      <c r="H1101" s="11">
        <v>54279</v>
      </c>
      <c r="I1101" s="11">
        <v>1220</v>
      </c>
      <c r="J1101" s="11">
        <v>232</v>
      </c>
      <c r="K1101" s="11">
        <v>138391</v>
      </c>
      <c r="L1101" s="11">
        <v>2.2476533209691899E-2</v>
      </c>
      <c r="M1101" s="11">
        <f t="shared" si="4"/>
        <v>2.2476464194255605</v>
      </c>
      <c r="N1101" s="11">
        <v>0.19016393442623</v>
      </c>
      <c r="O1101" s="11">
        <v>2.5496310716577701</v>
      </c>
      <c r="P1101" s="11">
        <v>0.26858108108108097</v>
      </c>
      <c r="Q1101" s="11">
        <v>0</v>
      </c>
      <c r="R1101" s="11">
        <v>0.31201550387596899</v>
      </c>
      <c r="S1101" s="10" t="s">
        <v>84</v>
      </c>
      <c r="T1101" s="10" t="s">
        <v>84</v>
      </c>
      <c r="U1101" s="10"/>
      <c r="V1101" s="10"/>
      <c r="W1101" s="10"/>
      <c r="X1101" s="10"/>
      <c r="Y1101" s="10"/>
      <c r="Z1101" s="10"/>
      <c r="AA1101" s="10"/>
    </row>
    <row r="1102" spans="1:27" ht="12.5" x14ac:dyDescent="0.25">
      <c r="A1102" s="10" t="s">
        <v>12</v>
      </c>
      <c r="B1102" s="10" t="s">
        <v>865</v>
      </c>
      <c r="C1102" s="10" t="s">
        <v>76</v>
      </c>
      <c r="D1102" s="11">
        <v>2024</v>
      </c>
      <c r="E1102" s="10" t="s">
        <v>81</v>
      </c>
      <c r="F1102" s="10" t="s">
        <v>83</v>
      </c>
      <c r="G1102" s="10" t="s">
        <v>84</v>
      </c>
      <c r="H1102" s="11">
        <v>9419</v>
      </c>
      <c r="I1102" s="11">
        <v>211</v>
      </c>
      <c r="J1102" s="11">
        <v>121</v>
      </c>
      <c r="K1102" s="11">
        <v>20257</v>
      </c>
      <c r="L1102" s="11">
        <v>2.24005378960127E-2</v>
      </c>
      <c r="M1102" s="11">
        <f t="shared" si="4"/>
        <v>2.2401528824715999</v>
      </c>
      <c r="N1102" s="11">
        <v>0.57345971563981002</v>
      </c>
      <c r="O1102" s="11">
        <v>2.15055780170393</v>
      </c>
      <c r="P1102" s="11">
        <v>0.26773648648648701</v>
      </c>
      <c r="Q1102" s="11">
        <v>0.16666666666666699</v>
      </c>
      <c r="R1102" s="11">
        <v>0.31007751937984501</v>
      </c>
      <c r="S1102" s="10" t="s">
        <v>84</v>
      </c>
      <c r="T1102" s="10" t="s">
        <v>84</v>
      </c>
      <c r="U1102" s="10"/>
      <c r="V1102" s="10"/>
      <c r="W1102" s="10"/>
      <c r="X1102" s="10"/>
      <c r="Y1102" s="10"/>
      <c r="Z1102" s="10"/>
      <c r="AA1102" s="10"/>
    </row>
    <row r="1103" spans="1:27" ht="12.5" x14ac:dyDescent="0.25">
      <c r="A1103" s="10" t="s">
        <v>49</v>
      </c>
      <c r="B1103" s="10" t="s">
        <v>1111</v>
      </c>
      <c r="C1103" s="10" t="s">
        <v>76</v>
      </c>
      <c r="D1103" s="11">
        <v>2024</v>
      </c>
      <c r="E1103" s="10" t="s">
        <v>124</v>
      </c>
      <c r="F1103" s="10" t="s">
        <v>83</v>
      </c>
      <c r="G1103" s="10" t="s">
        <v>84</v>
      </c>
      <c r="H1103" s="11">
        <v>1117</v>
      </c>
      <c r="I1103" s="11">
        <v>25</v>
      </c>
      <c r="J1103" s="11">
        <v>25</v>
      </c>
      <c r="K1103" s="11">
        <v>79</v>
      </c>
      <c r="L1103" s="11">
        <v>2.23813786929275E-2</v>
      </c>
      <c r="M1103" s="11">
        <f t="shared" si="4"/>
        <v>2.2381378692927485</v>
      </c>
      <c r="N1103" s="11">
        <v>1</v>
      </c>
      <c r="O1103" s="11">
        <v>7.0725156669650804E-2</v>
      </c>
      <c r="P1103" s="11">
        <v>0.266891891891892</v>
      </c>
      <c r="Q1103" s="11">
        <v>0.34615384615384598</v>
      </c>
      <c r="R1103" s="11">
        <v>0.21700223713646499</v>
      </c>
      <c r="S1103" s="10" t="s">
        <v>84</v>
      </c>
      <c r="T1103" s="10" t="s">
        <v>84</v>
      </c>
      <c r="U1103" s="10"/>
      <c r="V1103" s="10"/>
      <c r="W1103" s="10"/>
      <c r="X1103" s="10"/>
      <c r="Y1103" s="10"/>
      <c r="Z1103" s="10"/>
      <c r="AA1103" s="10"/>
    </row>
    <row r="1104" spans="1:27" ht="12.5" hidden="1" x14ac:dyDescent="0.25">
      <c r="A1104" s="10" t="s">
        <v>77</v>
      </c>
      <c r="B1104" s="10" t="s">
        <v>1630</v>
      </c>
      <c r="C1104" s="10" t="s">
        <v>191</v>
      </c>
      <c r="D1104" s="11">
        <v>2024</v>
      </c>
      <c r="E1104" s="10" t="s">
        <v>124</v>
      </c>
      <c r="F1104" s="10" t="s">
        <v>125</v>
      </c>
      <c r="G1104" s="10" t="s">
        <v>84</v>
      </c>
      <c r="H1104" s="12">
        <v>581.08333333333303</v>
      </c>
      <c r="I1104" s="11">
        <v>13</v>
      </c>
      <c r="J1104" s="11">
        <v>13</v>
      </c>
      <c r="K1104" s="11">
        <v>0</v>
      </c>
      <c r="L1104" s="11">
        <v>2.2372006310053101E-2</v>
      </c>
      <c r="M1104" s="11">
        <f t="shared" si="4"/>
        <v>2.2372006310053072</v>
      </c>
      <c r="N1104" s="11">
        <v>1</v>
      </c>
      <c r="O1104" s="11">
        <v>0</v>
      </c>
      <c r="P1104" s="11">
        <v>0.42279411764705899</v>
      </c>
      <c r="Q1104" s="11">
        <v>0.58695652173913004</v>
      </c>
      <c r="R1104" s="11">
        <v>0.36821705426356599</v>
      </c>
      <c r="S1104" s="10" t="s">
        <v>84</v>
      </c>
      <c r="T1104" s="10" t="s">
        <v>84</v>
      </c>
      <c r="U1104" s="10"/>
      <c r="V1104" s="10"/>
      <c r="W1104" s="10"/>
      <c r="X1104" s="10"/>
      <c r="Y1104" s="10"/>
      <c r="Z1104" s="10"/>
      <c r="AA1104" s="10"/>
    </row>
    <row r="1105" spans="1:27" ht="12.5" x14ac:dyDescent="0.25">
      <c r="A1105" s="10" t="s">
        <v>6</v>
      </c>
      <c r="B1105" s="10" t="s">
        <v>1113</v>
      </c>
      <c r="C1105" s="10" t="s">
        <v>76</v>
      </c>
      <c r="D1105" s="11">
        <v>2024</v>
      </c>
      <c r="E1105" s="10" t="s">
        <v>124</v>
      </c>
      <c r="F1105" s="10" t="s">
        <v>125</v>
      </c>
      <c r="G1105" s="10" t="s">
        <v>84</v>
      </c>
      <c r="H1105" s="11">
        <v>2020</v>
      </c>
      <c r="I1105" s="11">
        <v>45</v>
      </c>
      <c r="J1105" s="11">
        <v>45</v>
      </c>
      <c r="K1105" s="11">
        <v>3027</v>
      </c>
      <c r="L1105" s="11">
        <v>2.2280904439676501E-2</v>
      </c>
      <c r="M1105" s="11">
        <f t="shared" si="4"/>
        <v>2.2277227722772275</v>
      </c>
      <c r="N1105" s="11">
        <v>1</v>
      </c>
      <c r="O1105" s="11">
        <v>1.4987621719755699</v>
      </c>
      <c r="P1105" s="11">
        <v>0.26604729729729698</v>
      </c>
      <c r="Q1105" s="11">
        <v>0.483870967741935</v>
      </c>
      <c r="R1105" s="11">
        <v>0.21476510067114099</v>
      </c>
      <c r="S1105" s="10" t="s">
        <v>84</v>
      </c>
      <c r="T1105" s="10" t="s">
        <v>84</v>
      </c>
      <c r="U1105" s="10"/>
      <c r="V1105" s="10"/>
      <c r="W1105" s="10"/>
      <c r="X1105" s="10"/>
      <c r="Y1105" s="10"/>
      <c r="Z1105" s="10"/>
      <c r="AA1105" s="10"/>
    </row>
    <row r="1106" spans="1:27" ht="12.5" hidden="1" x14ac:dyDescent="0.25">
      <c r="A1106" s="10" t="s">
        <v>29</v>
      </c>
      <c r="B1106" s="10" t="s">
        <v>1631</v>
      </c>
      <c r="C1106" s="10" t="s">
        <v>191</v>
      </c>
      <c r="D1106" s="11">
        <v>2024</v>
      </c>
      <c r="E1106" s="10" t="s">
        <v>257</v>
      </c>
      <c r="F1106" s="10" t="s">
        <v>125</v>
      </c>
      <c r="G1106" s="10" t="s">
        <v>84</v>
      </c>
      <c r="H1106" s="12">
        <v>2247</v>
      </c>
      <c r="I1106" s="11">
        <v>50</v>
      </c>
      <c r="J1106" s="11">
        <v>26</v>
      </c>
      <c r="K1106" s="11">
        <v>1401</v>
      </c>
      <c r="L1106" s="11">
        <v>2.22477659535022E-2</v>
      </c>
      <c r="M1106" s="11">
        <f t="shared" si="4"/>
        <v>2.2251891410769913</v>
      </c>
      <c r="N1106" s="11">
        <v>0.52</v>
      </c>
      <c r="O1106" s="11">
        <v>0.62338240201713102</v>
      </c>
      <c r="P1106" s="11">
        <v>0.42156862745098</v>
      </c>
      <c r="Q1106" s="11">
        <v>0.323943661971831</v>
      </c>
      <c r="R1106" s="11">
        <v>0.11111111111111099</v>
      </c>
      <c r="S1106" s="10" t="s">
        <v>84</v>
      </c>
      <c r="T1106" s="10" t="s">
        <v>84</v>
      </c>
      <c r="U1106" s="10"/>
      <c r="V1106" s="10"/>
      <c r="W1106" s="10"/>
      <c r="X1106" s="10"/>
      <c r="Y1106" s="10"/>
      <c r="Z1106" s="10"/>
      <c r="AA1106" s="10"/>
    </row>
    <row r="1107" spans="1:27" ht="12.5" x14ac:dyDescent="0.25">
      <c r="A1107" s="10" t="s">
        <v>55</v>
      </c>
      <c r="B1107" s="10" t="s">
        <v>1116</v>
      </c>
      <c r="C1107" s="10" t="s">
        <v>76</v>
      </c>
      <c r="D1107" s="11">
        <v>2024</v>
      </c>
      <c r="E1107" s="10" t="s">
        <v>124</v>
      </c>
      <c r="F1107" s="10" t="s">
        <v>125</v>
      </c>
      <c r="G1107" s="10" t="s">
        <v>84</v>
      </c>
      <c r="H1107" s="11">
        <v>675</v>
      </c>
      <c r="I1107" s="11">
        <v>15</v>
      </c>
      <c r="J1107" s="11">
        <v>15</v>
      </c>
      <c r="K1107" s="11">
        <v>100</v>
      </c>
      <c r="L1107" s="11">
        <v>2.2222222222222199E-2</v>
      </c>
      <c r="M1107" s="11">
        <f t="shared" si="4"/>
        <v>2.2222222222222223</v>
      </c>
      <c r="N1107" s="11">
        <v>1</v>
      </c>
      <c r="O1107" s="11">
        <v>0.148148148148148</v>
      </c>
      <c r="P1107" s="11">
        <v>0.26520270270270302</v>
      </c>
      <c r="Q1107" s="11">
        <v>0.18181818181818199</v>
      </c>
      <c r="R1107" s="11">
        <v>0.21252796420581699</v>
      </c>
      <c r="S1107" s="10" t="s">
        <v>84</v>
      </c>
      <c r="T1107" s="10" t="s">
        <v>84</v>
      </c>
      <c r="U1107" s="10"/>
      <c r="V1107" s="10"/>
      <c r="W1107" s="10"/>
      <c r="X1107" s="10"/>
      <c r="Y1107" s="10"/>
      <c r="Z1107" s="10"/>
      <c r="AA1107" s="10"/>
    </row>
    <row r="1108" spans="1:27" ht="12.5" x14ac:dyDescent="0.25">
      <c r="A1108" s="10" t="s">
        <v>12</v>
      </c>
      <c r="B1108" s="10" t="s">
        <v>1029</v>
      </c>
      <c r="C1108" s="10" t="s">
        <v>76</v>
      </c>
      <c r="D1108" s="11">
        <v>2024</v>
      </c>
      <c r="E1108" s="10" t="s">
        <v>81</v>
      </c>
      <c r="F1108" s="10" t="s">
        <v>83</v>
      </c>
      <c r="G1108" s="10" t="s">
        <v>84</v>
      </c>
      <c r="H1108" s="11">
        <v>9679</v>
      </c>
      <c r="I1108" s="11">
        <v>215</v>
      </c>
      <c r="J1108" s="11">
        <v>158</v>
      </c>
      <c r="K1108" s="11">
        <v>3508</v>
      </c>
      <c r="L1108" s="11">
        <v>2.2214186082554099E-2</v>
      </c>
      <c r="M1108" s="11">
        <f t="shared" si="4"/>
        <v>2.2213038537038949</v>
      </c>
      <c r="N1108" s="11">
        <v>0.73488372093023302</v>
      </c>
      <c r="O1108" s="11">
        <v>0.36245285943069699</v>
      </c>
      <c r="P1108" s="11">
        <v>0.264358108108108</v>
      </c>
      <c r="Q1108" s="11">
        <v>0.15277777777777801</v>
      </c>
      <c r="R1108" s="11">
        <v>0.30813953488372098</v>
      </c>
      <c r="S1108" s="10" t="s">
        <v>84</v>
      </c>
      <c r="T1108" s="10" t="s">
        <v>84</v>
      </c>
      <c r="U1108" s="10"/>
      <c r="V1108" s="10"/>
      <c r="W1108" s="10"/>
      <c r="X1108" s="10"/>
      <c r="Y1108" s="10"/>
      <c r="Z1108" s="10"/>
      <c r="AA1108" s="10"/>
    </row>
    <row r="1109" spans="1:27" ht="12.5" x14ac:dyDescent="0.25">
      <c r="A1109" s="10" t="s">
        <v>110</v>
      </c>
      <c r="B1109" s="10" t="s">
        <v>1119</v>
      </c>
      <c r="C1109" s="10" t="s">
        <v>76</v>
      </c>
      <c r="D1109" s="11">
        <v>2024</v>
      </c>
      <c r="E1109" s="10" t="s">
        <v>124</v>
      </c>
      <c r="F1109" s="10" t="s">
        <v>83</v>
      </c>
      <c r="G1109" s="10" t="s">
        <v>84</v>
      </c>
      <c r="H1109" s="11">
        <v>10993</v>
      </c>
      <c r="I1109" s="11">
        <v>244</v>
      </c>
      <c r="J1109" s="11">
        <v>207</v>
      </c>
      <c r="K1109" s="11">
        <v>5543</v>
      </c>
      <c r="L1109" s="11">
        <v>2.2195942872737202E-2</v>
      </c>
      <c r="M1109" s="11">
        <f t="shared" si="4"/>
        <v>2.2195942872737193</v>
      </c>
      <c r="N1109" s="11">
        <v>0.84836065573770503</v>
      </c>
      <c r="O1109" s="11">
        <v>0.50422996452287805</v>
      </c>
      <c r="P1109" s="11">
        <v>0.26351351351351299</v>
      </c>
      <c r="Q1109" s="11">
        <v>0.45454545454545497</v>
      </c>
      <c r="R1109" s="11">
        <v>0.21029082774049199</v>
      </c>
      <c r="S1109" s="10" t="s">
        <v>84</v>
      </c>
      <c r="T1109" s="10" t="s">
        <v>84</v>
      </c>
      <c r="U1109" s="10"/>
      <c r="V1109" s="10"/>
      <c r="W1109" s="10"/>
      <c r="X1109" s="10"/>
      <c r="Y1109" s="10"/>
      <c r="Z1109" s="10"/>
      <c r="AA1109" s="10"/>
    </row>
    <row r="1110" spans="1:27" ht="12.5" x14ac:dyDescent="0.25">
      <c r="A1110" s="10" t="s">
        <v>62</v>
      </c>
      <c r="B1110" s="10" t="s">
        <v>900</v>
      </c>
      <c r="C1110" s="10" t="s">
        <v>76</v>
      </c>
      <c r="D1110" s="11">
        <v>2024</v>
      </c>
      <c r="E1110" s="10" t="s">
        <v>81</v>
      </c>
      <c r="F1110" s="10" t="s">
        <v>83</v>
      </c>
      <c r="G1110" s="10" t="s">
        <v>84</v>
      </c>
      <c r="H1110" s="11">
        <v>9176</v>
      </c>
      <c r="I1110" s="11">
        <v>202</v>
      </c>
      <c r="J1110" s="11">
        <v>158</v>
      </c>
      <c r="K1110" s="11">
        <v>1464</v>
      </c>
      <c r="L1110" s="11">
        <v>2.2014949094971301E-2</v>
      </c>
      <c r="M1110" s="11">
        <f t="shared" si="4"/>
        <v>2.2013949433304272</v>
      </c>
      <c r="N1110" s="11">
        <v>0.78217821782178198</v>
      </c>
      <c r="O1110" s="11">
        <v>0.15955388849028701</v>
      </c>
      <c r="P1110" s="11">
        <v>0.26266891891891903</v>
      </c>
      <c r="Q1110" s="11">
        <v>0.13888888888888901</v>
      </c>
      <c r="R1110" s="11">
        <v>0.306201550387597</v>
      </c>
      <c r="S1110" s="10" t="s">
        <v>84</v>
      </c>
      <c r="T1110" s="10" t="s">
        <v>84</v>
      </c>
      <c r="U1110" s="10"/>
      <c r="V1110" s="10"/>
      <c r="W1110" s="10"/>
      <c r="X1110" s="10"/>
      <c r="Y1110" s="10"/>
      <c r="Z1110" s="10"/>
      <c r="AA1110" s="10"/>
    </row>
    <row r="1111" spans="1:27" ht="12.5" x14ac:dyDescent="0.25">
      <c r="A1111" s="10" t="s">
        <v>32</v>
      </c>
      <c r="B1111" s="10" t="s">
        <v>1032</v>
      </c>
      <c r="C1111" s="10" t="s">
        <v>76</v>
      </c>
      <c r="D1111" s="11">
        <v>2024</v>
      </c>
      <c r="E1111" s="10" t="s">
        <v>81</v>
      </c>
      <c r="F1111" s="10" t="s">
        <v>83</v>
      </c>
      <c r="G1111" s="10" t="s">
        <v>84</v>
      </c>
      <c r="H1111" s="11">
        <v>15304</v>
      </c>
      <c r="I1111" s="11">
        <v>336</v>
      </c>
      <c r="J1111" s="11">
        <v>59</v>
      </c>
      <c r="K1111" s="11">
        <v>46168</v>
      </c>
      <c r="L1111" s="11">
        <v>2.1955044432827999E-2</v>
      </c>
      <c r="M1111" s="11">
        <f t="shared" si="4"/>
        <v>2.1955044432828021</v>
      </c>
      <c r="N1111" s="11">
        <v>0.175595238095238</v>
      </c>
      <c r="O1111" s="11">
        <v>3.0167276529012002</v>
      </c>
      <c r="P1111" s="11">
        <v>0.26182432432432401</v>
      </c>
      <c r="Q1111" s="11">
        <v>6.8965517241379296E-2</v>
      </c>
      <c r="R1111" s="11">
        <v>0.30426356589147302</v>
      </c>
      <c r="S1111" s="10" t="s">
        <v>84</v>
      </c>
      <c r="T1111" s="10" t="s">
        <v>84</v>
      </c>
      <c r="U1111" s="10"/>
      <c r="V1111" s="10"/>
      <c r="W1111" s="10"/>
      <c r="X1111" s="10"/>
      <c r="Y1111" s="10"/>
      <c r="Z1111" s="10"/>
      <c r="AA1111" s="10"/>
    </row>
    <row r="1112" spans="1:27" ht="12.5" x14ac:dyDescent="0.25">
      <c r="A1112" s="10" t="s">
        <v>115</v>
      </c>
      <c r="B1112" s="10" t="s">
        <v>1035</v>
      </c>
      <c r="C1112" s="10" t="s">
        <v>76</v>
      </c>
      <c r="D1112" s="11">
        <v>2024</v>
      </c>
      <c r="E1112" s="10" t="s">
        <v>81</v>
      </c>
      <c r="F1112" s="10" t="s">
        <v>83</v>
      </c>
      <c r="G1112" s="10" t="s">
        <v>84</v>
      </c>
      <c r="H1112" s="11">
        <v>14686</v>
      </c>
      <c r="I1112" s="11">
        <v>322</v>
      </c>
      <c r="J1112" s="11">
        <v>294</v>
      </c>
      <c r="K1112" s="11">
        <v>1030</v>
      </c>
      <c r="L1112" s="11">
        <v>2.19256434699714E-2</v>
      </c>
      <c r="M1112" s="11">
        <f t="shared" si="4"/>
        <v>2.1925643469971399</v>
      </c>
      <c r="N1112" s="11">
        <v>0.91304347826086996</v>
      </c>
      <c r="O1112" s="11">
        <v>7.0134822279722203E-2</v>
      </c>
      <c r="P1112" s="11">
        <v>0.26097972972972999</v>
      </c>
      <c r="Q1112" s="11">
        <v>0.77777777777777801</v>
      </c>
      <c r="R1112" s="11">
        <v>0.30232558139534899</v>
      </c>
      <c r="S1112" s="10" t="s">
        <v>84</v>
      </c>
      <c r="T1112" s="10" t="s">
        <v>84</v>
      </c>
      <c r="U1112" s="10"/>
      <c r="V1112" s="10"/>
      <c r="W1112" s="10"/>
      <c r="X1112" s="10"/>
      <c r="Y1112" s="10"/>
      <c r="Z1112" s="10"/>
      <c r="AA1112" s="10"/>
    </row>
    <row r="1113" spans="1:27" ht="12.5" x14ac:dyDescent="0.25">
      <c r="A1113" s="10" t="s">
        <v>34</v>
      </c>
      <c r="B1113" s="10" t="s">
        <v>1121</v>
      </c>
      <c r="C1113" s="10" t="s">
        <v>76</v>
      </c>
      <c r="D1113" s="11">
        <v>2024</v>
      </c>
      <c r="E1113" s="10" t="s">
        <v>124</v>
      </c>
      <c r="F1113" s="10" t="s">
        <v>125</v>
      </c>
      <c r="G1113" s="10" t="s">
        <v>84</v>
      </c>
      <c r="H1113" s="11">
        <v>3983</v>
      </c>
      <c r="I1113" s="11">
        <v>87</v>
      </c>
      <c r="J1113" s="11">
        <v>80</v>
      </c>
      <c r="K1113" s="11">
        <v>1911</v>
      </c>
      <c r="L1113" s="11">
        <v>2.1845574387947299E-2</v>
      </c>
      <c r="M1113" s="11">
        <f t="shared" si="4"/>
        <v>2.1842832036153652</v>
      </c>
      <c r="N1113" s="11">
        <v>0.91954022988505701</v>
      </c>
      <c r="O1113" s="11">
        <v>0.47984934086629</v>
      </c>
      <c r="P1113" s="11">
        <v>0.26013513513513498</v>
      </c>
      <c r="Q1113" s="11">
        <v>0.530612244897959</v>
      </c>
      <c r="R1113" s="11">
        <v>0.20805369127516801</v>
      </c>
      <c r="S1113" s="10" t="s">
        <v>84</v>
      </c>
      <c r="T1113" s="10" t="s">
        <v>84</v>
      </c>
      <c r="U1113" s="10"/>
      <c r="V1113" s="10"/>
      <c r="W1113" s="10"/>
      <c r="X1113" s="10"/>
      <c r="Y1113" s="10"/>
      <c r="Z1113" s="10"/>
      <c r="AA1113" s="10"/>
    </row>
    <row r="1114" spans="1:27" ht="12.5" x14ac:dyDescent="0.25">
      <c r="A1114" s="10" t="s">
        <v>52</v>
      </c>
      <c r="B1114" s="10" t="s">
        <v>1124</v>
      </c>
      <c r="C1114" s="10" t="s">
        <v>76</v>
      </c>
      <c r="D1114" s="11">
        <v>2024</v>
      </c>
      <c r="E1114" s="10" t="s">
        <v>124</v>
      </c>
      <c r="F1114" s="10" t="s">
        <v>125</v>
      </c>
      <c r="G1114" s="10" t="s">
        <v>84</v>
      </c>
      <c r="H1114" s="11">
        <v>458</v>
      </c>
      <c r="I1114" s="11">
        <v>10</v>
      </c>
      <c r="J1114" s="11">
        <v>9</v>
      </c>
      <c r="K1114" s="11">
        <v>0</v>
      </c>
      <c r="L1114" s="11">
        <v>2.1842009464870801E-2</v>
      </c>
      <c r="M1114" s="11">
        <f t="shared" si="4"/>
        <v>2.1834061135371177</v>
      </c>
      <c r="N1114" s="11">
        <v>0.9</v>
      </c>
      <c r="O1114" s="11">
        <v>0</v>
      </c>
      <c r="P1114" s="11">
        <v>0.25929054054054002</v>
      </c>
      <c r="Q1114" s="11">
        <v>0.14893617021276601</v>
      </c>
      <c r="R1114" s="11">
        <v>0.20581655480984301</v>
      </c>
      <c r="S1114" s="10" t="s">
        <v>84</v>
      </c>
      <c r="T1114" s="10" t="s">
        <v>84</v>
      </c>
      <c r="U1114" s="10"/>
      <c r="V1114" s="10"/>
      <c r="W1114" s="10"/>
      <c r="X1114" s="10"/>
      <c r="Y1114" s="10"/>
      <c r="Z1114" s="10"/>
      <c r="AA1114" s="10"/>
    </row>
    <row r="1115" spans="1:27" ht="12.5" x14ac:dyDescent="0.25">
      <c r="A1115" s="10" t="s">
        <v>6</v>
      </c>
      <c r="B1115" s="10" t="s">
        <v>1451</v>
      </c>
      <c r="C1115" s="10" t="s">
        <v>76</v>
      </c>
      <c r="D1115" s="11">
        <v>2024</v>
      </c>
      <c r="E1115" s="10" t="s">
        <v>257</v>
      </c>
      <c r="F1115" s="10" t="s">
        <v>83</v>
      </c>
      <c r="G1115" s="10" t="s">
        <v>84</v>
      </c>
      <c r="H1115" s="11">
        <v>16081</v>
      </c>
      <c r="I1115" s="11">
        <v>351</v>
      </c>
      <c r="J1115" s="11">
        <v>317</v>
      </c>
      <c r="K1115" s="11">
        <v>7902</v>
      </c>
      <c r="L1115" s="11">
        <v>2.1827566371452101E-2</v>
      </c>
      <c r="M1115" s="11">
        <f t="shared" si="4"/>
        <v>2.1827000808407435</v>
      </c>
      <c r="N1115" s="11">
        <v>0.90313390313390296</v>
      </c>
      <c r="O1115" s="11">
        <v>0.49140008395217799</v>
      </c>
      <c r="P1115" s="11">
        <v>0.258445945945946</v>
      </c>
      <c r="Q1115" s="11">
        <v>0.45161290322580599</v>
      </c>
      <c r="R1115" s="11">
        <v>0.40909090909090901</v>
      </c>
      <c r="S1115" s="10" t="s">
        <v>84</v>
      </c>
      <c r="T1115" s="10" t="s">
        <v>84</v>
      </c>
      <c r="U1115" s="10"/>
      <c r="V1115" s="10"/>
      <c r="W1115" s="10"/>
      <c r="X1115" s="10"/>
      <c r="Y1115" s="10"/>
      <c r="Z1115" s="10"/>
      <c r="AA1115" s="10"/>
    </row>
    <row r="1116" spans="1:27" ht="12.5" x14ac:dyDescent="0.25">
      <c r="A1116" s="10" t="s">
        <v>86</v>
      </c>
      <c r="B1116" s="10" t="s">
        <v>1037</v>
      </c>
      <c r="C1116" s="10" t="s">
        <v>76</v>
      </c>
      <c r="D1116" s="11">
        <v>2024</v>
      </c>
      <c r="E1116" s="10" t="s">
        <v>81</v>
      </c>
      <c r="F1116" s="10" t="s">
        <v>83</v>
      </c>
      <c r="G1116" s="10" t="s">
        <v>84</v>
      </c>
      <c r="H1116" s="11">
        <v>28263</v>
      </c>
      <c r="I1116" s="11">
        <v>614</v>
      </c>
      <c r="J1116" s="11">
        <v>464</v>
      </c>
      <c r="K1116" s="11">
        <v>28816</v>
      </c>
      <c r="L1116" s="11">
        <v>2.1724836429790902E-2</v>
      </c>
      <c r="M1116" s="11">
        <f t="shared" si="4"/>
        <v>2.1724516151859321</v>
      </c>
      <c r="N1116" s="11">
        <v>0.75570032573289903</v>
      </c>
      <c r="O1116" s="11">
        <v>1.0195812484704501</v>
      </c>
      <c r="P1116" s="11">
        <v>0.25760135135135098</v>
      </c>
      <c r="Q1116" s="11">
        <v>0.108695652173913</v>
      </c>
      <c r="R1116" s="11">
        <v>0.30038759689922501</v>
      </c>
      <c r="S1116" s="10" t="s">
        <v>84</v>
      </c>
      <c r="T1116" s="10" t="s">
        <v>84</v>
      </c>
      <c r="U1116" s="10"/>
      <c r="V1116" s="10"/>
      <c r="W1116" s="10"/>
      <c r="X1116" s="10"/>
      <c r="Y1116" s="10"/>
      <c r="Z1116" s="10"/>
      <c r="AA1116" s="10"/>
    </row>
    <row r="1117" spans="1:27" ht="12.5" x14ac:dyDescent="0.25">
      <c r="A1117" s="10" t="s">
        <v>65</v>
      </c>
      <c r="B1117" s="10" t="s">
        <v>1040</v>
      </c>
      <c r="C1117" s="10" t="s">
        <v>76</v>
      </c>
      <c r="D1117" s="11">
        <v>2024</v>
      </c>
      <c r="E1117" s="10" t="s">
        <v>81</v>
      </c>
      <c r="F1117" s="10" t="s">
        <v>83</v>
      </c>
      <c r="G1117" s="10" t="s">
        <v>84</v>
      </c>
      <c r="H1117" s="11">
        <v>30591</v>
      </c>
      <c r="I1117" s="11">
        <v>660</v>
      </c>
      <c r="J1117" s="11">
        <v>212</v>
      </c>
      <c r="K1117" s="11">
        <v>11157</v>
      </c>
      <c r="L1117" s="11">
        <v>2.1574796714746901E-2</v>
      </c>
      <c r="M1117" s="11">
        <f t="shared" si="4"/>
        <v>2.1574973031283711</v>
      </c>
      <c r="N1117" s="11">
        <v>0.321212121212121</v>
      </c>
      <c r="O1117" s="11">
        <v>0.364712131737016</v>
      </c>
      <c r="P1117" s="11">
        <v>0.25675675675675702</v>
      </c>
      <c r="Q1117" s="11">
        <v>0.230769230769231</v>
      </c>
      <c r="R1117" s="11">
        <v>0.29844961240310097</v>
      </c>
      <c r="S1117" s="10" t="s">
        <v>84</v>
      </c>
      <c r="T1117" s="10" t="s">
        <v>84</v>
      </c>
      <c r="U1117" s="10"/>
      <c r="V1117" s="10"/>
      <c r="W1117" s="10"/>
      <c r="X1117" s="10"/>
      <c r="Y1117" s="10"/>
      <c r="Z1117" s="10"/>
      <c r="AA1117" s="10"/>
    </row>
    <row r="1118" spans="1:27" ht="12.5" x14ac:dyDescent="0.25">
      <c r="A1118" s="10" t="s">
        <v>34</v>
      </c>
      <c r="B1118" s="10" t="s">
        <v>1042</v>
      </c>
      <c r="C1118" s="10" t="s">
        <v>76</v>
      </c>
      <c r="D1118" s="11">
        <v>2024</v>
      </c>
      <c r="E1118" s="10" t="s">
        <v>81</v>
      </c>
      <c r="F1118" s="10" t="s">
        <v>83</v>
      </c>
      <c r="G1118" s="10" t="s">
        <v>84</v>
      </c>
      <c r="H1118" s="11">
        <v>42344</v>
      </c>
      <c r="I1118" s="11">
        <v>905</v>
      </c>
      <c r="J1118" s="11">
        <v>895</v>
      </c>
      <c r="K1118" s="11">
        <v>2538</v>
      </c>
      <c r="L1118" s="11">
        <v>2.1372357237179999E-2</v>
      </c>
      <c r="M1118" s="11">
        <f t="shared" si="4"/>
        <v>2.1372567542036656</v>
      </c>
      <c r="N1118" s="11">
        <v>0.98895027624309395</v>
      </c>
      <c r="O1118" s="11">
        <v>5.9937063721506E-2</v>
      </c>
      <c r="P1118" s="11">
        <v>0.255912162162162</v>
      </c>
      <c r="Q1118" s="11">
        <v>0.51020408163265296</v>
      </c>
      <c r="R1118" s="11">
        <v>0.29651162790697699</v>
      </c>
      <c r="S1118" s="10" t="s">
        <v>84</v>
      </c>
      <c r="T1118" s="10" t="s">
        <v>84</v>
      </c>
      <c r="U1118" s="10"/>
      <c r="V1118" s="10"/>
      <c r="W1118" s="10"/>
      <c r="X1118" s="10"/>
      <c r="Y1118" s="10"/>
      <c r="Z1118" s="10"/>
      <c r="AA1118" s="10"/>
    </row>
    <row r="1119" spans="1:27" ht="12.5" hidden="1" x14ac:dyDescent="0.25">
      <c r="A1119" s="10" t="s">
        <v>86</v>
      </c>
      <c r="B1119" s="10" t="s">
        <v>1568</v>
      </c>
      <c r="C1119" s="10" t="s">
        <v>191</v>
      </c>
      <c r="D1119" s="11">
        <v>2024</v>
      </c>
      <c r="E1119" s="10" t="s">
        <v>124</v>
      </c>
      <c r="F1119" s="10" t="s">
        <v>83</v>
      </c>
      <c r="G1119" s="10" t="s">
        <v>84</v>
      </c>
      <c r="H1119" s="12">
        <v>8869</v>
      </c>
      <c r="I1119" s="11">
        <v>189</v>
      </c>
      <c r="J1119" s="11">
        <v>108</v>
      </c>
      <c r="K1119" s="11">
        <v>189</v>
      </c>
      <c r="L1119" s="11">
        <v>2.13105820006389E-2</v>
      </c>
      <c r="M1119" s="11">
        <f t="shared" si="4"/>
        <v>2.1310181531176009</v>
      </c>
      <c r="N1119" s="11">
        <v>0.57142857142857095</v>
      </c>
      <c r="O1119" s="11">
        <v>2.13105820006389E-2</v>
      </c>
      <c r="P1119" s="11">
        <v>0.41544117647058798</v>
      </c>
      <c r="Q1119" s="11">
        <v>0.5</v>
      </c>
      <c r="R1119" s="11">
        <v>0.36627906976744201</v>
      </c>
      <c r="S1119" s="10" t="s">
        <v>84</v>
      </c>
      <c r="T1119" s="10" t="s">
        <v>84</v>
      </c>
      <c r="U1119" s="10"/>
      <c r="V1119" s="10"/>
      <c r="W1119" s="10"/>
      <c r="X1119" s="10"/>
      <c r="Y1119" s="10"/>
      <c r="Z1119" s="10"/>
      <c r="AA1119" s="10"/>
    </row>
    <row r="1120" spans="1:27" ht="12.5" x14ac:dyDescent="0.25">
      <c r="A1120" s="10" t="s">
        <v>42</v>
      </c>
      <c r="B1120" s="10" t="s">
        <v>1045</v>
      </c>
      <c r="C1120" s="10" t="s">
        <v>76</v>
      </c>
      <c r="D1120" s="11">
        <v>2024</v>
      </c>
      <c r="E1120" s="10" t="s">
        <v>81</v>
      </c>
      <c r="F1120" s="10" t="s">
        <v>83</v>
      </c>
      <c r="G1120" s="10" t="s">
        <v>84</v>
      </c>
      <c r="H1120" s="11">
        <v>39562</v>
      </c>
      <c r="I1120" s="11">
        <v>842</v>
      </c>
      <c r="J1120" s="11">
        <v>682</v>
      </c>
      <c r="K1120" s="11">
        <v>950</v>
      </c>
      <c r="L1120" s="11">
        <v>2.12831838834227E-2</v>
      </c>
      <c r="M1120" s="11">
        <f t="shared" si="4"/>
        <v>2.128304939082958</v>
      </c>
      <c r="N1120" s="11">
        <v>0.809976247030879</v>
      </c>
      <c r="O1120" s="11">
        <v>2.4013093455168201E-2</v>
      </c>
      <c r="P1120" s="11">
        <v>0.25506756756756799</v>
      </c>
      <c r="Q1120" s="11">
        <v>0.19047619047618999</v>
      </c>
      <c r="R1120" s="11">
        <v>0.29457364341085301</v>
      </c>
      <c r="S1120" s="10" t="s">
        <v>84</v>
      </c>
      <c r="T1120" s="10" t="s">
        <v>84</v>
      </c>
      <c r="U1120" s="10"/>
      <c r="V1120" s="10"/>
      <c r="W1120" s="10"/>
      <c r="X1120" s="10"/>
      <c r="Y1120" s="10"/>
      <c r="Z1120" s="10"/>
      <c r="AA1120" s="10"/>
    </row>
    <row r="1121" spans="1:27" ht="12.5" x14ac:dyDescent="0.25">
      <c r="A1121" s="10" t="s">
        <v>82</v>
      </c>
      <c r="B1121" s="10" t="s">
        <v>1047</v>
      </c>
      <c r="C1121" s="10" t="s">
        <v>76</v>
      </c>
      <c r="D1121" s="11">
        <v>2024</v>
      </c>
      <c r="E1121" s="10" t="s">
        <v>81</v>
      </c>
      <c r="F1121" s="10" t="s">
        <v>83</v>
      </c>
      <c r="G1121" s="10" t="s">
        <v>84</v>
      </c>
      <c r="H1121" s="11">
        <v>12320</v>
      </c>
      <c r="I1121" s="11">
        <v>262</v>
      </c>
      <c r="J1121" s="11">
        <v>224</v>
      </c>
      <c r="K1121" s="11">
        <v>2168</v>
      </c>
      <c r="L1121" s="11">
        <v>2.1265514559166698E-2</v>
      </c>
      <c r="M1121" s="11">
        <f t="shared" si="4"/>
        <v>2.1266233766233764</v>
      </c>
      <c r="N1121" s="11">
        <v>0.85496183206106902</v>
      </c>
      <c r="O1121" s="11">
        <v>0.17596807467279901</v>
      </c>
      <c r="P1121" s="11">
        <v>0.25422297297297303</v>
      </c>
      <c r="Q1121" s="11">
        <v>0.48275862068965503</v>
      </c>
      <c r="R1121" s="11">
        <v>0.29263565891472898</v>
      </c>
      <c r="S1121" s="10" t="s">
        <v>84</v>
      </c>
      <c r="T1121" s="10" t="s">
        <v>84</v>
      </c>
      <c r="U1121" s="10"/>
      <c r="V1121" s="10"/>
      <c r="W1121" s="10"/>
      <c r="X1121" s="10"/>
      <c r="Y1121" s="10"/>
      <c r="Z1121" s="10"/>
      <c r="AA1121" s="10"/>
    </row>
    <row r="1122" spans="1:27" ht="12.5" hidden="1" x14ac:dyDescent="0.25">
      <c r="A1122" s="10" t="s">
        <v>77</v>
      </c>
      <c r="B1122" s="10" t="s">
        <v>1632</v>
      </c>
      <c r="C1122" s="10" t="s">
        <v>191</v>
      </c>
      <c r="D1122" s="11">
        <v>2024</v>
      </c>
      <c r="E1122" s="10" t="s">
        <v>124</v>
      </c>
      <c r="F1122" s="10" t="s">
        <v>125</v>
      </c>
      <c r="G1122" s="10" t="s">
        <v>84</v>
      </c>
      <c r="H1122" s="12">
        <v>1743</v>
      </c>
      <c r="I1122" s="11">
        <v>37</v>
      </c>
      <c r="J1122" s="11">
        <v>37</v>
      </c>
      <c r="K1122" s="11">
        <v>480</v>
      </c>
      <c r="L1122" s="11">
        <v>2.1223709369024901E-2</v>
      </c>
      <c r="M1122" s="11">
        <f t="shared" si="4"/>
        <v>2.1227768215720024</v>
      </c>
      <c r="N1122" s="11">
        <v>1</v>
      </c>
      <c r="O1122" s="11">
        <v>0.27533460803059301</v>
      </c>
      <c r="P1122" s="11">
        <v>0.41421568627451</v>
      </c>
      <c r="Q1122" s="11">
        <v>0.565217391304348</v>
      </c>
      <c r="R1122" s="11">
        <v>0.36434108527131798</v>
      </c>
      <c r="S1122" s="10" t="s">
        <v>84</v>
      </c>
      <c r="T1122" s="10" t="s">
        <v>84</v>
      </c>
      <c r="U1122" s="10"/>
      <c r="V1122" s="10"/>
      <c r="W1122" s="10"/>
      <c r="X1122" s="10"/>
      <c r="Y1122" s="10"/>
      <c r="Z1122" s="10"/>
      <c r="AA1122" s="10"/>
    </row>
    <row r="1123" spans="1:27" ht="12.5" hidden="1" x14ac:dyDescent="0.25">
      <c r="A1123" s="10" t="s">
        <v>12</v>
      </c>
      <c r="B1123" s="10" t="s">
        <v>1633</v>
      </c>
      <c r="C1123" s="10" t="s">
        <v>191</v>
      </c>
      <c r="D1123" s="11">
        <v>2024</v>
      </c>
      <c r="E1123" s="10" t="s">
        <v>124</v>
      </c>
      <c r="F1123" s="10" t="s">
        <v>125</v>
      </c>
      <c r="G1123" s="10" t="s">
        <v>84</v>
      </c>
      <c r="H1123" s="12">
        <v>235.666666666667</v>
      </c>
      <c r="I1123" s="11">
        <v>5</v>
      </c>
      <c r="J1123" s="11">
        <v>3</v>
      </c>
      <c r="K1123" s="11">
        <v>0</v>
      </c>
      <c r="L1123" s="11">
        <v>2.12164073550212E-2</v>
      </c>
      <c r="M1123" s="11">
        <f t="shared" si="4"/>
        <v>2.1216407355021185</v>
      </c>
      <c r="N1123" s="11">
        <v>0.6</v>
      </c>
      <c r="O1123" s="11">
        <v>0</v>
      </c>
      <c r="P1123" s="11">
        <v>0.41299019607843102</v>
      </c>
      <c r="Q1123" s="11">
        <v>0.30158730158730201</v>
      </c>
      <c r="R1123" s="11">
        <v>0.362403100775194</v>
      </c>
      <c r="S1123" s="10" t="s">
        <v>84</v>
      </c>
      <c r="T1123" s="10" t="s">
        <v>84</v>
      </c>
      <c r="U1123" s="10"/>
      <c r="V1123" s="10"/>
      <c r="W1123" s="10"/>
      <c r="X1123" s="10"/>
      <c r="Y1123" s="10"/>
      <c r="Z1123" s="10"/>
      <c r="AA1123" s="10"/>
    </row>
    <row r="1124" spans="1:27" ht="12.5" hidden="1" x14ac:dyDescent="0.25">
      <c r="A1124" s="10" t="s">
        <v>77</v>
      </c>
      <c r="B1124" s="10" t="s">
        <v>1634</v>
      </c>
      <c r="C1124" s="10" t="s">
        <v>191</v>
      </c>
      <c r="D1124" s="11">
        <v>2024</v>
      </c>
      <c r="E1124" s="10" t="s">
        <v>124</v>
      </c>
      <c r="F1124" s="10" t="s">
        <v>125</v>
      </c>
      <c r="G1124" s="10" t="s">
        <v>84</v>
      </c>
      <c r="H1124" s="12">
        <v>1038</v>
      </c>
      <c r="I1124" s="11">
        <v>22</v>
      </c>
      <c r="J1124" s="11">
        <v>22</v>
      </c>
      <c r="K1124" s="11">
        <v>638</v>
      </c>
      <c r="L1124" s="11">
        <v>2.11946050096339E-2</v>
      </c>
      <c r="M1124" s="11">
        <f t="shared" si="4"/>
        <v>2.1194605009633909</v>
      </c>
      <c r="N1124" s="11">
        <v>1</v>
      </c>
      <c r="O1124" s="11">
        <v>0.61464354527938303</v>
      </c>
      <c r="P1124" s="11">
        <v>0.41176470588235298</v>
      </c>
      <c r="Q1124" s="11">
        <v>0.54347826086956497</v>
      </c>
      <c r="R1124" s="11">
        <v>0.36046511627907002</v>
      </c>
      <c r="S1124" s="10" t="s">
        <v>84</v>
      </c>
      <c r="T1124" s="10" t="s">
        <v>84</v>
      </c>
      <c r="U1124" s="10"/>
      <c r="V1124" s="10"/>
      <c r="W1124" s="10"/>
      <c r="X1124" s="10"/>
      <c r="Y1124" s="10"/>
      <c r="Z1124" s="10"/>
      <c r="AA1124" s="10"/>
    </row>
    <row r="1125" spans="1:27" ht="12.5" x14ac:dyDescent="0.25">
      <c r="A1125" s="10" t="s">
        <v>12</v>
      </c>
      <c r="B1125" s="10" t="s">
        <v>1049</v>
      </c>
      <c r="C1125" s="10" t="s">
        <v>76</v>
      </c>
      <c r="D1125" s="11">
        <v>2024</v>
      </c>
      <c r="E1125" s="10" t="s">
        <v>81</v>
      </c>
      <c r="F1125" s="10" t="s">
        <v>83</v>
      </c>
      <c r="G1125" s="10" t="s">
        <v>84</v>
      </c>
      <c r="H1125" s="11">
        <v>29420</v>
      </c>
      <c r="I1125" s="11">
        <v>622</v>
      </c>
      <c r="J1125" s="11">
        <v>428</v>
      </c>
      <c r="K1125" s="11">
        <v>2712</v>
      </c>
      <c r="L1125" s="11">
        <v>2.1142080217539098E-2</v>
      </c>
      <c r="M1125" s="11">
        <f t="shared" si="4"/>
        <v>2.114208021753909</v>
      </c>
      <c r="N1125" s="11">
        <v>0.68810289389067503</v>
      </c>
      <c r="O1125" s="11">
        <v>9.2182188987083594E-2</v>
      </c>
      <c r="P1125" s="11">
        <v>0.25253378378378399</v>
      </c>
      <c r="Q1125" s="11">
        <v>0.13888888888888901</v>
      </c>
      <c r="R1125" s="11">
        <v>0.290697674418605</v>
      </c>
      <c r="S1125" s="10" t="s">
        <v>84</v>
      </c>
      <c r="T1125" s="10" t="s">
        <v>84</v>
      </c>
      <c r="U1125" s="10"/>
      <c r="V1125" s="10"/>
      <c r="W1125" s="10"/>
      <c r="X1125" s="10"/>
      <c r="Y1125" s="10"/>
      <c r="Z1125" s="10"/>
      <c r="AA1125" s="10"/>
    </row>
    <row r="1126" spans="1:27" ht="12.5" x14ac:dyDescent="0.25">
      <c r="A1126" s="10" t="s">
        <v>34</v>
      </c>
      <c r="B1126" s="10" t="s">
        <v>1052</v>
      </c>
      <c r="C1126" s="10" t="s">
        <v>76</v>
      </c>
      <c r="D1126" s="11">
        <v>2024</v>
      </c>
      <c r="E1126" s="10" t="s">
        <v>81</v>
      </c>
      <c r="F1126" s="10" t="s">
        <v>83</v>
      </c>
      <c r="G1126" s="10" t="s">
        <v>84</v>
      </c>
      <c r="H1126" s="11">
        <v>47828</v>
      </c>
      <c r="I1126" s="11">
        <v>1010</v>
      </c>
      <c r="J1126" s="11">
        <v>1355</v>
      </c>
      <c r="K1126" s="11">
        <v>13319</v>
      </c>
      <c r="L1126" s="11">
        <v>2.1117300330872599E-2</v>
      </c>
      <c r="M1126" s="11">
        <f t="shared" si="4"/>
        <v>2.1117337124696829</v>
      </c>
      <c r="N1126" s="11">
        <v>1.3415841584158399</v>
      </c>
      <c r="O1126" s="11">
        <v>0.27847655753157602</v>
      </c>
      <c r="P1126" s="11">
        <v>0.25168918918918898</v>
      </c>
      <c r="Q1126" s="11">
        <v>0.48979591836734698</v>
      </c>
      <c r="R1126" s="11">
        <v>0.28875968992248102</v>
      </c>
      <c r="S1126" s="10" t="s">
        <v>84</v>
      </c>
      <c r="T1126" s="10" t="s">
        <v>84</v>
      </c>
      <c r="U1126" s="10"/>
      <c r="V1126" s="10"/>
      <c r="W1126" s="10"/>
      <c r="X1126" s="10"/>
      <c r="Y1126" s="10"/>
      <c r="Z1126" s="10"/>
      <c r="AA1126" s="10"/>
    </row>
    <row r="1127" spans="1:27" ht="12.5" hidden="1" x14ac:dyDescent="0.25">
      <c r="A1127" s="10" t="s">
        <v>16</v>
      </c>
      <c r="B1127" s="10" t="s">
        <v>1635</v>
      </c>
      <c r="C1127" s="10" t="s">
        <v>191</v>
      </c>
      <c r="D1127" s="11">
        <v>2024</v>
      </c>
      <c r="E1127" s="10" t="s">
        <v>124</v>
      </c>
      <c r="F1127" s="10" t="s">
        <v>125</v>
      </c>
      <c r="G1127" s="10" t="s">
        <v>84</v>
      </c>
      <c r="H1127" s="12">
        <v>29888</v>
      </c>
      <c r="I1127" s="11">
        <v>623</v>
      </c>
      <c r="J1127" s="11">
        <v>381</v>
      </c>
      <c r="K1127" s="11">
        <v>33760</v>
      </c>
      <c r="L1127" s="11">
        <v>2.08442536106619E-2</v>
      </c>
      <c r="M1127" s="11">
        <f t="shared" si="4"/>
        <v>2.0844486081370452</v>
      </c>
      <c r="N1127" s="11">
        <v>0.61155698234349898</v>
      </c>
      <c r="O1127" s="11">
        <v>1.1295377237495099</v>
      </c>
      <c r="P1127" s="11">
        <v>0.40931372549019601</v>
      </c>
      <c r="Q1127" s="11">
        <v>0.25</v>
      </c>
      <c r="R1127" s="11">
        <v>0.35852713178294598</v>
      </c>
      <c r="S1127" s="10" t="s">
        <v>84</v>
      </c>
      <c r="T1127" s="10" t="s">
        <v>84</v>
      </c>
      <c r="U1127" s="10"/>
      <c r="V1127" s="10"/>
      <c r="W1127" s="10"/>
      <c r="X1127" s="10"/>
      <c r="Y1127" s="10"/>
      <c r="Z1127" s="10"/>
      <c r="AA1127" s="10"/>
    </row>
    <row r="1128" spans="1:27" ht="12.5" x14ac:dyDescent="0.25">
      <c r="A1128" s="10" t="s">
        <v>118</v>
      </c>
      <c r="B1128" s="10" t="s">
        <v>1055</v>
      </c>
      <c r="C1128" s="10" t="s">
        <v>76</v>
      </c>
      <c r="D1128" s="11">
        <v>2024</v>
      </c>
      <c r="E1128" s="10" t="s">
        <v>81</v>
      </c>
      <c r="F1128" s="10" t="s">
        <v>83</v>
      </c>
      <c r="G1128" s="10" t="s">
        <v>84</v>
      </c>
      <c r="H1128" s="11">
        <v>18150</v>
      </c>
      <c r="I1128" s="11">
        <v>378</v>
      </c>
      <c r="J1128" s="11">
        <v>241</v>
      </c>
      <c r="K1128" s="11">
        <v>3118</v>
      </c>
      <c r="L1128" s="11">
        <v>2.0826924401386601E-2</v>
      </c>
      <c r="M1128" s="11">
        <f t="shared" si="4"/>
        <v>2.0826446280991737</v>
      </c>
      <c r="N1128" s="11">
        <v>0.637566137566138</v>
      </c>
      <c r="O1128" s="11">
        <v>0.171794577469639</v>
      </c>
      <c r="P1128" s="11">
        <v>0.25084459459459502</v>
      </c>
      <c r="Q1128" s="11">
        <v>0.28571428571428598</v>
      </c>
      <c r="R1128" s="11">
        <v>0.28682170542635699</v>
      </c>
      <c r="S1128" s="10" t="s">
        <v>84</v>
      </c>
      <c r="T1128" s="10" t="s">
        <v>84</v>
      </c>
      <c r="U1128" s="10"/>
      <c r="V1128" s="10"/>
      <c r="W1128" s="10"/>
      <c r="X1128" s="10"/>
      <c r="Y1128" s="10"/>
      <c r="Z1128" s="10"/>
      <c r="AA1128" s="10"/>
    </row>
    <row r="1129" spans="1:27" ht="12.5" x14ac:dyDescent="0.25">
      <c r="A1129" s="10" t="s">
        <v>82</v>
      </c>
      <c r="B1129" s="10" t="s">
        <v>1126</v>
      </c>
      <c r="C1129" s="10" t="s">
        <v>76</v>
      </c>
      <c r="D1129" s="11">
        <v>2024</v>
      </c>
      <c r="E1129" s="10" t="s">
        <v>124</v>
      </c>
      <c r="F1129" s="10" t="s">
        <v>83</v>
      </c>
      <c r="G1129" s="10" t="s">
        <v>84</v>
      </c>
      <c r="H1129" s="11">
        <v>3601</v>
      </c>
      <c r="I1129" s="11">
        <v>75</v>
      </c>
      <c r="J1129" s="11">
        <v>75</v>
      </c>
      <c r="K1129" s="11">
        <v>1601</v>
      </c>
      <c r="L1129" s="11">
        <v>2.0825138255778999E-2</v>
      </c>
      <c r="M1129" s="11">
        <f t="shared" si="4"/>
        <v>2.0827547903360175</v>
      </c>
      <c r="N1129" s="11">
        <v>1</v>
      </c>
      <c r="O1129" s="11">
        <v>0.44454728463336202</v>
      </c>
      <c r="P1129" s="11">
        <v>0.25</v>
      </c>
      <c r="Q1129" s="11">
        <v>0.46551724137931</v>
      </c>
      <c r="R1129" s="11">
        <v>0.20357941834451901</v>
      </c>
      <c r="S1129" s="10" t="s">
        <v>84</v>
      </c>
      <c r="T1129" s="10" t="s">
        <v>84</v>
      </c>
      <c r="U1129" s="10"/>
      <c r="V1129" s="10"/>
      <c r="W1129" s="10"/>
      <c r="X1129" s="10"/>
      <c r="Y1129" s="10"/>
      <c r="Z1129" s="10"/>
      <c r="AA1129" s="10"/>
    </row>
    <row r="1130" spans="1:27" ht="12.5" hidden="1" x14ac:dyDescent="0.25">
      <c r="A1130" s="10" t="s">
        <v>58</v>
      </c>
      <c r="B1130" s="10" t="s">
        <v>1636</v>
      </c>
      <c r="C1130" s="10" t="s">
        <v>191</v>
      </c>
      <c r="D1130" s="11">
        <v>2024</v>
      </c>
      <c r="E1130" s="10" t="s">
        <v>124</v>
      </c>
      <c r="F1130" s="10" t="s">
        <v>125</v>
      </c>
      <c r="G1130" s="10" t="s">
        <v>84</v>
      </c>
      <c r="H1130" s="12">
        <v>864.66666666666697</v>
      </c>
      <c r="I1130" s="11">
        <v>18</v>
      </c>
      <c r="J1130" s="11">
        <v>8</v>
      </c>
      <c r="K1130" s="11">
        <v>140</v>
      </c>
      <c r="L1130" s="11">
        <v>2.0817270624518099E-2</v>
      </c>
      <c r="M1130" s="11">
        <f t="shared" si="4"/>
        <v>2.0817270624518112</v>
      </c>
      <c r="N1130" s="11">
        <v>0.44444444444444398</v>
      </c>
      <c r="O1130" s="11">
        <v>0.16191210485736299</v>
      </c>
      <c r="P1130" s="11">
        <v>0.40808823529411797</v>
      </c>
      <c r="Q1130" s="11">
        <v>0.20754716981132099</v>
      </c>
      <c r="R1130" s="11">
        <v>0.35658914728682201</v>
      </c>
      <c r="S1130" s="10" t="s">
        <v>84</v>
      </c>
      <c r="T1130" s="10" t="s">
        <v>84</v>
      </c>
      <c r="U1130" s="10"/>
      <c r="V1130" s="10"/>
      <c r="W1130" s="10"/>
      <c r="X1130" s="10"/>
      <c r="Y1130" s="10"/>
      <c r="Z1130" s="10"/>
      <c r="AA1130" s="10"/>
    </row>
    <row r="1131" spans="1:27" ht="12.5" x14ac:dyDescent="0.25">
      <c r="A1131" s="10" t="s">
        <v>96</v>
      </c>
      <c r="B1131" s="10" t="s">
        <v>1057</v>
      </c>
      <c r="C1131" s="10" t="s">
        <v>76</v>
      </c>
      <c r="D1131" s="11">
        <v>2024</v>
      </c>
      <c r="E1131" s="10" t="s">
        <v>81</v>
      </c>
      <c r="F1131" s="10" t="s">
        <v>83</v>
      </c>
      <c r="G1131" s="10" t="s">
        <v>84</v>
      </c>
      <c r="H1131" s="11">
        <v>7704</v>
      </c>
      <c r="I1131" s="11">
        <v>159</v>
      </c>
      <c r="J1131" s="11">
        <v>126</v>
      </c>
      <c r="K1131" s="11">
        <v>1913</v>
      </c>
      <c r="L1131" s="11">
        <v>2.0637513114771799E-2</v>
      </c>
      <c r="M1131" s="11">
        <f t="shared" si="4"/>
        <v>2.0638629283489096</v>
      </c>
      <c r="N1131" s="11">
        <v>0.79245283018867896</v>
      </c>
      <c r="O1131" s="11">
        <v>0.248299135777098</v>
      </c>
      <c r="P1131" s="11">
        <v>0.24831081081081099</v>
      </c>
      <c r="Q1131" s="11">
        <v>0.41176470588235298</v>
      </c>
      <c r="R1131" s="11">
        <v>0.28488372093023301</v>
      </c>
      <c r="S1131" s="10" t="s">
        <v>84</v>
      </c>
      <c r="T1131" s="10" t="s">
        <v>84</v>
      </c>
      <c r="U1131" s="10"/>
      <c r="V1131" s="10"/>
      <c r="W1131" s="10"/>
      <c r="X1131" s="10"/>
      <c r="Y1131" s="10"/>
      <c r="Z1131" s="10"/>
      <c r="AA1131" s="10"/>
    </row>
    <row r="1132" spans="1:27" ht="12.5" hidden="1" x14ac:dyDescent="0.25">
      <c r="A1132" s="10" t="s">
        <v>77</v>
      </c>
      <c r="B1132" s="10" t="s">
        <v>1637</v>
      </c>
      <c r="C1132" s="10" t="s">
        <v>191</v>
      </c>
      <c r="D1132" s="11">
        <v>2024</v>
      </c>
      <c r="E1132" s="10" t="s">
        <v>124</v>
      </c>
      <c r="F1132" s="10" t="s">
        <v>125</v>
      </c>
      <c r="G1132" s="10" t="s">
        <v>84</v>
      </c>
      <c r="H1132" s="12">
        <v>484.66666666666703</v>
      </c>
      <c r="I1132" s="11">
        <v>10</v>
      </c>
      <c r="J1132" s="11">
        <v>12</v>
      </c>
      <c r="K1132" s="11">
        <v>1252</v>
      </c>
      <c r="L1132" s="11">
        <v>2.0632737276478699E-2</v>
      </c>
      <c r="M1132" s="11">
        <f t="shared" si="4"/>
        <v>2.0632737276478665</v>
      </c>
      <c r="N1132" s="11">
        <v>1.2</v>
      </c>
      <c r="O1132" s="11">
        <v>2.58321870701513</v>
      </c>
      <c r="P1132" s="11">
        <v>0.40563725490196101</v>
      </c>
      <c r="Q1132" s="11">
        <v>0.52173913043478304</v>
      </c>
      <c r="R1132" s="11">
        <v>0.35465116279069803</v>
      </c>
      <c r="S1132" s="10" t="s">
        <v>84</v>
      </c>
      <c r="T1132" s="10" t="s">
        <v>84</v>
      </c>
      <c r="U1132" s="10"/>
      <c r="V1132" s="10"/>
      <c r="W1132" s="10"/>
      <c r="X1132" s="10"/>
      <c r="Y1132" s="10"/>
      <c r="Z1132" s="10"/>
      <c r="AA1132" s="10"/>
    </row>
    <row r="1133" spans="1:27" ht="12.5" x14ac:dyDescent="0.25">
      <c r="A1133" s="10" t="s">
        <v>112</v>
      </c>
      <c r="B1133" s="10" t="s">
        <v>1059</v>
      </c>
      <c r="C1133" s="10" t="s">
        <v>76</v>
      </c>
      <c r="D1133" s="11">
        <v>2024</v>
      </c>
      <c r="E1133" s="10" t="s">
        <v>81</v>
      </c>
      <c r="F1133" s="10" t="s">
        <v>83</v>
      </c>
      <c r="G1133" s="10" t="s">
        <v>84</v>
      </c>
      <c r="H1133" s="11">
        <v>15406</v>
      </c>
      <c r="I1133" s="11">
        <v>317</v>
      </c>
      <c r="J1133" s="11">
        <v>279</v>
      </c>
      <c r="K1133" s="11">
        <v>24136</v>
      </c>
      <c r="L1133" s="11">
        <v>2.0576621409639201E-2</v>
      </c>
      <c r="M1133" s="11">
        <f t="shared" si="4"/>
        <v>2.057639880566013</v>
      </c>
      <c r="N1133" s="11">
        <v>0.88012618296529999</v>
      </c>
      <c r="O1133" s="11">
        <v>1.5666792881484299</v>
      </c>
      <c r="P1133" s="11">
        <v>0.24746621621621601</v>
      </c>
      <c r="Q1133" s="11">
        <v>0.66666666666666696</v>
      </c>
      <c r="R1133" s="11">
        <v>0.28294573643410897</v>
      </c>
      <c r="S1133" s="10" t="s">
        <v>84</v>
      </c>
      <c r="T1133" s="10" t="s">
        <v>84</v>
      </c>
      <c r="U1133" s="10"/>
      <c r="V1133" s="10"/>
      <c r="W1133" s="10"/>
      <c r="X1133" s="10"/>
      <c r="Y1133" s="10"/>
      <c r="Z1133" s="10"/>
      <c r="AA1133" s="10"/>
    </row>
    <row r="1134" spans="1:27" ht="12.5" x14ac:dyDescent="0.25">
      <c r="A1134" s="10" t="s">
        <v>82</v>
      </c>
      <c r="B1134" s="10" t="s">
        <v>1128</v>
      </c>
      <c r="C1134" s="10" t="s">
        <v>76</v>
      </c>
      <c r="D1134" s="11">
        <v>2024</v>
      </c>
      <c r="E1134" s="10" t="s">
        <v>124</v>
      </c>
      <c r="F1134" s="10" t="s">
        <v>83</v>
      </c>
      <c r="G1134" s="10" t="s">
        <v>84</v>
      </c>
      <c r="H1134" s="11">
        <v>8676</v>
      </c>
      <c r="I1134" s="11">
        <v>177</v>
      </c>
      <c r="J1134" s="11">
        <v>177</v>
      </c>
      <c r="K1134" s="11">
        <v>2229</v>
      </c>
      <c r="L1134" s="11">
        <v>2.0402086315041298E-2</v>
      </c>
      <c r="M1134" s="11">
        <f t="shared" si="4"/>
        <v>2.0401106500691562</v>
      </c>
      <c r="N1134" s="11">
        <v>1</v>
      </c>
      <c r="O1134" s="11">
        <v>0.25692796834026499</v>
      </c>
      <c r="P1134" s="11">
        <v>0.24493243243243201</v>
      </c>
      <c r="Q1134" s="11">
        <v>0.44827586206896602</v>
      </c>
      <c r="R1134" s="11">
        <v>0.20134228187919501</v>
      </c>
      <c r="S1134" s="10" t="s">
        <v>84</v>
      </c>
      <c r="T1134" s="10" t="s">
        <v>84</v>
      </c>
      <c r="U1134" s="10"/>
      <c r="V1134" s="10"/>
      <c r="W1134" s="10"/>
      <c r="X1134" s="10"/>
      <c r="Y1134" s="10"/>
      <c r="Z1134" s="10"/>
      <c r="AA1134" s="10"/>
    </row>
    <row r="1135" spans="1:27" ht="12.5" x14ac:dyDescent="0.25">
      <c r="A1135" s="10" t="s">
        <v>118</v>
      </c>
      <c r="B1135" s="10" t="s">
        <v>1062</v>
      </c>
      <c r="C1135" s="10" t="s">
        <v>76</v>
      </c>
      <c r="D1135" s="11">
        <v>2024</v>
      </c>
      <c r="E1135" s="10" t="s">
        <v>81</v>
      </c>
      <c r="F1135" s="10" t="s">
        <v>83</v>
      </c>
      <c r="G1135" s="10" t="s">
        <v>84</v>
      </c>
      <c r="H1135" s="11">
        <v>492</v>
      </c>
      <c r="I1135" s="11">
        <v>10</v>
      </c>
      <c r="J1135" s="11">
        <v>8</v>
      </c>
      <c r="K1135" s="11">
        <v>285</v>
      </c>
      <c r="L1135" s="11">
        <v>2.03320908166723E-2</v>
      </c>
      <c r="M1135" s="11">
        <f t="shared" si="4"/>
        <v>2.0325203252032518</v>
      </c>
      <c r="N1135" s="11">
        <v>0.8</v>
      </c>
      <c r="O1135" s="11">
        <v>0.57946458827516101</v>
      </c>
      <c r="P1135" s="11">
        <v>0.244087837837838</v>
      </c>
      <c r="Q1135" s="11">
        <v>0.214285714285714</v>
      </c>
      <c r="R1135" s="11">
        <v>0.281007751937984</v>
      </c>
      <c r="S1135" s="10" t="s">
        <v>84</v>
      </c>
      <c r="T1135" s="10" t="s">
        <v>84</v>
      </c>
      <c r="U1135" s="10"/>
      <c r="V1135" s="10"/>
      <c r="W1135" s="10"/>
      <c r="X1135" s="10"/>
      <c r="Y1135" s="10"/>
      <c r="Z1135" s="10"/>
      <c r="AA1135" s="10"/>
    </row>
    <row r="1136" spans="1:27" ht="12.5" hidden="1" x14ac:dyDescent="0.25">
      <c r="A1136" s="10" t="s">
        <v>55</v>
      </c>
      <c r="B1136" s="10" t="s">
        <v>1638</v>
      </c>
      <c r="C1136" s="10" t="s">
        <v>191</v>
      </c>
      <c r="D1136" s="11">
        <v>2024</v>
      </c>
      <c r="E1136" s="10" t="s">
        <v>124</v>
      </c>
      <c r="F1136" s="10" t="s">
        <v>125</v>
      </c>
      <c r="G1136" s="10" t="s">
        <v>84</v>
      </c>
      <c r="H1136" s="12">
        <v>344.5</v>
      </c>
      <c r="I1136" s="11">
        <v>7</v>
      </c>
      <c r="J1136" s="11">
        <v>7</v>
      </c>
      <c r="K1136" s="11">
        <v>7</v>
      </c>
      <c r="L1136" s="11">
        <v>2.03193033381713E-2</v>
      </c>
      <c r="M1136" s="11">
        <f t="shared" si="4"/>
        <v>2.0319303338171264</v>
      </c>
      <c r="N1136" s="11">
        <v>1</v>
      </c>
      <c r="O1136" s="11">
        <v>2.03193033381713E-2</v>
      </c>
      <c r="P1136" s="11">
        <v>0.40441176470588203</v>
      </c>
      <c r="Q1136" s="11">
        <v>0.33333333333333298</v>
      </c>
      <c r="R1136" s="11">
        <v>0.35271317829457399</v>
      </c>
      <c r="S1136" s="10" t="s">
        <v>84</v>
      </c>
      <c r="T1136" s="10" t="s">
        <v>84</v>
      </c>
      <c r="U1136" s="10"/>
      <c r="V1136" s="10"/>
      <c r="W1136" s="10"/>
      <c r="X1136" s="10"/>
      <c r="Y1136" s="10"/>
      <c r="Z1136" s="10"/>
      <c r="AA1136" s="10"/>
    </row>
    <row r="1137" spans="1:27" ht="12.5" x14ac:dyDescent="0.25">
      <c r="A1137" s="10" t="s">
        <v>67</v>
      </c>
      <c r="B1137" s="10" t="s">
        <v>1065</v>
      </c>
      <c r="C1137" s="10" t="s">
        <v>76</v>
      </c>
      <c r="D1137" s="11">
        <v>2024</v>
      </c>
      <c r="E1137" s="10" t="s">
        <v>81</v>
      </c>
      <c r="F1137" s="10" t="s">
        <v>83</v>
      </c>
      <c r="G1137" s="10" t="s">
        <v>84</v>
      </c>
      <c r="H1137" s="11">
        <v>12535</v>
      </c>
      <c r="I1137" s="11">
        <v>254</v>
      </c>
      <c r="J1137" s="11">
        <v>207</v>
      </c>
      <c r="K1137" s="11">
        <v>3008</v>
      </c>
      <c r="L1137" s="11">
        <v>2.0264071163588498E-2</v>
      </c>
      <c r="M1137" s="11">
        <f t="shared" si="4"/>
        <v>2.0263262863980853</v>
      </c>
      <c r="N1137" s="11">
        <v>0.81496062992125995</v>
      </c>
      <c r="O1137" s="11">
        <v>0.23997766165383499</v>
      </c>
      <c r="P1137" s="11">
        <v>0.24324324324324301</v>
      </c>
      <c r="Q1137" s="11">
        <v>0.28571428571428598</v>
      </c>
      <c r="R1137" s="11">
        <v>0.27906976744186002</v>
      </c>
      <c r="S1137" s="10" t="s">
        <v>84</v>
      </c>
      <c r="T1137" s="10" t="s">
        <v>84</v>
      </c>
      <c r="U1137" s="10"/>
      <c r="V1137" s="10"/>
      <c r="W1137" s="10"/>
      <c r="X1137" s="10"/>
      <c r="Y1137" s="10"/>
      <c r="Z1137" s="10"/>
      <c r="AA1137" s="10"/>
    </row>
    <row r="1138" spans="1:27" ht="12.5" hidden="1" x14ac:dyDescent="0.25">
      <c r="A1138" s="10" t="s">
        <v>62</v>
      </c>
      <c r="B1138" s="10" t="s">
        <v>1639</v>
      </c>
      <c r="C1138" s="10" t="s">
        <v>191</v>
      </c>
      <c r="D1138" s="11">
        <v>2024</v>
      </c>
      <c r="E1138" s="10" t="s">
        <v>81</v>
      </c>
      <c r="F1138" s="10" t="s">
        <v>125</v>
      </c>
      <c r="G1138" s="10" t="s">
        <v>84</v>
      </c>
      <c r="H1138" s="12">
        <v>18380</v>
      </c>
      <c r="I1138" s="11">
        <v>372</v>
      </c>
      <c r="J1138" s="11">
        <v>235</v>
      </c>
      <c r="K1138" s="11">
        <v>7972</v>
      </c>
      <c r="L1138" s="11">
        <v>2.02389318341532E-2</v>
      </c>
      <c r="M1138" s="11">
        <f t="shared" si="4"/>
        <v>2.0239390642002175</v>
      </c>
      <c r="N1138" s="11">
        <v>0.63172043010752699</v>
      </c>
      <c r="O1138" s="11">
        <v>0.43372248543513198</v>
      </c>
      <c r="P1138" s="11">
        <v>0.40318627450980399</v>
      </c>
      <c r="Q1138" s="11">
        <v>0.56000000000000005</v>
      </c>
      <c r="R1138" s="11">
        <v>0.625</v>
      </c>
      <c r="S1138" s="10" t="s">
        <v>84</v>
      </c>
      <c r="T1138" s="10" t="s">
        <v>84</v>
      </c>
      <c r="U1138" s="10"/>
      <c r="V1138" s="10"/>
      <c r="W1138" s="10"/>
      <c r="X1138" s="10"/>
      <c r="Y1138" s="10"/>
      <c r="Z1138" s="10"/>
      <c r="AA1138" s="10"/>
    </row>
    <row r="1139" spans="1:27" ht="12.5" x14ac:dyDescent="0.25">
      <c r="A1139" s="10" t="s">
        <v>34</v>
      </c>
      <c r="B1139" s="10" t="s">
        <v>1131</v>
      </c>
      <c r="C1139" s="10" t="s">
        <v>76</v>
      </c>
      <c r="D1139" s="11">
        <v>2024</v>
      </c>
      <c r="E1139" s="10" t="s">
        <v>124</v>
      </c>
      <c r="F1139" s="10" t="s">
        <v>125</v>
      </c>
      <c r="G1139" s="10" t="s">
        <v>84</v>
      </c>
      <c r="H1139" s="11">
        <v>547</v>
      </c>
      <c r="I1139" s="11">
        <v>11</v>
      </c>
      <c r="J1139" s="11">
        <v>11</v>
      </c>
      <c r="K1139" s="11">
        <v>29</v>
      </c>
      <c r="L1139" s="11">
        <v>2.0109689213894E-2</v>
      </c>
      <c r="M1139" s="11">
        <f t="shared" si="4"/>
        <v>2.0109689213893969</v>
      </c>
      <c r="N1139" s="11">
        <v>1</v>
      </c>
      <c r="O1139" s="11">
        <v>5.3016453382084099E-2</v>
      </c>
      <c r="P1139" s="11">
        <v>0.24239864864864899</v>
      </c>
      <c r="Q1139" s="11">
        <v>0.469387755102041</v>
      </c>
      <c r="R1139" s="11">
        <v>0.19910514541387</v>
      </c>
      <c r="S1139" s="10" t="s">
        <v>84</v>
      </c>
      <c r="T1139" s="10" t="s">
        <v>84</v>
      </c>
      <c r="U1139" s="10"/>
      <c r="V1139" s="10"/>
      <c r="W1139" s="10"/>
      <c r="X1139" s="10"/>
      <c r="Y1139" s="10"/>
      <c r="Z1139" s="10"/>
      <c r="AA1139" s="10"/>
    </row>
    <row r="1140" spans="1:27" ht="12.5" x14ac:dyDescent="0.25">
      <c r="A1140" s="10" t="s">
        <v>16</v>
      </c>
      <c r="B1140" s="10" t="s">
        <v>1134</v>
      </c>
      <c r="C1140" s="10" t="s">
        <v>76</v>
      </c>
      <c r="D1140" s="11">
        <v>2024</v>
      </c>
      <c r="E1140" s="10" t="s">
        <v>124</v>
      </c>
      <c r="F1140" s="10" t="s">
        <v>83</v>
      </c>
      <c r="G1140" s="10" t="s">
        <v>84</v>
      </c>
      <c r="H1140" s="11">
        <v>31046</v>
      </c>
      <c r="I1140" s="11">
        <v>624</v>
      </c>
      <c r="J1140" s="11">
        <v>440</v>
      </c>
      <c r="K1140" s="11">
        <v>32399</v>
      </c>
      <c r="L1140" s="11">
        <v>2.0099315528117001E-2</v>
      </c>
      <c r="M1140" s="11">
        <f t="shared" si="4"/>
        <v>2.0099207627391613</v>
      </c>
      <c r="N1140" s="11">
        <v>0.70512820512820495</v>
      </c>
      <c r="O1140" s="11">
        <v>1.0435860958260601</v>
      </c>
      <c r="P1140" s="11">
        <v>0.241554054054054</v>
      </c>
      <c r="Q1140" s="11">
        <v>6.6666666666666693E-2</v>
      </c>
      <c r="R1140" s="11">
        <v>0.196868008948546</v>
      </c>
      <c r="S1140" s="10" t="s">
        <v>84</v>
      </c>
      <c r="T1140" s="10" t="s">
        <v>84</v>
      </c>
      <c r="U1140" s="10"/>
      <c r="V1140" s="10"/>
      <c r="W1140" s="10"/>
      <c r="X1140" s="10"/>
      <c r="Y1140" s="10"/>
      <c r="Z1140" s="10"/>
      <c r="AA1140" s="10"/>
    </row>
    <row r="1141" spans="1:27" ht="12.5" x14ac:dyDescent="0.25">
      <c r="A1141" s="10" t="s">
        <v>43</v>
      </c>
      <c r="B1141" s="10" t="s">
        <v>1137</v>
      </c>
      <c r="C1141" s="10" t="s">
        <v>76</v>
      </c>
      <c r="D1141" s="11">
        <v>2024</v>
      </c>
      <c r="E1141" s="10" t="s">
        <v>124</v>
      </c>
      <c r="F1141" s="10" t="s">
        <v>83</v>
      </c>
      <c r="G1141" s="10" t="s">
        <v>84</v>
      </c>
      <c r="H1141" s="11">
        <v>13384</v>
      </c>
      <c r="I1141" s="11">
        <v>269</v>
      </c>
      <c r="J1141" s="11">
        <v>191</v>
      </c>
      <c r="K1141" s="11">
        <v>25221</v>
      </c>
      <c r="L1141" s="11">
        <v>2.0098625224148198E-2</v>
      </c>
      <c r="M1141" s="11">
        <f t="shared" si="4"/>
        <v>2.0098625224148234</v>
      </c>
      <c r="N1141" s="11">
        <v>0.71003717472118999</v>
      </c>
      <c r="O1141" s="11">
        <v>1.8844142259414201</v>
      </c>
      <c r="P1141" s="11">
        <v>0.24070945945945901</v>
      </c>
      <c r="Q1141" s="11">
        <v>0.46153846153846201</v>
      </c>
      <c r="R1141" s="11">
        <v>0.194630872483221</v>
      </c>
      <c r="S1141" s="10" t="s">
        <v>84</v>
      </c>
      <c r="T1141" s="10" t="s">
        <v>84</v>
      </c>
      <c r="U1141" s="10"/>
      <c r="V1141" s="10"/>
      <c r="W1141" s="10"/>
      <c r="X1141" s="10"/>
      <c r="Y1141" s="10"/>
      <c r="Z1141" s="10"/>
      <c r="AA1141" s="10"/>
    </row>
    <row r="1142" spans="1:27" ht="12.5" x14ac:dyDescent="0.25">
      <c r="A1142" s="10" t="s">
        <v>67</v>
      </c>
      <c r="B1142" s="10" t="s">
        <v>1139</v>
      </c>
      <c r="C1142" s="10" t="s">
        <v>76</v>
      </c>
      <c r="D1142" s="11">
        <v>2024</v>
      </c>
      <c r="E1142" s="10" t="s">
        <v>124</v>
      </c>
      <c r="F1142" s="10" t="s">
        <v>83</v>
      </c>
      <c r="G1142" s="10" t="s">
        <v>84</v>
      </c>
      <c r="H1142" s="11">
        <v>10312</v>
      </c>
      <c r="I1142" s="11">
        <v>207</v>
      </c>
      <c r="J1142" s="11">
        <v>203</v>
      </c>
      <c r="K1142" s="11">
        <v>15693</v>
      </c>
      <c r="L1142" s="11">
        <v>2.00728894778948E-2</v>
      </c>
      <c r="M1142" s="11">
        <f t="shared" si="4"/>
        <v>2.0073700543056634</v>
      </c>
      <c r="N1142" s="11">
        <v>0.98067632850241504</v>
      </c>
      <c r="O1142" s="11">
        <v>1.52175775157779</v>
      </c>
      <c r="P1142" s="11">
        <v>0.239864864864865</v>
      </c>
      <c r="Q1142" s="11">
        <v>0.238095238095238</v>
      </c>
      <c r="R1142" s="11">
        <v>0.192393736017897</v>
      </c>
      <c r="S1142" s="10" t="s">
        <v>84</v>
      </c>
      <c r="T1142" s="10" t="s">
        <v>84</v>
      </c>
      <c r="U1142" s="10"/>
      <c r="V1142" s="10"/>
      <c r="W1142" s="10"/>
      <c r="X1142" s="10"/>
      <c r="Y1142" s="10"/>
      <c r="Z1142" s="10"/>
      <c r="AA1142" s="10"/>
    </row>
    <row r="1143" spans="1:27" ht="12.5" hidden="1" x14ac:dyDescent="0.25">
      <c r="A1143" s="10" t="s">
        <v>29</v>
      </c>
      <c r="B1143" s="10" t="s">
        <v>1640</v>
      </c>
      <c r="C1143" s="10" t="s">
        <v>191</v>
      </c>
      <c r="D1143" s="11">
        <v>2024</v>
      </c>
      <c r="E1143" s="10" t="s">
        <v>257</v>
      </c>
      <c r="F1143" s="10" t="s">
        <v>125</v>
      </c>
      <c r="G1143" s="10" t="s">
        <v>84</v>
      </c>
      <c r="H1143" s="12">
        <v>2952</v>
      </c>
      <c r="I1143" s="11">
        <v>59</v>
      </c>
      <c r="J1143" s="11">
        <v>57</v>
      </c>
      <c r="K1143" s="11">
        <v>605</v>
      </c>
      <c r="L1143" s="11">
        <v>1.9983629230291601E-2</v>
      </c>
      <c r="M1143" s="11">
        <f t="shared" si="4"/>
        <v>1.9986449864498645</v>
      </c>
      <c r="N1143" s="11">
        <v>0.96610169491525399</v>
      </c>
      <c r="O1143" s="11">
        <v>0.20491687600553199</v>
      </c>
      <c r="P1143" s="11">
        <v>0.39950980392156898</v>
      </c>
      <c r="Q1143" s="11">
        <v>0.309859154929577</v>
      </c>
      <c r="R1143" s="11">
        <v>8.3333333333333301E-2</v>
      </c>
      <c r="S1143" s="10" t="s">
        <v>84</v>
      </c>
      <c r="T1143" s="10" t="s">
        <v>84</v>
      </c>
      <c r="U1143" s="10"/>
      <c r="V1143" s="10"/>
      <c r="W1143" s="10"/>
      <c r="X1143" s="10"/>
      <c r="Y1143" s="10"/>
      <c r="Z1143" s="10"/>
      <c r="AA1143" s="10"/>
    </row>
    <row r="1144" spans="1:27" ht="12.5" hidden="1" x14ac:dyDescent="0.25">
      <c r="A1144" s="10" t="s">
        <v>16</v>
      </c>
      <c r="B1144" s="10" t="s">
        <v>1641</v>
      </c>
      <c r="C1144" s="10" t="s">
        <v>191</v>
      </c>
      <c r="D1144" s="11">
        <v>2024</v>
      </c>
      <c r="E1144" s="10" t="s">
        <v>124</v>
      </c>
      <c r="F1144" s="10" t="s">
        <v>125</v>
      </c>
      <c r="G1144" s="10" t="s">
        <v>84</v>
      </c>
      <c r="H1144" s="12">
        <v>32449</v>
      </c>
      <c r="I1144" s="11">
        <v>648</v>
      </c>
      <c r="J1144" s="11">
        <v>663</v>
      </c>
      <c r="K1144" s="11">
        <v>12716</v>
      </c>
      <c r="L1144" s="11">
        <v>1.99697987611329E-2</v>
      </c>
      <c r="M1144" s="11">
        <f t="shared" si="4"/>
        <v>1.9969798761132855</v>
      </c>
      <c r="N1144" s="11">
        <v>1.0231481481481499</v>
      </c>
      <c r="O1144" s="11">
        <v>0.39187648309655099</v>
      </c>
      <c r="P1144" s="11">
        <v>0.39828431372549</v>
      </c>
      <c r="Q1144" s="11">
        <v>0.20833333333333301</v>
      </c>
      <c r="R1144" s="11">
        <v>0.35077519379845001</v>
      </c>
      <c r="S1144" s="10" t="s">
        <v>84</v>
      </c>
      <c r="T1144" s="10" t="s">
        <v>84</v>
      </c>
      <c r="U1144" s="10"/>
      <c r="V1144" s="10"/>
      <c r="W1144" s="10"/>
      <c r="X1144" s="10"/>
      <c r="Y1144" s="10"/>
      <c r="Z1144" s="10"/>
      <c r="AA1144" s="10"/>
    </row>
    <row r="1145" spans="1:27" ht="12.5" x14ac:dyDescent="0.25">
      <c r="A1145" s="10" t="s">
        <v>98</v>
      </c>
      <c r="B1145" s="10" t="s">
        <v>1141</v>
      </c>
      <c r="C1145" s="10" t="s">
        <v>76</v>
      </c>
      <c r="D1145" s="11">
        <v>2024</v>
      </c>
      <c r="E1145" s="10" t="s">
        <v>124</v>
      </c>
      <c r="F1145" s="10" t="s">
        <v>83</v>
      </c>
      <c r="G1145" s="10" t="s">
        <v>84</v>
      </c>
      <c r="H1145" s="11">
        <v>8590</v>
      </c>
      <c r="I1145" s="11">
        <v>171</v>
      </c>
      <c r="J1145" s="11">
        <v>152</v>
      </c>
      <c r="K1145" s="11">
        <v>17296</v>
      </c>
      <c r="L1145" s="11">
        <v>1.9905902895668601E-2</v>
      </c>
      <c r="M1145" s="11">
        <f t="shared" si="4"/>
        <v>1.9906868451688007</v>
      </c>
      <c r="N1145" s="11">
        <v>0.88888888888888895</v>
      </c>
      <c r="O1145" s="11">
        <v>2.01340641218412</v>
      </c>
      <c r="P1145" s="11">
        <v>0.23902027027027001</v>
      </c>
      <c r="Q1145" s="11">
        <v>0</v>
      </c>
      <c r="R1145" s="11">
        <v>0.190156599552573</v>
      </c>
      <c r="S1145" s="10" t="s">
        <v>84</v>
      </c>
      <c r="T1145" s="10" t="s">
        <v>84</v>
      </c>
      <c r="U1145" s="10"/>
      <c r="V1145" s="10"/>
      <c r="W1145" s="10"/>
      <c r="X1145" s="10"/>
      <c r="Y1145" s="10"/>
      <c r="Z1145" s="10"/>
      <c r="AA1145" s="10"/>
    </row>
    <row r="1146" spans="1:27" ht="12.5" hidden="1" x14ac:dyDescent="0.25">
      <c r="A1146" s="10" t="s">
        <v>14</v>
      </c>
      <c r="B1146" s="10" t="s">
        <v>1642</v>
      </c>
      <c r="C1146" s="10" t="s">
        <v>191</v>
      </c>
      <c r="D1146" s="11">
        <v>2024</v>
      </c>
      <c r="E1146" s="10" t="s">
        <v>124</v>
      </c>
      <c r="F1146" s="10" t="s">
        <v>125</v>
      </c>
      <c r="G1146" s="10" t="s">
        <v>84</v>
      </c>
      <c r="H1146" s="12">
        <v>1360</v>
      </c>
      <c r="I1146" s="11">
        <v>27</v>
      </c>
      <c r="J1146" s="11">
        <v>16</v>
      </c>
      <c r="K1146" s="11">
        <v>0</v>
      </c>
      <c r="L1146" s="11">
        <v>1.9856591285162699E-2</v>
      </c>
      <c r="M1146" s="11">
        <f t="shared" si="4"/>
        <v>1.9852941176470587</v>
      </c>
      <c r="N1146" s="11">
        <v>0.592592592592593</v>
      </c>
      <c r="O1146" s="11">
        <v>0</v>
      </c>
      <c r="P1146" s="11">
        <v>0.39705882352941202</v>
      </c>
      <c r="Q1146" s="11">
        <v>0.19148936170212799</v>
      </c>
      <c r="R1146" s="11">
        <v>0.34883720930232598</v>
      </c>
      <c r="S1146" s="10" t="s">
        <v>84</v>
      </c>
      <c r="T1146" s="10" t="s">
        <v>84</v>
      </c>
      <c r="U1146" s="10"/>
      <c r="V1146" s="10"/>
      <c r="W1146" s="10"/>
      <c r="X1146" s="10"/>
      <c r="Y1146" s="10"/>
      <c r="Z1146" s="10"/>
      <c r="AA1146" s="10"/>
    </row>
    <row r="1147" spans="1:27" ht="12.5" hidden="1" x14ac:dyDescent="0.25">
      <c r="A1147" s="10" t="s">
        <v>77</v>
      </c>
      <c r="B1147" s="10" t="s">
        <v>1643</v>
      </c>
      <c r="C1147" s="10" t="s">
        <v>191</v>
      </c>
      <c r="D1147" s="11">
        <v>2024</v>
      </c>
      <c r="E1147" s="10" t="s">
        <v>124</v>
      </c>
      <c r="F1147" s="10" t="s">
        <v>125</v>
      </c>
      <c r="G1147" s="10" t="s">
        <v>84</v>
      </c>
      <c r="H1147" s="12">
        <v>1461</v>
      </c>
      <c r="I1147" s="11">
        <v>29</v>
      </c>
      <c r="J1147" s="11">
        <v>21</v>
      </c>
      <c r="K1147" s="11">
        <v>381</v>
      </c>
      <c r="L1147" s="11">
        <v>1.9856213625470701E-2</v>
      </c>
      <c r="M1147" s="11">
        <f t="shared" si="4"/>
        <v>1.9849418206707734</v>
      </c>
      <c r="N1147" s="11">
        <v>0.72413793103448298</v>
      </c>
      <c r="O1147" s="11">
        <v>0.26086956521739102</v>
      </c>
      <c r="P1147" s="11">
        <v>0.39583333333333298</v>
      </c>
      <c r="Q1147" s="11">
        <v>0.5</v>
      </c>
      <c r="R1147" s="11">
        <v>0.346899224806202</v>
      </c>
      <c r="S1147" s="10" t="s">
        <v>84</v>
      </c>
      <c r="T1147" s="10" t="s">
        <v>84</v>
      </c>
      <c r="U1147" s="10"/>
      <c r="V1147" s="10"/>
      <c r="W1147" s="10"/>
      <c r="X1147" s="10"/>
      <c r="Y1147" s="10"/>
      <c r="Z1147" s="10"/>
      <c r="AA1147" s="10"/>
    </row>
    <row r="1148" spans="1:27" ht="12.5" hidden="1" x14ac:dyDescent="0.25">
      <c r="A1148" s="10" t="s">
        <v>12</v>
      </c>
      <c r="B1148" s="10" t="s">
        <v>1644</v>
      </c>
      <c r="C1148" s="10" t="s">
        <v>191</v>
      </c>
      <c r="D1148" s="11">
        <v>2024</v>
      </c>
      <c r="E1148" s="10" t="s">
        <v>124</v>
      </c>
      <c r="F1148" s="10" t="s">
        <v>125</v>
      </c>
      <c r="G1148" s="10" t="s">
        <v>84</v>
      </c>
      <c r="H1148" s="12">
        <v>201.833333333333</v>
      </c>
      <c r="I1148" s="11">
        <v>4</v>
      </c>
      <c r="J1148" s="11">
        <v>2</v>
      </c>
      <c r="K1148" s="11">
        <v>199</v>
      </c>
      <c r="L1148" s="11">
        <v>1.9818331957060301E-2</v>
      </c>
      <c r="M1148" s="11">
        <f t="shared" si="4"/>
        <v>1.9818331957060313</v>
      </c>
      <c r="N1148" s="11">
        <v>0.5</v>
      </c>
      <c r="O1148" s="11">
        <v>0.98596201486374901</v>
      </c>
      <c r="P1148" s="11">
        <v>0.394607843137255</v>
      </c>
      <c r="Q1148" s="11">
        <v>0.28571428571428598</v>
      </c>
      <c r="R1148" s="11">
        <v>0.34496124031007802</v>
      </c>
      <c r="S1148" s="10" t="s">
        <v>84</v>
      </c>
      <c r="T1148" s="10" t="s">
        <v>84</v>
      </c>
      <c r="U1148" s="10"/>
      <c r="V1148" s="10"/>
      <c r="W1148" s="10"/>
      <c r="X1148" s="10"/>
      <c r="Y1148" s="10"/>
      <c r="Z1148" s="10"/>
      <c r="AA1148" s="10"/>
    </row>
    <row r="1149" spans="1:27" ht="12.5" x14ac:dyDescent="0.25">
      <c r="A1149" s="10" t="s">
        <v>43</v>
      </c>
      <c r="B1149" s="10" t="s">
        <v>1144</v>
      </c>
      <c r="C1149" s="10" t="s">
        <v>76</v>
      </c>
      <c r="D1149" s="11">
        <v>2024</v>
      </c>
      <c r="E1149" s="10" t="s">
        <v>124</v>
      </c>
      <c r="F1149" s="10" t="s">
        <v>83</v>
      </c>
      <c r="G1149" s="10" t="s">
        <v>84</v>
      </c>
      <c r="H1149" s="11">
        <v>8801</v>
      </c>
      <c r="I1149" s="11">
        <v>174</v>
      </c>
      <c r="J1149" s="11">
        <v>94</v>
      </c>
      <c r="K1149" s="11">
        <v>6035</v>
      </c>
      <c r="L1149" s="11">
        <v>1.9770480627201499E-2</v>
      </c>
      <c r="M1149" s="11">
        <f t="shared" si="4"/>
        <v>1.9770480627201454</v>
      </c>
      <c r="N1149" s="11">
        <v>0.54022988505747105</v>
      </c>
      <c r="O1149" s="11">
        <v>0.68571753209862496</v>
      </c>
      <c r="P1149" s="11">
        <v>0.237331081081081</v>
      </c>
      <c r="Q1149" s="11">
        <v>0.38461538461538503</v>
      </c>
      <c r="R1149" s="11">
        <v>0.187919463087248</v>
      </c>
      <c r="S1149" s="10" t="s">
        <v>84</v>
      </c>
      <c r="T1149" s="10" t="s">
        <v>84</v>
      </c>
      <c r="U1149" s="10"/>
      <c r="V1149" s="10"/>
      <c r="W1149" s="10"/>
      <c r="X1149" s="10"/>
      <c r="Y1149" s="10"/>
      <c r="Z1149" s="10"/>
      <c r="AA1149" s="10"/>
    </row>
    <row r="1150" spans="1:27" ht="12.5" x14ac:dyDescent="0.25">
      <c r="A1150" s="10" t="s">
        <v>16</v>
      </c>
      <c r="B1150" s="10" t="s">
        <v>1067</v>
      </c>
      <c r="C1150" s="10" t="s">
        <v>76</v>
      </c>
      <c r="D1150" s="11">
        <v>2024</v>
      </c>
      <c r="E1150" s="10" t="s">
        <v>81</v>
      </c>
      <c r="F1150" s="10" t="s">
        <v>83</v>
      </c>
      <c r="G1150" s="10" t="s">
        <v>84</v>
      </c>
      <c r="H1150" s="11">
        <v>28751</v>
      </c>
      <c r="I1150" s="11">
        <v>566</v>
      </c>
      <c r="J1150" s="11">
        <v>458</v>
      </c>
      <c r="K1150" s="11">
        <v>21929</v>
      </c>
      <c r="L1150" s="11">
        <v>1.96862147223438E-2</v>
      </c>
      <c r="M1150" s="11">
        <f t="shared" si="4"/>
        <v>1.9686271781851066</v>
      </c>
      <c r="N1150" s="11">
        <v>0.809187279151943</v>
      </c>
      <c r="O1150" s="11">
        <v>0.76271908594748605</v>
      </c>
      <c r="P1150" s="11">
        <v>0.23648648648648599</v>
      </c>
      <c r="Q1150" s="11">
        <v>3.3333333333333298E-2</v>
      </c>
      <c r="R1150" s="11">
        <v>0.27713178294573598</v>
      </c>
      <c r="S1150" s="10" t="s">
        <v>84</v>
      </c>
      <c r="T1150" s="10" t="s">
        <v>84</v>
      </c>
      <c r="U1150" s="10"/>
      <c r="V1150" s="10"/>
      <c r="W1150" s="10"/>
      <c r="X1150" s="10"/>
      <c r="Y1150" s="10"/>
      <c r="Z1150" s="10"/>
      <c r="AA1150" s="10"/>
    </row>
    <row r="1151" spans="1:27" ht="12.5" x14ac:dyDescent="0.25">
      <c r="A1151" s="10" t="s">
        <v>82</v>
      </c>
      <c r="B1151" s="10" t="s">
        <v>1146</v>
      </c>
      <c r="C1151" s="10" t="s">
        <v>76</v>
      </c>
      <c r="D1151" s="11">
        <v>2024</v>
      </c>
      <c r="E1151" s="10" t="s">
        <v>124</v>
      </c>
      <c r="F1151" s="10" t="s">
        <v>83</v>
      </c>
      <c r="G1151" s="10" t="s">
        <v>84</v>
      </c>
      <c r="H1151" s="11">
        <v>8134</v>
      </c>
      <c r="I1151" s="11">
        <v>160</v>
      </c>
      <c r="J1151" s="11">
        <v>146</v>
      </c>
      <c r="K1151" s="11">
        <v>493</v>
      </c>
      <c r="L1151" s="11">
        <v>1.9670720337680699E-2</v>
      </c>
      <c r="M1151" s="11">
        <f t="shared" si="4"/>
        <v>1.967051880993361</v>
      </c>
      <c r="N1151" s="11">
        <v>0.91249999999999998</v>
      </c>
      <c r="O1151" s="11">
        <v>6.0610407040478702E-2</v>
      </c>
      <c r="P1151" s="11">
        <v>0.235641891891892</v>
      </c>
      <c r="Q1151" s="11">
        <v>0.431034482758621</v>
      </c>
      <c r="R1151" s="11">
        <v>0.18568232662192399</v>
      </c>
      <c r="S1151" s="10" t="s">
        <v>84</v>
      </c>
      <c r="T1151" s="10" t="s">
        <v>84</v>
      </c>
      <c r="U1151" s="10"/>
      <c r="V1151" s="10"/>
      <c r="W1151" s="10"/>
      <c r="X1151" s="10"/>
      <c r="Y1151" s="10"/>
      <c r="Z1151" s="10"/>
      <c r="AA1151" s="10"/>
    </row>
    <row r="1152" spans="1:27" ht="12.5" x14ac:dyDescent="0.25">
      <c r="A1152" s="10" t="s">
        <v>82</v>
      </c>
      <c r="B1152" s="10" t="s">
        <v>1149</v>
      </c>
      <c r="C1152" s="10" t="s">
        <v>76</v>
      </c>
      <c r="D1152" s="11">
        <v>2024</v>
      </c>
      <c r="E1152" s="10" t="s">
        <v>124</v>
      </c>
      <c r="F1152" s="10" t="s">
        <v>83</v>
      </c>
      <c r="G1152" s="10" t="s">
        <v>84</v>
      </c>
      <c r="H1152" s="11">
        <v>5494</v>
      </c>
      <c r="I1152" s="11">
        <v>108</v>
      </c>
      <c r="J1152" s="11">
        <v>70</v>
      </c>
      <c r="K1152" s="11">
        <v>561</v>
      </c>
      <c r="L1152" s="11">
        <v>1.9656615907298398E-2</v>
      </c>
      <c r="M1152" s="11">
        <f t="shared" si="4"/>
        <v>1.9657808518383693</v>
      </c>
      <c r="N1152" s="11">
        <v>0.64814814814814803</v>
      </c>
      <c r="O1152" s="11">
        <v>0.10210519929624499</v>
      </c>
      <c r="P1152" s="11">
        <v>0.23479729729729701</v>
      </c>
      <c r="Q1152" s="11">
        <v>0.41379310344827602</v>
      </c>
      <c r="R1152" s="11">
        <v>0.18344519015659999</v>
      </c>
      <c r="S1152" s="10" t="s">
        <v>84</v>
      </c>
      <c r="T1152" s="10" t="s">
        <v>84</v>
      </c>
      <c r="U1152" s="10"/>
      <c r="V1152" s="10"/>
      <c r="W1152" s="10"/>
      <c r="X1152" s="10"/>
      <c r="Y1152" s="10"/>
      <c r="Z1152" s="10"/>
      <c r="AA1152" s="10"/>
    </row>
    <row r="1153" spans="1:27" ht="12.5" hidden="1" x14ac:dyDescent="0.25">
      <c r="A1153" s="10" t="s">
        <v>101</v>
      </c>
      <c r="B1153" s="10" t="s">
        <v>1645</v>
      </c>
      <c r="C1153" s="10" t="s">
        <v>191</v>
      </c>
      <c r="D1153" s="11">
        <v>2024</v>
      </c>
      <c r="E1153" s="10" t="s">
        <v>124</v>
      </c>
      <c r="F1153" s="10" t="s">
        <v>83</v>
      </c>
      <c r="G1153" s="10" t="s">
        <v>84</v>
      </c>
      <c r="H1153" s="12">
        <v>77246</v>
      </c>
      <c r="I1153" s="11">
        <v>1516</v>
      </c>
      <c r="J1153" s="11">
        <v>1197</v>
      </c>
      <c r="K1153" s="11">
        <v>29869</v>
      </c>
      <c r="L1153" s="11">
        <v>1.9625675198959198E-2</v>
      </c>
      <c r="M1153" s="11">
        <f t="shared" si="4"/>
        <v>1.9625611682158299</v>
      </c>
      <c r="N1153" s="11">
        <v>0.78957783641160995</v>
      </c>
      <c r="O1153" s="11">
        <v>0.38667499506445302</v>
      </c>
      <c r="P1153" s="11">
        <v>0.39338235294117602</v>
      </c>
      <c r="Q1153" s="11">
        <v>0.4</v>
      </c>
      <c r="R1153" s="11">
        <v>0.34302325581395299</v>
      </c>
      <c r="S1153" s="10" t="s">
        <v>84</v>
      </c>
      <c r="T1153" s="10" t="s">
        <v>84</v>
      </c>
      <c r="U1153" s="10"/>
      <c r="V1153" s="10"/>
      <c r="W1153" s="10"/>
      <c r="X1153" s="10"/>
      <c r="Y1153" s="10"/>
      <c r="Z1153" s="10"/>
      <c r="AA1153" s="10"/>
    </row>
    <row r="1154" spans="1:27" ht="12.5" hidden="1" x14ac:dyDescent="0.25">
      <c r="A1154" s="10" t="s">
        <v>36</v>
      </c>
      <c r="B1154" s="10" t="s">
        <v>1646</v>
      </c>
      <c r="C1154" s="10" t="s">
        <v>191</v>
      </c>
      <c r="D1154" s="11">
        <v>2024</v>
      </c>
      <c r="E1154" s="10" t="s">
        <v>124</v>
      </c>
      <c r="F1154" s="10" t="s">
        <v>125</v>
      </c>
      <c r="G1154" s="10" t="s">
        <v>84</v>
      </c>
      <c r="H1154" s="12">
        <v>2396</v>
      </c>
      <c r="I1154" s="11">
        <v>47</v>
      </c>
      <c r="J1154" s="11">
        <v>12</v>
      </c>
      <c r="K1154" s="11">
        <v>269</v>
      </c>
      <c r="L1154" s="11">
        <v>1.9617391304347798E-2</v>
      </c>
      <c r="M1154" s="11">
        <f t="shared" si="4"/>
        <v>1.961602671118531</v>
      </c>
      <c r="N1154" s="11">
        <v>0.25531914893617003</v>
      </c>
      <c r="O1154" s="11">
        <v>0.11227826086956499</v>
      </c>
      <c r="P1154" s="11">
        <v>0.39215686274509798</v>
      </c>
      <c r="Q1154" s="11">
        <v>0.125</v>
      </c>
      <c r="R1154" s="11">
        <v>0.34108527131782901</v>
      </c>
      <c r="S1154" s="10" t="s">
        <v>84</v>
      </c>
      <c r="T1154" s="10" t="s">
        <v>84</v>
      </c>
      <c r="U1154" s="10"/>
      <c r="V1154" s="10"/>
      <c r="W1154" s="10"/>
      <c r="X1154" s="10"/>
      <c r="Y1154" s="10"/>
      <c r="Z1154" s="10"/>
      <c r="AA1154" s="10"/>
    </row>
    <row r="1155" spans="1:27" ht="12.5" x14ac:dyDescent="0.25">
      <c r="A1155" s="10" t="s">
        <v>110</v>
      </c>
      <c r="B1155" s="10" t="s">
        <v>1579</v>
      </c>
      <c r="C1155" s="10" t="s">
        <v>76</v>
      </c>
      <c r="D1155" s="11">
        <v>2024</v>
      </c>
      <c r="E1155" s="10" t="s">
        <v>257</v>
      </c>
      <c r="F1155" s="10" t="s">
        <v>125</v>
      </c>
      <c r="G1155" s="10" t="s">
        <v>84</v>
      </c>
      <c r="H1155" s="11">
        <v>339910</v>
      </c>
      <c r="I1155" s="11">
        <v>6658</v>
      </c>
      <c r="J1155" s="11">
        <v>6570</v>
      </c>
      <c r="K1155" s="11">
        <v>10606</v>
      </c>
      <c r="L1155" s="11">
        <v>1.9587557086245499E-2</v>
      </c>
      <c r="M1155" s="11">
        <f t="shared" si="4"/>
        <v>1.9587537877673502</v>
      </c>
      <c r="N1155" s="11">
        <v>0.98678281766296205</v>
      </c>
      <c r="O1155" s="11">
        <v>3.1202407698516E-2</v>
      </c>
      <c r="P1155" s="11">
        <v>0.23395270270270299</v>
      </c>
      <c r="Q1155" s="11">
        <v>0.42424242424242398</v>
      </c>
      <c r="R1155" s="11">
        <v>0.38636363636363602</v>
      </c>
      <c r="S1155" s="10" t="s">
        <v>84</v>
      </c>
      <c r="T1155" s="10" t="s">
        <v>84</v>
      </c>
      <c r="U1155" s="10"/>
      <c r="V1155" s="10"/>
      <c r="W1155" s="10"/>
      <c r="X1155" s="10"/>
      <c r="Y1155" s="10"/>
      <c r="Z1155" s="10"/>
      <c r="AA1155" s="10"/>
    </row>
    <row r="1156" spans="1:27" ht="12.5" x14ac:dyDescent="0.25">
      <c r="A1156" s="10" t="s">
        <v>34</v>
      </c>
      <c r="B1156" s="10" t="s">
        <v>1069</v>
      </c>
      <c r="C1156" s="10" t="s">
        <v>76</v>
      </c>
      <c r="D1156" s="11">
        <v>2024</v>
      </c>
      <c r="E1156" s="10" t="s">
        <v>81</v>
      </c>
      <c r="F1156" s="10" t="s">
        <v>83</v>
      </c>
      <c r="G1156" s="10" t="s">
        <v>84</v>
      </c>
      <c r="H1156" s="11">
        <v>20732</v>
      </c>
      <c r="I1156" s="11">
        <v>406</v>
      </c>
      <c r="J1156" s="11">
        <v>248</v>
      </c>
      <c r="K1156" s="11">
        <v>10666</v>
      </c>
      <c r="L1156" s="11">
        <v>1.9583725249017199E-2</v>
      </c>
      <c r="M1156" s="11">
        <f t="shared" si="4"/>
        <v>1.9583252942311402</v>
      </c>
      <c r="N1156" s="11">
        <v>0.61083743842364502</v>
      </c>
      <c r="O1156" s="11">
        <v>0.51448279188674195</v>
      </c>
      <c r="P1156" s="11">
        <v>0.233108108108108</v>
      </c>
      <c r="Q1156" s="11">
        <v>0.44897959183673503</v>
      </c>
      <c r="R1156" s="11">
        <v>0.275193798449612</v>
      </c>
      <c r="S1156" s="10" t="s">
        <v>84</v>
      </c>
      <c r="T1156" s="10" t="s">
        <v>84</v>
      </c>
      <c r="U1156" s="10"/>
      <c r="V1156" s="10"/>
      <c r="W1156" s="10"/>
      <c r="X1156" s="10"/>
      <c r="Y1156" s="10"/>
      <c r="Z1156" s="10"/>
      <c r="AA1156" s="10"/>
    </row>
    <row r="1157" spans="1:27" ht="12.5" x14ac:dyDescent="0.25">
      <c r="A1157" s="10" t="s">
        <v>77</v>
      </c>
      <c r="B1157" s="10" t="s">
        <v>1152</v>
      </c>
      <c r="C1157" s="10" t="s">
        <v>76</v>
      </c>
      <c r="D1157" s="11">
        <v>2024</v>
      </c>
      <c r="E1157" s="10" t="s">
        <v>124</v>
      </c>
      <c r="F1157" s="10" t="s">
        <v>83</v>
      </c>
      <c r="G1157" s="10" t="s">
        <v>84</v>
      </c>
      <c r="H1157" s="11">
        <v>14415</v>
      </c>
      <c r="I1157" s="11">
        <v>282</v>
      </c>
      <c r="J1157" s="11">
        <v>304</v>
      </c>
      <c r="K1157" s="11">
        <v>282</v>
      </c>
      <c r="L1157" s="11">
        <v>1.9562615979604899E-2</v>
      </c>
      <c r="M1157" s="11">
        <f t="shared" si="4"/>
        <v>1.9562955254942769</v>
      </c>
      <c r="N1157" s="11">
        <v>1.07801418439716</v>
      </c>
      <c r="O1157" s="11">
        <v>1.9562615979604899E-2</v>
      </c>
      <c r="P1157" s="11">
        <v>0.23226351351351401</v>
      </c>
      <c r="Q1157" s="11">
        <v>0.17857142857142899</v>
      </c>
      <c r="R1157" s="11">
        <v>0.18120805369127499</v>
      </c>
      <c r="S1157" s="10" t="s">
        <v>84</v>
      </c>
      <c r="T1157" s="10" t="s">
        <v>84</v>
      </c>
      <c r="U1157" s="10"/>
      <c r="V1157" s="10"/>
      <c r="W1157" s="10"/>
      <c r="X1157" s="10"/>
      <c r="Y1157" s="10"/>
      <c r="Z1157" s="10"/>
      <c r="AA1157" s="10"/>
    </row>
    <row r="1158" spans="1:27" ht="12.5" x14ac:dyDescent="0.25">
      <c r="A1158" s="10" t="s">
        <v>92</v>
      </c>
      <c r="B1158" s="10" t="s">
        <v>1154</v>
      </c>
      <c r="C1158" s="10" t="s">
        <v>76</v>
      </c>
      <c r="D1158" s="11">
        <v>2024</v>
      </c>
      <c r="E1158" s="10" t="s">
        <v>124</v>
      </c>
      <c r="F1158" s="10" t="s">
        <v>83</v>
      </c>
      <c r="G1158" s="10" t="s">
        <v>84</v>
      </c>
      <c r="H1158" s="11">
        <v>14836</v>
      </c>
      <c r="I1158" s="11">
        <v>290</v>
      </c>
      <c r="J1158" s="11">
        <v>290</v>
      </c>
      <c r="K1158" s="11">
        <v>6727</v>
      </c>
      <c r="L1158" s="11">
        <v>1.95477065147787E-2</v>
      </c>
      <c r="M1158" s="11">
        <f t="shared" si="4"/>
        <v>1.9547047721757886</v>
      </c>
      <c r="N1158" s="11">
        <v>1</v>
      </c>
      <c r="O1158" s="11">
        <v>0.45343938525833299</v>
      </c>
      <c r="P1158" s="11">
        <v>0.231418918918919</v>
      </c>
      <c r="Q1158" s="11">
        <v>0.55555555555555602</v>
      </c>
      <c r="R1158" s="11">
        <v>0.17897091722595099</v>
      </c>
      <c r="S1158" s="10" t="s">
        <v>84</v>
      </c>
      <c r="T1158" s="10" t="s">
        <v>84</v>
      </c>
      <c r="U1158" s="10"/>
      <c r="V1158" s="10"/>
      <c r="W1158" s="10"/>
      <c r="X1158" s="10"/>
      <c r="Y1158" s="10"/>
      <c r="Z1158" s="10"/>
      <c r="AA1158" s="10"/>
    </row>
    <row r="1159" spans="1:27" ht="12.5" x14ac:dyDescent="0.25">
      <c r="A1159" s="10" t="s">
        <v>55</v>
      </c>
      <c r="B1159" s="10" t="s">
        <v>1071</v>
      </c>
      <c r="C1159" s="10" t="s">
        <v>76</v>
      </c>
      <c r="D1159" s="11">
        <v>2024</v>
      </c>
      <c r="E1159" s="10" t="s">
        <v>81</v>
      </c>
      <c r="F1159" s="10" t="s">
        <v>83</v>
      </c>
      <c r="G1159" s="10" t="s">
        <v>84</v>
      </c>
      <c r="H1159" s="11">
        <v>205</v>
      </c>
      <c r="I1159" s="11">
        <v>4</v>
      </c>
      <c r="J1159" s="11">
        <v>4</v>
      </c>
      <c r="K1159" s="11">
        <v>15</v>
      </c>
      <c r="L1159" s="11">
        <v>1.9520130134200901E-2</v>
      </c>
      <c r="M1159" s="11">
        <f t="shared" si="4"/>
        <v>1.9512195121951219</v>
      </c>
      <c r="N1159" s="11">
        <v>1</v>
      </c>
      <c r="O1159" s="11">
        <v>7.3200488003253406E-2</v>
      </c>
      <c r="P1159" s="11">
        <v>0.23057432432432401</v>
      </c>
      <c r="Q1159" s="11">
        <v>0.13636363636363599</v>
      </c>
      <c r="R1159" s="11">
        <v>0.27325581395348802</v>
      </c>
      <c r="S1159" s="10" t="s">
        <v>84</v>
      </c>
      <c r="T1159" s="10" t="s">
        <v>84</v>
      </c>
      <c r="U1159" s="10"/>
      <c r="V1159" s="10"/>
      <c r="W1159" s="10"/>
      <c r="X1159" s="10"/>
      <c r="Y1159" s="10"/>
      <c r="Z1159" s="10"/>
      <c r="AA1159" s="10"/>
    </row>
    <row r="1160" spans="1:27" ht="12.5" x14ac:dyDescent="0.25">
      <c r="A1160" s="10" t="s">
        <v>34</v>
      </c>
      <c r="B1160" s="10" t="s">
        <v>1156</v>
      </c>
      <c r="C1160" s="10" t="s">
        <v>76</v>
      </c>
      <c r="D1160" s="11">
        <v>2024</v>
      </c>
      <c r="E1160" s="10" t="s">
        <v>124</v>
      </c>
      <c r="F1160" s="10" t="s">
        <v>83</v>
      </c>
      <c r="G1160" s="10" t="s">
        <v>84</v>
      </c>
      <c r="H1160" s="11">
        <v>4662</v>
      </c>
      <c r="I1160" s="11">
        <v>91</v>
      </c>
      <c r="J1160" s="11">
        <v>83</v>
      </c>
      <c r="K1160" s="11">
        <v>6561</v>
      </c>
      <c r="L1160" s="11">
        <v>1.95198684375168E-2</v>
      </c>
      <c r="M1160" s="11">
        <f t="shared" si="4"/>
        <v>1.9519519519519519</v>
      </c>
      <c r="N1160" s="11">
        <v>0.91208791208791196</v>
      </c>
      <c r="O1160" s="11">
        <v>1.40736106394008</v>
      </c>
      <c r="P1160" s="11">
        <v>0.22972972972972999</v>
      </c>
      <c r="Q1160" s="11">
        <v>0.42857142857142899</v>
      </c>
      <c r="R1160" s="11">
        <v>0.17673378076062601</v>
      </c>
      <c r="S1160" s="10" t="s">
        <v>84</v>
      </c>
      <c r="T1160" s="10" t="s">
        <v>84</v>
      </c>
      <c r="U1160" s="10"/>
      <c r="V1160" s="10"/>
      <c r="W1160" s="10"/>
      <c r="X1160" s="10"/>
      <c r="Y1160" s="10"/>
      <c r="Z1160" s="10"/>
      <c r="AA1160" s="10"/>
    </row>
    <row r="1161" spans="1:27" ht="12.5" x14ac:dyDescent="0.25">
      <c r="A1161" s="10" t="s">
        <v>109</v>
      </c>
      <c r="B1161" s="10" t="s">
        <v>1073</v>
      </c>
      <c r="C1161" s="10" t="s">
        <v>76</v>
      </c>
      <c r="D1161" s="11">
        <v>2024</v>
      </c>
      <c r="E1161" s="10" t="s">
        <v>81</v>
      </c>
      <c r="F1161" s="10" t="s">
        <v>83</v>
      </c>
      <c r="G1161" s="10" t="s">
        <v>84</v>
      </c>
      <c r="H1161" s="11">
        <v>9227</v>
      </c>
      <c r="I1161" s="11">
        <v>179</v>
      </c>
      <c r="J1161" s="11">
        <v>170</v>
      </c>
      <c r="K1161" s="11">
        <v>1335</v>
      </c>
      <c r="L1161" s="11">
        <v>1.9400464238296899E-2</v>
      </c>
      <c r="M1161" s="11">
        <f t="shared" si="4"/>
        <v>1.9399588165167445</v>
      </c>
      <c r="N1161" s="11">
        <v>0.94972067039106101</v>
      </c>
      <c r="O1161" s="11">
        <v>0.14469061317389101</v>
      </c>
      <c r="P1161" s="11">
        <v>0.228885135135135</v>
      </c>
      <c r="Q1161" s="11">
        <v>0.27777777777777801</v>
      </c>
      <c r="R1161" s="11">
        <v>0.27131782945736399</v>
      </c>
      <c r="S1161" s="10" t="s">
        <v>84</v>
      </c>
      <c r="T1161" s="10" t="s">
        <v>84</v>
      </c>
      <c r="U1161" s="10"/>
      <c r="V1161" s="10"/>
      <c r="W1161" s="10"/>
      <c r="X1161" s="10"/>
      <c r="Y1161" s="10"/>
      <c r="Z1161" s="10"/>
      <c r="AA1161" s="10"/>
    </row>
    <row r="1162" spans="1:27" ht="12.5" x14ac:dyDescent="0.25">
      <c r="A1162" s="10" t="s">
        <v>34</v>
      </c>
      <c r="B1162" s="10" t="s">
        <v>1074</v>
      </c>
      <c r="C1162" s="10" t="s">
        <v>76</v>
      </c>
      <c r="D1162" s="11">
        <v>2024</v>
      </c>
      <c r="E1162" s="10" t="s">
        <v>81</v>
      </c>
      <c r="F1162" s="10" t="s">
        <v>83</v>
      </c>
      <c r="G1162" s="10" t="s">
        <v>84</v>
      </c>
      <c r="H1162" s="11">
        <v>116753</v>
      </c>
      <c r="I1162" s="11">
        <v>2247</v>
      </c>
      <c r="J1162" s="11">
        <v>2297</v>
      </c>
      <c r="K1162" s="11">
        <v>48434</v>
      </c>
      <c r="L1162" s="11">
        <v>1.9245744402182099E-2</v>
      </c>
      <c r="M1162" s="11">
        <f t="shared" si="4"/>
        <v>1.9245758138977158</v>
      </c>
      <c r="N1162" s="11">
        <v>1.0222518914107701</v>
      </c>
      <c r="O1162" s="11">
        <v>0.41484129255687002</v>
      </c>
      <c r="P1162" s="11">
        <v>0.22804054054054099</v>
      </c>
      <c r="Q1162" s="11">
        <v>0.40816326530612201</v>
      </c>
      <c r="R1162" s="11">
        <v>0.26937984496124001</v>
      </c>
      <c r="S1162" s="10" t="s">
        <v>84</v>
      </c>
      <c r="T1162" s="10" t="s">
        <v>84</v>
      </c>
      <c r="U1162" s="10"/>
      <c r="V1162" s="10"/>
      <c r="W1162" s="10"/>
      <c r="X1162" s="10"/>
      <c r="Y1162" s="10"/>
      <c r="Z1162" s="10"/>
      <c r="AA1162" s="10"/>
    </row>
    <row r="1163" spans="1:27" ht="12.5" x14ac:dyDescent="0.25">
      <c r="A1163" s="10" t="s">
        <v>36</v>
      </c>
      <c r="B1163" s="10" t="s">
        <v>1003</v>
      </c>
      <c r="C1163" s="10" t="s">
        <v>76</v>
      </c>
      <c r="D1163" s="11">
        <v>2024</v>
      </c>
      <c r="E1163" s="10" t="s">
        <v>81</v>
      </c>
      <c r="F1163" s="10" t="s">
        <v>83</v>
      </c>
      <c r="G1163" s="10" t="s">
        <v>84</v>
      </c>
      <c r="H1163" s="11">
        <v>13025</v>
      </c>
      <c r="I1163" s="11">
        <v>250</v>
      </c>
      <c r="J1163" s="11">
        <v>206</v>
      </c>
      <c r="K1163" s="11">
        <v>23143</v>
      </c>
      <c r="L1163" s="11">
        <v>1.91941035713829E-2</v>
      </c>
      <c r="M1163" s="11">
        <f t="shared" si="4"/>
        <v>1.9193857965451053</v>
      </c>
      <c r="N1163" s="11">
        <v>0.82399999999999995</v>
      </c>
      <c r="O1163" s="11">
        <v>1.7768365558100601</v>
      </c>
      <c r="P1163" s="11">
        <v>0.227195945945946</v>
      </c>
      <c r="Q1163" s="11">
        <v>0.14893617021276601</v>
      </c>
      <c r="R1163" s="11">
        <v>0.26744186046511598</v>
      </c>
      <c r="S1163" s="10" t="s">
        <v>84</v>
      </c>
      <c r="T1163" s="10" t="s">
        <v>84</v>
      </c>
      <c r="U1163" s="10"/>
      <c r="V1163" s="10"/>
      <c r="W1163" s="10"/>
      <c r="X1163" s="10"/>
      <c r="Y1163" s="10"/>
      <c r="Z1163" s="10"/>
      <c r="AA1163" s="10"/>
    </row>
    <row r="1164" spans="1:27" ht="12.5" x14ac:dyDescent="0.25">
      <c r="A1164" s="10" t="s">
        <v>67</v>
      </c>
      <c r="B1164" s="10" t="s">
        <v>1460</v>
      </c>
      <c r="C1164" s="10" t="s">
        <v>76</v>
      </c>
      <c r="D1164" s="11">
        <v>2024</v>
      </c>
      <c r="E1164" s="10" t="s">
        <v>257</v>
      </c>
      <c r="F1164" s="10" t="s">
        <v>83</v>
      </c>
      <c r="G1164" s="10" t="s">
        <v>84</v>
      </c>
      <c r="H1164" s="11">
        <v>3760</v>
      </c>
      <c r="I1164" s="11">
        <v>72</v>
      </c>
      <c r="J1164" s="11">
        <v>30</v>
      </c>
      <c r="K1164" s="11">
        <v>4239</v>
      </c>
      <c r="L1164" s="11">
        <v>1.9151058406295E-2</v>
      </c>
      <c r="M1164" s="11">
        <f t="shared" si="4"/>
        <v>1.9148936170212765</v>
      </c>
      <c r="N1164" s="11">
        <v>0.41666666666666702</v>
      </c>
      <c r="O1164" s="11">
        <v>1.12751856367062</v>
      </c>
      <c r="P1164" s="11">
        <v>0.22635135135135101</v>
      </c>
      <c r="Q1164" s="11">
        <v>0.19047619047618999</v>
      </c>
      <c r="R1164" s="11">
        <v>0.36363636363636398</v>
      </c>
      <c r="S1164" s="10" t="s">
        <v>84</v>
      </c>
      <c r="T1164" s="10" t="s">
        <v>84</v>
      </c>
      <c r="U1164" s="10"/>
      <c r="V1164" s="10"/>
      <c r="W1164" s="10"/>
      <c r="X1164" s="10"/>
      <c r="Y1164" s="10"/>
      <c r="Z1164" s="10"/>
      <c r="AA1164" s="10"/>
    </row>
    <row r="1165" spans="1:27" ht="12.5" hidden="1" x14ac:dyDescent="0.25">
      <c r="A1165" s="10" t="s">
        <v>58</v>
      </c>
      <c r="B1165" s="10" t="s">
        <v>1647</v>
      </c>
      <c r="C1165" s="10" t="s">
        <v>191</v>
      </c>
      <c r="D1165" s="11">
        <v>2024</v>
      </c>
      <c r="E1165" s="10" t="s">
        <v>124</v>
      </c>
      <c r="F1165" s="10" t="s">
        <v>125</v>
      </c>
      <c r="G1165" s="10" t="s">
        <v>84</v>
      </c>
      <c r="H1165" s="12">
        <v>104.666666666667</v>
      </c>
      <c r="I1165" s="11">
        <v>2</v>
      </c>
      <c r="J1165" s="11">
        <v>0</v>
      </c>
      <c r="K1165" s="11">
        <v>2</v>
      </c>
      <c r="L1165" s="11">
        <v>1.9108280254777101E-2</v>
      </c>
      <c r="M1165" s="11">
        <f t="shared" si="4"/>
        <v>1.910828025477701</v>
      </c>
      <c r="N1165" s="11">
        <v>0</v>
      </c>
      <c r="O1165" s="11">
        <v>1.9108280254777101E-2</v>
      </c>
      <c r="P1165" s="11">
        <v>0.38725490196078399</v>
      </c>
      <c r="Q1165" s="11">
        <v>0.18867924528301899</v>
      </c>
      <c r="R1165" s="11">
        <v>0.33914728682170497</v>
      </c>
      <c r="S1165" s="10" t="s">
        <v>84</v>
      </c>
      <c r="T1165" s="10" t="s">
        <v>84</v>
      </c>
      <c r="U1165" s="10"/>
      <c r="V1165" s="10"/>
      <c r="W1165" s="10"/>
      <c r="X1165" s="10"/>
      <c r="Y1165" s="10"/>
      <c r="Z1165" s="10"/>
      <c r="AA1165" s="10"/>
    </row>
    <row r="1166" spans="1:27" ht="12.5" x14ac:dyDescent="0.25">
      <c r="A1166" s="10" t="s">
        <v>77</v>
      </c>
      <c r="B1166" s="10" t="s">
        <v>1078</v>
      </c>
      <c r="C1166" s="10" t="s">
        <v>76</v>
      </c>
      <c r="D1166" s="11">
        <v>2024</v>
      </c>
      <c r="E1166" s="10" t="s">
        <v>81</v>
      </c>
      <c r="F1166" s="10" t="s">
        <v>125</v>
      </c>
      <c r="G1166" s="10" t="s">
        <v>84</v>
      </c>
      <c r="H1166" s="11">
        <v>14011</v>
      </c>
      <c r="I1166" s="11">
        <v>267</v>
      </c>
      <c r="J1166" s="11">
        <v>209</v>
      </c>
      <c r="K1166" s="11">
        <v>10464</v>
      </c>
      <c r="L1166" s="11">
        <v>1.9056682329150101E-2</v>
      </c>
      <c r="M1166" s="11">
        <f t="shared" si="4"/>
        <v>1.9056455641995576</v>
      </c>
      <c r="N1166" s="11">
        <v>0.78277153558052404</v>
      </c>
      <c r="O1166" s="11">
        <v>0.74685065128174599</v>
      </c>
      <c r="P1166" s="11">
        <v>0.22550675675675699</v>
      </c>
      <c r="Q1166" s="11">
        <v>0.14285714285714299</v>
      </c>
      <c r="R1166" s="11">
        <v>0.265503875968992</v>
      </c>
      <c r="S1166" s="10" t="s">
        <v>84</v>
      </c>
      <c r="T1166" s="10" t="s">
        <v>84</v>
      </c>
      <c r="U1166" s="10"/>
      <c r="V1166" s="10"/>
      <c r="W1166" s="10"/>
      <c r="X1166" s="10"/>
      <c r="Y1166" s="10"/>
      <c r="Z1166" s="10"/>
      <c r="AA1166" s="10"/>
    </row>
    <row r="1167" spans="1:27" ht="12.5" x14ac:dyDescent="0.25">
      <c r="A1167" s="10" t="s">
        <v>82</v>
      </c>
      <c r="B1167" s="10" t="s">
        <v>1158</v>
      </c>
      <c r="C1167" s="10" t="s">
        <v>76</v>
      </c>
      <c r="D1167" s="11">
        <v>2024</v>
      </c>
      <c r="E1167" s="10" t="s">
        <v>124</v>
      </c>
      <c r="F1167" s="10" t="s">
        <v>83</v>
      </c>
      <c r="G1167" s="10" t="s">
        <v>84</v>
      </c>
      <c r="H1167" s="11">
        <v>1426</v>
      </c>
      <c r="I1167" s="11">
        <v>27</v>
      </c>
      <c r="J1167" s="11">
        <v>20</v>
      </c>
      <c r="K1167" s="11">
        <v>135</v>
      </c>
      <c r="L1167" s="11">
        <v>1.89340813464236E-2</v>
      </c>
      <c r="M1167" s="11">
        <f t="shared" si="4"/>
        <v>1.8934081346423561</v>
      </c>
      <c r="N1167" s="11">
        <v>0.74074074074074103</v>
      </c>
      <c r="O1167" s="11">
        <v>9.4670406732117796E-2</v>
      </c>
      <c r="P1167" s="11">
        <v>0.22381756756756799</v>
      </c>
      <c r="Q1167" s="11">
        <v>0.39655172413793099</v>
      </c>
      <c r="R1167" s="11">
        <v>0.17449664429530201</v>
      </c>
      <c r="S1167" s="10" t="s">
        <v>84</v>
      </c>
      <c r="T1167" s="10" t="s">
        <v>84</v>
      </c>
      <c r="U1167" s="10"/>
      <c r="V1167" s="10"/>
      <c r="W1167" s="10"/>
      <c r="X1167" s="10"/>
      <c r="Y1167" s="10"/>
      <c r="Z1167" s="10"/>
      <c r="AA1167" s="10"/>
    </row>
    <row r="1168" spans="1:27" ht="12.5" x14ac:dyDescent="0.25">
      <c r="A1168" s="10" t="s">
        <v>52</v>
      </c>
      <c r="B1168" s="10" t="s">
        <v>1161</v>
      </c>
      <c r="C1168" s="10" t="s">
        <v>76</v>
      </c>
      <c r="D1168" s="11">
        <v>2024</v>
      </c>
      <c r="E1168" s="10" t="s">
        <v>124</v>
      </c>
      <c r="F1168" s="10" t="s">
        <v>83</v>
      </c>
      <c r="G1168" s="10" t="s">
        <v>84</v>
      </c>
      <c r="H1168" s="11">
        <v>10232</v>
      </c>
      <c r="I1168" s="11">
        <v>192</v>
      </c>
      <c r="J1168" s="11">
        <v>123</v>
      </c>
      <c r="K1168" s="11">
        <v>192</v>
      </c>
      <c r="L1168" s="11">
        <v>1.8764659890539499E-2</v>
      </c>
      <c r="M1168" s="11">
        <f t="shared" si="4"/>
        <v>1.8764659890539486</v>
      </c>
      <c r="N1168" s="11">
        <v>0.640625</v>
      </c>
      <c r="O1168" s="11">
        <v>1.8764659890539499E-2</v>
      </c>
      <c r="P1168" s="11">
        <v>0.222972972972973</v>
      </c>
      <c r="Q1168" s="11">
        <v>0.12765957446808501</v>
      </c>
      <c r="R1168" s="11">
        <v>0.17225950782997801</v>
      </c>
      <c r="S1168" s="10" t="s">
        <v>84</v>
      </c>
      <c r="T1168" s="10" t="s">
        <v>84</v>
      </c>
      <c r="U1168" s="10"/>
      <c r="V1168" s="10"/>
      <c r="W1168" s="10"/>
      <c r="X1168" s="10"/>
      <c r="Y1168" s="10"/>
      <c r="Z1168" s="10"/>
      <c r="AA1168" s="10"/>
    </row>
    <row r="1169" spans="1:27" ht="12.5" hidden="1" x14ac:dyDescent="0.25">
      <c r="A1169" s="10" t="s">
        <v>14</v>
      </c>
      <c r="B1169" s="10" t="s">
        <v>1648</v>
      </c>
      <c r="C1169" s="10" t="s">
        <v>191</v>
      </c>
      <c r="D1169" s="11">
        <v>2024</v>
      </c>
      <c r="E1169" s="10" t="s">
        <v>124</v>
      </c>
      <c r="F1169" s="10" t="s">
        <v>125</v>
      </c>
      <c r="G1169" s="10" t="s">
        <v>84</v>
      </c>
      <c r="H1169" s="12">
        <v>4678</v>
      </c>
      <c r="I1169" s="11">
        <v>87</v>
      </c>
      <c r="J1169" s="11">
        <v>79</v>
      </c>
      <c r="K1169" s="11">
        <v>513</v>
      </c>
      <c r="L1169" s="11">
        <v>1.85986852653519E-2</v>
      </c>
      <c r="M1169" s="11">
        <f t="shared" si="4"/>
        <v>1.8597691321077383</v>
      </c>
      <c r="N1169" s="11">
        <v>0.90804597701149403</v>
      </c>
      <c r="O1169" s="11">
        <v>0.10966810966811</v>
      </c>
      <c r="P1169" s="11">
        <v>0.37990196078431399</v>
      </c>
      <c r="Q1169" s="11">
        <v>0.170212765957447</v>
      </c>
      <c r="R1169" s="11">
        <v>0.337209302325581</v>
      </c>
      <c r="S1169" s="10" t="s">
        <v>84</v>
      </c>
      <c r="T1169" s="10" t="s">
        <v>84</v>
      </c>
      <c r="U1169" s="10"/>
      <c r="V1169" s="10"/>
      <c r="W1169" s="10"/>
      <c r="X1169" s="10"/>
      <c r="Y1169" s="10"/>
      <c r="Z1169" s="10"/>
      <c r="AA1169" s="10"/>
    </row>
    <row r="1170" spans="1:27" ht="12.5" x14ac:dyDescent="0.25">
      <c r="A1170" s="10" t="s">
        <v>29</v>
      </c>
      <c r="B1170" s="10" t="s">
        <v>1163</v>
      </c>
      <c r="C1170" s="10" t="s">
        <v>76</v>
      </c>
      <c r="D1170" s="11">
        <v>2024</v>
      </c>
      <c r="E1170" s="10" t="s">
        <v>124</v>
      </c>
      <c r="F1170" s="10" t="s">
        <v>83</v>
      </c>
      <c r="G1170" s="10" t="s">
        <v>84</v>
      </c>
      <c r="H1170" s="11">
        <v>5737</v>
      </c>
      <c r="I1170" s="11">
        <v>106</v>
      </c>
      <c r="J1170" s="11">
        <v>92</v>
      </c>
      <c r="K1170" s="11">
        <v>582</v>
      </c>
      <c r="L1170" s="11">
        <v>1.8476287312077899E-2</v>
      </c>
      <c r="M1170" s="11">
        <f t="shared" si="4"/>
        <v>1.8476555691127767</v>
      </c>
      <c r="N1170" s="11">
        <v>0.86792452830188704</v>
      </c>
      <c r="O1170" s="11">
        <v>0.101445275619144</v>
      </c>
      <c r="P1170" s="11">
        <v>0.22212837837837801</v>
      </c>
      <c r="Q1170" s="11">
        <v>0.14285714285714299</v>
      </c>
      <c r="R1170" s="11">
        <v>0.17002237136465301</v>
      </c>
      <c r="S1170" s="10" t="s">
        <v>84</v>
      </c>
      <c r="T1170" s="10" t="s">
        <v>84</v>
      </c>
      <c r="U1170" s="10"/>
      <c r="V1170" s="10"/>
      <c r="W1170" s="10"/>
      <c r="X1170" s="10"/>
      <c r="Y1170" s="10"/>
      <c r="Z1170" s="10"/>
      <c r="AA1170" s="10"/>
    </row>
    <row r="1171" spans="1:27" ht="12.5" hidden="1" x14ac:dyDescent="0.25">
      <c r="A1171" s="10" t="s">
        <v>53</v>
      </c>
      <c r="B1171" s="10" t="s">
        <v>1649</v>
      </c>
      <c r="C1171" s="10" t="s">
        <v>191</v>
      </c>
      <c r="D1171" s="11">
        <v>2024</v>
      </c>
      <c r="E1171" s="10" t="s">
        <v>124</v>
      </c>
      <c r="F1171" s="10" t="s">
        <v>125</v>
      </c>
      <c r="G1171" s="10" t="s">
        <v>84</v>
      </c>
      <c r="H1171" s="12">
        <v>109.583333333333</v>
      </c>
      <c r="I1171" s="11">
        <v>2</v>
      </c>
      <c r="J1171" s="11">
        <v>1</v>
      </c>
      <c r="K1171" s="11">
        <v>10</v>
      </c>
      <c r="L1171" s="11">
        <v>1.8250950570342199E-2</v>
      </c>
      <c r="M1171" s="11">
        <f t="shared" si="4"/>
        <v>1.8250950570342261</v>
      </c>
      <c r="N1171" s="11">
        <v>0.5</v>
      </c>
      <c r="O1171" s="11">
        <v>9.1254752851711002E-2</v>
      </c>
      <c r="P1171" s="11">
        <v>0.37377450980392202</v>
      </c>
      <c r="Q1171" s="11">
        <v>0.80645161290322598</v>
      </c>
      <c r="R1171" s="11">
        <v>0.33527131782945702</v>
      </c>
      <c r="S1171" s="10" t="s">
        <v>84</v>
      </c>
      <c r="T1171" s="10" t="s">
        <v>84</v>
      </c>
      <c r="U1171" s="10"/>
      <c r="V1171" s="10"/>
      <c r="W1171" s="10"/>
      <c r="X1171" s="10"/>
      <c r="Y1171" s="10"/>
      <c r="Z1171" s="10"/>
      <c r="AA1171" s="10"/>
    </row>
    <row r="1172" spans="1:27" ht="12.5" hidden="1" x14ac:dyDescent="0.25">
      <c r="A1172" s="10" t="s">
        <v>42</v>
      </c>
      <c r="B1172" s="10" t="s">
        <v>1650</v>
      </c>
      <c r="C1172" s="10" t="s">
        <v>191</v>
      </c>
      <c r="D1172" s="11">
        <v>2024</v>
      </c>
      <c r="E1172" s="10" t="s">
        <v>81</v>
      </c>
      <c r="F1172" s="10" t="s">
        <v>125</v>
      </c>
      <c r="G1172" s="10" t="s">
        <v>84</v>
      </c>
      <c r="H1172" s="12">
        <v>715</v>
      </c>
      <c r="I1172" s="11">
        <v>13</v>
      </c>
      <c r="J1172" s="11">
        <v>12</v>
      </c>
      <c r="K1172" s="11">
        <v>147</v>
      </c>
      <c r="L1172" s="11">
        <v>1.8181818181818198E-2</v>
      </c>
      <c r="M1172" s="11">
        <f t="shared" si="4"/>
        <v>1.8181818181818181</v>
      </c>
      <c r="N1172" s="11">
        <v>0.92307692307692302</v>
      </c>
      <c r="O1172" s="11">
        <v>0.205594405594406</v>
      </c>
      <c r="P1172" s="11">
        <v>0.37254901960784298</v>
      </c>
      <c r="Q1172" s="11">
        <v>0.38095238095238099</v>
      </c>
      <c r="R1172" s="11">
        <v>0.58333333333333304</v>
      </c>
      <c r="S1172" s="10" t="s">
        <v>84</v>
      </c>
      <c r="T1172" s="10" t="s">
        <v>84</v>
      </c>
      <c r="U1172" s="10"/>
      <c r="V1172" s="10"/>
      <c r="W1172" s="10"/>
      <c r="X1172" s="10"/>
      <c r="Y1172" s="10"/>
      <c r="Z1172" s="10"/>
      <c r="AA1172" s="10"/>
    </row>
    <row r="1173" spans="1:27" ht="12.5" x14ac:dyDescent="0.25">
      <c r="A1173" s="10" t="s">
        <v>36</v>
      </c>
      <c r="B1173" s="10" t="s">
        <v>1080</v>
      </c>
      <c r="C1173" s="10" t="s">
        <v>76</v>
      </c>
      <c r="D1173" s="11">
        <v>2024</v>
      </c>
      <c r="E1173" s="10" t="s">
        <v>81</v>
      </c>
      <c r="F1173" s="10" t="s">
        <v>83</v>
      </c>
      <c r="G1173" s="10" t="s">
        <v>84</v>
      </c>
      <c r="H1173" s="11">
        <v>37448</v>
      </c>
      <c r="I1173" s="11">
        <v>678</v>
      </c>
      <c r="J1173" s="11">
        <v>3936</v>
      </c>
      <c r="K1173" s="11">
        <v>59754</v>
      </c>
      <c r="L1173" s="11">
        <v>1.81051863258666E-2</v>
      </c>
      <c r="M1173" s="11">
        <f t="shared" si="4"/>
        <v>1.8105105746635333</v>
      </c>
      <c r="N1173" s="11">
        <v>5.80530973451327</v>
      </c>
      <c r="O1173" s="11">
        <v>1.5956597399938599</v>
      </c>
      <c r="P1173" s="11">
        <v>0.22128378378378399</v>
      </c>
      <c r="Q1173" s="11">
        <v>0.12765957446808501</v>
      </c>
      <c r="R1173" s="11">
        <v>0.26356589147286802</v>
      </c>
      <c r="S1173" s="10" t="s">
        <v>84</v>
      </c>
      <c r="T1173" s="10" t="s">
        <v>84</v>
      </c>
      <c r="U1173" s="10"/>
      <c r="V1173" s="10"/>
      <c r="W1173" s="10"/>
      <c r="X1173" s="10"/>
      <c r="Y1173" s="10"/>
      <c r="Z1173" s="10"/>
      <c r="AA1173" s="10"/>
    </row>
    <row r="1174" spans="1:27" ht="12.5" hidden="1" x14ac:dyDescent="0.25">
      <c r="A1174" s="10" t="s">
        <v>13</v>
      </c>
      <c r="B1174" s="10" t="s">
        <v>1651</v>
      </c>
      <c r="C1174" s="10" t="s">
        <v>191</v>
      </c>
      <c r="D1174" s="11">
        <v>2024</v>
      </c>
      <c r="E1174" s="10" t="s">
        <v>124</v>
      </c>
      <c r="F1174" s="10" t="s">
        <v>125</v>
      </c>
      <c r="G1174" s="10" t="s">
        <v>84</v>
      </c>
      <c r="H1174" s="12">
        <v>1496</v>
      </c>
      <c r="I1174" s="11">
        <v>27</v>
      </c>
      <c r="J1174" s="11">
        <v>0</v>
      </c>
      <c r="K1174" s="11">
        <v>3541</v>
      </c>
      <c r="L1174" s="11">
        <v>1.8052150657454899E-2</v>
      </c>
      <c r="M1174" s="11">
        <f t="shared" si="4"/>
        <v>1.8048128342245988</v>
      </c>
      <c r="N1174" s="11">
        <v>0</v>
      </c>
      <c r="O1174" s="11">
        <v>2.3675061288165802</v>
      </c>
      <c r="P1174" s="11">
        <v>0.37009803921568601</v>
      </c>
      <c r="Q1174" s="11">
        <v>0.15517241379310301</v>
      </c>
      <c r="R1174" s="11">
        <v>0.33333333333333298</v>
      </c>
      <c r="S1174" s="10" t="s">
        <v>84</v>
      </c>
      <c r="T1174" s="10" t="s">
        <v>84</v>
      </c>
      <c r="U1174" s="10"/>
      <c r="V1174" s="10"/>
      <c r="W1174" s="10"/>
      <c r="X1174" s="10"/>
      <c r="Y1174" s="10"/>
      <c r="Z1174" s="10"/>
      <c r="AA1174" s="10"/>
    </row>
    <row r="1175" spans="1:27" ht="12.5" hidden="1" x14ac:dyDescent="0.25">
      <c r="A1175" s="10" t="s">
        <v>29</v>
      </c>
      <c r="B1175" s="10" t="s">
        <v>1652</v>
      </c>
      <c r="C1175" s="10" t="s">
        <v>191</v>
      </c>
      <c r="D1175" s="11">
        <v>2024</v>
      </c>
      <c r="E1175" s="10" t="s">
        <v>124</v>
      </c>
      <c r="F1175" s="10" t="s">
        <v>125</v>
      </c>
      <c r="G1175" s="10" t="s">
        <v>84</v>
      </c>
      <c r="H1175" s="12">
        <v>292004</v>
      </c>
      <c r="I1175" s="11">
        <v>5264</v>
      </c>
      <c r="J1175" s="11">
        <v>1262</v>
      </c>
      <c r="K1175" s="11">
        <v>56853</v>
      </c>
      <c r="L1175" s="11">
        <v>1.8027155457675099E-2</v>
      </c>
      <c r="M1175" s="11">
        <f t="shared" si="4"/>
        <v>1.8027150313009412</v>
      </c>
      <c r="N1175" s="11">
        <v>0.23974164133738601</v>
      </c>
      <c r="O1175" s="11">
        <v>0.194699443243769</v>
      </c>
      <c r="P1175" s="11">
        <v>0.36887254901960798</v>
      </c>
      <c r="Q1175" s="11">
        <v>0.29577464788732399</v>
      </c>
      <c r="R1175" s="11">
        <v>0.331395348837209</v>
      </c>
      <c r="S1175" s="10" t="s">
        <v>84</v>
      </c>
      <c r="T1175" s="10" t="s">
        <v>84</v>
      </c>
      <c r="U1175" s="10"/>
      <c r="V1175" s="10"/>
      <c r="W1175" s="10"/>
      <c r="X1175" s="10"/>
      <c r="Y1175" s="10"/>
      <c r="Z1175" s="10"/>
      <c r="AA1175" s="10"/>
    </row>
    <row r="1176" spans="1:27" ht="12.5" hidden="1" x14ac:dyDescent="0.25">
      <c r="A1176" s="10" t="s">
        <v>12</v>
      </c>
      <c r="B1176" s="10" t="s">
        <v>1653</v>
      </c>
      <c r="C1176" s="10" t="s">
        <v>191</v>
      </c>
      <c r="D1176" s="11">
        <v>2024</v>
      </c>
      <c r="E1176" s="10" t="s">
        <v>124</v>
      </c>
      <c r="F1176" s="10" t="s">
        <v>125</v>
      </c>
      <c r="G1176" s="10" t="s">
        <v>84</v>
      </c>
      <c r="H1176" s="12">
        <v>18407</v>
      </c>
      <c r="I1176" s="11">
        <v>331</v>
      </c>
      <c r="J1176" s="11">
        <v>331</v>
      </c>
      <c r="K1176" s="11">
        <v>1617</v>
      </c>
      <c r="L1176" s="11">
        <v>1.7982289346444299E-2</v>
      </c>
      <c r="M1176" s="11">
        <f t="shared" si="4"/>
        <v>1.7982289346444289</v>
      </c>
      <c r="N1176" s="11">
        <v>1</v>
      </c>
      <c r="O1176" s="11">
        <v>8.7847014722659905E-2</v>
      </c>
      <c r="P1176" s="11">
        <v>0.36519607843137297</v>
      </c>
      <c r="Q1176" s="11">
        <v>0.25396825396825401</v>
      </c>
      <c r="R1176" s="11">
        <v>0.32945736434108502</v>
      </c>
      <c r="S1176" s="10" t="s">
        <v>84</v>
      </c>
      <c r="T1176" s="10" t="s">
        <v>84</v>
      </c>
      <c r="U1176" s="10"/>
      <c r="V1176" s="10"/>
      <c r="W1176" s="10"/>
      <c r="X1176" s="10"/>
      <c r="Y1176" s="10"/>
      <c r="Z1176" s="10"/>
      <c r="AA1176" s="10"/>
    </row>
    <row r="1177" spans="1:27" ht="12.5" hidden="1" x14ac:dyDescent="0.25">
      <c r="A1177" s="10" t="s">
        <v>53</v>
      </c>
      <c r="B1177" s="10" t="s">
        <v>1654</v>
      </c>
      <c r="C1177" s="10" t="s">
        <v>191</v>
      </c>
      <c r="D1177" s="11">
        <v>2024</v>
      </c>
      <c r="E1177" s="10" t="s">
        <v>124</v>
      </c>
      <c r="F1177" s="10" t="s">
        <v>125</v>
      </c>
      <c r="G1177" s="10" t="s">
        <v>84</v>
      </c>
      <c r="H1177" s="12">
        <v>278.83333333333297</v>
      </c>
      <c r="I1177" s="11">
        <v>5</v>
      </c>
      <c r="J1177" s="11">
        <v>4</v>
      </c>
      <c r="K1177" s="11">
        <v>584</v>
      </c>
      <c r="L1177" s="11">
        <v>1.7931858936042998E-2</v>
      </c>
      <c r="M1177" s="11">
        <f t="shared" si="4"/>
        <v>1.7931858936043061</v>
      </c>
      <c r="N1177" s="11">
        <v>0.8</v>
      </c>
      <c r="O1177" s="11">
        <v>2.0944411237298302</v>
      </c>
      <c r="P1177" s="11">
        <v>0.36397058823529399</v>
      </c>
      <c r="Q1177" s="11">
        <v>0.77419354838709697</v>
      </c>
      <c r="R1177" s="11">
        <v>0.32751937984496099</v>
      </c>
      <c r="S1177" s="10" t="s">
        <v>84</v>
      </c>
      <c r="T1177" s="10" t="s">
        <v>84</v>
      </c>
      <c r="U1177" s="10"/>
      <c r="V1177" s="10"/>
      <c r="W1177" s="10"/>
      <c r="X1177" s="10"/>
      <c r="Y1177" s="10"/>
      <c r="Z1177" s="10"/>
      <c r="AA1177" s="10"/>
    </row>
    <row r="1178" spans="1:27" ht="12.5" x14ac:dyDescent="0.25">
      <c r="A1178" s="10" t="s">
        <v>110</v>
      </c>
      <c r="B1178" s="10" t="s">
        <v>1461</v>
      </c>
      <c r="C1178" s="10" t="s">
        <v>76</v>
      </c>
      <c r="D1178" s="11">
        <v>2024</v>
      </c>
      <c r="E1178" s="10" t="s">
        <v>257</v>
      </c>
      <c r="F1178" s="10" t="s">
        <v>83</v>
      </c>
      <c r="G1178" s="10" t="s">
        <v>84</v>
      </c>
      <c r="H1178" s="11">
        <v>36924</v>
      </c>
      <c r="I1178" s="11">
        <v>661</v>
      </c>
      <c r="J1178" s="11">
        <v>481</v>
      </c>
      <c r="K1178" s="11">
        <v>16648</v>
      </c>
      <c r="L1178" s="11">
        <v>1.7901474185947799E-2</v>
      </c>
      <c r="M1178" s="11">
        <f t="shared" si="4"/>
        <v>1.7901635792438524</v>
      </c>
      <c r="N1178" s="11">
        <v>0.72768532526475005</v>
      </c>
      <c r="O1178" s="11">
        <v>0.45086799129751798</v>
      </c>
      <c r="P1178" s="11">
        <v>0.22043918918918901</v>
      </c>
      <c r="Q1178" s="11">
        <v>0.39393939393939398</v>
      </c>
      <c r="R1178" s="11">
        <v>0.34090909090909099</v>
      </c>
      <c r="S1178" s="10" t="s">
        <v>84</v>
      </c>
      <c r="T1178" s="10" t="s">
        <v>84</v>
      </c>
      <c r="U1178" s="10"/>
      <c r="V1178" s="10"/>
      <c r="W1178" s="10"/>
      <c r="X1178" s="10"/>
      <c r="Y1178" s="10"/>
      <c r="Z1178" s="10"/>
      <c r="AA1178" s="10"/>
    </row>
    <row r="1179" spans="1:27" ht="12.5" hidden="1" x14ac:dyDescent="0.25">
      <c r="A1179" s="10" t="s">
        <v>29</v>
      </c>
      <c r="B1179" s="10" t="s">
        <v>1655</v>
      </c>
      <c r="C1179" s="10" t="s">
        <v>191</v>
      </c>
      <c r="D1179" s="11">
        <v>2024</v>
      </c>
      <c r="E1179" s="10" t="s">
        <v>124</v>
      </c>
      <c r="F1179" s="10" t="s">
        <v>125</v>
      </c>
      <c r="G1179" s="10" t="s">
        <v>84</v>
      </c>
      <c r="H1179" s="12">
        <v>1622</v>
      </c>
      <c r="I1179" s="11">
        <v>29</v>
      </c>
      <c r="J1179" s="11">
        <v>21</v>
      </c>
      <c r="K1179" s="11">
        <v>0</v>
      </c>
      <c r="L1179" s="11">
        <v>1.78764062259208E-2</v>
      </c>
      <c r="M1179" s="11">
        <f t="shared" si="4"/>
        <v>1.7879161528976573</v>
      </c>
      <c r="N1179" s="11">
        <v>0.72413793103448298</v>
      </c>
      <c r="O1179" s="11">
        <v>0</v>
      </c>
      <c r="P1179" s="11">
        <v>0.36274509803921601</v>
      </c>
      <c r="Q1179" s="11">
        <v>0.28169014084506999</v>
      </c>
      <c r="R1179" s="11">
        <v>0.32558139534883701</v>
      </c>
      <c r="S1179" s="10" t="s">
        <v>84</v>
      </c>
      <c r="T1179" s="10" t="s">
        <v>84</v>
      </c>
      <c r="U1179" s="10"/>
      <c r="V1179" s="10"/>
      <c r="W1179" s="10"/>
      <c r="X1179" s="10"/>
      <c r="Y1179" s="10"/>
      <c r="Z1179" s="10"/>
      <c r="AA1179" s="10"/>
    </row>
    <row r="1180" spans="1:27" ht="12.5" hidden="1" x14ac:dyDescent="0.25">
      <c r="A1180" s="10" t="s">
        <v>10</v>
      </c>
      <c r="B1180" s="10" t="s">
        <v>1656</v>
      </c>
      <c r="C1180" s="10" t="s">
        <v>191</v>
      </c>
      <c r="D1180" s="11">
        <v>2024</v>
      </c>
      <c r="E1180" s="10" t="s">
        <v>124</v>
      </c>
      <c r="F1180" s="10" t="s">
        <v>125</v>
      </c>
      <c r="G1180" s="10" t="s">
        <v>84</v>
      </c>
      <c r="H1180" s="12">
        <v>448</v>
      </c>
      <c r="I1180" s="11">
        <v>8</v>
      </c>
      <c r="J1180" s="11">
        <v>8</v>
      </c>
      <c r="K1180" s="11">
        <v>571</v>
      </c>
      <c r="L1180" s="11">
        <v>1.7857142857142901E-2</v>
      </c>
      <c r="M1180" s="11">
        <f t="shared" si="4"/>
        <v>1.7857142857142856</v>
      </c>
      <c r="N1180" s="11">
        <v>1</v>
      </c>
      <c r="O1180" s="11">
        <v>1.2745535714285701</v>
      </c>
      <c r="P1180" s="11">
        <v>0.36151960784313703</v>
      </c>
      <c r="Q1180" s="11">
        <v>0.20689655172413801</v>
      </c>
      <c r="R1180" s="11">
        <v>0.32364341085271298</v>
      </c>
      <c r="S1180" s="10" t="s">
        <v>84</v>
      </c>
      <c r="T1180" s="10" t="s">
        <v>84</v>
      </c>
      <c r="U1180" s="10"/>
      <c r="V1180" s="10"/>
      <c r="W1180" s="10"/>
      <c r="X1180" s="10"/>
      <c r="Y1180" s="10"/>
      <c r="Z1180" s="10"/>
      <c r="AA1180" s="10"/>
    </row>
    <row r="1181" spans="1:27" ht="12.5" hidden="1" x14ac:dyDescent="0.25">
      <c r="A1181" s="10" t="s">
        <v>13</v>
      </c>
      <c r="B1181" s="10" t="s">
        <v>1657</v>
      </c>
      <c r="C1181" s="10" t="s">
        <v>191</v>
      </c>
      <c r="D1181" s="11">
        <v>2024</v>
      </c>
      <c r="E1181" s="10" t="s">
        <v>124</v>
      </c>
      <c r="F1181" s="10" t="s">
        <v>125</v>
      </c>
      <c r="G1181" s="10" t="s">
        <v>84</v>
      </c>
      <c r="H1181" s="12">
        <v>1347</v>
      </c>
      <c r="I1181" s="11">
        <v>24</v>
      </c>
      <c r="J1181" s="11">
        <v>11</v>
      </c>
      <c r="K1181" s="11">
        <v>634</v>
      </c>
      <c r="L1181" s="11">
        <v>1.7817371937639201E-2</v>
      </c>
      <c r="M1181" s="11">
        <f t="shared" si="4"/>
        <v>1.7817371937639197</v>
      </c>
      <c r="N1181" s="11">
        <v>0.45833333333333298</v>
      </c>
      <c r="O1181" s="11">
        <v>0.47067557535263499</v>
      </c>
      <c r="P1181" s="11">
        <v>0.36029411764705899</v>
      </c>
      <c r="Q1181" s="11">
        <v>0.13793103448275901</v>
      </c>
      <c r="R1181" s="11">
        <v>0.321705426356589</v>
      </c>
      <c r="S1181" s="10" t="s">
        <v>84</v>
      </c>
      <c r="T1181" s="10" t="s">
        <v>84</v>
      </c>
      <c r="U1181" s="10"/>
      <c r="V1181" s="10"/>
      <c r="W1181" s="10"/>
      <c r="X1181" s="10"/>
      <c r="Y1181" s="10"/>
      <c r="Z1181" s="10"/>
      <c r="AA1181" s="10"/>
    </row>
    <row r="1182" spans="1:27" ht="12.5" x14ac:dyDescent="0.25">
      <c r="A1182" s="10" t="s">
        <v>53</v>
      </c>
      <c r="B1182" s="10" t="s">
        <v>1083</v>
      </c>
      <c r="C1182" s="10" t="s">
        <v>76</v>
      </c>
      <c r="D1182" s="11">
        <v>2024</v>
      </c>
      <c r="E1182" s="10" t="s">
        <v>81</v>
      </c>
      <c r="F1182" s="10" t="s">
        <v>83</v>
      </c>
      <c r="G1182" s="10" t="s">
        <v>84</v>
      </c>
      <c r="H1182" s="11">
        <v>7228</v>
      </c>
      <c r="I1182" s="11">
        <v>128</v>
      </c>
      <c r="J1182" s="11">
        <v>98</v>
      </c>
      <c r="K1182" s="11">
        <v>1975</v>
      </c>
      <c r="L1182" s="11">
        <v>1.7709930705284201E-2</v>
      </c>
      <c r="M1182" s="11">
        <f t="shared" si="4"/>
        <v>1.770890979524073</v>
      </c>
      <c r="N1182" s="11">
        <v>0.765625</v>
      </c>
      <c r="O1182" s="11">
        <v>0.27325869642918899</v>
      </c>
      <c r="P1182" s="11">
        <v>0.21875</v>
      </c>
      <c r="Q1182" s="11">
        <v>0.8</v>
      </c>
      <c r="R1182" s="11">
        <v>0.26162790697674398</v>
      </c>
      <c r="S1182" s="10" t="s">
        <v>84</v>
      </c>
      <c r="T1182" s="10" t="s">
        <v>84</v>
      </c>
      <c r="U1182" s="10"/>
      <c r="V1182" s="10"/>
      <c r="W1182" s="10"/>
      <c r="X1182" s="10"/>
      <c r="Y1182" s="10"/>
      <c r="Z1182" s="10"/>
      <c r="AA1182" s="10"/>
    </row>
    <row r="1183" spans="1:27" ht="12.5" x14ac:dyDescent="0.25">
      <c r="A1183" s="10" t="s">
        <v>53</v>
      </c>
      <c r="B1183" s="10" t="s">
        <v>1164</v>
      </c>
      <c r="C1183" s="10" t="s">
        <v>76</v>
      </c>
      <c r="D1183" s="11">
        <v>2024</v>
      </c>
      <c r="E1183" s="10" t="s">
        <v>124</v>
      </c>
      <c r="F1183" s="10" t="s">
        <v>83</v>
      </c>
      <c r="G1183" s="10" t="s">
        <v>84</v>
      </c>
      <c r="H1183" s="11">
        <v>16049</v>
      </c>
      <c r="I1183" s="11">
        <v>284</v>
      </c>
      <c r="J1183" s="11">
        <v>212</v>
      </c>
      <c r="K1183" s="11">
        <v>16687</v>
      </c>
      <c r="L1183" s="11">
        <v>1.7695530943813601E-2</v>
      </c>
      <c r="M1183" s="11">
        <f t="shared" si="4"/>
        <v>1.769580659231105</v>
      </c>
      <c r="N1183" s="11">
        <v>0.74647887323943696</v>
      </c>
      <c r="O1183" s="11">
        <v>1.03973705936414</v>
      </c>
      <c r="P1183" s="11">
        <v>0.21790540540540501</v>
      </c>
      <c r="Q1183" s="11">
        <v>0.77500000000000002</v>
      </c>
      <c r="R1183" s="11">
        <v>0.16778523489932901</v>
      </c>
      <c r="S1183" s="10" t="s">
        <v>84</v>
      </c>
      <c r="T1183" s="10" t="s">
        <v>84</v>
      </c>
      <c r="U1183" s="10"/>
      <c r="V1183" s="10"/>
      <c r="W1183" s="10"/>
      <c r="X1183" s="10"/>
      <c r="Y1183" s="10"/>
      <c r="Z1183" s="10"/>
      <c r="AA1183" s="10"/>
    </row>
    <row r="1184" spans="1:27" ht="12.5" hidden="1" x14ac:dyDescent="0.25">
      <c r="A1184" s="10" t="s">
        <v>29</v>
      </c>
      <c r="B1184" s="10" t="s">
        <v>1658</v>
      </c>
      <c r="C1184" s="10" t="s">
        <v>191</v>
      </c>
      <c r="D1184" s="11">
        <v>2024</v>
      </c>
      <c r="E1184" s="10" t="s">
        <v>124</v>
      </c>
      <c r="F1184" s="10" t="s">
        <v>125</v>
      </c>
      <c r="G1184" s="10" t="s">
        <v>84</v>
      </c>
      <c r="H1184" s="12">
        <v>8712</v>
      </c>
      <c r="I1184" s="11">
        <v>154</v>
      </c>
      <c r="J1184" s="11">
        <v>49</v>
      </c>
      <c r="K1184" s="11">
        <v>0</v>
      </c>
      <c r="L1184" s="11">
        <v>1.76767676767677E-2</v>
      </c>
      <c r="M1184" s="11">
        <f t="shared" si="4"/>
        <v>1.7676767676767675</v>
      </c>
      <c r="N1184" s="11">
        <v>0.31818181818181801</v>
      </c>
      <c r="O1184" s="11">
        <v>0</v>
      </c>
      <c r="P1184" s="11">
        <v>0.35784313725490202</v>
      </c>
      <c r="Q1184" s="11">
        <v>0.26760563380281699</v>
      </c>
      <c r="R1184" s="11">
        <v>0.31976744186046502</v>
      </c>
      <c r="S1184" s="10" t="s">
        <v>84</v>
      </c>
      <c r="T1184" s="10" t="s">
        <v>84</v>
      </c>
      <c r="U1184" s="10"/>
      <c r="V1184" s="10"/>
      <c r="W1184" s="10"/>
      <c r="X1184" s="10"/>
      <c r="Y1184" s="10"/>
      <c r="Z1184" s="10"/>
      <c r="AA1184" s="10"/>
    </row>
    <row r="1185" spans="1:27" ht="12.5" hidden="1" x14ac:dyDescent="0.25">
      <c r="A1185" s="10" t="s">
        <v>12</v>
      </c>
      <c r="B1185" s="10" t="s">
        <v>1659</v>
      </c>
      <c r="C1185" s="10" t="s">
        <v>191</v>
      </c>
      <c r="D1185" s="11">
        <v>2024</v>
      </c>
      <c r="E1185" s="10" t="s">
        <v>124</v>
      </c>
      <c r="F1185" s="10" t="s">
        <v>125</v>
      </c>
      <c r="G1185" s="10" t="s">
        <v>84</v>
      </c>
      <c r="H1185" s="12">
        <v>1076</v>
      </c>
      <c r="I1185" s="11">
        <v>19</v>
      </c>
      <c r="J1185" s="11">
        <v>11</v>
      </c>
      <c r="K1185" s="11">
        <v>1074</v>
      </c>
      <c r="L1185" s="11">
        <v>1.76593602354581E-2</v>
      </c>
      <c r="M1185" s="11">
        <f t="shared" si="4"/>
        <v>1.7657992565055762</v>
      </c>
      <c r="N1185" s="11">
        <v>0.57894736842105299</v>
      </c>
      <c r="O1185" s="11">
        <v>0.99821857330958097</v>
      </c>
      <c r="P1185" s="11">
        <v>0.35661764705882398</v>
      </c>
      <c r="Q1185" s="11">
        <v>0.238095238095238</v>
      </c>
      <c r="R1185" s="11">
        <v>0.31782945736434098</v>
      </c>
      <c r="S1185" s="10" t="s">
        <v>84</v>
      </c>
      <c r="T1185" s="10" t="s">
        <v>84</v>
      </c>
      <c r="U1185" s="10"/>
      <c r="V1185" s="10"/>
      <c r="W1185" s="10"/>
      <c r="X1185" s="10"/>
      <c r="Y1185" s="10"/>
      <c r="Z1185" s="10"/>
      <c r="AA1185" s="10"/>
    </row>
    <row r="1186" spans="1:27" ht="12.5" hidden="1" x14ac:dyDescent="0.25">
      <c r="A1186" s="10" t="s">
        <v>29</v>
      </c>
      <c r="B1186" s="10" t="s">
        <v>1660</v>
      </c>
      <c r="C1186" s="10" t="s">
        <v>191</v>
      </c>
      <c r="D1186" s="11">
        <v>2024</v>
      </c>
      <c r="E1186" s="10" t="s">
        <v>124</v>
      </c>
      <c r="F1186" s="10" t="s">
        <v>125</v>
      </c>
      <c r="G1186" s="10" t="s">
        <v>84</v>
      </c>
      <c r="H1186" s="12">
        <v>18022</v>
      </c>
      <c r="I1186" s="11">
        <v>318</v>
      </c>
      <c r="J1186" s="11">
        <v>318</v>
      </c>
      <c r="K1186" s="11">
        <v>3479</v>
      </c>
      <c r="L1186" s="11">
        <v>1.7644692489446001E-2</v>
      </c>
      <c r="M1186" s="11">
        <f t="shared" si="4"/>
        <v>1.7645100432804353</v>
      </c>
      <c r="N1186" s="11">
        <v>1</v>
      </c>
      <c r="O1186" s="11">
        <v>0.193037374750889</v>
      </c>
      <c r="P1186" s="11">
        <v>0.355392156862745</v>
      </c>
      <c r="Q1186" s="11">
        <v>0.25352112676056299</v>
      </c>
      <c r="R1186" s="11">
        <v>0.315891472868217</v>
      </c>
      <c r="S1186" s="10" t="s">
        <v>84</v>
      </c>
      <c r="T1186" s="10" t="s">
        <v>84</v>
      </c>
      <c r="U1186" s="10"/>
      <c r="V1186" s="10"/>
      <c r="W1186" s="10"/>
      <c r="X1186" s="10"/>
      <c r="Y1186" s="10"/>
      <c r="Z1186" s="10"/>
      <c r="AA1186" s="10"/>
    </row>
    <row r="1187" spans="1:27" ht="12.5" x14ac:dyDescent="0.25">
      <c r="A1187" s="10" t="s">
        <v>92</v>
      </c>
      <c r="B1187" s="10" t="s">
        <v>1165</v>
      </c>
      <c r="C1187" s="10" t="s">
        <v>76</v>
      </c>
      <c r="D1187" s="11">
        <v>2024</v>
      </c>
      <c r="E1187" s="10" t="s">
        <v>124</v>
      </c>
      <c r="F1187" s="10" t="s">
        <v>83</v>
      </c>
      <c r="G1187" s="10" t="s">
        <v>84</v>
      </c>
      <c r="H1187" s="11">
        <v>13459</v>
      </c>
      <c r="I1187" s="11">
        <v>236</v>
      </c>
      <c r="J1187" s="11">
        <v>226</v>
      </c>
      <c r="K1187" s="11">
        <v>629</v>
      </c>
      <c r="L1187" s="11">
        <v>1.7535386558680401E-2</v>
      </c>
      <c r="M1187" s="11">
        <f t="shared" si="4"/>
        <v>1.7534735121480052</v>
      </c>
      <c r="N1187" s="11">
        <v>0.95762711864406802</v>
      </c>
      <c r="O1187" s="11">
        <v>4.6736263328008301E-2</v>
      </c>
      <c r="P1187" s="11">
        <v>0.21706081081081099</v>
      </c>
      <c r="Q1187" s="11">
        <v>0.5</v>
      </c>
      <c r="R1187" s="11">
        <v>0.165548098434004</v>
      </c>
      <c r="S1187" s="10" t="s">
        <v>84</v>
      </c>
      <c r="T1187" s="10" t="s">
        <v>84</v>
      </c>
      <c r="U1187" s="10"/>
      <c r="V1187" s="10"/>
      <c r="W1187" s="10"/>
      <c r="X1187" s="10"/>
      <c r="Y1187" s="10"/>
      <c r="Z1187" s="10"/>
      <c r="AA1187" s="10"/>
    </row>
    <row r="1188" spans="1:27" ht="12.5" x14ac:dyDescent="0.25">
      <c r="A1188" s="10" t="s">
        <v>88</v>
      </c>
      <c r="B1188" s="10" t="s">
        <v>1167</v>
      </c>
      <c r="C1188" s="10" t="s">
        <v>76</v>
      </c>
      <c r="D1188" s="11">
        <v>2024</v>
      </c>
      <c r="E1188" s="10" t="s">
        <v>124</v>
      </c>
      <c r="F1188" s="10" t="s">
        <v>83</v>
      </c>
      <c r="G1188" s="10" t="s">
        <v>84</v>
      </c>
      <c r="H1188" s="11">
        <v>17858</v>
      </c>
      <c r="I1188" s="11">
        <v>308</v>
      </c>
      <c r="J1188" s="11">
        <v>276</v>
      </c>
      <c r="K1188" s="11">
        <v>27312</v>
      </c>
      <c r="L1188" s="11">
        <v>1.72470916531729E-2</v>
      </c>
      <c r="M1188" s="11">
        <f t="shared" si="4"/>
        <v>1.7247172135737485</v>
      </c>
      <c r="N1188" s="11">
        <v>0.89610389610389596</v>
      </c>
      <c r="O1188" s="11">
        <v>1.5293914520501899</v>
      </c>
      <c r="P1188" s="11">
        <v>0.21621621621621601</v>
      </c>
      <c r="Q1188" s="11">
        <v>0.33333333333333298</v>
      </c>
      <c r="R1188" s="11">
        <v>0.16331096196868</v>
      </c>
      <c r="S1188" s="10" t="s">
        <v>84</v>
      </c>
      <c r="T1188" s="10" t="s">
        <v>84</v>
      </c>
      <c r="U1188" s="10"/>
      <c r="V1188" s="10"/>
      <c r="W1188" s="10"/>
      <c r="X1188" s="10"/>
      <c r="Y1188" s="10"/>
      <c r="Z1188" s="10"/>
      <c r="AA1188" s="10"/>
    </row>
    <row r="1189" spans="1:27" ht="12.5" hidden="1" x14ac:dyDescent="0.25">
      <c r="A1189" s="10" t="s">
        <v>77</v>
      </c>
      <c r="B1189" s="10" t="s">
        <v>1661</v>
      </c>
      <c r="C1189" s="10" t="s">
        <v>191</v>
      </c>
      <c r="D1189" s="11">
        <v>2024</v>
      </c>
      <c r="E1189" s="10" t="s">
        <v>124</v>
      </c>
      <c r="F1189" s="10" t="s">
        <v>125</v>
      </c>
      <c r="G1189" s="10" t="s">
        <v>84</v>
      </c>
      <c r="H1189" s="12">
        <v>6204</v>
      </c>
      <c r="I1189" s="11">
        <v>107</v>
      </c>
      <c r="J1189" s="11">
        <v>103</v>
      </c>
      <c r="K1189" s="11">
        <v>2579</v>
      </c>
      <c r="L1189" s="11">
        <v>1.7246474143720599E-2</v>
      </c>
      <c r="M1189" s="11">
        <f t="shared" si="4"/>
        <v>1.7246937459703418</v>
      </c>
      <c r="N1189" s="11">
        <v>0.96261682242990698</v>
      </c>
      <c r="O1189" s="11">
        <v>0.41568838146407</v>
      </c>
      <c r="P1189" s="11">
        <v>0.35171568627451</v>
      </c>
      <c r="Q1189" s="11">
        <v>0.47826086956521702</v>
      </c>
      <c r="R1189" s="11">
        <v>0.31395348837209303</v>
      </c>
      <c r="S1189" s="10" t="s">
        <v>84</v>
      </c>
      <c r="T1189" s="10" t="s">
        <v>84</v>
      </c>
      <c r="U1189" s="10"/>
      <c r="V1189" s="10"/>
      <c r="W1189" s="10"/>
      <c r="X1189" s="10"/>
      <c r="Y1189" s="10"/>
      <c r="Z1189" s="10"/>
      <c r="AA1189" s="10"/>
    </row>
    <row r="1190" spans="1:27" ht="12.5" x14ac:dyDescent="0.25">
      <c r="A1190" s="10" t="s">
        <v>42</v>
      </c>
      <c r="B1190" s="10" t="s">
        <v>1085</v>
      </c>
      <c r="C1190" s="10" t="s">
        <v>76</v>
      </c>
      <c r="D1190" s="11">
        <v>2024</v>
      </c>
      <c r="E1190" s="10" t="s">
        <v>81</v>
      </c>
      <c r="F1190" s="10" t="s">
        <v>83</v>
      </c>
      <c r="G1190" s="10" t="s">
        <v>84</v>
      </c>
      <c r="H1190" s="11">
        <v>16550</v>
      </c>
      <c r="I1190" s="11">
        <v>284</v>
      </c>
      <c r="J1190" s="11">
        <v>225</v>
      </c>
      <c r="K1190" s="11">
        <v>19611</v>
      </c>
      <c r="L1190" s="11">
        <v>1.71601208459215E-2</v>
      </c>
      <c r="M1190" s="11">
        <f t="shared" si="4"/>
        <v>1.7160120845921452</v>
      </c>
      <c r="N1190" s="11">
        <v>0.79225352112676095</v>
      </c>
      <c r="O1190" s="11">
        <v>1.1849546827794599</v>
      </c>
      <c r="P1190" s="11">
        <v>0.21537162162162199</v>
      </c>
      <c r="Q1190" s="11">
        <v>0.16666666666666699</v>
      </c>
      <c r="R1190" s="11">
        <v>0.25968992248062001</v>
      </c>
      <c r="S1190" s="10" t="s">
        <v>84</v>
      </c>
      <c r="T1190" s="10" t="s">
        <v>84</v>
      </c>
      <c r="U1190" s="10"/>
      <c r="V1190" s="10"/>
      <c r="W1190" s="10"/>
      <c r="X1190" s="10"/>
      <c r="Y1190" s="10"/>
      <c r="Z1190" s="10"/>
      <c r="AA1190" s="10"/>
    </row>
    <row r="1191" spans="1:27" ht="12.5" x14ac:dyDescent="0.25">
      <c r="A1191" s="10" t="s">
        <v>12</v>
      </c>
      <c r="B1191" s="10" t="s">
        <v>1086</v>
      </c>
      <c r="C1191" s="10" t="s">
        <v>76</v>
      </c>
      <c r="D1191" s="11">
        <v>2024</v>
      </c>
      <c r="E1191" s="10" t="s">
        <v>81</v>
      </c>
      <c r="F1191" s="10" t="s">
        <v>83</v>
      </c>
      <c r="G1191" s="10" t="s">
        <v>84</v>
      </c>
      <c r="H1191" s="11">
        <v>175</v>
      </c>
      <c r="I1191" s="11">
        <v>3</v>
      </c>
      <c r="J1191" s="11">
        <v>3</v>
      </c>
      <c r="K1191" s="11">
        <v>72</v>
      </c>
      <c r="L1191" s="11">
        <v>1.7142857142857099E-2</v>
      </c>
      <c r="M1191" s="11">
        <f t="shared" si="4"/>
        <v>1.7142857142857144</v>
      </c>
      <c r="N1191" s="11">
        <v>1</v>
      </c>
      <c r="O1191" s="11">
        <v>0.41142857142857098</v>
      </c>
      <c r="P1191" s="11">
        <v>0.214527027027027</v>
      </c>
      <c r="Q1191" s="11">
        <v>0.125</v>
      </c>
      <c r="R1191" s="11">
        <v>0.25775193798449603</v>
      </c>
      <c r="S1191" s="10" t="s">
        <v>84</v>
      </c>
      <c r="T1191" s="10" t="s">
        <v>84</v>
      </c>
      <c r="U1191" s="10"/>
      <c r="V1191" s="10"/>
      <c r="W1191" s="10"/>
      <c r="X1191" s="10"/>
      <c r="Y1191" s="10"/>
      <c r="Z1191" s="10"/>
      <c r="AA1191" s="10"/>
    </row>
    <row r="1192" spans="1:27" ht="12.5" x14ac:dyDescent="0.25">
      <c r="A1192" s="10" t="s">
        <v>82</v>
      </c>
      <c r="B1192" s="10" t="s">
        <v>1169</v>
      </c>
      <c r="C1192" s="10" t="s">
        <v>76</v>
      </c>
      <c r="D1192" s="11">
        <v>2024</v>
      </c>
      <c r="E1192" s="10" t="s">
        <v>124</v>
      </c>
      <c r="F1192" s="10" t="s">
        <v>83</v>
      </c>
      <c r="G1192" s="10" t="s">
        <v>84</v>
      </c>
      <c r="H1192" s="11">
        <v>14538</v>
      </c>
      <c r="I1192" s="11">
        <v>248</v>
      </c>
      <c r="J1192" s="11">
        <v>248</v>
      </c>
      <c r="K1192" s="11">
        <v>4863</v>
      </c>
      <c r="L1192" s="11">
        <v>1.7059035958109099E-2</v>
      </c>
      <c r="M1192" s="11">
        <f t="shared" si="4"/>
        <v>1.7058742605585362</v>
      </c>
      <c r="N1192" s="11">
        <v>1</v>
      </c>
      <c r="O1192" s="11">
        <v>0.33450843493663002</v>
      </c>
      <c r="P1192" s="11">
        <v>0.21368243243243201</v>
      </c>
      <c r="Q1192" s="11">
        <v>0.36206896551724099</v>
      </c>
      <c r="R1192" s="11">
        <v>0.161073825503356</v>
      </c>
      <c r="S1192" s="10" t="s">
        <v>84</v>
      </c>
      <c r="T1192" s="10" t="s">
        <v>84</v>
      </c>
      <c r="U1192" s="10"/>
      <c r="V1192" s="10"/>
      <c r="W1192" s="10"/>
      <c r="X1192" s="10"/>
      <c r="Y1192" s="10"/>
      <c r="Z1192" s="10"/>
      <c r="AA1192" s="10"/>
    </row>
    <row r="1193" spans="1:27" ht="12.5" hidden="1" x14ac:dyDescent="0.25">
      <c r="A1193" s="10" t="s">
        <v>25</v>
      </c>
      <c r="B1193" s="10" t="s">
        <v>1662</v>
      </c>
      <c r="C1193" s="10" t="s">
        <v>191</v>
      </c>
      <c r="D1193" s="11">
        <v>2024</v>
      </c>
      <c r="E1193" s="10" t="s">
        <v>124</v>
      </c>
      <c r="F1193" s="10" t="s">
        <v>125</v>
      </c>
      <c r="G1193" s="10" t="s">
        <v>84</v>
      </c>
      <c r="H1193" s="12">
        <v>13043</v>
      </c>
      <c r="I1193" s="11">
        <v>221</v>
      </c>
      <c r="J1193" s="11">
        <v>20</v>
      </c>
      <c r="K1193" s="11">
        <v>45118</v>
      </c>
      <c r="L1193" s="11">
        <v>1.6943413343896301E-2</v>
      </c>
      <c r="M1193" s="11">
        <f t="shared" si="4"/>
        <v>1.6943954611669094</v>
      </c>
      <c r="N1193" s="11">
        <v>9.0497737556561098E-2</v>
      </c>
      <c r="O1193" s="11">
        <v>3.4590630011308399</v>
      </c>
      <c r="P1193" s="11">
        <v>0.34681372549019601</v>
      </c>
      <c r="Q1193" s="11">
        <v>0.5</v>
      </c>
      <c r="R1193" s="11">
        <v>0.31201550387596899</v>
      </c>
      <c r="S1193" s="10" t="s">
        <v>84</v>
      </c>
      <c r="T1193" s="10" t="s">
        <v>84</v>
      </c>
      <c r="U1193" s="10"/>
      <c r="V1193" s="10"/>
      <c r="W1193" s="10"/>
      <c r="X1193" s="10"/>
      <c r="Y1193" s="10"/>
      <c r="Z1193" s="10"/>
      <c r="AA1193" s="10"/>
    </row>
    <row r="1194" spans="1:27" ht="12.5" x14ac:dyDescent="0.25">
      <c r="A1194" s="10" t="s">
        <v>6</v>
      </c>
      <c r="B1194" s="10" t="s">
        <v>1465</v>
      </c>
      <c r="C1194" s="10" t="s">
        <v>76</v>
      </c>
      <c r="D1194" s="11">
        <v>2024</v>
      </c>
      <c r="E1194" s="10" t="s">
        <v>257</v>
      </c>
      <c r="F1194" s="10" t="s">
        <v>83</v>
      </c>
      <c r="G1194" s="10" t="s">
        <v>84</v>
      </c>
      <c r="H1194" s="11">
        <v>3192</v>
      </c>
      <c r="I1194" s="11">
        <v>54</v>
      </c>
      <c r="J1194" s="11">
        <v>47</v>
      </c>
      <c r="K1194" s="11">
        <v>2925</v>
      </c>
      <c r="L1194" s="11">
        <v>1.6917293233082699E-2</v>
      </c>
      <c r="M1194" s="11">
        <f t="shared" si="4"/>
        <v>1.6917293233082706</v>
      </c>
      <c r="N1194" s="11">
        <v>0.87037037037037002</v>
      </c>
      <c r="O1194" s="11">
        <v>0.91635338345864703</v>
      </c>
      <c r="P1194" s="11">
        <v>0.212837837837838</v>
      </c>
      <c r="Q1194" s="11">
        <v>0.41935483870967699</v>
      </c>
      <c r="R1194" s="11">
        <v>0.31818181818181801</v>
      </c>
      <c r="S1194" s="10" t="s">
        <v>84</v>
      </c>
      <c r="T1194" s="10" t="s">
        <v>84</v>
      </c>
      <c r="U1194" s="10"/>
      <c r="V1194" s="10"/>
      <c r="W1194" s="10"/>
      <c r="X1194" s="10"/>
      <c r="Y1194" s="10"/>
      <c r="Z1194" s="10"/>
      <c r="AA1194" s="10"/>
    </row>
    <row r="1195" spans="1:27" ht="12.5" hidden="1" x14ac:dyDescent="0.25">
      <c r="A1195" s="10" t="s">
        <v>36</v>
      </c>
      <c r="B1195" s="10" t="s">
        <v>1663</v>
      </c>
      <c r="C1195" s="10" t="s">
        <v>191</v>
      </c>
      <c r="D1195" s="11">
        <v>2024</v>
      </c>
      <c r="E1195" s="10" t="s">
        <v>124</v>
      </c>
      <c r="F1195" s="10" t="s">
        <v>125</v>
      </c>
      <c r="G1195" s="10" t="s">
        <v>84</v>
      </c>
      <c r="H1195" s="12">
        <v>1479</v>
      </c>
      <c r="I1195" s="11">
        <v>25</v>
      </c>
      <c r="J1195" s="11">
        <v>19</v>
      </c>
      <c r="K1195" s="11">
        <v>2999</v>
      </c>
      <c r="L1195" s="11">
        <v>1.6905218077313201E-2</v>
      </c>
      <c r="M1195" s="11">
        <f t="shared" si="4"/>
        <v>1.6903313049357673</v>
      </c>
      <c r="N1195" s="11">
        <v>0.76</v>
      </c>
      <c r="O1195" s="11">
        <v>2.0279499605544902</v>
      </c>
      <c r="P1195" s="11">
        <v>0.34558823529411797</v>
      </c>
      <c r="Q1195" s="11">
        <v>0.1</v>
      </c>
      <c r="R1195" s="11">
        <v>0.31007751937984501</v>
      </c>
      <c r="S1195" s="10" t="s">
        <v>84</v>
      </c>
      <c r="T1195" s="10" t="s">
        <v>84</v>
      </c>
      <c r="U1195" s="10"/>
      <c r="V1195" s="10"/>
      <c r="W1195" s="10"/>
      <c r="X1195" s="10"/>
      <c r="Y1195" s="10"/>
      <c r="Z1195" s="10"/>
      <c r="AA1195" s="10"/>
    </row>
    <row r="1196" spans="1:27" ht="12.5" hidden="1" x14ac:dyDescent="0.25">
      <c r="A1196" s="10" t="s">
        <v>34</v>
      </c>
      <c r="B1196" s="10" t="s">
        <v>1664</v>
      </c>
      <c r="C1196" s="10" t="s">
        <v>191</v>
      </c>
      <c r="D1196" s="11">
        <v>2024</v>
      </c>
      <c r="E1196" s="10" t="s">
        <v>124</v>
      </c>
      <c r="F1196" s="10" t="s">
        <v>125</v>
      </c>
      <c r="G1196" s="10" t="s">
        <v>84</v>
      </c>
      <c r="H1196" s="12">
        <v>1007</v>
      </c>
      <c r="I1196" s="11">
        <v>17</v>
      </c>
      <c r="J1196" s="11">
        <v>13</v>
      </c>
      <c r="K1196" s="11">
        <v>990</v>
      </c>
      <c r="L1196" s="11">
        <v>1.6883224364810101E-2</v>
      </c>
      <c r="M1196" s="11">
        <f t="shared" si="4"/>
        <v>1.6881827209533267</v>
      </c>
      <c r="N1196" s="11">
        <v>0.76470588235294101</v>
      </c>
      <c r="O1196" s="11">
        <v>0.98319953653893899</v>
      </c>
      <c r="P1196" s="11">
        <v>0.34436274509803899</v>
      </c>
      <c r="Q1196" s="11">
        <v>0.71428571428571397</v>
      </c>
      <c r="R1196" s="11">
        <v>0.30813953488372098</v>
      </c>
      <c r="S1196" s="10" t="s">
        <v>84</v>
      </c>
      <c r="T1196" s="10" t="s">
        <v>84</v>
      </c>
      <c r="U1196" s="10"/>
      <c r="V1196" s="10"/>
      <c r="W1196" s="10"/>
      <c r="X1196" s="10"/>
      <c r="Y1196" s="10"/>
      <c r="Z1196" s="10"/>
      <c r="AA1196" s="10"/>
    </row>
    <row r="1197" spans="1:27" ht="12.5" hidden="1" x14ac:dyDescent="0.25">
      <c r="A1197" s="10" t="s">
        <v>29</v>
      </c>
      <c r="B1197" s="10" t="s">
        <v>1665</v>
      </c>
      <c r="C1197" s="10" t="s">
        <v>191</v>
      </c>
      <c r="D1197" s="11">
        <v>2024</v>
      </c>
      <c r="E1197" s="10" t="s">
        <v>124</v>
      </c>
      <c r="F1197" s="10" t="s">
        <v>125</v>
      </c>
      <c r="G1197" s="10" t="s">
        <v>84</v>
      </c>
      <c r="H1197" s="12">
        <v>1541</v>
      </c>
      <c r="I1197" s="11">
        <v>26</v>
      </c>
      <c r="J1197" s="11">
        <v>42</v>
      </c>
      <c r="K1197" s="11">
        <v>21</v>
      </c>
      <c r="L1197" s="11">
        <v>1.6869424168694198E-2</v>
      </c>
      <c r="M1197" s="11">
        <f t="shared" si="4"/>
        <v>1.6872160934458142</v>
      </c>
      <c r="N1197" s="11">
        <v>1.6153846153846201</v>
      </c>
      <c r="O1197" s="11">
        <v>1.3625304136253E-2</v>
      </c>
      <c r="P1197" s="11">
        <v>0.34313725490196101</v>
      </c>
      <c r="Q1197" s="11">
        <v>0.23943661971831001</v>
      </c>
      <c r="R1197" s="11">
        <v>0.306201550387597</v>
      </c>
      <c r="S1197" s="10" t="s">
        <v>84</v>
      </c>
      <c r="T1197" s="10" t="s">
        <v>84</v>
      </c>
      <c r="U1197" s="10"/>
      <c r="V1197" s="10"/>
      <c r="W1197" s="10"/>
      <c r="X1197" s="10"/>
      <c r="Y1197" s="10"/>
      <c r="Z1197" s="10"/>
      <c r="AA1197" s="10"/>
    </row>
    <row r="1198" spans="1:27" ht="12.5" hidden="1" x14ac:dyDescent="0.25">
      <c r="A1198" s="10" t="s">
        <v>29</v>
      </c>
      <c r="B1198" s="10" t="s">
        <v>1666</v>
      </c>
      <c r="C1198" s="10" t="s">
        <v>191</v>
      </c>
      <c r="D1198" s="11">
        <v>2024</v>
      </c>
      <c r="E1198" s="10" t="s">
        <v>124</v>
      </c>
      <c r="F1198" s="10" t="s">
        <v>125</v>
      </c>
      <c r="G1198" s="10" t="s">
        <v>84</v>
      </c>
      <c r="H1198" s="12">
        <v>296.75</v>
      </c>
      <c r="I1198" s="11">
        <v>5</v>
      </c>
      <c r="J1198" s="11">
        <v>1</v>
      </c>
      <c r="K1198" s="11">
        <v>160</v>
      </c>
      <c r="L1198" s="11">
        <v>1.6849199663015998E-2</v>
      </c>
      <c r="M1198" s="11">
        <f t="shared" si="4"/>
        <v>1.6849199663016006</v>
      </c>
      <c r="N1198" s="11">
        <v>0.2</v>
      </c>
      <c r="O1198" s="11">
        <v>0.53917438921651195</v>
      </c>
      <c r="P1198" s="11">
        <v>0.34068627450980399</v>
      </c>
      <c r="Q1198" s="11">
        <v>0.22535211267605601</v>
      </c>
      <c r="R1198" s="11">
        <v>0.30426356589147302</v>
      </c>
      <c r="S1198" s="10" t="s">
        <v>84</v>
      </c>
      <c r="T1198" s="10" t="s">
        <v>84</v>
      </c>
      <c r="U1198" s="10"/>
      <c r="V1198" s="10"/>
      <c r="W1198" s="10"/>
      <c r="X1198" s="10"/>
      <c r="Y1198" s="10"/>
      <c r="Z1198" s="10"/>
      <c r="AA1198" s="10"/>
    </row>
    <row r="1199" spans="1:27" ht="12.5" x14ac:dyDescent="0.25">
      <c r="A1199" s="10" t="s">
        <v>110</v>
      </c>
      <c r="B1199" s="10" t="s">
        <v>1466</v>
      </c>
      <c r="C1199" s="10" t="s">
        <v>76</v>
      </c>
      <c r="D1199" s="11">
        <v>2024</v>
      </c>
      <c r="E1199" s="10" t="s">
        <v>257</v>
      </c>
      <c r="F1199" s="10" t="s">
        <v>83</v>
      </c>
      <c r="G1199" s="10" t="s">
        <v>84</v>
      </c>
      <c r="H1199" s="11">
        <v>33838</v>
      </c>
      <c r="I1199" s="11">
        <v>570</v>
      </c>
      <c r="J1199" s="11">
        <v>570</v>
      </c>
      <c r="K1199" s="11">
        <v>30686</v>
      </c>
      <c r="L1199" s="11">
        <v>1.6845050165741501E-2</v>
      </c>
      <c r="M1199" s="11">
        <f t="shared" si="4"/>
        <v>1.6844967196642826</v>
      </c>
      <c r="N1199" s="11">
        <v>1</v>
      </c>
      <c r="O1199" s="11">
        <v>0.90685475330867304</v>
      </c>
      <c r="P1199" s="11">
        <v>0.21199324324324301</v>
      </c>
      <c r="Q1199" s="11">
        <v>0.36363636363636398</v>
      </c>
      <c r="R1199" s="11">
        <v>0.29545454545454503</v>
      </c>
      <c r="S1199" s="10" t="s">
        <v>84</v>
      </c>
      <c r="T1199" s="10" t="s">
        <v>84</v>
      </c>
      <c r="U1199" s="10"/>
      <c r="V1199" s="10"/>
      <c r="W1199" s="10"/>
      <c r="X1199" s="10"/>
      <c r="Y1199" s="10"/>
      <c r="Z1199" s="10"/>
      <c r="AA1199" s="10"/>
    </row>
    <row r="1200" spans="1:27" ht="12.5" x14ac:dyDescent="0.25">
      <c r="A1200" s="10" t="s">
        <v>6</v>
      </c>
      <c r="B1200" s="10" t="s">
        <v>1468</v>
      </c>
      <c r="C1200" s="10" t="s">
        <v>76</v>
      </c>
      <c r="D1200" s="11">
        <v>2024</v>
      </c>
      <c r="E1200" s="10" t="s">
        <v>257</v>
      </c>
      <c r="F1200" s="10" t="s">
        <v>83</v>
      </c>
      <c r="G1200" s="10" t="s">
        <v>84</v>
      </c>
      <c r="H1200" s="11">
        <v>5959</v>
      </c>
      <c r="I1200" s="11">
        <v>99</v>
      </c>
      <c r="J1200" s="11">
        <v>90</v>
      </c>
      <c r="K1200" s="11">
        <v>5765</v>
      </c>
      <c r="L1200" s="11">
        <v>1.6613990434369098E-2</v>
      </c>
      <c r="M1200" s="11">
        <f t="shared" si="4"/>
        <v>1.6613525759355596</v>
      </c>
      <c r="N1200" s="11">
        <v>0.90909090909090895</v>
      </c>
      <c r="O1200" s="11">
        <v>0.96747126115291004</v>
      </c>
      <c r="P1200" s="11">
        <v>0.21114864864864899</v>
      </c>
      <c r="Q1200" s="11">
        <v>0.38709677419354799</v>
      </c>
      <c r="R1200" s="11">
        <v>0.27272727272727298</v>
      </c>
      <c r="S1200" s="10" t="s">
        <v>84</v>
      </c>
      <c r="T1200" s="10" t="s">
        <v>84</v>
      </c>
      <c r="U1200" s="10"/>
      <c r="V1200" s="10"/>
      <c r="W1200" s="10"/>
      <c r="X1200" s="10"/>
      <c r="Y1200" s="10"/>
      <c r="Z1200" s="10"/>
      <c r="AA1200" s="10"/>
    </row>
    <row r="1201" spans="1:27" ht="12.5" hidden="1" x14ac:dyDescent="0.25">
      <c r="A1201" s="10" t="s">
        <v>77</v>
      </c>
      <c r="B1201" s="10" t="s">
        <v>1667</v>
      </c>
      <c r="C1201" s="10" t="s">
        <v>191</v>
      </c>
      <c r="D1201" s="11">
        <v>2024</v>
      </c>
      <c r="E1201" s="10" t="s">
        <v>124</v>
      </c>
      <c r="F1201" s="10" t="s">
        <v>125</v>
      </c>
      <c r="G1201" s="10" t="s">
        <v>84</v>
      </c>
      <c r="H1201" s="12">
        <v>423.33333333333297</v>
      </c>
      <c r="I1201" s="11">
        <v>7</v>
      </c>
      <c r="J1201" s="11">
        <v>6</v>
      </c>
      <c r="K1201" s="11">
        <v>577</v>
      </c>
      <c r="L1201" s="11">
        <v>1.65354330708661E-2</v>
      </c>
      <c r="M1201" s="11">
        <f t="shared" si="4"/>
        <v>1.6535433070866155</v>
      </c>
      <c r="N1201" s="11">
        <v>0.85714285714285698</v>
      </c>
      <c r="O1201" s="11">
        <v>1.3629921259842499</v>
      </c>
      <c r="P1201" s="11">
        <v>0.33946078431372601</v>
      </c>
      <c r="Q1201" s="11">
        <v>0.45652173913043498</v>
      </c>
      <c r="R1201" s="11">
        <v>0.30232558139534899</v>
      </c>
      <c r="S1201" s="10" t="s">
        <v>84</v>
      </c>
      <c r="T1201" s="10" t="s">
        <v>84</v>
      </c>
      <c r="U1201" s="10"/>
      <c r="V1201" s="10"/>
      <c r="W1201" s="10"/>
      <c r="X1201" s="10"/>
      <c r="Y1201" s="10"/>
      <c r="Z1201" s="10"/>
      <c r="AA1201" s="10"/>
    </row>
    <row r="1202" spans="1:27" ht="12.5" x14ac:dyDescent="0.25">
      <c r="A1202" s="10" t="s">
        <v>36</v>
      </c>
      <c r="B1202" s="10" t="s">
        <v>1088</v>
      </c>
      <c r="C1202" s="10" t="s">
        <v>76</v>
      </c>
      <c r="D1202" s="11">
        <v>2024</v>
      </c>
      <c r="E1202" s="10" t="s">
        <v>81</v>
      </c>
      <c r="F1202" s="10" t="s">
        <v>83</v>
      </c>
      <c r="G1202" s="10" t="s">
        <v>84</v>
      </c>
      <c r="H1202" s="11">
        <v>96943</v>
      </c>
      <c r="I1202" s="11">
        <v>1603</v>
      </c>
      <c r="J1202" s="11">
        <v>1</v>
      </c>
      <c r="K1202" s="11">
        <v>148680</v>
      </c>
      <c r="L1202" s="11">
        <v>1.6535418856876101E-2</v>
      </c>
      <c r="M1202" s="11">
        <f t="shared" si="4"/>
        <v>1.6535489927070546</v>
      </c>
      <c r="N1202" s="11">
        <v>6.2383031815346204E-4</v>
      </c>
      <c r="O1202" s="11">
        <v>1.5336781507425701</v>
      </c>
      <c r="P1202" s="11">
        <v>0.210304054054054</v>
      </c>
      <c r="Q1202" s="11">
        <v>0.10638297872340401</v>
      </c>
      <c r="R1202" s="11">
        <v>0.25581395348837199</v>
      </c>
      <c r="S1202" s="10" t="s">
        <v>84</v>
      </c>
      <c r="T1202" s="10" t="s">
        <v>84</v>
      </c>
      <c r="U1202" s="10"/>
      <c r="V1202" s="10"/>
      <c r="W1202" s="10"/>
      <c r="X1202" s="10"/>
      <c r="Y1202" s="10"/>
      <c r="Z1202" s="10"/>
      <c r="AA1202" s="10"/>
    </row>
    <row r="1203" spans="1:27" ht="12.5" x14ac:dyDescent="0.25">
      <c r="A1203" s="10" t="s">
        <v>91</v>
      </c>
      <c r="B1203" s="10" t="s">
        <v>1091</v>
      </c>
      <c r="C1203" s="10" t="s">
        <v>76</v>
      </c>
      <c r="D1203" s="11">
        <v>2024</v>
      </c>
      <c r="E1203" s="10" t="s">
        <v>81</v>
      </c>
      <c r="F1203" s="10" t="s">
        <v>83</v>
      </c>
      <c r="G1203" s="10" t="s">
        <v>84</v>
      </c>
      <c r="H1203" s="11">
        <v>1152</v>
      </c>
      <c r="I1203" s="11">
        <v>19</v>
      </c>
      <c r="J1203" s="11">
        <v>18</v>
      </c>
      <c r="K1203" s="11">
        <v>451</v>
      </c>
      <c r="L1203" s="11">
        <v>1.6497829232995701E-2</v>
      </c>
      <c r="M1203" s="11">
        <f t="shared" si="4"/>
        <v>1.6493055555555556</v>
      </c>
      <c r="N1203" s="11">
        <v>0.94736842105263197</v>
      </c>
      <c r="O1203" s="11">
        <v>0.39160636758321299</v>
      </c>
      <c r="P1203" s="11">
        <v>0.20945945945945901</v>
      </c>
      <c r="Q1203" s="11">
        <v>0.266666666666667</v>
      </c>
      <c r="R1203" s="11">
        <v>0.25387596899224801</v>
      </c>
      <c r="S1203" s="10" t="s">
        <v>84</v>
      </c>
      <c r="T1203" s="10" t="s">
        <v>84</v>
      </c>
      <c r="U1203" s="10"/>
      <c r="V1203" s="10"/>
      <c r="W1203" s="10"/>
      <c r="X1203" s="10"/>
      <c r="Y1203" s="10"/>
      <c r="Z1203" s="10"/>
      <c r="AA1203" s="10"/>
    </row>
    <row r="1204" spans="1:27" ht="12.5" x14ac:dyDescent="0.25">
      <c r="A1204" s="10" t="s">
        <v>77</v>
      </c>
      <c r="B1204" s="10" t="s">
        <v>1093</v>
      </c>
      <c r="C1204" s="10" t="s">
        <v>76</v>
      </c>
      <c r="D1204" s="11">
        <v>2024</v>
      </c>
      <c r="E1204" s="10" t="s">
        <v>81</v>
      </c>
      <c r="F1204" s="10" t="s">
        <v>83</v>
      </c>
      <c r="G1204" s="10" t="s">
        <v>84</v>
      </c>
      <c r="H1204" s="11">
        <v>9337</v>
      </c>
      <c r="I1204" s="11">
        <v>154</v>
      </c>
      <c r="J1204" s="11">
        <v>130</v>
      </c>
      <c r="K1204" s="11">
        <v>154</v>
      </c>
      <c r="L1204" s="11">
        <v>1.6494403684464198E-2</v>
      </c>
      <c r="M1204" s="11">
        <f t="shared" si="4"/>
        <v>1.649352040269894</v>
      </c>
      <c r="N1204" s="11">
        <v>0.84415584415584399</v>
      </c>
      <c r="O1204" s="11">
        <v>1.6494403684464198E-2</v>
      </c>
      <c r="P1204" s="11">
        <v>0.208614864864865</v>
      </c>
      <c r="Q1204" s="11">
        <v>0.107142857142857</v>
      </c>
      <c r="R1204" s="11">
        <v>0.25193798449612398</v>
      </c>
      <c r="S1204" s="10" t="s">
        <v>84</v>
      </c>
      <c r="T1204" s="10" t="s">
        <v>84</v>
      </c>
      <c r="U1204" s="10"/>
      <c r="V1204" s="10"/>
      <c r="W1204" s="10"/>
      <c r="X1204" s="10"/>
      <c r="Y1204" s="10"/>
      <c r="Z1204" s="10"/>
      <c r="AA1204" s="10"/>
    </row>
    <row r="1205" spans="1:27" ht="12.5" x14ac:dyDescent="0.25">
      <c r="A1205" s="10" t="s">
        <v>34</v>
      </c>
      <c r="B1205" s="10" t="s">
        <v>1095</v>
      </c>
      <c r="C1205" s="10" t="s">
        <v>76</v>
      </c>
      <c r="D1205" s="11">
        <v>2024</v>
      </c>
      <c r="E1205" s="10" t="s">
        <v>81</v>
      </c>
      <c r="F1205" s="10" t="s">
        <v>83</v>
      </c>
      <c r="G1205" s="10" t="s">
        <v>84</v>
      </c>
      <c r="H1205" s="11">
        <v>14493</v>
      </c>
      <c r="I1205" s="11">
        <v>238</v>
      </c>
      <c r="J1205" s="11">
        <v>168</v>
      </c>
      <c r="K1205" s="11">
        <v>981</v>
      </c>
      <c r="L1205" s="11">
        <v>1.64220985325912E-2</v>
      </c>
      <c r="M1205" s="11">
        <f t="shared" si="4"/>
        <v>1.6421720830745876</v>
      </c>
      <c r="N1205" s="11">
        <v>0.70588235294117696</v>
      </c>
      <c r="O1205" s="11">
        <v>6.76894061364368E-2</v>
      </c>
      <c r="P1205" s="11">
        <v>0.20777027027027001</v>
      </c>
      <c r="Q1205" s="11">
        <v>0.38775510204081598</v>
      </c>
      <c r="R1205" s="11">
        <v>0.25</v>
      </c>
      <c r="S1205" s="10" t="s">
        <v>84</v>
      </c>
      <c r="T1205" s="10" t="s">
        <v>84</v>
      </c>
      <c r="U1205" s="10"/>
      <c r="V1205" s="10"/>
      <c r="W1205" s="10"/>
      <c r="X1205" s="10"/>
      <c r="Y1205" s="10"/>
      <c r="Z1205" s="10"/>
      <c r="AA1205" s="10"/>
    </row>
    <row r="1206" spans="1:27" ht="12.5" x14ac:dyDescent="0.25">
      <c r="A1206" s="10" t="s">
        <v>67</v>
      </c>
      <c r="B1206" s="10" t="s">
        <v>1471</v>
      </c>
      <c r="C1206" s="10" t="s">
        <v>76</v>
      </c>
      <c r="D1206" s="11">
        <v>2024</v>
      </c>
      <c r="E1206" s="10" t="s">
        <v>257</v>
      </c>
      <c r="F1206" s="10" t="s">
        <v>83</v>
      </c>
      <c r="G1206" s="10" t="s">
        <v>84</v>
      </c>
      <c r="H1206" s="11">
        <v>20131</v>
      </c>
      <c r="I1206" s="11">
        <v>329</v>
      </c>
      <c r="J1206" s="11">
        <v>308</v>
      </c>
      <c r="K1206" s="11">
        <v>13728</v>
      </c>
      <c r="L1206" s="11">
        <v>1.6342953653569098E-2</v>
      </c>
      <c r="M1206" s="11">
        <f t="shared" si="4"/>
        <v>1.6342953653569123</v>
      </c>
      <c r="N1206" s="11">
        <v>0.93617021276595702</v>
      </c>
      <c r="O1206" s="11">
        <v>0.68193333664497502</v>
      </c>
      <c r="P1206" s="11">
        <v>0.206081081081081</v>
      </c>
      <c r="Q1206" s="11">
        <v>0.14285714285714299</v>
      </c>
      <c r="R1206" s="11">
        <v>0.25</v>
      </c>
      <c r="S1206" s="10" t="s">
        <v>84</v>
      </c>
      <c r="T1206" s="10" t="s">
        <v>84</v>
      </c>
      <c r="U1206" s="10"/>
      <c r="V1206" s="10"/>
      <c r="W1206" s="10"/>
      <c r="X1206" s="10"/>
      <c r="Y1206" s="10"/>
      <c r="Z1206" s="10"/>
      <c r="AA1206" s="10"/>
    </row>
    <row r="1207" spans="1:27" ht="12.5" x14ac:dyDescent="0.25">
      <c r="A1207" s="10" t="s">
        <v>96</v>
      </c>
      <c r="B1207" s="10" t="s">
        <v>1097</v>
      </c>
      <c r="C1207" s="10" t="s">
        <v>76</v>
      </c>
      <c r="D1207" s="11">
        <v>2024</v>
      </c>
      <c r="E1207" s="10" t="s">
        <v>81</v>
      </c>
      <c r="F1207" s="10" t="s">
        <v>83</v>
      </c>
      <c r="G1207" s="10" t="s">
        <v>84</v>
      </c>
      <c r="H1207" s="11">
        <v>19288</v>
      </c>
      <c r="I1207" s="11">
        <v>315</v>
      </c>
      <c r="J1207" s="11">
        <v>195</v>
      </c>
      <c r="K1207" s="11">
        <v>2036</v>
      </c>
      <c r="L1207" s="11">
        <v>1.63313272011648E-2</v>
      </c>
      <c r="M1207" s="11">
        <f t="shared" si="4"/>
        <v>1.6331397760265449</v>
      </c>
      <c r="N1207" s="11">
        <v>0.61904761904761896</v>
      </c>
      <c r="O1207" s="11">
        <v>0.105557403751021</v>
      </c>
      <c r="P1207" s="11">
        <v>0.20523648648648599</v>
      </c>
      <c r="Q1207" s="11">
        <v>0.35294117647058798</v>
      </c>
      <c r="R1207" s="11">
        <v>0.24806201550387599</v>
      </c>
      <c r="S1207" s="10" t="s">
        <v>84</v>
      </c>
      <c r="T1207" s="10" t="s">
        <v>84</v>
      </c>
      <c r="U1207" s="10"/>
      <c r="V1207" s="10"/>
      <c r="W1207" s="10"/>
      <c r="X1207" s="10"/>
      <c r="Y1207" s="10"/>
      <c r="Z1207" s="10"/>
      <c r="AA1207" s="10"/>
    </row>
    <row r="1208" spans="1:27" ht="12.5" x14ac:dyDescent="0.25">
      <c r="A1208" s="10" t="s">
        <v>96</v>
      </c>
      <c r="B1208" s="10" t="s">
        <v>1099</v>
      </c>
      <c r="C1208" s="10" t="s">
        <v>76</v>
      </c>
      <c r="D1208" s="11">
        <v>2024</v>
      </c>
      <c r="E1208" s="10" t="s">
        <v>81</v>
      </c>
      <c r="F1208" s="10" t="s">
        <v>83</v>
      </c>
      <c r="G1208" s="10" t="s">
        <v>84</v>
      </c>
      <c r="H1208" s="11">
        <v>13118</v>
      </c>
      <c r="I1208" s="11">
        <v>214</v>
      </c>
      <c r="J1208" s="11">
        <v>238</v>
      </c>
      <c r="K1208" s="11">
        <v>5136</v>
      </c>
      <c r="L1208" s="11">
        <v>1.63131515255465E-2</v>
      </c>
      <c r="M1208" s="11">
        <f t="shared" si="4"/>
        <v>1.6313462418051532</v>
      </c>
      <c r="N1208" s="11">
        <v>1.1121495327102799</v>
      </c>
      <c r="O1208" s="11">
        <v>0.391515636613115</v>
      </c>
      <c r="P1208" s="11">
        <v>0.204391891891892</v>
      </c>
      <c r="Q1208" s="11">
        <v>0.29411764705882398</v>
      </c>
      <c r="R1208" s="11">
        <v>0.24612403100775199</v>
      </c>
      <c r="S1208" s="10" t="s">
        <v>84</v>
      </c>
      <c r="T1208" s="10" t="s">
        <v>84</v>
      </c>
      <c r="U1208" s="10"/>
      <c r="V1208" s="10"/>
      <c r="W1208" s="10"/>
      <c r="X1208" s="10"/>
      <c r="Y1208" s="10"/>
      <c r="Z1208" s="10"/>
      <c r="AA1208" s="10"/>
    </row>
    <row r="1209" spans="1:27" ht="12.5" x14ac:dyDescent="0.25">
      <c r="A1209" s="10" t="s">
        <v>40</v>
      </c>
      <c r="B1209" s="10" t="s">
        <v>1102</v>
      </c>
      <c r="C1209" s="10" t="s">
        <v>76</v>
      </c>
      <c r="D1209" s="11">
        <v>2024</v>
      </c>
      <c r="E1209" s="10" t="s">
        <v>81</v>
      </c>
      <c r="F1209" s="10" t="s">
        <v>83</v>
      </c>
      <c r="G1209" s="10" t="s">
        <v>84</v>
      </c>
      <c r="H1209" s="11">
        <v>118328</v>
      </c>
      <c r="I1209" s="11">
        <v>1927</v>
      </c>
      <c r="J1209" s="11">
        <v>1414</v>
      </c>
      <c r="K1209" s="11">
        <v>32925</v>
      </c>
      <c r="L1209" s="11">
        <v>1.6285309839217402E-2</v>
      </c>
      <c r="M1209" s="11">
        <f t="shared" si="4"/>
        <v>1.6285241024947601</v>
      </c>
      <c r="N1209" s="11">
        <v>0.73378308251167601</v>
      </c>
      <c r="O1209" s="11">
        <v>0.27825315332445999</v>
      </c>
      <c r="P1209" s="11">
        <v>0.20354729729729701</v>
      </c>
      <c r="Q1209" s="11">
        <v>0</v>
      </c>
      <c r="R1209" s="11">
        <v>0.24418604651162801</v>
      </c>
      <c r="S1209" s="10" t="s">
        <v>84</v>
      </c>
      <c r="T1209" s="10" t="s">
        <v>84</v>
      </c>
      <c r="U1209" s="10"/>
      <c r="V1209" s="10"/>
      <c r="W1209" s="10"/>
      <c r="X1209" s="10"/>
      <c r="Y1209" s="10"/>
      <c r="Z1209" s="10"/>
      <c r="AA1209" s="10"/>
    </row>
    <row r="1210" spans="1:27" ht="12.5" x14ac:dyDescent="0.25">
      <c r="A1210" s="10" t="s">
        <v>52</v>
      </c>
      <c r="B1210" s="10" t="s">
        <v>1104</v>
      </c>
      <c r="C1210" s="10" t="s">
        <v>76</v>
      </c>
      <c r="D1210" s="11">
        <v>2024</v>
      </c>
      <c r="E1210" s="10" t="s">
        <v>81</v>
      </c>
      <c r="F1210" s="10" t="s">
        <v>83</v>
      </c>
      <c r="G1210" s="10" t="s">
        <v>84</v>
      </c>
      <c r="H1210" s="11">
        <v>10728</v>
      </c>
      <c r="I1210" s="11">
        <v>174</v>
      </c>
      <c r="J1210" s="11">
        <v>67</v>
      </c>
      <c r="K1210" s="11">
        <v>13743</v>
      </c>
      <c r="L1210" s="11">
        <v>1.6218735435762001E-2</v>
      </c>
      <c r="M1210" s="11">
        <f t="shared" si="4"/>
        <v>1.6219239373601788</v>
      </c>
      <c r="N1210" s="11">
        <v>0.38505747126436801</v>
      </c>
      <c r="O1210" s="11">
        <v>1.28100046605562</v>
      </c>
      <c r="P1210" s="11">
        <v>0.20270270270270299</v>
      </c>
      <c r="Q1210" s="11">
        <v>0.10638297872340401</v>
      </c>
      <c r="R1210" s="11">
        <v>0.242248062015504</v>
      </c>
      <c r="S1210" s="10" t="s">
        <v>84</v>
      </c>
      <c r="T1210" s="10" t="s">
        <v>84</v>
      </c>
      <c r="U1210" s="10"/>
      <c r="V1210" s="10"/>
      <c r="W1210" s="10"/>
      <c r="X1210" s="10"/>
      <c r="Y1210" s="10"/>
      <c r="Z1210" s="10"/>
      <c r="AA1210" s="10"/>
    </row>
    <row r="1211" spans="1:27" ht="12.5" x14ac:dyDescent="0.25">
      <c r="A1211" s="10" t="s">
        <v>82</v>
      </c>
      <c r="B1211" s="10" t="s">
        <v>1170</v>
      </c>
      <c r="C1211" s="10" t="s">
        <v>76</v>
      </c>
      <c r="D1211" s="11">
        <v>2024</v>
      </c>
      <c r="E1211" s="10" t="s">
        <v>124</v>
      </c>
      <c r="F1211" s="10" t="s">
        <v>83</v>
      </c>
      <c r="G1211" s="10" t="s">
        <v>84</v>
      </c>
      <c r="H1211" s="11">
        <v>9878</v>
      </c>
      <c r="I1211" s="11">
        <v>160</v>
      </c>
      <c r="J1211" s="11">
        <v>158</v>
      </c>
      <c r="K1211" s="11">
        <v>1563</v>
      </c>
      <c r="L1211" s="11">
        <v>1.6197747500738199E-2</v>
      </c>
      <c r="M1211" s="11">
        <f t="shared" si="4"/>
        <v>1.6197610852399271</v>
      </c>
      <c r="N1211" s="11">
        <v>0.98750000000000004</v>
      </c>
      <c r="O1211" s="11">
        <v>0.15823174589783601</v>
      </c>
      <c r="P1211" s="11">
        <v>0.201858108108108</v>
      </c>
      <c r="Q1211" s="11">
        <v>0.34482758620689702</v>
      </c>
      <c r="R1211" s="11">
        <v>0.158836689038031</v>
      </c>
      <c r="S1211" s="10" t="s">
        <v>84</v>
      </c>
      <c r="T1211" s="10" t="s">
        <v>84</v>
      </c>
      <c r="U1211" s="10"/>
      <c r="V1211" s="10"/>
      <c r="W1211" s="10"/>
      <c r="X1211" s="10"/>
      <c r="Y1211" s="10"/>
      <c r="Z1211" s="10"/>
      <c r="AA1211" s="10"/>
    </row>
    <row r="1212" spans="1:27" ht="12.5" x14ac:dyDescent="0.25">
      <c r="A1212" s="10" t="s">
        <v>6</v>
      </c>
      <c r="B1212" s="10" t="s">
        <v>1474</v>
      </c>
      <c r="C1212" s="10" t="s">
        <v>76</v>
      </c>
      <c r="D1212" s="11">
        <v>2024</v>
      </c>
      <c r="E1212" s="10" t="s">
        <v>257</v>
      </c>
      <c r="F1212" s="10" t="s">
        <v>83</v>
      </c>
      <c r="G1212" s="10" t="s">
        <v>84</v>
      </c>
      <c r="H1212" s="11">
        <v>6136</v>
      </c>
      <c r="I1212" s="11">
        <v>99</v>
      </c>
      <c r="J1212" s="11">
        <v>99</v>
      </c>
      <c r="K1212" s="11">
        <v>1665</v>
      </c>
      <c r="L1212" s="11">
        <v>1.6134508562969399E-2</v>
      </c>
      <c r="M1212" s="11">
        <f t="shared" si="4"/>
        <v>1.6134289439374185</v>
      </c>
      <c r="N1212" s="11">
        <v>1</v>
      </c>
      <c r="O1212" s="11">
        <v>0.271353098559031</v>
      </c>
      <c r="P1212" s="11">
        <v>0.20101351351351401</v>
      </c>
      <c r="Q1212" s="11">
        <v>0.35483870967741898</v>
      </c>
      <c r="R1212" s="11">
        <v>0.22727272727272699</v>
      </c>
      <c r="S1212" s="10" t="s">
        <v>84</v>
      </c>
      <c r="T1212" s="10" t="s">
        <v>84</v>
      </c>
      <c r="U1212" s="10"/>
      <c r="V1212" s="10"/>
      <c r="W1212" s="10"/>
      <c r="X1212" s="10"/>
      <c r="Y1212" s="10"/>
      <c r="Z1212" s="10"/>
      <c r="AA1212" s="10"/>
    </row>
    <row r="1213" spans="1:27" ht="12.5" x14ac:dyDescent="0.25">
      <c r="A1213" s="10" t="s">
        <v>49</v>
      </c>
      <c r="B1213" s="10" t="s">
        <v>1173</v>
      </c>
      <c r="C1213" s="10" t="s">
        <v>76</v>
      </c>
      <c r="D1213" s="11">
        <v>2024</v>
      </c>
      <c r="E1213" s="10" t="s">
        <v>124</v>
      </c>
      <c r="F1213" s="10" t="s">
        <v>83</v>
      </c>
      <c r="G1213" s="10" t="s">
        <v>84</v>
      </c>
      <c r="H1213" s="11">
        <v>15014</v>
      </c>
      <c r="I1213" s="11">
        <v>242</v>
      </c>
      <c r="J1213" s="11">
        <v>221</v>
      </c>
      <c r="K1213" s="11">
        <v>7222</v>
      </c>
      <c r="L1213" s="11">
        <v>1.6118110673253E-2</v>
      </c>
      <c r="M1213" s="11">
        <f t="shared" si="4"/>
        <v>1.6118289596376716</v>
      </c>
      <c r="N1213" s="11">
        <v>0.91322314049586795</v>
      </c>
      <c r="O1213" s="11">
        <v>0.481012377199312</v>
      </c>
      <c r="P1213" s="11">
        <v>0.200168918918919</v>
      </c>
      <c r="Q1213" s="11">
        <v>0.30769230769230799</v>
      </c>
      <c r="R1213" s="11">
        <v>0.156599552572707</v>
      </c>
      <c r="S1213" s="10" t="s">
        <v>84</v>
      </c>
      <c r="T1213" s="10" t="s">
        <v>84</v>
      </c>
      <c r="U1213" s="10"/>
      <c r="V1213" s="10"/>
      <c r="W1213" s="10"/>
      <c r="X1213" s="10"/>
      <c r="Y1213" s="10"/>
      <c r="Z1213" s="10"/>
      <c r="AA1213" s="10"/>
    </row>
    <row r="1214" spans="1:27" ht="12.5" x14ac:dyDescent="0.25">
      <c r="A1214" s="10" t="s">
        <v>29</v>
      </c>
      <c r="B1214" s="10" t="s">
        <v>1175</v>
      </c>
      <c r="C1214" s="10" t="s">
        <v>76</v>
      </c>
      <c r="D1214" s="11">
        <v>2024</v>
      </c>
      <c r="E1214" s="10" t="s">
        <v>124</v>
      </c>
      <c r="F1214" s="10" t="s">
        <v>83</v>
      </c>
      <c r="G1214" s="10" t="s">
        <v>84</v>
      </c>
      <c r="H1214" s="11">
        <v>70892</v>
      </c>
      <c r="I1214" s="11">
        <v>1140</v>
      </c>
      <c r="J1214" s="11">
        <v>732</v>
      </c>
      <c r="K1214" s="11">
        <v>5676</v>
      </c>
      <c r="L1214" s="11">
        <v>1.6080798961801E-2</v>
      </c>
      <c r="M1214" s="11">
        <f t="shared" si="4"/>
        <v>1.6080798961801048</v>
      </c>
      <c r="N1214" s="11">
        <v>0.64210526315789496</v>
      </c>
      <c r="O1214" s="11">
        <v>8.0065451672967303E-2</v>
      </c>
      <c r="P1214" s="11">
        <v>0.19932432432432401</v>
      </c>
      <c r="Q1214" s="11">
        <v>0.122448979591837</v>
      </c>
      <c r="R1214" s="11">
        <v>0.15436241610738299</v>
      </c>
      <c r="S1214" s="10" t="s">
        <v>84</v>
      </c>
      <c r="T1214" s="10" t="s">
        <v>84</v>
      </c>
      <c r="U1214" s="10"/>
      <c r="V1214" s="10"/>
      <c r="W1214" s="10"/>
      <c r="X1214" s="10"/>
      <c r="Y1214" s="10"/>
      <c r="Z1214" s="10"/>
      <c r="AA1214" s="10"/>
    </row>
    <row r="1215" spans="1:27" ht="12.5" x14ac:dyDescent="0.25">
      <c r="A1215" s="10" t="s">
        <v>29</v>
      </c>
      <c r="B1215" s="10" t="s">
        <v>1177</v>
      </c>
      <c r="C1215" s="10" t="s">
        <v>76</v>
      </c>
      <c r="D1215" s="11">
        <v>2024</v>
      </c>
      <c r="E1215" s="10" t="s">
        <v>124</v>
      </c>
      <c r="F1215" s="10" t="s">
        <v>83</v>
      </c>
      <c r="G1215" s="10" t="s">
        <v>84</v>
      </c>
      <c r="H1215" s="11">
        <v>73520</v>
      </c>
      <c r="I1215" s="11">
        <v>1176</v>
      </c>
      <c r="J1215" s="11">
        <v>768</v>
      </c>
      <c r="K1215" s="11">
        <v>5880</v>
      </c>
      <c r="L1215" s="11">
        <v>1.5995647442872699E-2</v>
      </c>
      <c r="M1215" s="11">
        <f t="shared" si="4"/>
        <v>1.5995647442872689</v>
      </c>
      <c r="N1215" s="11">
        <v>0.65306122448979598</v>
      </c>
      <c r="O1215" s="11">
        <v>7.9978237214363396E-2</v>
      </c>
      <c r="P1215" s="11">
        <v>0.197635135135135</v>
      </c>
      <c r="Q1215" s="11">
        <v>0.102040816326531</v>
      </c>
      <c r="R1215" s="11">
        <v>0.15212527964205799</v>
      </c>
      <c r="S1215" s="10" t="s">
        <v>84</v>
      </c>
      <c r="T1215" s="10" t="s">
        <v>84</v>
      </c>
      <c r="U1215" s="10"/>
      <c r="V1215" s="10"/>
      <c r="W1215" s="10"/>
      <c r="X1215" s="10"/>
      <c r="Y1215" s="10"/>
      <c r="Z1215" s="10"/>
      <c r="AA1215" s="10"/>
    </row>
    <row r="1216" spans="1:27" ht="12.5" x14ac:dyDescent="0.25">
      <c r="A1216" s="10" t="s">
        <v>29</v>
      </c>
      <c r="B1216" s="10" t="s">
        <v>1179</v>
      </c>
      <c r="C1216" s="10" t="s">
        <v>76</v>
      </c>
      <c r="D1216" s="11">
        <v>2024</v>
      </c>
      <c r="E1216" s="10" t="s">
        <v>124</v>
      </c>
      <c r="F1216" s="10" t="s">
        <v>83</v>
      </c>
      <c r="G1216" s="10" t="s">
        <v>84</v>
      </c>
      <c r="H1216" s="11">
        <v>40000</v>
      </c>
      <c r="I1216" s="11">
        <v>636</v>
      </c>
      <c r="J1216" s="11">
        <v>420</v>
      </c>
      <c r="K1216" s="11">
        <v>3204</v>
      </c>
      <c r="L1216" s="11">
        <v>1.5900000000000001E-2</v>
      </c>
      <c r="M1216" s="11">
        <f t="shared" si="4"/>
        <v>1.59</v>
      </c>
      <c r="N1216" s="11">
        <v>0.660377358490566</v>
      </c>
      <c r="O1216" s="11">
        <v>8.0100000000000005E-2</v>
      </c>
      <c r="P1216" s="11">
        <v>0.19679054054054099</v>
      </c>
      <c r="Q1216" s="11">
        <v>8.1632653061224497E-2</v>
      </c>
      <c r="R1216" s="11">
        <v>0.14988814317673399</v>
      </c>
      <c r="S1216" s="10" t="s">
        <v>84</v>
      </c>
      <c r="T1216" s="10" t="s">
        <v>84</v>
      </c>
      <c r="U1216" s="10"/>
      <c r="V1216" s="10"/>
      <c r="W1216" s="10"/>
      <c r="X1216" s="10"/>
      <c r="Y1216" s="10"/>
      <c r="Z1216" s="10"/>
      <c r="AA1216" s="10"/>
    </row>
    <row r="1217" spans="1:27" ht="12.5" hidden="1" x14ac:dyDescent="0.25">
      <c r="A1217" s="10" t="s">
        <v>12</v>
      </c>
      <c r="B1217" s="10" t="s">
        <v>1668</v>
      </c>
      <c r="C1217" s="10" t="s">
        <v>191</v>
      </c>
      <c r="D1217" s="11">
        <v>2024</v>
      </c>
      <c r="E1217" s="10" t="s">
        <v>124</v>
      </c>
      <c r="F1217" s="10" t="s">
        <v>125</v>
      </c>
      <c r="G1217" s="10" t="s">
        <v>84</v>
      </c>
      <c r="H1217" s="12">
        <v>378.08333333333297</v>
      </c>
      <c r="I1217" s="11">
        <v>6</v>
      </c>
      <c r="J1217" s="11">
        <v>5</v>
      </c>
      <c r="K1217" s="11">
        <v>1035</v>
      </c>
      <c r="L1217" s="11">
        <v>1.5869517302182098E-2</v>
      </c>
      <c r="M1217" s="11">
        <f t="shared" si="4"/>
        <v>1.5869517302182075</v>
      </c>
      <c r="N1217" s="11">
        <v>0.83333333333333304</v>
      </c>
      <c r="O1217" s="11">
        <v>2.7374917346264098</v>
      </c>
      <c r="P1217" s="11">
        <v>0.332107843137255</v>
      </c>
      <c r="Q1217" s="11">
        <v>0.22222222222222199</v>
      </c>
      <c r="R1217" s="11">
        <v>0.30038759689922501</v>
      </c>
      <c r="S1217" s="10" t="s">
        <v>84</v>
      </c>
      <c r="T1217" s="10" t="s">
        <v>84</v>
      </c>
      <c r="U1217" s="10"/>
      <c r="V1217" s="10"/>
      <c r="W1217" s="10"/>
      <c r="X1217" s="10"/>
      <c r="Y1217" s="10"/>
      <c r="Z1217" s="10"/>
      <c r="AA1217" s="10"/>
    </row>
    <row r="1218" spans="1:27" ht="12.5" x14ac:dyDescent="0.25">
      <c r="A1218" s="10" t="s">
        <v>53</v>
      </c>
      <c r="B1218" s="10" t="s">
        <v>1182</v>
      </c>
      <c r="C1218" s="10" t="s">
        <v>76</v>
      </c>
      <c r="D1218" s="11">
        <v>2024</v>
      </c>
      <c r="E1218" s="10" t="s">
        <v>124</v>
      </c>
      <c r="F1218" s="10" t="s">
        <v>125</v>
      </c>
      <c r="G1218" s="10" t="s">
        <v>84</v>
      </c>
      <c r="H1218" s="11">
        <v>505</v>
      </c>
      <c r="I1218" s="11">
        <v>8</v>
      </c>
      <c r="J1218" s="11">
        <v>8</v>
      </c>
      <c r="K1218" s="11">
        <v>787</v>
      </c>
      <c r="L1218" s="11">
        <v>1.5828524319868101E-2</v>
      </c>
      <c r="M1218" s="11">
        <f t="shared" si="4"/>
        <v>1.5841584158415842</v>
      </c>
      <c r="N1218" s="11">
        <v>1</v>
      </c>
      <c r="O1218" s="11">
        <v>1.5571310799670199</v>
      </c>
      <c r="P1218" s="11">
        <v>0.195945945945946</v>
      </c>
      <c r="Q1218" s="11">
        <v>0.75</v>
      </c>
      <c r="R1218" s="11">
        <v>0.14765100671140899</v>
      </c>
      <c r="S1218" s="10" t="s">
        <v>84</v>
      </c>
      <c r="T1218" s="10" t="s">
        <v>84</v>
      </c>
      <c r="U1218" s="10"/>
      <c r="V1218" s="10"/>
      <c r="W1218" s="10"/>
      <c r="X1218" s="10"/>
      <c r="Y1218" s="10"/>
      <c r="Z1218" s="10"/>
      <c r="AA1218" s="10"/>
    </row>
    <row r="1219" spans="1:27" ht="12.5" x14ac:dyDescent="0.25">
      <c r="A1219" s="10" t="s">
        <v>65</v>
      </c>
      <c r="B1219" s="10" t="s">
        <v>1186</v>
      </c>
      <c r="C1219" s="10" t="s">
        <v>76</v>
      </c>
      <c r="D1219" s="11">
        <v>2024</v>
      </c>
      <c r="E1219" s="10" t="s">
        <v>124</v>
      </c>
      <c r="F1219" s="10" t="s">
        <v>83</v>
      </c>
      <c r="G1219" s="10" t="s">
        <v>84</v>
      </c>
      <c r="H1219" s="11">
        <v>8031</v>
      </c>
      <c r="I1219" s="11">
        <v>127</v>
      </c>
      <c r="J1219" s="11">
        <v>127</v>
      </c>
      <c r="K1219" s="11">
        <v>0</v>
      </c>
      <c r="L1219" s="11">
        <v>1.5814542322579301E-2</v>
      </c>
      <c r="M1219" s="11">
        <f t="shared" si="4"/>
        <v>1.5813721827916822</v>
      </c>
      <c r="N1219" s="11">
        <v>1</v>
      </c>
      <c r="O1219" s="11">
        <v>0</v>
      </c>
      <c r="P1219" s="11">
        <v>0.19510135135135101</v>
      </c>
      <c r="Q1219" s="11">
        <v>7.69230769230769E-2</v>
      </c>
      <c r="R1219" s="11">
        <v>0.14541387024608499</v>
      </c>
      <c r="S1219" s="10" t="s">
        <v>84</v>
      </c>
      <c r="T1219" s="10" t="s">
        <v>84</v>
      </c>
      <c r="U1219" s="10"/>
      <c r="V1219" s="10"/>
      <c r="W1219" s="10"/>
      <c r="X1219" s="10"/>
      <c r="Y1219" s="10"/>
      <c r="Z1219" s="10"/>
      <c r="AA1219" s="10"/>
    </row>
    <row r="1220" spans="1:27" ht="12.5" hidden="1" x14ac:dyDescent="0.25">
      <c r="A1220" s="10" t="s">
        <v>65</v>
      </c>
      <c r="B1220" s="10" t="s">
        <v>1186</v>
      </c>
      <c r="C1220" s="10" t="s">
        <v>191</v>
      </c>
      <c r="D1220" s="11">
        <v>2024</v>
      </c>
      <c r="E1220" s="10" t="s">
        <v>124</v>
      </c>
      <c r="F1220" s="10" t="s">
        <v>83</v>
      </c>
      <c r="G1220" s="10" t="s">
        <v>84</v>
      </c>
      <c r="H1220" s="12">
        <v>8031</v>
      </c>
      <c r="I1220" s="11">
        <v>127</v>
      </c>
      <c r="J1220" s="11">
        <v>127</v>
      </c>
      <c r="K1220" s="11">
        <v>0</v>
      </c>
      <c r="L1220" s="11">
        <v>1.5814378216835501E-2</v>
      </c>
      <c r="M1220" s="11">
        <f t="shared" si="4"/>
        <v>1.5813721827916822</v>
      </c>
      <c r="N1220" s="11">
        <v>1</v>
      </c>
      <c r="O1220" s="11">
        <v>0</v>
      </c>
      <c r="P1220" s="11">
        <v>0.33088235294117602</v>
      </c>
      <c r="Q1220" s="11">
        <v>0.33333333333333298</v>
      </c>
      <c r="R1220" s="11">
        <v>0.29844961240310097</v>
      </c>
      <c r="S1220" s="10" t="s">
        <v>84</v>
      </c>
      <c r="T1220" s="10" t="s">
        <v>84</v>
      </c>
      <c r="U1220" s="10"/>
      <c r="V1220" s="10"/>
      <c r="W1220" s="10"/>
      <c r="X1220" s="10"/>
      <c r="Y1220" s="10"/>
      <c r="Z1220" s="10"/>
      <c r="AA1220" s="10"/>
    </row>
    <row r="1221" spans="1:27" ht="12.5" x14ac:dyDescent="0.25">
      <c r="A1221" s="10" t="s">
        <v>103</v>
      </c>
      <c r="B1221" s="10" t="s">
        <v>1106</v>
      </c>
      <c r="C1221" s="10" t="s">
        <v>76</v>
      </c>
      <c r="D1221" s="11">
        <v>2024</v>
      </c>
      <c r="E1221" s="10" t="s">
        <v>81</v>
      </c>
      <c r="F1221" s="10" t="s">
        <v>83</v>
      </c>
      <c r="G1221" s="10" t="s">
        <v>84</v>
      </c>
      <c r="H1221" s="11">
        <v>2785</v>
      </c>
      <c r="I1221" s="11">
        <v>44</v>
      </c>
      <c r="J1221" s="11">
        <v>58</v>
      </c>
      <c r="K1221" s="11">
        <v>149</v>
      </c>
      <c r="L1221" s="11">
        <v>1.5801286847224299E-2</v>
      </c>
      <c r="M1221" s="11">
        <f t="shared" si="4"/>
        <v>1.5798922800718134</v>
      </c>
      <c r="N1221" s="11">
        <v>1.3181818181818199</v>
      </c>
      <c r="O1221" s="11">
        <v>5.3508903187191398E-2</v>
      </c>
      <c r="P1221" s="11">
        <v>0.19425675675675699</v>
      </c>
      <c r="Q1221" s="11">
        <v>0.13043478260869601</v>
      </c>
      <c r="R1221" s="11">
        <v>0.24031007751937999</v>
      </c>
      <c r="S1221" s="10" t="s">
        <v>84</v>
      </c>
      <c r="T1221" s="10" t="s">
        <v>84</v>
      </c>
      <c r="U1221" s="10"/>
      <c r="V1221" s="10"/>
      <c r="W1221" s="10"/>
      <c r="X1221" s="10"/>
      <c r="Y1221" s="10"/>
      <c r="Z1221" s="10"/>
      <c r="AA1221" s="10"/>
    </row>
    <row r="1222" spans="1:27" ht="12.5" hidden="1" x14ac:dyDescent="0.25">
      <c r="A1222" s="10" t="s">
        <v>36</v>
      </c>
      <c r="B1222" s="10" t="s">
        <v>1669</v>
      </c>
      <c r="C1222" s="10" t="s">
        <v>191</v>
      </c>
      <c r="D1222" s="11">
        <v>2024</v>
      </c>
      <c r="E1222" s="10" t="s">
        <v>124</v>
      </c>
      <c r="F1222" s="10" t="s">
        <v>125</v>
      </c>
      <c r="G1222" s="10" t="s">
        <v>84</v>
      </c>
      <c r="H1222" s="12">
        <v>633.25</v>
      </c>
      <c r="I1222" s="11">
        <v>10</v>
      </c>
      <c r="J1222" s="11">
        <v>6</v>
      </c>
      <c r="K1222" s="11">
        <v>3</v>
      </c>
      <c r="L1222" s="11">
        <v>1.5791551519936799E-2</v>
      </c>
      <c r="M1222" s="11">
        <f t="shared" si="4"/>
        <v>1.5791551519936835</v>
      </c>
      <c r="N1222" s="11">
        <v>0.6</v>
      </c>
      <c r="O1222" s="11">
        <v>4.7374654559810504E-3</v>
      </c>
      <c r="P1222" s="11">
        <v>0.32965686274509798</v>
      </c>
      <c r="Q1222" s="11">
        <v>7.4999999999999997E-2</v>
      </c>
      <c r="R1222" s="11">
        <v>0.29651162790697699</v>
      </c>
      <c r="S1222" s="10" t="s">
        <v>84</v>
      </c>
      <c r="T1222" s="10" t="s">
        <v>84</v>
      </c>
      <c r="U1222" s="10"/>
      <c r="V1222" s="10"/>
      <c r="W1222" s="10"/>
      <c r="X1222" s="10"/>
      <c r="Y1222" s="10"/>
      <c r="Z1222" s="10"/>
      <c r="AA1222" s="10"/>
    </row>
    <row r="1223" spans="1:27" ht="12.5" x14ac:dyDescent="0.25">
      <c r="A1223" s="10" t="s">
        <v>36</v>
      </c>
      <c r="B1223" s="10" t="s">
        <v>1188</v>
      </c>
      <c r="C1223" s="10" t="s">
        <v>76</v>
      </c>
      <c r="D1223" s="11">
        <v>2024</v>
      </c>
      <c r="E1223" s="10" t="s">
        <v>124</v>
      </c>
      <c r="F1223" s="10" t="s">
        <v>125</v>
      </c>
      <c r="G1223" s="10" t="s">
        <v>84</v>
      </c>
      <c r="H1223" s="11">
        <v>5280</v>
      </c>
      <c r="I1223" s="11">
        <v>83</v>
      </c>
      <c r="J1223" s="11">
        <v>94</v>
      </c>
      <c r="K1223" s="11">
        <v>188</v>
      </c>
      <c r="L1223" s="11">
        <v>1.5719696969697002E-2</v>
      </c>
      <c r="M1223" s="11">
        <f t="shared" si="4"/>
        <v>1.571969696969697</v>
      </c>
      <c r="N1223" s="11">
        <v>1.13253012048193</v>
      </c>
      <c r="O1223" s="11">
        <v>3.5606060606060599E-2</v>
      </c>
      <c r="P1223" s="11">
        <v>0.193412162162162</v>
      </c>
      <c r="Q1223" s="11">
        <v>8.5106382978723402E-2</v>
      </c>
      <c r="R1223" s="11">
        <v>0.14317673378076101</v>
      </c>
      <c r="S1223" s="10" t="s">
        <v>84</v>
      </c>
      <c r="T1223" s="10" t="s">
        <v>84</v>
      </c>
      <c r="U1223" s="10"/>
      <c r="V1223" s="10"/>
      <c r="W1223" s="10"/>
      <c r="X1223" s="10"/>
      <c r="Y1223" s="10"/>
      <c r="Z1223" s="10"/>
      <c r="AA1223" s="10"/>
    </row>
    <row r="1224" spans="1:27" ht="12.5" hidden="1" x14ac:dyDescent="0.25">
      <c r="A1224" s="10" t="s">
        <v>34</v>
      </c>
      <c r="B1224" s="10" t="s">
        <v>1670</v>
      </c>
      <c r="C1224" s="10" t="s">
        <v>191</v>
      </c>
      <c r="D1224" s="11">
        <v>2024</v>
      </c>
      <c r="E1224" s="10" t="s">
        <v>81</v>
      </c>
      <c r="F1224" s="10" t="s">
        <v>125</v>
      </c>
      <c r="G1224" s="10" t="s">
        <v>84</v>
      </c>
      <c r="H1224" s="12">
        <v>1341</v>
      </c>
      <c r="I1224" s="11">
        <v>21</v>
      </c>
      <c r="J1224" s="11">
        <v>19</v>
      </c>
      <c r="K1224" s="11">
        <v>63</v>
      </c>
      <c r="L1224" s="11">
        <v>1.5658982166159199E-2</v>
      </c>
      <c r="M1224" s="11">
        <f t="shared" si="4"/>
        <v>1.5659955257270695</v>
      </c>
      <c r="N1224" s="11">
        <v>0.90476190476190499</v>
      </c>
      <c r="O1224" s="11">
        <v>4.6976946498477598E-2</v>
      </c>
      <c r="P1224" s="11">
        <v>0.32720588235294101</v>
      </c>
      <c r="Q1224" s="11">
        <v>0.67857142857142905</v>
      </c>
      <c r="R1224" s="11">
        <v>0.54166666666666696</v>
      </c>
      <c r="S1224" s="10" t="s">
        <v>84</v>
      </c>
      <c r="T1224" s="10" t="s">
        <v>84</v>
      </c>
      <c r="U1224" s="10"/>
      <c r="V1224" s="10"/>
      <c r="W1224" s="10"/>
      <c r="X1224" s="10"/>
      <c r="Y1224" s="10"/>
      <c r="Z1224" s="10"/>
      <c r="AA1224" s="10"/>
    </row>
    <row r="1225" spans="1:27" ht="12.5" x14ac:dyDescent="0.25">
      <c r="A1225" s="10" t="s">
        <v>42</v>
      </c>
      <c r="B1225" s="10" t="s">
        <v>1189</v>
      </c>
      <c r="C1225" s="10" t="s">
        <v>76</v>
      </c>
      <c r="D1225" s="11">
        <v>2024</v>
      </c>
      <c r="E1225" s="10" t="s">
        <v>124</v>
      </c>
      <c r="F1225" s="10" t="s">
        <v>125</v>
      </c>
      <c r="G1225" s="10" t="s">
        <v>84</v>
      </c>
      <c r="H1225" s="11">
        <v>3706</v>
      </c>
      <c r="I1225" s="11">
        <v>58</v>
      </c>
      <c r="J1225" s="11">
        <v>58</v>
      </c>
      <c r="K1225" s="11">
        <v>7011</v>
      </c>
      <c r="L1225" s="11">
        <v>1.5650296815974098E-2</v>
      </c>
      <c r="M1225" s="11">
        <f t="shared" si="4"/>
        <v>1.5650296815974094</v>
      </c>
      <c r="N1225" s="11">
        <v>1</v>
      </c>
      <c r="O1225" s="11">
        <v>1.8917970858068001</v>
      </c>
      <c r="P1225" s="11">
        <v>0.19256756756756799</v>
      </c>
      <c r="Q1225" s="11">
        <v>0.14285714285714299</v>
      </c>
      <c r="R1225" s="11">
        <v>0.14093959731543601</v>
      </c>
      <c r="S1225" s="10" t="s">
        <v>84</v>
      </c>
      <c r="T1225" s="10" t="s">
        <v>84</v>
      </c>
      <c r="U1225" s="10"/>
      <c r="V1225" s="10"/>
      <c r="W1225" s="10"/>
      <c r="X1225" s="10"/>
      <c r="Y1225" s="10"/>
      <c r="Z1225" s="10"/>
      <c r="AA1225" s="10"/>
    </row>
    <row r="1226" spans="1:27" ht="12.5" x14ac:dyDescent="0.25">
      <c r="A1226" s="10" t="s">
        <v>109</v>
      </c>
      <c r="B1226" s="10" t="s">
        <v>1108</v>
      </c>
      <c r="C1226" s="10" t="s">
        <v>76</v>
      </c>
      <c r="D1226" s="11">
        <v>2024</v>
      </c>
      <c r="E1226" s="10" t="s">
        <v>81</v>
      </c>
      <c r="F1226" s="10" t="s">
        <v>125</v>
      </c>
      <c r="G1226" s="10" t="s">
        <v>84</v>
      </c>
      <c r="H1226" s="11">
        <v>2311</v>
      </c>
      <c r="I1226" s="11">
        <v>36</v>
      </c>
      <c r="J1226" s="11">
        <v>30</v>
      </c>
      <c r="K1226" s="11">
        <v>792</v>
      </c>
      <c r="L1226" s="11">
        <v>1.55787955283087E-2</v>
      </c>
      <c r="M1226" s="11">
        <f t="shared" si="4"/>
        <v>1.5577672003461707</v>
      </c>
      <c r="N1226" s="11">
        <v>0.83333333333333304</v>
      </c>
      <c r="O1226" s="11">
        <v>0.34273350162279098</v>
      </c>
      <c r="P1226" s="11">
        <v>0.191722972972973</v>
      </c>
      <c r="Q1226" s="11">
        <v>0.22222222222222199</v>
      </c>
      <c r="R1226" s="11">
        <v>0.23837209302325599</v>
      </c>
      <c r="S1226" s="10" t="s">
        <v>84</v>
      </c>
      <c r="T1226" s="10" t="s">
        <v>84</v>
      </c>
      <c r="U1226" s="10"/>
      <c r="V1226" s="10"/>
      <c r="W1226" s="10"/>
      <c r="X1226" s="10"/>
      <c r="Y1226" s="10"/>
      <c r="Z1226" s="10"/>
      <c r="AA1226" s="10"/>
    </row>
    <row r="1227" spans="1:27" ht="12.5" hidden="1" x14ac:dyDescent="0.25">
      <c r="A1227" s="10" t="s">
        <v>77</v>
      </c>
      <c r="B1227" s="10" t="s">
        <v>1671</v>
      </c>
      <c r="C1227" s="10" t="s">
        <v>191</v>
      </c>
      <c r="D1227" s="11">
        <v>2024</v>
      </c>
      <c r="E1227" s="10" t="s">
        <v>124</v>
      </c>
      <c r="F1227" s="10" t="s">
        <v>125</v>
      </c>
      <c r="G1227" s="10" t="s">
        <v>84</v>
      </c>
      <c r="H1227" s="12">
        <v>643.58333333333303</v>
      </c>
      <c r="I1227" s="11">
        <v>10</v>
      </c>
      <c r="J1227" s="11">
        <v>4</v>
      </c>
      <c r="K1227" s="11">
        <v>164</v>
      </c>
      <c r="L1227" s="11">
        <v>1.55380033665674E-2</v>
      </c>
      <c r="M1227" s="11">
        <f t="shared" si="4"/>
        <v>1.5538003366567403</v>
      </c>
      <c r="N1227" s="11">
        <v>0.4</v>
      </c>
      <c r="O1227" s="11">
        <v>0.25482325521170501</v>
      </c>
      <c r="P1227" s="11">
        <v>0.32598039215686297</v>
      </c>
      <c r="Q1227" s="11">
        <v>0.434782608695652</v>
      </c>
      <c r="R1227" s="11">
        <v>0.29457364341085301</v>
      </c>
      <c r="S1227" s="10" t="s">
        <v>84</v>
      </c>
      <c r="T1227" s="10" t="s">
        <v>84</v>
      </c>
      <c r="U1227" s="10"/>
      <c r="V1227" s="10"/>
      <c r="W1227" s="10"/>
      <c r="X1227" s="10"/>
      <c r="Y1227" s="10"/>
      <c r="Z1227" s="10"/>
      <c r="AA1227" s="10"/>
    </row>
    <row r="1228" spans="1:27" ht="12.5" hidden="1" x14ac:dyDescent="0.25">
      <c r="A1228" s="10" t="s">
        <v>25</v>
      </c>
      <c r="B1228" s="10" t="s">
        <v>1672</v>
      </c>
      <c r="C1228" s="10" t="s">
        <v>191</v>
      </c>
      <c r="D1228" s="11">
        <v>2024</v>
      </c>
      <c r="E1228" s="10" t="s">
        <v>124</v>
      </c>
      <c r="F1228" s="10" t="s">
        <v>125</v>
      </c>
      <c r="G1228" s="10" t="s">
        <v>84</v>
      </c>
      <c r="H1228" s="12">
        <v>21462</v>
      </c>
      <c r="I1228" s="11">
        <v>332</v>
      </c>
      <c r="J1228" s="11">
        <v>295</v>
      </c>
      <c r="K1228" s="11">
        <v>14998</v>
      </c>
      <c r="L1228" s="11">
        <v>1.54692614437201E-2</v>
      </c>
      <c r="M1228" s="11">
        <f t="shared" si="4"/>
        <v>1.5469201379181809</v>
      </c>
      <c r="N1228" s="11">
        <v>0.88855421686747005</v>
      </c>
      <c r="O1228" s="11">
        <v>0.69881922630395699</v>
      </c>
      <c r="P1228" s="11">
        <v>0.32475490196078399</v>
      </c>
      <c r="Q1228" s="11">
        <v>0.25</v>
      </c>
      <c r="R1228" s="11">
        <v>0.29263565891472898</v>
      </c>
      <c r="S1228" s="10" t="s">
        <v>84</v>
      </c>
      <c r="T1228" s="10" t="s">
        <v>84</v>
      </c>
      <c r="U1228" s="10"/>
      <c r="V1228" s="10"/>
      <c r="W1228" s="10"/>
      <c r="X1228" s="10"/>
      <c r="Y1228" s="10"/>
      <c r="Z1228" s="10"/>
      <c r="AA1228" s="10"/>
    </row>
    <row r="1229" spans="1:27" ht="12.5" hidden="1" x14ac:dyDescent="0.25">
      <c r="A1229" s="10" t="s">
        <v>58</v>
      </c>
      <c r="B1229" s="10" t="s">
        <v>1673</v>
      </c>
      <c r="C1229" s="10" t="s">
        <v>191</v>
      </c>
      <c r="D1229" s="11">
        <v>2024</v>
      </c>
      <c r="E1229" s="10" t="s">
        <v>124</v>
      </c>
      <c r="F1229" s="10" t="s">
        <v>125</v>
      </c>
      <c r="G1229" s="10" t="s">
        <v>84</v>
      </c>
      <c r="H1229" s="12">
        <v>776.33333333333303</v>
      </c>
      <c r="I1229" s="11">
        <v>12</v>
      </c>
      <c r="J1229" s="11">
        <v>11</v>
      </c>
      <c r="K1229" s="11">
        <v>77</v>
      </c>
      <c r="L1229" s="11">
        <v>1.54572778016316E-2</v>
      </c>
      <c r="M1229" s="11">
        <f t="shared" si="4"/>
        <v>1.5457277801631606</v>
      </c>
      <c r="N1229" s="11">
        <v>0.91666666666666696</v>
      </c>
      <c r="O1229" s="11">
        <v>9.9184199227136102E-2</v>
      </c>
      <c r="P1229" s="11">
        <v>0.32352941176470601</v>
      </c>
      <c r="Q1229" s="11">
        <v>0.169811320754717</v>
      </c>
      <c r="R1229" s="11">
        <v>0.290697674418605</v>
      </c>
      <c r="S1229" s="10" t="s">
        <v>84</v>
      </c>
      <c r="T1229" s="10" t="s">
        <v>84</v>
      </c>
      <c r="U1229" s="10"/>
      <c r="V1229" s="10"/>
      <c r="W1229" s="10"/>
      <c r="X1229" s="10"/>
      <c r="Y1229" s="10"/>
      <c r="Z1229" s="10"/>
      <c r="AA1229" s="10"/>
    </row>
    <row r="1230" spans="1:27" ht="12.5" x14ac:dyDescent="0.25">
      <c r="A1230" s="10" t="s">
        <v>42</v>
      </c>
      <c r="B1230" s="10" t="s">
        <v>1110</v>
      </c>
      <c r="C1230" s="10" t="s">
        <v>76</v>
      </c>
      <c r="D1230" s="11">
        <v>2024</v>
      </c>
      <c r="E1230" s="10" t="s">
        <v>81</v>
      </c>
      <c r="F1230" s="10" t="s">
        <v>83</v>
      </c>
      <c r="G1230" s="10" t="s">
        <v>84</v>
      </c>
      <c r="H1230" s="11">
        <v>20059</v>
      </c>
      <c r="I1230" s="11">
        <v>310</v>
      </c>
      <c r="J1230" s="11">
        <v>226</v>
      </c>
      <c r="K1230" s="11">
        <v>1090</v>
      </c>
      <c r="L1230" s="11">
        <v>1.54542810851232E-2</v>
      </c>
      <c r="M1230" s="11">
        <f t="shared" si="4"/>
        <v>1.5454409491998604</v>
      </c>
      <c r="N1230" s="11">
        <v>0.72903225806451599</v>
      </c>
      <c r="O1230" s="11">
        <v>5.4339246396078303E-2</v>
      </c>
      <c r="P1230" s="11">
        <v>0.19003378378378399</v>
      </c>
      <c r="Q1230" s="11">
        <v>0.119047619047619</v>
      </c>
      <c r="R1230" s="11">
        <v>0.23643410852713201</v>
      </c>
      <c r="S1230" s="10" t="s">
        <v>84</v>
      </c>
      <c r="T1230" s="10" t="s">
        <v>84</v>
      </c>
      <c r="U1230" s="10"/>
      <c r="V1230" s="10"/>
      <c r="W1230" s="10"/>
      <c r="X1230" s="10"/>
      <c r="Y1230" s="10"/>
      <c r="Z1230" s="10"/>
      <c r="AA1230" s="10"/>
    </row>
    <row r="1231" spans="1:27" ht="12.5" x14ac:dyDescent="0.25">
      <c r="A1231" s="10" t="s">
        <v>49</v>
      </c>
      <c r="B1231" s="10" t="s">
        <v>1193</v>
      </c>
      <c r="C1231" s="10" t="s">
        <v>76</v>
      </c>
      <c r="D1231" s="11">
        <v>2024</v>
      </c>
      <c r="E1231" s="10" t="s">
        <v>124</v>
      </c>
      <c r="F1231" s="10" t="s">
        <v>83</v>
      </c>
      <c r="G1231" s="10" t="s">
        <v>84</v>
      </c>
      <c r="H1231" s="11">
        <v>2266</v>
      </c>
      <c r="I1231" s="11">
        <v>35</v>
      </c>
      <c r="J1231" s="11">
        <v>31</v>
      </c>
      <c r="K1231" s="11">
        <v>492</v>
      </c>
      <c r="L1231" s="11">
        <v>1.5444583363977299E-2</v>
      </c>
      <c r="M1231" s="11">
        <f t="shared" si="4"/>
        <v>1.5445719329214476</v>
      </c>
      <c r="N1231" s="11">
        <v>0.88571428571428601</v>
      </c>
      <c r="O1231" s="11">
        <v>0.21710671471648199</v>
      </c>
      <c r="P1231" s="11">
        <v>0.18918918918918901</v>
      </c>
      <c r="Q1231" s="11">
        <v>0.269230769230769</v>
      </c>
      <c r="R1231" s="11">
        <v>0.13870246085011201</v>
      </c>
      <c r="S1231" s="10" t="s">
        <v>84</v>
      </c>
      <c r="T1231" s="10" t="s">
        <v>84</v>
      </c>
      <c r="U1231" s="10"/>
      <c r="V1231" s="10"/>
      <c r="W1231" s="10"/>
      <c r="X1231" s="10"/>
      <c r="Y1231" s="10"/>
      <c r="Z1231" s="10"/>
      <c r="AA1231" s="10"/>
    </row>
    <row r="1232" spans="1:27" ht="12.5" x14ac:dyDescent="0.25">
      <c r="A1232" s="10" t="s">
        <v>32</v>
      </c>
      <c r="B1232" s="10" t="s">
        <v>1112</v>
      </c>
      <c r="C1232" s="10" t="s">
        <v>76</v>
      </c>
      <c r="D1232" s="11">
        <v>2024</v>
      </c>
      <c r="E1232" s="10" t="s">
        <v>81</v>
      </c>
      <c r="F1232" s="10" t="s">
        <v>83</v>
      </c>
      <c r="G1232" s="10" t="s">
        <v>84</v>
      </c>
      <c r="H1232" s="11">
        <v>74143</v>
      </c>
      <c r="I1232" s="11">
        <v>1143</v>
      </c>
      <c r="J1232" s="11">
        <v>974</v>
      </c>
      <c r="K1232" s="11">
        <v>112252</v>
      </c>
      <c r="L1232" s="11">
        <v>1.54161379404912E-2</v>
      </c>
      <c r="M1232" s="11">
        <f t="shared" si="4"/>
        <v>1.541615526752357</v>
      </c>
      <c r="N1232" s="11">
        <v>0.852143482064742</v>
      </c>
      <c r="O1232" s="11">
        <v>1.51399152764306</v>
      </c>
      <c r="P1232" s="11">
        <v>0.18834459459459499</v>
      </c>
      <c r="Q1232" s="11">
        <v>3.4482758620689703E-2</v>
      </c>
      <c r="R1232" s="11">
        <v>0.234496124031008</v>
      </c>
      <c r="S1232" s="10" t="s">
        <v>84</v>
      </c>
      <c r="T1232" s="10" t="s">
        <v>84</v>
      </c>
      <c r="U1232" s="10"/>
      <c r="V1232" s="10"/>
      <c r="W1232" s="10"/>
      <c r="X1232" s="10"/>
      <c r="Y1232" s="10"/>
      <c r="Z1232" s="10"/>
      <c r="AA1232" s="10"/>
    </row>
    <row r="1233" spans="1:27" ht="12.5" hidden="1" x14ac:dyDescent="0.25">
      <c r="A1233" s="10" t="s">
        <v>58</v>
      </c>
      <c r="B1233" s="10" t="s">
        <v>1674</v>
      </c>
      <c r="C1233" s="10" t="s">
        <v>191</v>
      </c>
      <c r="D1233" s="11">
        <v>2024</v>
      </c>
      <c r="E1233" s="10" t="s">
        <v>124</v>
      </c>
      <c r="F1233" s="10" t="s">
        <v>125</v>
      </c>
      <c r="G1233" s="10" t="s">
        <v>84</v>
      </c>
      <c r="H1233" s="12">
        <v>7686</v>
      </c>
      <c r="I1233" s="11">
        <v>118</v>
      </c>
      <c r="J1233" s="11">
        <v>47</v>
      </c>
      <c r="K1233" s="11">
        <v>18972</v>
      </c>
      <c r="L1233" s="11">
        <v>1.5352589123080899E-2</v>
      </c>
      <c r="M1233" s="11">
        <f t="shared" si="4"/>
        <v>1.5352589123080926</v>
      </c>
      <c r="N1233" s="11">
        <v>0.39830508474576298</v>
      </c>
      <c r="O1233" s="11">
        <v>2.4683840749414498</v>
      </c>
      <c r="P1233" s="11">
        <v>0.32230392156862703</v>
      </c>
      <c r="Q1233" s="11">
        <v>0.15094339622641501</v>
      </c>
      <c r="R1233" s="11">
        <v>0.28875968992248102</v>
      </c>
      <c r="S1233" s="10" t="s">
        <v>84</v>
      </c>
      <c r="T1233" s="10" t="s">
        <v>84</v>
      </c>
      <c r="U1233" s="10"/>
      <c r="V1233" s="10"/>
      <c r="W1233" s="10"/>
      <c r="X1233" s="10"/>
      <c r="Y1233" s="10"/>
      <c r="Z1233" s="10"/>
      <c r="AA1233" s="10"/>
    </row>
    <row r="1234" spans="1:27" ht="12.5" x14ac:dyDescent="0.25">
      <c r="A1234" s="10" t="s">
        <v>42</v>
      </c>
      <c r="B1234" s="10" t="s">
        <v>1195</v>
      </c>
      <c r="C1234" s="10" t="s">
        <v>76</v>
      </c>
      <c r="D1234" s="11">
        <v>2024</v>
      </c>
      <c r="E1234" s="10" t="s">
        <v>124</v>
      </c>
      <c r="F1234" s="10" t="s">
        <v>83</v>
      </c>
      <c r="G1234" s="10" t="s">
        <v>84</v>
      </c>
      <c r="H1234" s="11">
        <v>8140</v>
      </c>
      <c r="I1234" s="11">
        <v>124</v>
      </c>
      <c r="J1234" s="11">
        <v>124</v>
      </c>
      <c r="K1234" s="11">
        <v>10636</v>
      </c>
      <c r="L1234" s="11">
        <v>1.5234195034553401E-2</v>
      </c>
      <c r="M1234" s="11">
        <f t="shared" si="4"/>
        <v>1.5233415233415233</v>
      </c>
      <c r="N1234" s="11">
        <v>1</v>
      </c>
      <c r="O1234" s="11">
        <v>1.30670079344766</v>
      </c>
      <c r="P1234" s="11">
        <v>0.18581081081081099</v>
      </c>
      <c r="Q1234" s="11">
        <v>9.5238095238095205E-2</v>
      </c>
      <c r="R1234" s="11">
        <v>0.13646532438478701</v>
      </c>
      <c r="S1234" s="10" t="s">
        <v>84</v>
      </c>
      <c r="T1234" s="10" t="s">
        <v>84</v>
      </c>
      <c r="U1234" s="10"/>
      <c r="V1234" s="10"/>
      <c r="W1234" s="10"/>
      <c r="X1234" s="10"/>
      <c r="Y1234" s="10"/>
      <c r="Z1234" s="10"/>
      <c r="AA1234" s="10"/>
    </row>
    <row r="1235" spans="1:27" ht="12.5" x14ac:dyDescent="0.25">
      <c r="A1235" s="10" t="s">
        <v>86</v>
      </c>
      <c r="B1235" s="10" t="s">
        <v>1114</v>
      </c>
      <c r="C1235" s="10" t="s">
        <v>76</v>
      </c>
      <c r="D1235" s="11">
        <v>2024</v>
      </c>
      <c r="E1235" s="10" t="s">
        <v>81</v>
      </c>
      <c r="F1235" s="10" t="s">
        <v>83</v>
      </c>
      <c r="G1235" s="10" t="s">
        <v>84</v>
      </c>
      <c r="H1235" s="11">
        <v>13795</v>
      </c>
      <c r="I1235" s="11">
        <v>210</v>
      </c>
      <c r="J1235" s="11">
        <v>121</v>
      </c>
      <c r="K1235" s="11">
        <v>2279</v>
      </c>
      <c r="L1235" s="11">
        <v>1.5223090770699201E-2</v>
      </c>
      <c r="M1235" s="11">
        <f t="shared" si="4"/>
        <v>1.5222906850308082</v>
      </c>
      <c r="N1235" s="11">
        <v>0.57619047619047603</v>
      </c>
      <c r="O1235" s="11">
        <v>0.16520678031630201</v>
      </c>
      <c r="P1235" s="11">
        <v>0.18496621621621601</v>
      </c>
      <c r="Q1235" s="11">
        <v>8.6956521739130405E-2</v>
      </c>
      <c r="R1235" s="11">
        <v>0.232558139534884</v>
      </c>
      <c r="S1235" s="10" t="s">
        <v>84</v>
      </c>
      <c r="T1235" s="10" t="s">
        <v>84</v>
      </c>
      <c r="U1235" s="10"/>
      <c r="V1235" s="10"/>
      <c r="W1235" s="10"/>
      <c r="X1235" s="10"/>
      <c r="Y1235" s="10"/>
      <c r="Z1235" s="10"/>
      <c r="AA1235" s="10"/>
    </row>
    <row r="1236" spans="1:27" ht="12.5" x14ac:dyDescent="0.25">
      <c r="A1236" s="10" t="s">
        <v>42</v>
      </c>
      <c r="B1236" s="10" t="s">
        <v>1117</v>
      </c>
      <c r="C1236" s="10" t="s">
        <v>76</v>
      </c>
      <c r="D1236" s="11">
        <v>2024</v>
      </c>
      <c r="E1236" s="10" t="s">
        <v>81</v>
      </c>
      <c r="F1236" s="10" t="s">
        <v>83</v>
      </c>
      <c r="G1236" s="10" t="s">
        <v>84</v>
      </c>
      <c r="H1236" s="11">
        <v>13696</v>
      </c>
      <c r="I1236" s="11">
        <v>208</v>
      </c>
      <c r="J1236" s="11">
        <v>191</v>
      </c>
      <c r="K1236" s="11">
        <v>9752</v>
      </c>
      <c r="L1236" s="11">
        <v>1.5187100699726201E-2</v>
      </c>
      <c r="M1236" s="11">
        <f t="shared" si="4"/>
        <v>1.5186915887850467</v>
      </c>
      <c r="N1236" s="11">
        <v>0.91826923076923095</v>
      </c>
      <c r="O1236" s="11">
        <v>0.71204137511408605</v>
      </c>
      <c r="P1236" s="11">
        <v>0.18412162162162199</v>
      </c>
      <c r="Q1236" s="11">
        <v>7.1428571428571397E-2</v>
      </c>
      <c r="R1236" s="11">
        <v>0.23062015503875999</v>
      </c>
      <c r="S1236" s="10" t="s">
        <v>84</v>
      </c>
      <c r="T1236" s="10" t="s">
        <v>84</v>
      </c>
      <c r="U1236" s="10"/>
      <c r="V1236" s="10"/>
      <c r="W1236" s="10"/>
      <c r="X1236" s="10"/>
      <c r="Y1236" s="10"/>
      <c r="Z1236" s="10"/>
      <c r="AA1236" s="10"/>
    </row>
    <row r="1237" spans="1:27" ht="12.5" x14ac:dyDescent="0.25">
      <c r="A1237" s="10" t="s">
        <v>72</v>
      </c>
      <c r="B1237" s="10" t="s">
        <v>1120</v>
      </c>
      <c r="C1237" s="10" t="s">
        <v>76</v>
      </c>
      <c r="D1237" s="11">
        <v>2024</v>
      </c>
      <c r="E1237" s="10" t="s">
        <v>81</v>
      </c>
      <c r="F1237" s="10" t="s">
        <v>83</v>
      </c>
      <c r="G1237" s="10" t="s">
        <v>84</v>
      </c>
      <c r="H1237" s="11">
        <v>98555</v>
      </c>
      <c r="I1237" s="11">
        <v>1492</v>
      </c>
      <c r="J1237" s="11">
        <v>1668</v>
      </c>
      <c r="K1237" s="11">
        <v>19886</v>
      </c>
      <c r="L1237" s="11">
        <v>1.5138755009893E-2</v>
      </c>
      <c r="M1237" s="11">
        <f t="shared" si="4"/>
        <v>1.5138755009892952</v>
      </c>
      <c r="N1237" s="11">
        <v>1.11796246648794</v>
      </c>
      <c r="O1237" s="11">
        <v>0.20177565826188401</v>
      </c>
      <c r="P1237" s="11">
        <v>0.183277027027027</v>
      </c>
      <c r="Q1237" s="11">
        <v>0.3</v>
      </c>
      <c r="R1237" s="11">
        <v>0.22868217054263601</v>
      </c>
      <c r="S1237" s="10" t="s">
        <v>84</v>
      </c>
      <c r="T1237" s="10" t="s">
        <v>84</v>
      </c>
      <c r="U1237" s="10"/>
      <c r="V1237" s="10"/>
      <c r="W1237" s="10"/>
      <c r="X1237" s="10"/>
      <c r="Y1237" s="10"/>
      <c r="Z1237" s="10"/>
      <c r="AA1237" s="10"/>
    </row>
    <row r="1238" spans="1:27" ht="12.5" hidden="1" x14ac:dyDescent="0.25">
      <c r="A1238" s="10" t="s">
        <v>53</v>
      </c>
      <c r="B1238" s="10" t="s">
        <v>1675</v>
      </c>
      <c r="C1238" s="10" t="s">
        <v>191</v>
      </c>
      <c r="D1238" s="11">
        <v>2024</v>
      </c>
      <c r="E1238" s="10" t="s">
        <v>124</v>
      </c>
      <c r="F1238" s="10" t="s">
        <v>125</v>
      </c>
      <c r="G1238" s="10" t="s">
        <v>84</v>
      </c>
      <c r="H1238" s="12">
        <v>9473</v>
      </c>
      <c r="I1238" s="11">
        <v>143</v>
      </c>
      <c r="J1238" s="11">
        <v>137</v>
      </c>
      <c r="K1238" s="11">
        <v>1435</v>
      </c>
      <c r="L1238" s="11">
        <v>1.5095269093404201E-2</v>
      </c>
      <c r="M1238" s="11">
        <f t="shared" si="4"/>
        <v>1.5095534677504487</v>
      </c>
      <c r="N1238" s="11">
        <v>0.95804195804195802</v>
      </c>
      <c r="O1238" s="11">
        <v>0.15148049754569901</v>
      </c>
      <c r="P1238" s="11">
        <v>0.31985294117647101</v>
      </c>
      <c r="Q1238" s="11">
        <v>0.74193548387096797</v>
      </c>
      <c r="R1238" s="11">
        <v>0.28682170542635699</v>
      </c>
      <c r="S1238" s="10" t="s">
        <v>84</v>
      </c>
      <c r="T1238" s="10" t="s">
        <v>84</v>
      </c>
      <c r="U1238" s="10"/>
      <c r="V1238" s="10"/>
      <c r="W1238" s="10"/>
      <c r="X1238" s="10"/>
      <c r="Y1238" s="10"/>
      <c r="Z1238" s="10"/>
      <c r="AA1238" s="10"/>
    </row>
    <row r="1239" spans="1:27" ht="12.5" hidden="1" x14ac:dyDescent="0.25">
      <c r="A1239" s="10" t="s">
        <v>58</v>
      </c>
      <c r="B1239" s="10" t="s">
        <v>1676</v>
      </c>
      <c r="C1239" s="10" t="s">
        <v>191</v>
      </c>
      <c r="D1239" s="11">
        <v>2024</v>
      </c>
      <c r="E1239" s="10" t="s">
        <v>124</v>
      </c>
      <c r="F1239" s="10" t="s">
        <v>125</v>
      </c>
      <c r="G1239" s="10" t="s">
        <v>84</v>
      </c>
      <c r="H1239" s="12">
        <v>531.33333333333303</v>
      </c>
      <c r="I1239" s="11">
        <v>8</v>
      </c>
      <c r="J1239" s="11">
        <v>7</v>
      </c>
      <c r="K1239" s="11">
        <v>304</v>
      </c>
      <c r="L1239" s="11">
        <v>1.5056461731493101E-2</v>
      </c>
      <c r="M1239" s="11">
        <f t="shared" si="4"/>
        <v>1.5056461731493107</v>
      </c>
      <c r="N1239" s="11">
        <v>0.875</v>
      </c>
      <c r="O1239" s="11">
        <v>0.57214554579673804</v>
      </c>
      <c r="P1239" s="11">
        <v>0.31740196078431399</v>
      </c>
      <c r="Q1239" s="11">
        <v>0.13207547169811301</v>
      </c>
      <c r="R1239" s="11">
        <v>0.28488372093023301</v>
      </c>
      <c r="S1239" s="10" t="s">
        <v>84</v>
      </c>
      <c r="T1239" s="10" t="s">
        <v>84</v>
      </c>
      <c r="U1239" s="10"/>
      <c r="V1239" s="10"/>
      <c r="W1239" s="10"/>
      <c r="X1239" s="10"/>
      <c r="Y1239" s="10"/>
      <c r="Z1239" s="10"/>
      <c r="AA1239" s="10"/>
    </row>
    <row r="1240" spans="1:27" ht="12.5" hidden="1" x14ac:dyDescent="0.25">
      <c r="A1240" s="10" t="s">
        <v>55</v>
      </c>
      <c r="B1240" s="10" t="s">
        <v>1677</v>
      </c>
      <c r="C1240" s="10" t="s">
        <v>191</v>
      </c>
      <c r="D1240" s="11">
        <v>2024</v>
      </c>
      <c r="E1240" s="10" t="s">
        <v>124</v>
      </c>
      <c r="F1240" s="10" t="s">
        <v>125</v>
      </c>
      <c r="G1240" s="10" t="s">
        <v>84</v>
      </c>
      <c r="H1240" s="12">
        <v>266</v>
      </c>
      <c r="I1240" s="11">
        <v>4</v>
      </c>
      <c r="J1240" s="11">
        <v>1</v>
      </c>
      <c r="K1240" s="11">
        <v>8</v>
      </c>
      <c r="L1240" s="11">
        <v>1.50375939849624E-2</v>
      </c>
      <c r="M1240" s="11">
        <f t="shared" si="4"/>
        <v>1.5037593984962405</v>
      </c>
      <c r="N1240" s="11">
        <v>0.25</v>
      </c>
      <c r="O1240" s="11">
        <v>3.00751879699248E-2</v>
      </c>
      <c r="P1240" s="11">
        <v>0.316176470588235</v>
      </c>
      <c r="Q1240" s="11">
        <v>0.22222222222222199</v>
      </c>
      <c r="R1240" s="11">
        <v>0.28294573643410897</v>
      </c>
      <c r="S1240" s="10" t="s">
        <v>84</v>
      </c>
      <c r="T1240" s="10" t="s">
        <v>84</v>
      </c>
      <c r="U1240" s="10"/>
      <c r="V1240" s="10"/>
      <c r="W1240" s="10"/>
      <c r="X1240" s="10"/>
      <c r="Y1240" s="10"/>
      <c r="Z1240" s="10"/>
      <c r="AA1240" s="10"/>
    </row>
    <row r="1241" spans="1:27" ht="12.5" x14ac:dyDescent="0.25">
      <c r="A1241" s="10" t="s">
        <v>82</v>
      </c>
      <c r="B1241" s="10" t="s">
        <v>1197</v>
      </c>
      <c r="C1241" s="10" t="s">
        <v>76</v>
      </c>
      <c r="D1241" s="11">
        <v>2024</v>
      </c>
      <c r="E1241" s="10" t="s">
        <v>124</v>
      </c>
      <c r="F1241" s="10" t="s">
        <v>83</v>
      </c>
      <c r="G1241" s="10" t="s">
        <v>84</v>
      </c>
      <c r="H1241" s="11">
        <v>11927</v>
      </c>
      <c r="I1241" s="11">
        <v>179</v>
      </c>
      <c r="J1241" s="11">
        <v>176</v>
      </c>
      <c r="K1241" s="11">
        <v>6599</v>
      </c>
      <c r="L1241" s="11">
        <v>1.50074408400813E-2</v>
      </c>
      <c r="M1241" s="11">
        <f t="shared" si="4"/>
        <v>1.5007965121153684</v>
      </c>
      <c r="N1241" s="11">
        <v>0.983240223463687</v>
      </c>
      <c r="O1241" s="11">
        <v>0.55326314024411505</v>
      </c>
      <c r="P1241" s="11">
        <v>0.18243243243243201</v>
      </c>
      <c r="Q1241" s="11">
        <v>0.32758620689655199</v>
      </c>
      <c r="R1241" s="11">
        <v>0.134228187919463</v>
      </c>
      <c r="S1241" s="10" t="s">
        <v>84</v>
      </c>
      <c r="T1241" s="10" t="s">
        <v>84</v>
      </c>
      <c r="U1241" s="10"/>
      <c r="V1241" s="10"/>
      <c r="W1241" s="10"/>
      <c r="X1241" s="10"/>
      <c r="Y1241" s="10"/>
      <c r="Z1241" s="10"/>
      <c r="AA1241" s="10"/>
    </row>
    <row r="1242" spans="1:27" ht="12.5" hidden="1" x14ac:dyDescent="0.25">
      <c r="A1242" s="10" t="s">
        <v>13</v>
      </c>
      <c r="B1242" s="10" t="s">
        <v>1678</v>
      </c>
      <c r="C1242" s="10" t="s">
        <v>191</v>
      </c>
      <c r="D1242" s="11">
        <v>2024</v>
      </c>
      <c r="E1242" s="10" t="s">
        <v>124</v>
      </c>
      <c r="F1242" s="10" t="s">
        <v>125</v>
      </c>
      <c r="G1242" s="10" t="s">
        <v>84</v>
      </c>
      <c r="H1242" s="12">
        <v>534.16666666666697</v>
      </c>
      <c r="I1242" s="11">
        <v>8</v>
      </c>
      <c r="J1242" s="11">
        <v>1</v>
      </c>
      <c r="K1242" s="11">
        <v>279</v>
      </c>
      <c r="L1242" s="11">
        <v>1.4976599063962599E-2</v>
      </c>
      <c r="M1242" s="11">
        <f t="shared" si="4"/>
        <v>1.497659906396255</v>
      </c>
      <c r="N1242" s="11">
        <v>0.125</v>
      </c>
      <c r="O1242" s="11">
        <v>0.522308892355694</v>
      </c>
      <c r="P1242" s="11">
        <v>0.31372549019607798</v>
      </c>
      <c r="Q1242" s="11">
        <v>0.10344827586206901</v>
      </c>
      <c r="R1242" s="11">
        <v>0.27906976744186002</v>
      </c>
      <c r="S1242" s="10" t="s">
        <v>84</v>
      </c>
      <c r="T1242" s="10" t="s">
        <v>84</v>
      </c>
      <c r="U1242" s="10"/>
      <c r="V1242" s="10"/>
      <c r="W1242" s="10"/>
      <c r="X1242" s="10"/>
      <c r="Y1242" s="10"/>
      <c r="Z1242" s="10"/>
      <c r="AA1242" s="10"/>
    </row>
    <row r="1243" spans="1:27" ht="12.5" hidden="1" x14ac:dyDescent="0.25">
      <c r="A1243" s="10" t="s">
        <v>13</v>
      </c>
      <c r="B1243" s="10" t="s">
        <v>1679</v>
      </c>
      <c r="C1243" s="10" t="s">
        <v>191</v>
      </c>
      <c r="D1243" s="11">
        <v>2024</v>
      </c>
      <c r="E1243" s="10" t="s">
        <v>124</v>
      </c>
      <c r="F1243" s="10" t="s">
        <v>125</v>
      </c>
      <c r="G1243" s="10" t="s">
        <v>84</v>
      </c>
      <c r="H1243" s="12">
        <v>534.16666666666697</v>
      </c>
      <c r="I1243" s="11">
        <v>8</v>
      </c>
      <c r="J1243" s="11">
        <v>1</v>
      </c>
      <c r="K1243" s="11">
        <v>279</v>
      </c>
      <c r="L1243" s="11">
        <v>1.4976599063962599E-2</v>
      </c>
      <c r="M1243" s="11">
        <f t="shared" si="4"/>
        <v>1.497659906396255</v>
      </c>
      <c r="N1243" s="11">
        <v>0.125</v>
      </c>
      <c r="O1243" s="11">
        <v>0.522308892355694</v>
      </c>
      <c r="P1243" s="11">
        <v>0.31372549019607798</v>
      </c>
      <c r="Q1243" s="11">
        <v>0.10344827586206901</v>
      </c>
      <c r="R1243" s="11">
        <v>0.27906976744186002</v>
      </c>
      <c r="S1243" s="10" t="s">
        <v>84</v>
      </c>
      <c r="T1243" s="10" t="s">
        <v>84</v>
      </c>
      <c r="U1243" s="10"/>
      <c r="V1243" s="10"/>
      <c r="W1243" s="10"/>
      <c r="X1243" s="10"/>
      <c r="Y1243" s="10"/>
      <c r="Z1243" s="10"/>
      <c r="AA1243" s="10"/>
    </row>
    <row r="1244" spans="1:27" ht="12.5" x14ac:dyDescent="0.25">
      <c r="A1244" s="10" t="s">
        <v>91</v>
      </c>
      <c r="B1244" s="10" t="s">
        <v>1122</v>
      </c>
      <c r="C1244" s="10" t="s">
        <v>76</v>
      </c>
      <c r="D1244" s="11">
        <v>2024</v>
      </c>
      <c r="E1244" s="10" t="s">
        <v>81</v>
      </c>
      <c r="F1244" s="10" t="s">
        <v>83</v>
      </c>
      <c r="G1244" s="10" t="s">
        <v>84</v>
      </c>
      <c r="H1244" s="11">
        <v>14336</v>
      </c>
      <c r="I1244" s="11">
        <v>214</v>
      </c>
      <c r="J1244" s="11">
        <v>202</v>
      </c>
      <c r="K1244" s="11">
        <v>4744</v>
      </c>
      <c r="L1244" s="11">
        <v>1.49279760036274E-2</v>
      </c>
      <c r="M1244" s="11">
        <f t="shared" si="4"/>
        <v>1.4927455357142858</v>
      </c>
      <c r="N1244" s="11">
        <v>0.94392523364486003</v>
      </c>
      <c r="O1244" s="11">
        <v>0.33092672037947801</v>
      </c>
      <c r="P1244" s="11">
        <v>0.181587837837838</v>
      </c>
      <c r="Q1244" s="11">
        <v>0.2</v>
      </c>
      <c r="R1244" s="11">
        <v>0.226744186046512</v>
      </c>
      <c r="S1244" s="10" t="s">
        <v>84</v>
      </c>
      <c r="T1244" s="10" t="s">
        <v>84</v>
      </c>
      <c r="U1244" s="10"/>
      <c r="V1244" s="10"/>
      <c r="W1244" s="10"/>
      <c r="X1244" s="10"/>
      <c r="Y1244" s="10"/>
      <c r="Z1244" s="10"/>
      <c r="AA1244" s="10"/>
    </row>
    <row r="1245" spans="1:27" ht="12.5" x14ac:dyDescent="0.25">
      <c r="A1245" s="10" t="s">
        <v>42</v>
      </c>
      <c r="B1245" s="10" t="s">
        <v>1123</v>
      </c>
      <c r="C1245" s="10" t="s">
        <v>76</v>
      </c>
      <c r="D1245" s="11">
        <v>2024</v>
      </c>
      <c r="E1245" s="10" t="s">
        <v>81</v>
      </c>
      <c r="F1245" s="10" t="s">
        <v>83</v>
      </c>
      <c r="G1245" s="10" t="s">
        <v>84</v>
      </c>
      <c r="H1245" s="11">
        <v>14601</v>
      </c>
      <c r="I1245" s="11">
        <v>217</v>
      </c>
      <c r="J1245" s="11">
        <v>104</v>
      </c>
      <c r="K1245" s="11">
        <v>785</v>
      </c>
      <c r="L1245" s="11">
        <v>1.48622502268719E-2</v>
      </c>
      <c r="M1245" s="11">
        <f t="shared" si="4"/>
        <v>1.48619957537155</v>
      </c>
      <c r="N1245" s="11">
        <v>0.47926267281106</v>
      </c>
      <c r="O1245" s="11">
        <v>5.3764361419790102E-2</v>
      </c>
      <c r="P1245" s="11">
        <v>0.17989864864864899</v>
      </c>
      <c r="Q1245" s="11">
        <v>4.7619047619047603E-2</v>
      </c>
      <c r="R1245" s="11">
        <v>0.224806201550388</v>
      </c>
      <c r="S1245" s="10" t="s">
        <v>84</v>
      </c>
      <c r="T1245" s="10" t="s">
        <v>84</v>
      </c>
      <c r="U1245" s="10"/>
      <c r="V1245" s="10"/>
      <c r="W1245" s="10"/>
      <c r="X1245" s="10"/>
      <c r="Y1245" s="10"/>
      <c r="Z1245" s="10"/>
      <c r="AA1245" s="10"/>
    </row>
    <row r="1246" spans="1:27" ht="12.5" x14ac:dyDescent="0.25">
      <c r="A1246" s="10" t="s">
        <v>86</v>
      </c>
      <c r="B1246" s="10" t="s">
        <v>1127</v>
      </c>
      <c r="C1246" s="10" t="s">
        <v>76</v>
      </c>
      <c r="D1246" s="11">
        <v>2024</v>
      </c>
      <c r="E1246" s="10" t="s">
        <v>81</v>
      </c>
      <c r="F1246" s="10" t="s">
        <v>83</v>
      </c>
      <c r="G1246" s="10" t="s">
        <v>84</v>
      </c>
      <c r="H1246" s="11">
        <v>80742</v>
      </c>
      <c r="I1246" s="11">
        <v>1198</v>
      </c>
      <c r="J1246" s="11">
        <v>1002</v>
      </c>
      <c r="K1246" s="11">
        <v>43184</v>
      </c>
      <c r="L1246" s="11">
        <v>1.48374598384352E-2</v>
      </c>
      <c r="M1246" s="11">
        <f t="shared" si="4"/>
        <v>1.4837383270169182</v>
      </c>
      <c r="N1246" s="11">
        <v>0.83639398998330505</v>
      </c>
      <c r="O1246" s="11">
        <v>0.53484212492736605</v>
      </c>
      <c r="P1246" s="11">
        <v>0.179054054054054</v>
      </c>
      <c r="Q1246" s="11">
        <v>6.5217391304347797E-2</v>
      </c>
      <c r="R1246" s="11">
        <v>0.22286821705426399</v>
      </c>
      <c r="S1246" s="10" t="s">
        <v>84</v>
      </c>
      <c r="T1246" s="10" t="s">
        <v>84</v>
      </c>
      <c r="U1246" s="10"/>
      <c r="V1246" s="10"/>
      <c r="W1246" s="10"/>
      <c r="X1246" s="10"/>
      <c r="Y1246" s="10"/>
      <c r="Z1246" s="10"/>
      <c r="AA1246" s="10"/>
    </row>
    <row r="1247" spans="1:27" ht="12.5" x14ac:dyDescent="0.25">
      <c r="A1247" s="10" t="s">
        <v>96</v>
      </c>
      <c r="B1247" s="10" t="s">
        <v>1129</v>
      </c>
      <c r="C1247" s="10" t="s">
        <v>76</v>
      </c>
      <c r="D1247" s="11">
        <v>2024</v>
      </c>
      <c r="E1247" s="10" t="s">
        <v>81</v>
      </c>
      <c r="F1247" s="10" t="s">
        <v>83</v>
      </c>
      <c r="G1247" s="10" t="s">
        <v>84</v>
      </c>
      <c r="H1247" s="11">
        <v>20935</v>
      </c>
      <c r="I1247" s="11">
        <v>310</v>
      </c>
      <c r="J1247" s="11">
        <v>279</v>
      </c>
      <c r="K1247" s="11">
        <v>832</v>
      </c>
      <c r="L1247" s="11">
        <v>1.4807974014394E-2</v>
      </c>
      <c r="M1247" s="11">
        <f t="shared" si="4"/>
        <v>1.4807738237401482</v>
      </c>
      <c r="N1247" s="11">
        <v>0.9</v>
      </c>
      <c r="O1247" s="11">
        <v>3.9742691548308999E-2</v>
      </c>
      <c r="P1247" s="11">
        <v>0.17820945945945901</v>
      </c>
      <c r="Q1247" s="11">
        <v>0.23529411764705899</v>
      </c>
      <c r="R1247" s="11">
        <v>0.22093023255814001</v>
      </c>
      <c r="S1247" s="10" t="s">
        <v>84</v>
      </c>
      <c r="T1247" s="10" t="s">
        <v>84</v>
      </c>
      <c r="U1247" s="10"/>
      <c r="V1247" s="10"/>
      <c r="W1247" s="10"/>
      <c r="X1247" s="10"/>
      <c r="Y1247" s="10"/>
      <c r="Z1247" s="10"/>
      <c r="AA1247" s="10"/>
    </row>
    <row r="1248" spans="1:27" ht="12.5" hidden="1" x14ac:dyDescent="0.25">
      <c r="A1248" s="10" t="s">
        <v>14</v>
      </c>
      <c r="B1248" s="10" t="s">
        <v>1680</v>
      </c>
      <c r="C1248" s="10" t="s">
        <v>191</v>
      </c>
      <c r="D1248" s="11">
        <v>2024</v>
      </c>
      <c r="E1248" s="10" t="s">
        <v>124</v>
      </c>
      <c r="F1248" s="10" t="s">
        <v>125</v>
      </c>
      <c r="G1248" s="10" t="s">
        <v>84</v>
      </c>
      <c r="H1248" s="12">
        <v>952.58333333333303</v>
      </c>
      <c r="I1248" s="11">
        <v>14</v>
      </c>
      <c r="J1248" s="11">
        <v>9</v>
      </c>
      <c r="K1248" s="11">
        <v>23</v>
      </c>
      <c r="L1248" s="11">
        <v>1.46968769136558E-2</v>
      </c>
      <c r="M1248" s="11">
        <f t="shared" si="4"/>
        <v>1.4696876913655854</v>
      </c>
      <c r="N1248" s="11">
        <v>0.64285714285714302</v>
      </c>
      <c r="O1248" s="11">
        <v>2.41448692152917E-2</v>
      </c>
      <c r="P1248" s="11">
        <v>0.31004901960784298</v>
      </c>
      <c r="Q1248" s="11">
        <v>0.14893617021276601</v>
      </c>
      <c r="R1248" s="11">
        <v>0.27713178294573598</v>
      </c>
      <c r="S1248" s="10" t="s">
        <v>84</v>
      </c>
      <c r="T1248" s="10" t="s">
        <v>84</v>
      </c>
      <c r="U1248" s="10"/>
      <c r="V1248" s="10"/>
      <c r="W1248" s="10"/>
      <c r="X1248" s="10"/>
      <c r="Y1248" s="10"/>
      <c r="Z1248" s="10"/>
      <c r="AA1248" s="10"/>
    </row>
    <row r="1249" spans="1:27" ht="12.5" x14ac:dyDescent="0.25">
      <c r="A1249" s="10" t="s">
        <v>45</v>
      </c>
      <c r="B1249" s="10" t="s">
        <v>1200</v>
      </c>
      <c r="C1249" s="10" t="s">
        <v>76</v>
      </c>
      <c r="D1249" s="11">
        <v>2024</v>
      </c>
      <c r="E1249" s="10" t="s">
        <v>124</v>
      </c>
      <c r="F1249" s="10" t="s">
        <v>83</v>
      </c>
      <c r="G1249" s="10" t="s">
        <v>84</v>
      </c>
      <c r="H1249" s="11">
        <v>2873</v>
      </c>
      <c r="I1249" s="11">
        <v>42</v>
      </c>
      <c r="J1249" s="11">
        <v>40</v>
      </c>
      <c r="K1249" s="11">
        <v>1331</v>
      </c>
      <c r="L1249" s="11">
        <v>1.46188652975983E-2</v>
      </c>
      <c r="M1249" s="11">
        <f t="shared" si="4"/>
        <v>1.4618865297598329</v>
      </c>
      <c r="N1249" s="11">
        <v>0.952380952380952</v>
      </c>
      <c r="O1249" s="11">
        <v>0.46327880264531801</v>
      </c>
      <c r="P1249" s="11">
        <v>0.177364864864865</v>
      </c>
      <c r="Q1249" s="11">
        <v>0</v>
      </c>
      <c r="R1249" s="11">
        <v>0.131991051454139</v>
      </c>
      <c r="S1249" s="10" t="s">
        <v>84</v>
      </c>
      <c r="T1249" s="10" t="s">
        <v>84</v>
      </c>
      <c r="U1249" s="10"/>
      <c r="V1249" s="10"/>
      <c r="W1249" s="10"/>
      <c r="X1249" s="10"/>
      <c r="Y1249" s="10"/>
      <c r="Z1249" s="10"/>
      <c r="AA1249" s="10"/>
    </row>
    <row r="1250" spans="1:27" ht="12.5" x14ac:dyDescent="0.25">
      <c r="A1250" s="10" t="s">
        <v>34</v>
      </c>
      <c r="B1250" s="10" t="s">
        <v>1132</v>
      </c>
      <c r="C1250" s="10" t="s">
        <v>76</v>
      </c>
      <c r="D1250" s="11">
        <v>2024</v>
      </c>
      <c r="E1250" s="10" t="s">
        <v>81</v>
      </c>
      <c r="F1250" s="10" t="s">
        <v>83</v>
      </c>
      <c r="G1250" s="10" t="s">
        <v>84</v>
      </c>
      <c r="H1250" s="11">
        <v>4664</v>
      </c>
      <c r="I1250" s="11">
        <v>68</v>
      </c>
      <c r="J1250" s="11">
        <v>46</v>
      </c>
      <c r="K1250" s="11">
        <v>681</v>
      </c>
      <c r="L1250" s="11">
        <v>1.45810624877151E-2</v>
      </c>
      <c r="M1250" s="11">
        <f t="shared" si="4"/>
        <v>1.4579759862778732</v>
      </c>
      <c r="N1250" s="11">
        <v>0.67647058823529405</v>
      </c>
      <c r="O1250" s="11">
        <v>0.146025052266676</v>
      </c>
      <c r="P1250" s="11">
        <v>0.17652027027027001</v>
      </c>
      <c r="Q1250" s="11">
        <v>0.36734693877551</v>
      </c>
      <c r="R1250" s="11">
        <v>0.218992248062016</v>
      </c>
      <c r="S1250" s="10" t="s">
        <v>84</v>
      </c>
      <c r="T1250" s="10" t="s">
        <v>84</v>
      </c>
      <c r="U1250" s="10"/>
      <c r="V1250" s="10"/>
      <c r="W1250" s="10"/>
      <c r="X1250" s="10"/>
      <c r="Y1250" s="10"/>
      <c r="Z1250" s="10"/>
      <c r="AA1250" s="10"/>
    </row>
    <row r="1251" spans="1:27" ht="12.5" x14ac:dyDescent="0.25">
      <c r="A1251" s="10" t="s">
        <v>52</v>
      </c>
      <c r="B1251" s="10" t="s">
        <v>1135</v>
      </c>
      <c r="C1251" s="10" t="s">
        <v>76</v>
      </c>
      <c r="D1251" s="11">
        <v>2024</v>
      </c>
      <c r="E1251" s="10" t="s">
        <v>81</v>
      </c>
      <c r="F1251" s="10" t="s">
        <v>83</v>
      </c>
      <c r="G1251" s="10" t="s">
        <v>84</v>
      </c>
      <c r="H1251" s="11">
        <v>11043</v>
      </c>
      <c r="I1251" s="11">
        <v>161</v>
      </c>
      <c r="J1251" s="11">
        <v>114</v>
      </c>
      <c r="K1251" s="11">
        <v>969</v>
      </c>
      <c r="L1251" s="11">
        <v>1.4579041495936401E-2</v>
      </c>
      <c r="M1251" s="11">
        <f t="shared" si="4"/>
        <v>1.4579371547586706</v>
      </c>
      <c r="N1251" s="11">
        <v>0.70807453416149102</v>
      </c>
      <c r="O1251" s="11">
        <v>8.7745908133928005E-2</v>
      </c>
      <c r="P1251" s="11">
        <v>0.17567567567567599</v>
      </c>
      <c r="Q1251" s="11">
        <v>8.5106382978723402E-2</v>
      </c>
      <c r="R1251" s="11">
        <v>0.217054263565891</v>
      </c>
      <c r="S1251" s="10" t="s">
        <v>84</v>
      </c>
      <c r="T1251" s="10" t="s">
        <v>84</v>
      </c>
      <c r="U1251" s="10"/>
      <c r="V1251" s="10"/>
      <c r="W1251" s="10"/>
      <c r="X1251" s="10"/>
      <c r="Y1251" s="10"/>
      <c r="Z1251" s="10"/>
      <c r="AA1251" s="10"/>
    </row>
    <row r="1252" spans="1:27" ht="12.5" x14ac:dyDescent="0.25">
      <c r="A1252" s="10" t="s">
        <v>34</v>
      </c>
      <c r="B1252" s="10" t="s">
        <v>1138</v>
      </c>
      <c r="C1252" s="10" t="s">
        <v>76</v>
      </c>
      <c r="D1252" s="11">
        <v>2024</v>
      </c>
      <c r="E1252" s="10" t="s">
        <v>81</v>
      </c>
      <c r="F1252" s="10" t="s">
        <v>83</v>
      </c>
      <c r="G1252" s="10" t="s">
        <v>84</v>
      </c>
      <c r="H1252" s="11">
        <v>9537</v>
      </c>
      <c r="I1252" s="11">
        <v>139</v>
      </c>
      <c r="J1252" s="11">
        <v>128</v>
      </c>
      <c r="K1252" s="11">
        <v>277</v>
      </c>
      <c r="L1252" s="11">
        <v>1.4574813882772399E-2</v>
      </c>
      <c r="M1252" s="11">
        <f t="shared" si="4"/>
        <v>1.4574813882772362</v>
      </c>
      <c r="N1252" s="11">
        <v>0.92086330935251803</v>
      </c>
      <c r="O1252" s="11">
        <v>2.90447729894097E-2</v>
      </c>
      <c r="P1252" s="11">
        <v>0.174831081081081</v>
      </c>
      <c r="Q1252" s="11">
        <v>0.34693877551020402</v>
      </c>
      <c r="R1252" s="11">
        <v>0.21511627906976699</v>
      </c>
      <c r="S1252" s="10" t="s">
        <v>84</v>
      </c>
      <c r="T1252" s="10" t="s">
        <v>84</v>
      </c>
      <c r="U1252" s="10"/>
      <c r="V1252" s="10"/>
      <c r="W1252" s="10"/>
      <c r="X1252" s="10"/>
      <c r="Y1252" s="10"/>
      <c r="Z1252" s="10"/>
      <c r="AA1252" s="10"/>
    </row>
    <row r="1253" spans="1:27" ht="12.5" x14ac:dyDescent="0.25">
      <c r="A1253" s="10" t="s">
        <v>52</v>
      </c>
      <c r="B1253" s="10" t="s">
        <v>1140</v>
      </c>
      <c r="C1253" s="10" t="s">
        <v>76</v>
      </c>
      <c r="D1253" s="11">
        <v>2024</v>
      </c>
      <c r="E1253" s="10" t="s">
        <v>81</v>
      </c>
      <c r="F1253" s="10" t="s">
        <v>83</v>
      </c>
      <c r="G1253" s="10" t="s">
        <v>84</v>
      </c>
      <c r="H1253" s="11">
        <v>9277</v>
      </c>
      <c r="I1253" s="11">
        <v>135</v>
      </c>
      <c r="J1253" s="11">
        <v>76</v>
      </c>
      <c r="K1253" s="11">
        <v>669</v>
      </c>
      <c r="L1253" s="11">
        <v>1.45527717640295E-2</v>
      </c>
      <c r="M1253" s="11">
        <f t="shared" si="4"/>
        <v>1.4552118141640618</v>
      </c>
      <c r="N1253" s="11">
        <v>0.562962962962963</v>
      </c>
      <c r="O1253" s="11">
        <v>7.2117068963968398E-2</v>
      </c>
      <c r="P1253" s="11">
        <v>0.17398648648648599</v>
      </c>
      <c r="Q1253" s="11">
        <v>6.3829787234042507E-2</v>
      </c>
      <c r="R1253" s="11">
        <v>0.21317829457364301</v>
      </c>
      <c r="S1253" s="10" t="s">
        <v>84</v>
      </c>
      <c r="T1253" s="10" t="s">
        <v>84</v>
      </c>
      <c r="U1253" s="10"/>
      <c r="V1253" s="10"/>
      <c r="W1253" s="10"/>
      <c r="X1253" s="10"/>
      <c r="Y1253" s="10"/>
      <c r="Z1253" s="10"/>
      <c r="AA1253" s="10"/>
    </row>
    <row r="1254" spans="1:27" ht="12.5" hidden="1" x14ac:dyDescent="0.25">
      <c r="A1254" s="10" t="s">
        <v>104</v>
      </c>
      <c r="B1254" s="10" t="s">
        <v>1681</v>
      </c>
      <c r="C1254" s="10" t="s">
        <v>191</v>
      </c>
      <c r="D1254" s="11">
        <v>2024</v>
      </c>
      <c r="E1254" s="10" t="s">
        <v>124</v>
      </c>
      <c r="F1254" s="10" t="s">
        <v>125</v>
      </c>
      <c r="G1254" s="10" t="s">
        <v>84</v>
      </c>
      <c r="H1254" s="12">
        <v>3715</v>
      </c>
      <c r="I1254" s="11">
        <v>54</v>
      </c>
      <c r="J1254" s="11">
        <v>8</v>
      </c>
      <c r="K1254" s="11">
        <v>0</v>
      </c>
      <c r="L1254" s="11">
        <v>1.45350141312637E-2</v>
      </c>
      <c r="M1254" s="11">
        <f t="shared" si="4"/>
        <v>1.4535666218034993</v>
      </c>
      <c r="N1254" s="11">
        <v>0.148148148148148</v>
      </c>
      <c r="O1254" s="11">
        <v>0</v>
      </c>
      <c r="P1254" s="11">
        <v>0.30637254901960798</v>
      </c>
      <c r="Q1254" s="11">
        <v>0.71428571428571397</v>
      </c>
      <c r="R1254" s="11">
        <v>0.275193798449612</v>
      </c>
      <c r="S1254" s="10" t="s">
        <v>84</v>
      </c>
      <c r="T1254" s="10" t="s">
        <v>84</v>
      </c>
      <c r="U1254" s="10"/>
      <c r="V1254" s="10"/>
      <c r="W1254" s="10"/>
      <c r="X1254" s="10"/>
      <c r="Y1254" s="10"/>
      <c r="Z1254" s="10"/>
      <c r="AA1254" s="10"/>
    </row>
    <row r="1255" spans="1:27" ht="12.5" x14ac:dyDescent="0.25">
      <c r="A1255" s="10" t="s">
        <v>96</v>
      </c>
      <c r="B1255" s="10" t="s">
        <v>1142</v>
      </c>
      <c r="C1255" s="10" t="s">
        <v>76</v>
      </c>
      <c r="D1255" s="11">
        <v>2024</v>
      </c>
      <c r="E1255" s="10" t="s">
        <v>81</v>
      </c>
      <c r="F1255" s="10" t="s">
        <v>83</v>
      </c>
      <c r="G1255" s="10" t="s">
        <v>84</v>
      </c>
      <c r="H1255" s="11">
        <v>19542</v>
      </c>
      <c r="I1255" s="11">
        <v>283</v>
      </c>
      <c r="J1255" s="11">
        <v>261</v>
      </c>
      <c r="K1255" s="11">
        <v>5259</v>
      </c>
      <c r="L1255" s="11">
        <v>1.44813822982585E-2</v>
      </c>
      <c r="M1255" s="11">
        <f t="shared" si="4"/>
        <v>1.44816293112271</v>
      </c>
      <c r="N1255" s="11">
        <v>0.92226148409894004</v>
      </c>
      <c r="O1255" s="11">
        <v>0.26910809012912101</v>
      </c>
      <c r="P1255" s="11">
        <v>0.173141891891892</v>
      </c>
      <c r="Q1255" s="11">
        <v>0.17647058823529399</v>
      </c>
      <c r="R1255" s="11">
        <v>0.21124031007751901</v>
      </c>
      <c r="S1255" s="10" t="s">
        <v>84</v>
      </c>
      <c r="T1255" s="10" t="s">
        <v>84</v>
      </c>
      <c r="U1255" s="10"/>
      <c r="V1255" s="10"/>
      <c r="W1255" s="10"/>
      <c r="X1255" s="10"/>
      <c r="Y1255" s="10"/>
      <c r="Z1255" s="10"/>
      <c r="AA1255" s="10"/>
    </row>
    <row r="1256" spans="1:27" ht="12.5" hidden="1" x14ac:dyDescent="0.25">
      <c r="A1256" s="10" t="s">
        <v>52</v>
      </c>
      <c r="B1256" s="10" t="s">
        <v>1682</v>
      </c>
      <c r="C1256" s="10" t="s">
        <v>191</v>
      </c>
      <c r="D1256" s="11">
        <v>2024</v>
      </c>
      <c r="E1256" s="10" t="s">
        <v>124</v>
      </c>
      <c r="F1256" s="10" t="s">
        <v>125</v>
      </c>
      <c r="G1256" s="10" t="s">
        <v>84</v>
      </c>
      <c r="H1256" s="12">
        <v>1106</v>
      </c>
      <c r="I1256" s="11">
        <v>16</v>
      </c>
      <c r="J1256" s="11">
        <v>11</v>
      </c>
      <c r="K1256" s="11">
        <v>15</v>
      </c>
      <c r="L1256" s="11">
        <v>1.44709074464878E-2</v>
      </c>
      <c r="M1256" s="11">
        <f t="shared" si="4"/>
        <v>1.4466546112115732</v>
      </c>
      <c r="N1256" s="11">
        <v>0.6875</v>
      </c>
      <c r="O1256" s="11">
        <v>1.35664757310823E-2</v>
      </c>
      <c r="P1256" s="11">
        <v>0.30514705882352899</v>
      </c>
      <c r="Q1256" s="11">
        <v>0.42857142857142899</v>
      </c>
      <c r="R1256" s="11">
        <v>0.27325581395348802</v>
      </c>
      <c r="S1256" s="10" t="s">
        <v>84</v>
      </c>
      <c r="T1256" s="10" t="s">
        <v>84</v>
      </c>
      <c r="U1256" s="10"/>
      <c r="V1256" s="10"/>
      <c r="W1256" s="10"/>
      <c r="X1256" s="10"/>
      <c r="Y1256" s="10"/>
      <c r="Z1256" s="10"/>
      <c r="AA1256" s="10"/>
    </row>
    <row r="1257" spans="1:27" ht="12.5" x14ac:dyDescent="0.25">
      <c r="A1257" s="10" t="s">
        <v>34</v>
      </c>
      <c r="B1257" s="10" t="s">
        <v>1202</v>
      </c>
      <c r="C1257" s="10" t="s">
        <v>76</v>
      </c>
      <c r="D1257" s="11">
        <v>2024</v>
      </c>
      <c r="E1257" s="10" t="s">
        <v>124</v>
      </c>
      <c r="F1257" s="10" t="s">
        <v>83</v>
      </c>
      <c r="G1257" s="10" t="s">
        <v>84</v>
      </c>
      <c r="H1257" s="11">
        <v>1246</v>
      </c>
      <c r="I1257" s="11">
        <v>18</v>
      </c>
      <c r="J1257" s="11">
        <v>18</v>
      </c>
      <c r="K1257" s="11">
        <v>1717</v>
      </c>
      <c r="L1257" s="11">
        <v>1.44481605351171E-2</v>
      </c>
      <c r="M1257" s="11">
        <f t="shared" si="4"/>
        <v>1.4446227929373996</v>
      </c>
      <c r="N1257" s="11">
        <v>1</v>
      </c>
      <c r="O1257" s="11">
        <v>1.37819397993311</v>
      </c>
      <c r="P1257" s="11">
        <v>0.17229729729729701</v>
      </c>
      <c r="Q1257" s="11">
        <v>0.32653061224489799</v>
      </c>
      <c r="R1257" s="11">
        <v>0.129753914988814</v>
      </c>
      <c r="S1257" s="10" t="s">
        <v>84</v>
      </c>
      <c r="T1257" s="10" t="s">
        <v>84</v>
      </c>
      <c r="U1257" s="10"/>
      <c r="V1257" s="10"/>
      <c r="W1257" s="10"/>
      <c r="X1257" s="10"/>
      <c r="Y1257" s="10"/>
      <c r="Z1257" s="10"/>
      <c r="AA1257" s="10"/>
    </row>
    <row r="1258" spans="1:27" ht="12.5" x14ac:dyDescent="0.25">
      <c r="A1258" s="10" t="s">
        <v>82</v>
      </c>
      <c r="B1258" s="10" t="s">
        <v>1145</v>
      </c>
      <c r="C1258" s="10" t="s">
        <v>76</v>
      </c>
      <c r="D1258" s="11">
        <v>2024</v>
      </c>
      <c r="E1258" s="10" t="s">
        <v>81</v>
      </c>
      <c r="F1258" s="10" t="s">
        <v>83</v>
      </c>
      <c r="G1258" s="10" t="s">
        <v>84</v>
      </c>
      <c r="H1258" s="11">
        <v>32927</v>
      </c>
      <c r="I1258" s="11">
        <v>473</v>
      </c>
      <c r="J1258" s="11">
        <v>384</v>
      </c>
      <c r="K1258" s="11">
        <v>6423</v>
      </c>
      <c r="L1258" s="11">
        <v>1.43651834117058E-2</v>
      </c>
      <c r="M1258" s="11">
        <f t="shared" si="4"/>
        <v>1.4365110699426005</v>
      </c>
      <c r="N1258" s="11">
        <v>0.81183932346722998</v>
      </c>
      <c r="O1258" s="11">
        <v>0.195068864806313</v>
      </c>
      <c r="P1258" s="11">
        <v>0.170608108108108</v>
      </c>
      <c r="Q1258" s="11">
        <v>0.31034482758620702</v>
      </c>
      <c r="R1258" s="11">
        <v>0.209302325581395</v>
      </c>
      <c r="S1258" s="10" t="s">
        <v>84</v>
      </c>
      <c r="T1258" s="10" t="s">
        <v>84</v>
      </c>
      <c r="U1258" s="10"/>
      <c r="V1258" s="10"/>
      <c r="W1258" s="10"/>
      <c r="X1258" s="10"/>
      <c r="Y1258" s="10"/>
      <c r="Z1258" s="10"/>
      <c r="AA1258" s="10"/>
    </row>
    <row r="1259" spans="1:27" ht="12.5" hidden="1" x14ac:dyDescent="0.25">
      <c r="A1259" s="10" t="s">
        <v>12</v>
      </c>
      <c r="B1259" s="10" t="s">
        <v>1683</v>
      </c>
      <c r="C1259" s="10" t="s">
        <v>191</v>
      </c>
      <c r="D1259" s="11">
        <v>2024</v>
      </c>
      <c r="E1259" s="10" t="s">
        <v>124</v>
      </c>
      <c r="F1259" s="10" t="s">
        <v>125</v>
      </c>
      <c r="G1259" s="10" t="s">
        <v>84</v>
      </c>
      <c r="H1259" s="12">
        <v>766.58333333333303</v>
      </c>
      <c r="I1259" s="11">
        <v>11</v>
      </c>
      <c r="J1259" s="11">
        <v>11</v>
      </c>
      <c r="K1259" s="11">
        <v>75</v>
      </c>
      <c r="L1259" s="11">
        <v>1.43493858028047E-2</v>
      </c>
      <c r="M1259" s="11">
        <f t="shared" si="4"/>
        <v>1.4349385802804659</v>
      </c>
      <c r="N1259" s="11">
        <v>1</v>
      </c>
      <c r="O1259" s="11">
        <v>9.7836721382759007E-2</v>
      </c>
      <c r="P1259" s="11">
        <v>0.30269607843137297</v>
      </c>
      <c r="Q1259" s="11">
        <v>0.206349206349206</v>
      </c>
      <c r="R1259" s="11">
        <v>0.27131782945736399</v>
      </c>
      <c r="S1259" s="10" t="s">
        <v>84</v>
      </c>
      <c r="T1259" s="10" t="s">
        <v>84</v>
      </c>
      <c r="U1259" s="10"/>
      <c r="V1259" s="10"/>
      <c r="W1259" s="10"/>
      <c r="X1259" s="10"/>
      <c r="Y1259" s="10"/>
      <c r="Z1259" s="10"/>
      <c r="AA1259" s="10"/>
    </row>
    <row r="1260" spans="1:27" ht="12.5" hidden="1" x14ac:dyDescent="0.25">
      <c r="A1260" s="10" t="s">
        <v>14</v>
      </c>
      <c r="B1260" s="10" t="s">
        <v>1684</v>
      </c>
      <c r="C1260" s="10" t="s">
        <v>191</v>
      </c>
      <c r="D1260" s="11">
        <v>2024</v>
      </c>
      <c r="E1260" s="10" t="s">
        <v>124</v>
      </c>
      <c r="F1260" s="10" t="s">
        <v>125</v>
      </c>
      <c r="G1260" s="10" t="s">
        <v>84</v>
      </c>
      <c r="H1260" s="12">
        <v>13544</v>
      </c>
      <c r="I1260" s="11">
        <v>193</v>
      </c>
      <c r="J1260" s="11">
        <v>101</v>
      </c>
      <c r="K1260" s="11">
        <v>0</v>
      </c>
      <c r="L1260" s="11">
        <v>1.4249852333136401E-2</v>
      </c>
      <c r="M1260" s="11">
        <f t="shared" si="4"/>
        <v>1.4249852333136444</v>
      </c>
      <c r="N1260" s="11">
        <v>0.523316062176166</v>
      </c>
      <c r="O1260" s="11">
        <v>0</v>
      </c>
      <c r="P1260" s="11">
        <v>0.30147058823529399</v>
      </c>
      <c r="Q1260" s="11">
        <v>0.12765957446808501</v>
      </c>
      <c r="R1260" s="11">
        <v>0.26937984496124001</v>
      </c>
      <c r="S1260" s="10" t="s">
        <v>84</v>
      </c>
      <c r="T1260" s="10" t="s">
        <v>84</v>
      </c>
      <c r="U1260" s="10"/>
      <c r="V1260" s="10"/>
      <c r="W1260" s="10"/>
      <c r="X1260" s="10"/>
      <c r="Y1260" s="10"/>
      <c r="Z1260" s="10"/>
      <c r="AA1260" s="10"/>
    </row>
    <row r="1261" spans="1:27" ht="12.5" x14ac:dyDescent="0.25">
      <c r="A1261" s="10" t="s">
        <v>13</v>
      </c>
      <c r="B1261" s="10" t="s">
        <v>1147</v>
      </c>
      <c r="C1261" s="10" t="s">
        <v>76</v>
      </c>
      <c r="D1261" s="11">
        <v>2024</v>
      </c>
      <c r="E1261" s="10" t="s">
        <v>81</v>
      </c>
      <c r="F1261" s="10" t="s">
        <v>83</v>
      </c>
      <c r="G1261" s="10" t="s">
        <v>84</v>
      </c>
      <c r="H1261" s="11">
        <v>16997</v>
      </c>
      <c r="I1261" s="11">
        <v>242</v>
      </c>
      <c r="J1261" s="11">
        <v>168</v>
      </c>
      <c r="K1261" s="11">
        <v>40252</v>
      </c>
      <c r="L1261" s="11">
        <v>1.42374576528786E-2</v>
      </c>
      <c r="M1261" s="11">
        <f t="shared" si="4"/>
        <v>1.4237806671765605</v>
      </c>
      <c r="N1261" s="11">
        <v>0.69421487603305798</v>
      </c>
      <c r="O1261" s="11">
        <v>2.3681245679490499</v>
      </c>
      <c r="P1261" s="11">
        <v>0.168918918918919</v>
      </c>
      <c r="Q1261" s="11">
        <v>0</v>
      </c>
      <c r="R1261" s="11">
        <v>0.20736434108527099</v>
      </c>
      <c r="S1261" s="10" t="s">
        <v>84</v>
      </c>
      <c r="T1261" s="10" t="s">
        <v>84</v>
      </c>
      <c r="U1261" s="10"/>
      <c r="V1261" s="10"/>
      <c r="W1261" s="10"/>
      <c r="X1261" s="10"/>
      <c r="Y1261" s="10"/>
      <c r="Z1261" s="10"/>
      <c r="AA1261" s="10"/>
    </row>
    <row r="1262" spans="1:27" ht="12.5" hidden="1" x14ac:dyDescent="0.25">
      <c r="A1262" s="10" t="s">
        <v>45</v>
      </c>
      <c r="B1262" s="10" t="s">
        <v>1685</v>
      </c>
      <c r="C1262" s="10" t="s">
        <v>191</v>
      </c>
      <c r="D1262" s="11">
        <v>2024</v>
      </c>
      <c r="E1262" s="10" t="s">
        <v>124</v>
      </c>
      <c r="F1262" s="10" t="s">
        <v>83</v>
      </c>
      <c r="G1262" s="10" t="s">
        <v>84</v>
      </c>
      <c r="H1262" s="12">
        <v>8739</v>
      </c>
      <c r="I1262" s="11">
        <v>124</v>
      </c>
      <c r="J1262" s="11">
        <v>26</v>
      </c>
      <c r="K1262" s="11">
        <v>6155</v>
      </c>
      <c r="L1262" s="11">
        <v>1.4189401813726001E-2</v>
      </c>
      <c r="M1262" s="11">
        <f t="shared" si="4"/>
        <v>1.4189266506465272</v>
      </c>
      <c r="N1262" s="11">
        <v>0.209677419354839</v>
      </c>
      <c r="O1262" s="11">
        <v>0.70432071099583304</v>
      </c>
      <c r="P1262" s="11">
        <v>0.29901960784313703</v>
      </c>
      <c r="Q1262" s="11">
        <v>0</v>
      </c>
      <c r="R1262" s="11">
        <v>0.26744186046511598</v>
      </c>
      <c r="S1262" s="10" t="s">
        <v>84</v>
      </c>
      <c r="T1262" s="10" t="s">
        <v>84</v>
      </c>
      <c r="U1262" s="10"/>
      <c r="V1262" s="10"/>
      <c r="W1262" s="10"/>
      <c r="X1262" s="10"/>
      <c r="Y1262" s="10"/>
      <c r="Z1262" s="10"/>
      <c r="AA1262" s="10"/>
    </row>
    <row r="1263" spans="1:27" ht="12.5" hidden="1" x14ac:dyDescent="0.25">
      <c r="A1263" s="10" t="s">
        <v>82</v>
      </c>
      <c r="B1263" s="10" t="s">
        <v>1686</v>
      </c>
      <c r="C1263" s="10" t="s">
        <v>191</v>
      </c>
      <c r="D1263" s="11">
        <v>2024</v>
      </c>
      <c r="E1263" s="10" t="s">
        <v>124</v>
      </c>
      <c r="F1263" s="10" t="s">
        <v>125</v>
      </c>
      <c r="G1263" s="10" t="s">
        <v>84</v>
      </c>
      <c r="H1263" s="12">
        <v>1566</v>
      </c>
      <c r="I1263" s="11">
        <v>22</v>
      </c>
      <c r="J1263" s="11">
        <v>16</v>
      </c>
      <c r="K1263" s="11">
        <v>106</v>
      </c>
      <c r="L1263" s="11">
        <v>1.40485312899106E-2</v>
      </c>
      <c r="M1263" s="11">
        <f t="shared" si="4"/>
        <v>1.40485312899106</v>
      </c>
      <c r="N1263" s="11">
        <v>0.72727272727272696</v>
      </c>
      <c r="O1263" s="11">
        <v>6.7688378033205598E-2</v>
      </c>
      <c r="P1263" s="11">
        <v>0.29656862745098</v>
      </c>
      <c r="Q1263" s="11">
        <v>0.88888888888888895</v>
      </c>
      <c r="R1263" s="11">
        <v>0.265503875968992</v>
      </c>
      <c r="S1263" s="10" t="s">
        <v>84</v>
      </c>
      <c r="T1263" s="10" t="s">
        <v>84</v>
      </c>
      <c r="U1263" s="10"/>
      <c r="V1263" s="10"/>
      <c r="W1263" s="10"/>
      <c r="X1263" s="10"/>
      <c r="Y1263" s="10"/>
      <c r="Z1263" s="10"/>
      <c r="AA1263" s="10"/>
    </row>
    <row r="1264" spans="1:27" ht="12.5" hidden="1" x14ac:dyDescent="0.25">
      <c r="A1264" s="10" t="s">
        <v>77</v>
      </c>
      <c r="B1264" s="10" t="s">
        <v>1687</v>
      </c>
      <c r="C1264" s="10" t="s">
        <v>191</v>
      </c>
      <c r="D1264" s="11">
        <v>2024</v>
      </c>
      <c r="E1264" s="10" t="s">
        <v>124</v>
      </c>
      <c r="F1264" s="10" t="s">
        <v>125</v>
      </c>
      <c r="G1264" s="10" t="s">
        <v>84</v>
      </c>
      <c r="H1264" s="12">
        <v>1495</v>
      </c>
      <c r="I1264" s="11">
        <v>21</v>
      </c>
      <c r="J1264" s="11">
        <v>15</v>
      </c>
      <c r="K1264" s="11">
        <v>353</v>
      </c>
      <c r="L1264" s="11">
        <v>1.40468227424749E-2</v>
      </c>
      <c r="M1264" s="11">
        <f t="shared" si="4"/>
        <v>1.4046822742474918</v>
      </c>
      <c r="N1264" s="11">
        <v>0.71428571428571397</v>
      </c>
      <c r="O1264" s="11">
        <v>0.236120401337793</v>
      </c>
      <c r="P1264" s="11">
        <v>0.29534313725490202</v>
      </c>
      <c r="Q1264" s="11">
        <v>0.39130434782608697</v>
      </c>
      <c r="R1264" s="11">
        <v>0.26356589147286802</v>
      </c>
      <c r="S1264" s="10" t="s">
        <v>84</v>
      </c>
      <c r="T1264" s="10" t="s">
        <v>84</v>
      </c>
      <c r="U1264" s="10"/>
      <c r="V1264" s="10"/>
      <c r="W1264" s="10"/>
      <c r="X1264" s="10"/>
      <c r="Y1264" s="10"/>
      <c r="Z1264" s="10"/>
      <c r="AA1264" s="10"/>
    </row>
    <row r="1265" spans="1:27" ht="12.5" x14ac:dyDescent="0.25">
      <c r="A1265" s="10" t="s">
        <v>52</v>
      </c>
      <c r="B1265" s="10" t="s">
        <v>1150</v>
      </c>
      <c r="C1265" s="10" t="s">
        <v>76</v>
      </c>
      <c r="D1265" s="11">
        <v>2024</v>
      </c>
      <c r="E1265" s="10" t="s">
        <v>81</v>
      </c>
      <c r="F1265" s="10" t="s">
        <v>83</v>
      </c>
      <c r="G1265" s="10" t="s">
        <v>84</v>
      </c>
      <c r="H1265" s="11">
        <v>23440</v>
      </c>
      <c r="I1265" s="11">
        <v>329</v>
      </c>
      <c r="J1265" s="11">
        <v>273</v>
      </c>
      <c r="K1265" s="11">
        <v>17698</v>
      </c>
      <c r="L1265" s="11">
        <v>1.40360357798035E-2</v>
      </c>
      <c r="M1265" s="11">
        <f t="shared" si="4"/>
        <v>1.4035836177474403</v>
      </c>
      <c r="N1265" s="11">
        <v>0.82978723404255295</v>
      </c>
      <c r="O1265" s="11">
        <v>0.75504486696341</v>
      </c>
      <c r="P1265" s="11">
        <v>0.16807432432432401</v>
      </c>
      <c r="Q1265" s="11">
        <v>4.2553191489361701E-2</v>
      </c>
      <c r="R1265" s="11">
        <v>0.20542635658914701</v>
      </c>
      <c r="S1265" s="10" t="s">
        <v>84</v>
      </c>
      <c r="T1265" s="10" t="s">
        <v>84</v>
      </c>
      <c r="U1265" s="10"/>
      <c r="V1265" s="10"/>
      <c r="W1265" s="10"/>
      <c r="X1265" s="10"/>
      <c r="Y1265" s="10"/>
      <c r="Z1265" s="10"/>
      <c r="AA1265" s="10"/>
    </row>
    <row r="1266" spans="1:27" ht="12.5" x14ac:dyDescent="0.25">
      <c r="A1266" s="10" t="s">
        <v>12</v>
      </c>
      <c r="B1266" s="10" t="s">
        <v>1153</v>
      </c>
      <c r="C1266" s="10" t="s">
        <v>76</v>
      </c>
      <c r="D1266" s="11">
        <v>2024</v>
      </c>
      <c r="E1266" s="10" t="s">
        <v>81</v>
      </c>
      <c r="F1266" s="10" t="s">
        <v>83</v>
      </c>
      <c r="G1266" s="10" t="s">
        <v>84</v>
      </c>
      <c r="H1266" s="11">
        <v>21161</v>
      </c>
      <c r="I1266" s="11">
        <v>295</v>
      </c>
      <c r="J1266" s="11">
        <v>347</v>
      </c>
      <c r="K1266" s="11">
        <v>46221</v>
      </c>
      <c r="L1266" s="11">
        <v>1.3940904741089E-2</v>
      </c>
      <c r="M1266" s="11">
        <f t="shared" si="4"/>
        <v>1.3940740040640802</v>
      </c>
      <c r="N1266" s="11">
        <v>1.1762711864406801</v>
      </c>
      <c r="O1266" s="11">
        <v>2.1842798577555098</v>
      </c>
      <c r="P1266" s="11">
        <v>0.16722972972972999</v>
      </c>
      <c r="Q1266" s="11">
        <v>0.11111111111111099</v>
      </c>
      <c r="R1266" s="11">
        <v>0.20348837209302301</v>
      </c>
      <c r="S1266" s="10" t="s">
        <v>84</v>
      </c>
      <c r="T1266" s="10" t="s">
        <v>84</v>
      </c>
      <c r="U1266" s="10"/>
      <c r="V1266" s="10"/>
      <c r="W1266" s="10"/>
      <c r="X1266" s="10"/>
      <c r="Y1266" s="10"/>
      <c r="Z1266" s="10"/>
      <c r="AA1266" s="10"/>
    </row>
    <row r="1267" spans="1:27" ht="12.5" hidden="1" x14ac:dyDescent="0.25">
      <c r="A1267" s="10" t="s">
        <v>14</v>
      </c>
      <c r="B1267" s="10" t="s">
        <v>1688</v>
      </c>
      <c r="C1267" s="10" t="s">
        <v>191</v>
      </c>
      <c r="D1267" s="11">
        <v>2024</v>
      </c>
      <c r="E1267" s="10" t="s">
        <v>124</v>
      </c>
      <c r="F1267" s="10" t="s">
        <v>125</v>
      </c>
      <c r="G1267" s="10" t="s">
        <v>84</v>
      </c>
      <c r="H1267" s="12">
        <v>15725</v>
      </c>
      <c r="I1267" s="11">
        <v>219</v>
      </c>
      <c r="J1267" s="11">
        <v>16</v>
      </c>
      <c r="K1267" s="11">
        <v>22964</v>
      </c>
      <c r="L1267" s="11">
        <v>1.39268680445151E-2</v>
      </c>
      <c r="M1267" s="11">
        <f t="shared" si="4"/>
        <v>1.3926868044515104</v>
      </c>
      <c r="N1267" s="11">
        <v>7.3059360730593603E-2</v>
      </c>
      <c r="O1267" s="11">
        <v>1.46034976152623</v>
      </c>
      <c r="P1267" s="11">
        <v>0.29411764705882398</v>
      </c>
      <c r="Q1267" s="11">
        <v>0.10638297872340401</v>
      </c>
      <c r="R1267" s="11">
        <v>0.26162790697674398</v>
      </c>
      <c r="S1267" s="10" t="s">
        <v>84</v>
      </c>
      <c r="T1267" s="10" t="s">
        <v>84</v>
      </c>
      <c r="U1267" s="10"/>
      <c r="V1267" s="10"/>
      <c r="W1267" s="10"/>
      <c r="X1267" s="10"/>
      <c r="Y1267" s="10"/>
      <c r="Z1267" s="10"/>
      <c r="AA1267" s="10"/>
    </row>
    <row r="1268" spans="1:27" ht="12.5" x14ac:dyDescent="0.25">
      <c r="A1268" s="10" t="s">
        <v>104</v>
      </c>
      <c r="B1268" s="10" t="s">
        <v>1055</v>
      </c>
      <c r="C1268" s="10" t="s">
        <v>76</v>
      </c>
      <c r="D1268" s="11">
        <v>2024</v>
      </c>
      <c r="E1268" s="10" t="s">
        <v>81</v>
      </c>
      <c r="F1268" s="10" t="s">
        <v>83</v>
      </c>
      <c r="G1268" s="10" t="s">
        <v>84</v>
      </c>
      <c r="H1268" s="11">
        <v>2226</v>
      </c>
      <c r="I1268" s="11">
        <v>31</v>
      </c>
      <c r="J1268" s="11">
        <v>10</v>
      </c>
      <c r="K1268" s="11">
        <v>328</v>
      </c>
      <c r="L1268" s="11">
        <v>1.3924761370016799E-2</v>
      </c>
      <c r="M1268" s="11">
        <f t="shared" si="4"/>
        <v>1.3926325247079965</v>
      </c>
      <c r="N1268" s="11">
        <v>0.32258064516128998</v>
      </c>
      <c r="O1268" s="11">
        <v>0.147332959011791</v>
      </c>
      <c r="P1268" s="11">
        <v>0.166385135135135</v>
      </c>
      <c r="Q1268" s="11">
        <v>0.13793103448275901</v>
      </c>
      <c r="R1268" s="11">
        <v>0.201550387596899</v>
      </c>
      <c r="S1268" s="10" t="s">
        <v>84</v>
      </c>
      <c r="T1268" s="10" t="s">
        <v>84</v>
      </c>
      <c r="U1268" s="10"/>
      <c r="V1268" s="10"/>
      <c r="W1268" s="10"/>
      <c r="X1268" s="10"/>
      <c r="Y1268" s="10"/>
      <c r="Z1268" s="10"/>
      <c r="AA1268" s="10"/>
    </row>
    <row r="1269" spans="1:27" ht="12.5" hidden="1" x14ac:dyDescent="0.25">
      <c r="A1269" s="10" t="s">
        <v>62</v>
      </c>
      <c r="B1269" s="10" t="s">
        <v>1689</v>
      </c>
      <c r="C1269" s="10" t="s">
        <v>191</v>
      </c>
      <c r="D1269" s="11">
        <v>2024</v>
      </c>
      <c r="E1269" s="10" t="s">
        <v>81</v>
      </c>
      <c r="F1269" s="10" t="s">
        <v>125</v>
      </c>
      <c r="G1269" s="10" t="s">
        <v>84</v>
      </c>
      <c r="H1269" s="12">
        <v>2809</v>
      </c>
      <c r="I1269" s="11">
        <v>39</v>
      </c>
      <c r="J1269" s="11">
        <v>37</v>
      </c>
      <c r="K1269" s="11">
        <v>1666</v>
      </c>
      <c r="L1269" s="11">
        <v>1.38843563651467E-2</v>
      </c>
      <c r="M1269" s="11">
        <f t="shared" si="4"/>
        <v>1.3883944464222144</v>
      </c>
      <c r="N1269" s="11">
        <v>0.94871794871794901</v>
      </c>
      <c r="O1269" s="11">
        <v>0.59311122318806198</v>
      </c>
      <c r="P1269" s="11">
        <v>0.29166666666666702</v>
      </c>
      <c r="Q1269" s="11">
        <v>0.44</v>
      </c>
      <c r="R1269" s="11">
        <v>0.5</v>
      </c>
      <c r="S1269" s="10" t="s">
        <v>84</v>
      </c>
      <c r="T1269" s="10" t="s">
        <v>84</v>
      </c>
      <c r="U1269" s="10"/>
      <c r="V1269" s="10"/>
      <c r="W1269" s="10"/>
      <c r="X1269" s="10"/>
      <c r="Y1269" s="10"/>
      <c r="Z1269" s="10"/>
      <c r="AA1269" s="10"/>
    </row>
    <row r="1270" spans="1:27" ht="12.5" hidden="1" x14ac:dyDescent="0.25">
      <c r="A1270" s="10" t="s">
        <v>36</v>
      </c>
      <c r="B1270" s="10" t="s">
        <v>1690</v>
      </c>
      <c r="C1270" s="10" t="s">
        <v>191</v>
      </c>
      <c r="D1270" s="11">
        <v>2024</v>
      </c>
      <c r="E1270" s="10" t="s">
        <v>124</v>
      </c>
      <c r="F1270" s="10" t="s">
        <v>125</v>
      </c>
      <c r="G1270" s="10" t="s">
        <v>84</v>
      </c>
      <c r="H1270" s="12">
        <v>12313</v>
      </c>
      <c r="I1270" s="11">
        <v>170</v>
      </c>
      <c r="J1270" s="11">
        <v>128</v>
      </c>
      <c r="K1270" s="11">
        <v>2458</v>
      </c>
      <c r="L1270" s="11">
        <v>1.38062656081863E-2</v>
      </c>
      <c r="M1270" s="11">
        <f t="shared" si="4"/>
        <v>1.3806545927068952</v>
      </c>
      <c r="N1270" s="11">
        <v>0.752941176470588</v>
      </c>
      <c r="O1270" s="11">
        <v>0.19962235802895301</v>
      </c>
      <c r="P1270" s="11">
        <v>0.29044117647058798</v>
      </c>
      <c r="Q1270" s="11">
        <v>0.05</v>
      </c>
      <c r="R1270" s="11">
        <v>0.25968992248062001</v>
      </c>
      <c r="S1270" s="10" t="s">
        <v>84</v>
      </c>
      <c r="T1270" s="10" t="s">
        <v>84</v>
      </c>
      <c r="U1270" s="10"/>
      <c r="V1270" s="10"/>
      <c r="W1270" s="10"/>
      <c r="X1270" s="10"/>
      <c r="Y1270" s="10"/>
      <c r="Z1270" s="10"/>
      <c r="AA1270" s="10"/>
    </row>
    <row r="1271" spans="1:27" ht="12.5" x14ac:dyDescent="0.25">
      <c r="A1271" s="10" t="s">
        <v>95</v>
      </c>
      <c r="B1271" s="10" t="s">
        <v>1157</v>
      </c>
      <c r="C1271" s="10" t="s">
        <v>76</v>
      </c>
      <c r="D1271" s="11">
        <v>2024</v>
      </c>
      <c r="E1271" s="10" t="s">
        <v>81</v>
      </c>
      <c r="F1271" s="10" t="s">
        <v>83</v>
      </c>
      <c r="G1271" s="10" t="s">
        <v>84</v>
      </c>
      <c r="H1271" s="11">
        <v>84122</v>
      </c>
      <c r="I1271" s="11">
        <v>1160</v>
      </c>
      <c r="J1271" s="11">
        <v>1013</v>
      </c>
      <c r="K1271" s="11">
        <v>20205</v>
      </c>
      <c r="L1271" s="11">
        <v>1.37894962078885E-2</v>
      </c>
      <c r="M1271" s="11">
        <f t="shared" si="4"/>
        <v>1.3789496207888543</v>
      </c>
      <c r="N1271" s="11">
        <v>0.87327586206896601</v>
      </c>
      <c r="O1271" s="11">
        <v>0.24018687144861001</v>
      </c>
      <c r="P1271" s="11">
        <v>0.16554054054054099</v>
      </c>
      <c r="Q1271" s="11">
        <v>0</v>
      </c>
      <c r="R1271" s="11">
        <v>0.19961240310077499</v>
      </c>
      <c r="S1271" s="10" t="s">
        <v>84</v>
      </c>
      <c r="T1271" s="10" t="s">
        <v>84</v>
      </c>
      <c r="U1271" s="10"/>
      <c r="V1271" s="10"/>
      <c r="W1271" s="10"/>
      <c r="X1271" s="10"/>
      <c r="Y1271" s="10"/>
      <c r="Z1271" s="10"/>
      <c r="AA1271" s="10"/>
    </row>
    <row r="1272" spans="1:27" ht="12.5" x14ac:dyDescent="0.25">
      <c r="A1272" s="10" t="s">
        <v>53</v>
      </c>
      <c r="B1272" s="10" t="s">
        <v>1205</v>
      </c>
      <c r="C1272" s="10" t="s">
        <v>76</v>
      </c>
      <c r="D1272" s="11">
        <v>2024</v>
      </c>
      <c r="E1272" s="10" t="s">
        <v>124</v>
      </c>
      <c r="F1272" s="10" t="s">
        <v>125</v>
      </c>
      <c r="G1272" s="10" t="s">
        <v>84</v>
      </c>
      <c r="H1272" s="11">
        <v>2250</v>
      </c>
      <c r="I1272" s="11">
        <v>31</v>
      </c>
      <c r="J1272" s="11">
        <v>24</v>
      </c>
      <c r="K1272" s="11">
        <v>3447</v>
      </c>
      <c r="L1272" s="11">
        <v>1.3775736927862501E-2</v>
      </c>
      <c r="M1272" s="11">
        <f t="shared" si="4"/>
        <v>1.3777777777777778</v>
      </c>
      <c r="N1272" s="11">
        <v>0.77419354838709697</v>
      </c>
      <c r="O1272" s="11">
        <v>1.5317730706562001</v>
      </c>
      <c r="P1272" s="11">
        <v>0.164695945945946</v>
      </c>
      <c r="Q1272" s="11">
        <v>0.72499999999999998</v>
      </c>
      <c r="R1272" s="11">
        <v>0.12751677852349</v>
      </c>
      <c r="S1272" s="10" t="s">
        <v>84</v>
      </c>
      <c r="T1272" s="10" t="s">
        <v>84</v>
      </c>
      <c r="U1272" s="10"/>
      <c r="V1272" s="10"/>
      <c r="W1272" s="10"/>
      <c r="X1272" s="10"/>
      <c r="Y1272" s="10"/>
      <c r="Z1272" s="10"/>
      <c r="AA1272" s="10"/>
    </row>
    <row r="1273" spans="1:27" ht="12.5" x14ac:dyDescent="0.25">
      <c r="A1273" s="10" t="s">
        <v>67</v>
      </c>
      <c r="B1273" s="10" t="s">
        <v>1160</v>
      </c>
      <c r="C1273" s="10" t="s">
        <v>76</v>
      </c>
      <c r="D1273" s="11">
        <v>2024</v>
      </c>
      <c r="E1273" s="10" t="s">
        <v>81</v>
      </c>
      <c r="F1273" s="10" t="s">
        <v>83</v>
      </c>
      <c r="G1273" s="10" t="s">
        <v>84</v>
      </c>
      <c r="H1273" s="11">
        <v>18737</v>
      </c>
      <c r="I1273" s="11">
        <v>258</v>
      </c>
      <c r="J1273" s="11">
        <v>184</v>
      </c>
      <c r="K1273" s="11">
        <v>20512</v>
      </c>
      <c r="L1273" s="11">
        <v>1.3769546885840801E-2</v>
      </c>
      <c r="M1273" s="11">
        <f t="shared" si="4"/>
        <v>1.3769546885840849</v>
      </c>
      <c r="N1273" s="11">
        <v>0.71317829457364301</v>
      </c>
      <c r="O1273" s="11">
        <v>1.0947323477611099</v>
      </c>
      <c r="P1273" s="11">
        <v>0.16385135135135101</v>
      </c>
      <c r="Q1273" s="11">
        <v>9.5238095238095205E-2</v>
      </c>
      <c r="R1273" s="11">
        <v>0.19767441860465099</v>
      </c>
      <c r="S1273" s="10" t="s">
        <v>84</v>
      </c>
      <c r="T1273" s="10" t="s">
        <v>84</v>
      </c>
      <c r="U1273" s="10"/>
      <c r="V1273" s="10"/>
      <c r="W1273" s="10"/>
      <c r="X1273" s="10"/>
      <c r="Y1273" s="10"/>
      <c r="Z1273" s="10"/>
      <c r="AA1273" s="10"/>
    </row>
    <row r="1274" spans="1:27" ht="12.5" hidden="1" x14ac:dyDescent="0.25">
      <c r="A1274" s="10" t="s">
        <v>77</v>
      </c>
      <c r="B1274" s="10" t="s">
        <v>1247</v>
      </c>
      <c r="C1274" s="10" t="s">
        <v>191</v>
      </c>
      <c r="D1274" s="11">
        <v>2024</v>
      </c>
      <c r="E1274" s="10" t="s">
        <v>81</v>
      </c>
      <c r="F1274" s="10" t="s">
        <v>83</v>
      </c>
      <c r="G1274" s="10" t="s">
        <v>84</v>
      </c>
      <c r="H1274" s="12">
        <v>4930</v>
      </c>
      <c r="I1274" s="11">
        <v>67</v>
      </c>
      <c r="J1274" s="11">
        <v>57</v>
      </c>
      <c r="K1274" s="11">
        <v>4470</v>
      </c>
      <c r="L1274" s="11">
        <v>1.35916421543767E-2</v>
      </c>
      <c r="M1274" s="11">
        <f t="shared" si="4"/>
        <v>1.3590263691683571</v>
      </c>
      <c r="N1274" s="11">
        <v>0.85074626865671599</v>
      </c>
      <c r="O1274" s="11">
        <v>0.90678567806065502</v>
      </c>
      <c r="P1274" s="11">
        <v>0.28921568627451</v>
      </c>
      <c r="Q1274" s="11">
        <v>0.36956521739130399</v>
      </c>
      <c r="R1274" s="11">
        <v>0.45833333333333298</v>
      </c>
      <c r="S1274" s="10" t="s">
        <v>84</v>
      </c>
      <c r="T1274" s="10" t="s">
        <v>84</v>
      </c>
      <c r="U1274" s="10"/>
      <c r="V1274" s="10"/>
      <c r="W1274" s="10"/>
      <c r="X1274" s="10"/>
      <c r="Y1274" s="10"/>
      <c r="Z1274" s="10"/>
      <c r="AA1274" s="10"/>
    </row>
    <row r="1275" spans="1:27" ht="12.5" x14ac:dyDescent="0.25">
      <c r="A1275" s="10" t="s">
        <v>53</v>
      </c>
      <c r="B1275" s="10" t="s">
        <v>1162</v>
      </c>
      <c r="C1275" s="10" t="s">
        <v>76</v>
      </c>
      <c r="D1275" s="11">
        <v>2024</v>
      </c>
      <c r="E1275" s="10" t="s">
        <v>81</v>
      </c>
      <c r="F1275" s="10" t="s">
        <v>125</v>
      </c>
      <c r="G1275" s="10" t="s">
        <v>84</v>
      </c>
      <c r="H1275" s="11">
        <v>6844</v>
      </c>
      <c r="I1275" s="11">
        <v>93</v>
      </c>
      <c r="J1275" s="11">
        <v>78</v>
      </c>
      <c r="K1275" s="11">
        <v>933</v>
      </c>
      <c r="L1275" s="11">
        <v>1.35880483617635E-2</v>
      </c>
      <c r="M1275" s="11">
        <f t="shared" si="4"/>
        <v>1.35885447106955</v>
      </c>
      <c r="N1275" s="11">
        <v>0.83870967741935498</v>
      </c>
      <c r="O1275" s="11">
        <v>0.13631880775833699</v>
      </c>
      <c r="P1275" s="11">
        <v>0.162162162162162</v>
      </c>
      <c r="Q1275" s="11">
        <v>0.7</v>
      </c>
      <c r="R1275" s="11">
        <v>0.19573643410852701</v>
      </c>
      <c r="S1275" s="10" t="s">
        <v>84</v>
      </c>
      <c r="T1275" s="10" t="s">
        <v>84</v>
      </c>
      <c r="U1275" s="10"/>
      <c r="V1275" s="10"/>
      <c r="W1275" s="10"/>
      <c r="X1275" s="10"/>
      <c r="Y1275" s="10"/>
      <c r="Z1275" s="10"/>
      <c r="AA1275" s="10"/>
    </row>
    <row r="1276" spans="1:27" ht="12.5" hidden="1" x14ac:dyDescent="0.25">
      <c r="A1276" s="10" t="s">
        <v>53</v>
      </c>
      <c r="B1276" s="10" t="s">
        <v>1691</v>
      </c>
      <c r="C1276" s="10" t="s">
        <v>191</v>
      </c>
      <c r="D1276" s="11">
        <v>2024</v>
      </c>
      <c r="E1276" s="10" t="s">
        <v>124</v>
      </c>
      <c r="F1276" s="10" t="s">
        <v>125</v>
      </c>
      <c r="G1276" s="10" t="s">
        <v>84</v>
      </c>
      <c r="H1276" s="12">
        <v>1031</v>
      </c>
      <c r="I1276" s="11">
        <v>14</v>
      </c>
      <c r="J1276" s="11">
        <v>7</v>
      </c>
      <c r="K1276" s="11">
        <v>430</v>
      </c>
      <c r="L1276" s="11">
        <v>1.35757575757576E-2</v>
      </c>
      <c r="M1276" s="11">
        <f t="shared" si="4"/>
        <v>1.3579049466537343</v>
      </c>
      <c r="N1276" s="11">
        <v>0.5</v>
      </c>
      <c r="O1276" s="11">
        <v>0.41696969696969699</v>
      </c>
      <c r="P1276" s="11">
        <v>0.28799019607843102</v>
      </c>
      <c r="Q1276" s="11">
        <v>0.70967741935483897</v>
      </c>
      <c r="R1276" s="11">
        <v>0.25775193798449603</v>
      </c>
      <c r="S1276" s="10" t="s">
        <v>84</v>
      </c>
      <c r="T1276" s="10" t="s">
        <v>84</v>
      </c>
      <c r="U1276" s="10"/>
      <c r="V1276" s="10"/>
      <c r="W1276" s="10"/>
      <c r="X1276" s="10"/>
      <c r="Y1276" s="10"/>
      <c r="Z1276" s="10"/>
      <c r="AA1276" s="10"/>
    </row>
    <row r="1277" spans="1:27" ht="12.5" hidden="1" x14ac:dyDescent="0.25">
      <c r="A1277" s="10" t="s">
        <v>29</v>
      </c>
      <c r="B1277" s="10" t="s">
        <v>1692</v>
      </c>
      <c r="C1277" s="10" t="s">
        <v>191</v>
      </c>
      <c r="D1277" s="11">
        <v>2024</v>
      </c>
      <c r="E1277" s="10" t="s">
        <v>124</v>
      </c>
      <c r="F1277" s="10" t="s">
        <v>125</v>
      </c>
      <c r="G1277" s="10" t="s">
        <v>84</v>
      </c>
      <c r="H1277" s="12">
        <v>10064</v>
      </c>
      <c r="I1277" s="11">
        <v>135</v>
      </c>
      <c r="J1277" s="11">
        <v>117</v>
      </c>
      <c r="K1277" s="11">
        <v>221</v>
      </c>
      <c r="L1277" s="11">
        <v>1.3414815918914901E-2</v>
      </c>
      <c r="M1277" s="11">
        <f t="shared" ref="M1277:M1531" si="5">(I1277/H1277)*100</f>
        <v>1.341414944356121</v>
      </c>
      <c r="N1277" s="11">
        <v>0.86666666666666703</v>
      </c>
      <c r="O1277" s="11">
        <v>2.19605505042977E-2</v>
      </c>
      <c r="P1277" s="11">
        <v>0.28676470588235298</v>
      </c>
      <c r="Q1277" s="11">
        <v>0.21126760563380301</v>
      </c>
      <c r="R1277" s="11">
        <v>0.25581395348837199</v>
      </c>
      <c r="S1277" s="10" t="s">
        <v>84</v>
      </c>
      <c r="T1277" s="10" t="s">
        <v>84</v>
      </c>
      <c r="U1277" s="10"/>
      <c r="V1277" s="10"/>
      <c r="W1277" s="10"/>
      <c r="X1277" s="10"/>
      <c r="Y1277" s="10"/>
      <c r="Z1277" s="10"/>
      <c r="AA1277" s="10"/>
    </row>
    <row r="1278" spans="1:27" ht="12.5" hidden="1" x14ac:dyDescent="0.25">
      <c r="A1278" s="10" t="s">
        <v>6</v>
      </c>
      <c r="B1278" s="10" t="s">
        <v>1693</v>
      </c>
      <c r="C1278" s="10" t="s">
        <v>191</v>
      </c>
      <c r="D1278" s="11">
        <v>2024</v>
      </c>
      <c r="E1278" s="10" t="s">
        <v>124</v>
      </c>
      <c r="F1278" s="10" t="s">
        <v>125</v>
      </c>
      <c r="G1278" s="10" t="s">
        <v>84</v>
      </c>
      <c r="H1278" s="12">
        <v>1044</v>
      </c>
      <c r="I1278" s="11">
        <v>14</v>
      </c>
      <c r="J1278" s="11">
        <v>13</v>
      </c>
      <c r="K1278" s="11">
        <v>1956</v>
      </c>
      <c r="L1278" s="11">
        <v>1.34131736526946E-2</v>
      </c>
      <c r="M1278" s="11">
        <f t="shared" si="5"/>
        <v>1.3409961685823755</v>
      </c>
      <c r="N1278" s="11">
        <v>0.92857142857142905</v>
      </c>
      <c r="O1278" s="11">
        <v>1.8740119760478999</v>
      </c>
      <c r="P1278" s="11">
        <v>0.28553921568627399</v>
      </c>
      <c r="Q1278" s="11">
        <v>0.4</v>
      </c>
      <c r="R1278" s="11">
        <v>0.25387596899224801</v>
      </c>
      <c r="S1278" s="10" t="s">
        <v>84</v>
      </c>
      <c r="T1278" s="10" t="s">
        <v>84</v>
      </c>
      <c r="U1278" s="10"/>
      <c r="V1278" s="10"/>
      <c r="W1278" s="10"/>
      <c r="X1278" s="10"/>
      <c r="Y1278" s="10"/>
      <c r="Z1278" s="10"/>
      <c r="AA1278" s="10"/>
    </row>
    <row r="1279" spans="1:27" ht="12.5" hidden="1" x14ac:dyDescent="0.25">
      <c r="A1279" s="10" t="s">
        <v>52</v>
      </c>
      <c r="B1279" s="10" t="s">
        <v>1694</v>
      </c>
      <c r="C1279" s="10" t="s">
        <v>191</v>
      </c>
      <c r="D1279" s="11">
        <v>2024</v>
      </c>
      <c r="E1279" s="10" t="s">
        <v>124</v>
      </c>
      <c r="F1279" s="10" t="s">
        <v>125</v>
      </c>
      <c r="G1279" s="10" t="s">
        <v>84</v>
      </c>
      <c r="H1279" s="12">
        <v>1957</v>
      </c>
      <c r="I1279" s="11">
        <v>26</v>
      </c>
      <c r="J1279" s="11">
        <v>0</v>
      </c>
      <c r="K1279" s="11">
        <v>3327</v>
      </c>
      <c r="L1279" s="11">
        <v>1.3288470548149399E-2</v>
      </c>
      <c r="M1279" s="11">
        <f t="shared" si="5"/>
        <v>1.3285641287685233</v>
      </c>
      <c r="N1279" s="11">
        <v>0</v>
      </c>
      <c r="O1279" s="11">
        <v>1.70041313514204</v>
      </c>
      <c r="P1279" s="11">
        <v>0.28308823529411797</v>
      </c>
      <c r="Q1279" s="11">
        <v>0.39285714285714302</v>
      </c>
      <c r="R1279" s="11">
        <v>0.25193798449612398</v>
      </c>
      <c r="S1279" s="10" t="s">
        <v>84</v>
      </c>
      <c r="T1279" s="10" t="s">
        <v>84</v>
      </c>
      <c r="U1279" s="10"/>
      <c r="V1279" s="10"/>
      <c r="W1279" s="10"/>
      <c r="X1279" s="10"/>
      <c r="Y1279" s="10"/>
      <c r="Z1279" s="10"/>
      <c r="AA1279" s="10"/>
    </row>
    <row r="1280" spans="1:27" ht="12.5" x14ac:dyDescent="0.25">
      <c r="A1280" s="10" t="s">
        <v>34</v>
      </c>
      <c r="B1280" s="10" t="s">
        <v>1207</v>
      </c>
      <c r="C1280" s="10" t="s">
        <v>76</v>
      </c>
      <c r="D1280" s="11">
        <v>2024</v>
      </c>
      <c r="E1280" s="10" t="s">
        <v>124</v>
      </c>
      <c r="F1280" s="10" t="s">
        <v>83</v>
      </c>
      <c r="G1280" s="10" t="s">
        <v>84</v>
      </c>
      <c r="H1280" s="11">
        <v>8662</v>
      </c>
      <c r="I1280" s="11">
        <v>115</v>
      </c>
      <c r="J1280" s="11">
        <v>124</v>
      </c>
      <c r="K1280" s="11">
        <v>19865</v>
      </c>
      <c r="L1280" s="11">
        <v>1.3276379589009501E-2</v>
      </c>
      <c r="M1280" s="11">
        <f t="shared" si="5"/>
        <v>1.3276379589009466</v>
      </c>
      <c r="N1280" s="11">
        <v>1.07826086956522</v>
      </c>
      <c r="O1280" s="11">
        <v>2.2933502655275899</v>
      </c>
      <c r="P1280" s="11">
        <v>0.16131756756756799</v>
      </c>
      <c r="Q1280" s="11">
        <v>0.30612244897959201</v>
      </c>
      <c r="R1280" s="11">
        <v>0.125279642058166</v>
      </c>
      <c r="S1280" s="10" t="s">
        <v>84</v>
      </c>
      <c r="T1280" s="10" t="s">
        <v>84</v>
      </c>
      <c r="U1280" s="10"/>
      <c r="V1280" s="10"/>
      <c r="W1280" s="10"/>
      <c r="X1280" s="10"/>
      <c r="Y1280" s="10"/>
      <c r="Z1280" s="10"/>
      <c r="AA1280" s="10"/>
    </row>
    <row r="1281" spans="1:27" ht="12.5" x14ac:dyDescent="0.25">
      <c r="A1281" s="10" t="s">
        <v>53</v>
      </c>
      <c r="B1281" s="10" t="s">
        <v>1210</v>
      </c>
      <c r="C1281" s="10" t="s">
        <v>76</v>
      </c>
      <c r="D1281" s="11">
        <v>2024</v>
      </c>
      <c r="E1281" s="10" t="s">
        <v>124</v>
      </c>
      <c r="F1281" s="10" t="s">
        <v>125</v>
      </c>
      <c r="G1281" s="10" t="s">
        <v>84</v>
      </c>
      <c r="H1281" s="11">
        <v>453</v>
      </c>
      <c r="I1281" s="11">
        <v>6</v>
      </c>
      <c r="J1281" s="11">
        <v>6</v>
      </c>
      <c r="K1281" s="11">
        <v>150</v>
      </c>
      <c r="L1281" s="11">
        <v>1.32352941176471E-2</v>
      </c>
      <c r="M1281" s="11">
        <f t="shared" si="5"/>
        <v>1.3245033112582782</v>
      </c>
      <c r="N1281" s="11">
        <v>1</v>
      </c>
      <c r="O1281" s="11">
        <v>0.33088235294117602</v>
      </c>
      <c r="P1281" s="11">
        <v>0.160472972972973</v>
      </c>
      <c r="Q1281" s="11">
        <v>0.67500000000000004</v>
      </c>
      <c r="R1281" s="11">
        <v>0.12304250559284099</v>
      </c>
      <c r="S1281" s="10" t="s">
        <v>84</v>
      </c>
      <c r="T1281" s="10" t="s">
        <v>84</v>
      </c>
      <c r="U1281" s="10"/>
      <c r="V1281" s="10"/>
      <c r="W1281" s="10"/>
      <c r="X1281" s="10"/>
      <c r="Y1281" s="10"/>
      <c r="Z1281" s="10"/>
      <c r="AA1281" s="10"/>
    </row>
    <row r="1282" spans="1:27" ht="12.5" hidden="1" x14ac:dyDescent="0.25">
      <c r="A1282" s="10" t="s">
        <v>29</v>
      </c>
      <c r="B1282" s="10" t="s">
        <v>1695</v>
      </c>
      <c r="C1282" s="10" t="s">
        <v>191</v>
      </c>
      <c r="D1282" s="11">
        <v>2024</v>
      </c>
      <c r="E1282" s="10" t="s">
        <v>257</v>
      </c>
      <c r="F1282" s="10" t="s">
        <v>125</v>
      </c>
      <c r="G1282" s="10" t="s">
        <v>84</v>
      </c>
      <c r="H1282" s="12">
        <v>7867</v>
      </c>
      <c r="I1282" s="11">
        <v>104</v>
      </c>
      <c r="J1282" s="11">
        <v>139</v>
      </c>
      <c r="K1282" s="11">
        <v>402</v>
      </c>
      <c r="L1282" s="11">
        <v>1.3219358733992201E-2</v>
      </c>
      <c r="M1282" s="11">
        <f t="shared" si="5"/>
        <v>1.3219778822931232</v>
      </c>
      <c r="N1282" s="11">
        <v>1.3365384615384599</v>
      </c>
      <c r="O1282" s="11">
        <v>5.10979058756236E-2</v>
      </c>
      <c r="P1282" s="11">
        <v>0.28186274509803899</v>
      </c>
      <c r="Q1282" s="11">
        <v>0.19718309859154901</v>
      </c>
      <c r="R1282" s="11">
        <v>5.5555555555555601E-2</v>
      </c>
      <c r="S1282" s="10" t="s">
        <v>84</v>
      </c>
      <c r="T1282" s="10" t="s">
        <v>84</v>
      </c>
      <c r="U1282" s="10"/>
      <c r="V1282" s="10"/>
      <c r="W1282" s="10"/>
      <c r="X1282" s="10"/>
      <c r="Y1282" s="10"/>
      <c r="Z1282" s="10"/>
      <c r="AA1282" s="10"/>
    </row>
    <row r="1283" spans="1:27" ht="12.5" x14ac:dyDescent="0.25">
      <c r="A1283" s="10" t="s">
        <v>67</v>
      </c>
      <c r="B1283" s="10" t="s">
        <v>1106</v>
      </c>
      <c r="C1283" s="10" t="s">
        <v>76</v>
      </c>
      <c r="D1283" s="11">
        <v>2024</v>
      </c>
      <c r="E1283" s="10" t="s">
        <v>81</v>
      </c>
      <c r="F1283" s="10" t="s">
        <v>83</v>
      </c>
      <c r="G1283" s="10" t="s">
        <v>84</v>
      </c>
      <c r="H1283" s="11">
        <v>1211</v>
      </c>
      <c r="I1283" s="11">
        <v>16</v>
      </c>
      <c r="J1283" s="11">
        <v>11</v>
      </c>
      <c r="K1283" s="11">
        <v>60</v>
      </c>
      <c r="L1283" s="11">
        <v>1.32122213047069E-2</v>
      </c>
      <c r="M1283" s="11">
        <f t="shared" si="5"/>
        <v>1.3212221304706853</v>
      </c>
      <c r="N1283" s="11">
        <v>0.6875</v>
      </c>
      <c r="O1283" s="11">
        <v>4.9545829892650703E-2</v>
      </c>
      <c r="P1283" s="11">
        <v>0.15962837837837801</v>
      </c>
      <c r="Q1283" s="11">
        <v>4.7619047619047603E-2</v>
      </c>
      <c r="R1283" s="11">
        <v>0.193798449612403</v>
      </c>
      <c r="S1283" s="10" t="s">
        <v>84</v>
      </c>
      <c r="T1283" s="10" t="s">
        <v>84</v>
      </c>
      <c r="U1283" s="10"/>
      <c r="V1283" s="10"/>
      <c r="W1283" s="10"/>
      <c r="X1283" s="10"/>
      <c r="Y1283" s="10"/>
      <c r="Z1283" s="10"/>
      <c r="AA1283" s="10"/>
    </row>
    <row r="1284" spans="1:27" ht="12.5" x14ac:dyDescent="0.25">
      <c r="A1284" s="10" t="s">
        <v>6</v>
      </c>
      <c r="B1284" s="10" t="s">
        <v>761</v>
      </c>
      <c r="C1284" s="10" t="s">
        <v>76</v>
      </c>
      <c r="D1284" s="11">
        <v>2024</v>
      </c>
      <c r="E1284" s="10" t="s">
        <v>81</v>
      </c>
      <c r="F1284" s="10" t="s">
        <v>83</v>
      </c>
      <c r="G1284" s="10" t="s">
        <v>84</v>
      </c>
      <c r="H1284" s="11">
        <v>759</v>
      </c>
      <c r="I1284" s="11">
        <v>10</v>
      </c>
      <c r="J1284" s="11">
        <v>7</v>
      </c>
      <c r="K1284" s="11">
        <v>811</v>
      </c>
      <c r="L1284" s="11">
        <v>1.3173784169502699E-2</v>
      </c>
      <c r="M1284" s="11">
        <f t="shared" si="5"/>
        <v>1.3175230566534915</v>
      </c>
      <c r="N1284" s="11">
        <v>0.7</v>
      </c>
      <c r="O1284" s="11">
        <v>1.0683938961466699</v>
      </c>
      <c r="P1284" s="11">
        <v>0.15878378378378399</v>
      </c>
      <c r="Q1284" s="11">
        <v>0.32258064516128998</v>
      </c>
      <c r="R1284" s="11">
        <v>0.19186046511627899</v>
      </c>
      <c r="S1284" s="10" t="s">
        <v>84</v>
      </c>
      <c r="T1284" s="10" t="s">
        <v>84</v>
      </c>
      <c r="U1284" s="10"/>
      <c r="V1284" s="10"/>
      <c r="W1284" s="10"/>
      <c r="X1284" s="10"/>
      <c r="Y1284" s="10"/>
      <c r="Z1284" s="10"/>
      <c r="AA1284" s="10"/>
    </row>
    <row r="1285" spans="1:27" ht="12.5" x14ac:dyDescent="0.25">
      <c r="A1285" s="10" t="s">
        <v>104</v>
      </c>
      <c r="B1285" s="10" t="s">
        <v>1166</v>
      </c>
      <c r="C1285" s="10" t="s">
        <v>76</v>
      </c>
      <c r="D1285" s="11">
        <v>2024</v>
      </c>
      <c r="E1285" s="10" t="s">
        <v>81</v>
      </c>
      <c r="F1285" s="10" t="s">
        <v>83</v>
      </c>
      <c r="G1285" s="10" t="s">
        <v>84</v>
      </c>
      <c r="H1285" s="11">
        <v>15294</v>
      </c>
      <c r="I1285" s="11">
        <v>201</v>
      </c>
      <c r="J1285" s="11">
        <v>79</v>
      </c>
      <c r="K1285" s="11">
        <v>297</v>
      </c>
      <c r="L1285" s="11">
        <v>1.31424803979796E-2</v>
      </c>
      <c r="M1285" s="11">
        <f t="shared" si="5"/>
        <v>1.3142408787759905</v>
      </c>
      <c r="N1285" s="11">
        <v>0.39303482587064698</v>
      </c>
      <c r="O1285" s="11">
        <v>1.9419485961193701E-2</v>
      </c>
      <c r="P1285" s="11">
        <v>0.15793918918918901</v>
      </c>
      <c r="Q1285" s="11">
        <v>0.10344827586206901</v>
      </c>
      <c r="R1285" s="11">
        <v>0.18992248062015499</v>
      </c>
      <c r="S1285" s="10" t="s">
        <v>84</v>
      </c>
      <c r="T1285" s="10" t="s">
        <v>84</v>
      </c>
      <c r="U1285" s="10"/>
      <c r="V1285" s="10"/>
      <c r="W1285" s="10"/>
      <c r="X1285" s="10"/>
      <c r="Y1285" s="10"/>
      <c r="Z1285" s="10"/>
      <c r="AA1285" s="10"/>
    </row>
    <row r="1286" spans="1:27" ht="12.5" x14ac:dyDescent="0.25">
      <c r="A1286" s="10" t="s">
        <v>6</v>
      </c>
      <c r="B1286" s="10" t="s">
        <v>1213</v>
      </c>
      <c r="C1286" s="10" t="s">
        <v>76</v>
      </c>
      <c r="D1286" s="11">
        <v>2024</v>
      </c>
      <c r="E1286" s="10" t="s">
        <v>124</v>
      </c>
      <c r="F1286" s="10" t="s">
        <v>125</v>
      </c>
      <c r="G1286" s="10" t="s">
        <v>84</v>
      </c>
      <c r="H1286" s="11">
        <v>685</v>
      </c>
      <c r="I1286" s="11">
        <v>9</v>
      </c>
      <c r="J1286" s="11">
        <v>7</v>
      </c>
      <c r="K1286" s="11">
        <v>452</v>
      </c>
      <c r="L1286" s="11">
        <v>1.3130699088145899E-2</v>
      </c>
      <c r="M1286" s="11">
        <f t="shared" si="5"/>
        <v>1.3138686131386861</v>
      </c>
      <c r="N1286" s="11">
        <v>0.77777777777777801</v>
      </c>
      <c r="O1286" s="11">
        <v>0.65945288753799403</v>
      </c>
      <c r="P1286" s="11">
        <v>0.15709459459459499</v>
      </c>
      <c r="Q1286" s="11">
        <v>0.29032258064516098</v>
      </c>
      <c r="R1286" s="11">
        <v>0.12080536912751701</v>
      </c>
      <c r="S1286" s="10" t="s">
        <v>84</v>
      </c>
      <c r="T1286" s="10" t="s">
        <v>84</v>
      </c>
      <c r="U1286" s="10"/>
      <c r="V1286" s="10"/>
      <c r="W1286" s="10"/>
      <c r="X1286" s="10"/>
      <c r="Y1286" s="10"/>
      <c r="Z1286" s="10"/>
      <c r="AA1286" s="10"/>
    </row>
    <row r="1287" spans="1:27" ht="12.5" x14ac:dyDescent="0.25">
      <c r="A1287" s="10" t="s">
        <v>34</v>
      </c>
      <c r="B1287" s="10" t="s">
        <v>1168</v>
      </c>
      <c r="C1287" s="10" t="s">
        <v>76</v>
      </c>
      <c r="D1287" s="11">
        <v>2024</v>
      </c>
      <c r="E1287" s="10" t="s">
        <v>81</v>
      </c>
      <c r="F1287" s="10" t="s">
        <v>83</v>
      </c>
      <c r="G1287" s="10" t="s">
        <v>84</v>
      </c>
      <c r="H1287" s="11">
        <v>61738</v>
      </c>
      <c r="I1287" s="11">
        <v>808</v>
      </c>
      <c r="J1287" s="11">
        <v>505</v>
      </c>
      <c r="K1287" s="11">
        <v>33952</v>
      </c>
      <c r="L1287" s="11">
        <v>1.30875282442789E-2</v>
      </c>
      <c r="M1287" s="11">
        <f t="shared" si="5"/>
        <v>1.3087563575107712</v>
      </c>
      <c r="N1287" s="11">
        <v>0.625</v>
      </c>
      <c r="O1287" s="11">
        <v>0.54993534523484899</v>
      </c>
      <c r="P1287" s="11">
        <v>0.15625</v>
      </c>
      <c r="Q1287" s="11">
        <v>0.28571428571428598</v>
      </c>
      <c r="R1287" s="11">
        <v>0.18798449612403101</v>
      </c>
      <c r="S1287" s="10" t="s">
        <v>84</v>
      </c>
      <c r="T1287" s="10" t="s">
        <v>84</v>
      </c>
      <c r="U1287" s="10"/>
      <c r="V1287" s="10"/>
      <c r="W1287" s="10"/>
      <c r="X1287" s="10"/>
      <c r="Y1287" s="10"/>
      <c r="Z1287" s="10"/>
      <c r="AA1287" s="10"/>
    </row>
    <row r="1288" spans="1:27" ht="12.5" x14ac:dyDescent="0.25">
      <c r="A1288" s="10" t="s">
        <v>26</v>
      </c>
      <c r="B1288" s="10" t="s">
        <v>1215</v>
      </c>
      <c r="C1288" s="10" t="s">
        <v>76</v>
      </c>
      <c r="D1288" s="11">
        <v>2024</v>
      </c>
      <c r="E1288" s="10" t="s">
        <v>124</v>
      </c>
      <c r="F1288" s="10" t="s">
        <v>83</v>
      </c>
      <c r="G1288" s="10" t="s">
        <v>84</v>
      </c>
      <c r="H1288" s="11">
        <v>12929</v>
      </c>
      <c r="I1288" s="11">
        <v>169</v>
      </c>
      <c r="J1288" s="11">
        <v>166</v>
      </c>
      <c r="K1288" s="11">
        <v>3150</v>
      </c>
      <c r="L1288" s="11">
        <v>1.30710529029597E-2</v>
      </c>
      <c r="M1288" s="11">
        <f t="shared" si="5"/>
        <v>1.3071389898677392</v>
      </c>
      <c r="N1288" s="11">
        <v>0.98224852071005897</v>
      </c>
      <c r="O1288" s="11">
        <v>0.24363205114983999</v>
      </c>
      <c r="P1288" s="11">
        <v>0.15540540540540501</v>
      </c>
      <c r="Q1288" s="11">
        <v>3.8461538461538498E-2</v>
      </c>
      <c r="R1288" s="11">
        <v>0.11856823266219201</v>
      </c>
      <c r="S1288" s="10" t="s">
        <v>84</v>
      </c>
      <c r="T1288" s="10" t="s">
        <v>84</v>
      </c>
      <c r="U1288" s="10"/>
      <c r="V1288" s="10"/>
      <c r="W1288" s="10"/>
      <c r="X1288" s="10"/>
      <c r="Y1288" s="10"/>
      <c r="Z1288" s="10"/>
      <c r="AA1288" s="10"/>
    </row>
    <row r="1289" spans="1:27" ht="12.5" hidden="1" x14ac:dyDescent="0.25">
      <c r="A1289" s="10" t="s">
        <v>62</v>
      </c>
      <c r="B1289" s="10" t="s">
        <v>1696</v>
      </c>
      <c r="C1289" s="10" t="s">
        <v>191</v>
      </c>
      <c r="D1289" s="11">
        <v>2024</v>
      </c>
      <c r="E1289" s="10" t="s">
        <v>81</v>
      </c>
      <c r="F1289" s="10" t="s">
        <v>125</v>
      </c>
      <c r="G1289" s="10" t="s">
        <v>84</v>
      </c>
      <c r="H1289" s="12">
        <v>36642</v>
      </c>
      <c r="I1289" s="11">
        <v>478</v>
      </c>
      <c r="J1289" s="11">
        <v>258</v>
      </c>
      <c r="K1289" s="11">
        <v>1105</v>
      </c>
      <c r="L1289" s="11">
        <v>1.30453174678984E-2</v>
      </c>
      <c r="M1289" s="11">
        <f t="shared" si="5"/>
        <v>1.3045139457453196</v>
      </c>
      <c r="N1289" s="11">
        <v>0.53974895397489497</v>
      </c>
      <c r="O1289" s="11">
        <v>3.0157062347338399E-2</v>
      </c>
      <c r="P1289" s="11">
        <v>0.27941176470588203</v>
      </c>
      <c r="Q1289" s="11">
        <v>0.4</v>
      </c>
      <c r="R1289" s="11">
        <v>0.41666666666666702</v>
      </c>
      <c r="S1289" s="10" t="s">
        <v>84</v>
      </c>
      <c r="T1289" s="10" t="s">
        <v>84</v>
      </c>
      <c r="U1289" s="10"/>
      <c r="V1289" s="10"/>
      <c r="W1289" s="10"/>
      <c r="X1289" s="10"/>
      <c r="Y1289" s="10"/>
      <c r="Z1289" s="10"/>
      <c r="AA1289" s="10"/>
    </row>
    <row r="1290" spans="1:27" ht="12.5" x14ac:dyDescent="0.25">
      <c r="A1290" s="10" t="s">
        <v>53</v>
      </c>
      <c r="B1290" s="10" t="s">
        <v>1217</v>
      </c>
      <c r="C1290" s="10" t="s">
        <v>76</v>
      </c>
      <c r="D1290" s="11">
        <v>2024</v>
      </c>
      <c r="E1290" s="10" t="s">
        <v>124</v>
      </c>
      <c r="F1290" s="10" t="s">
        <v>125</v>
      </c>
      <c r="G1290" s="10" t="s">
        <v>84</v>
      </c>
      <c r="H1290" s="11">
        <v>690</v>
      </c>
      <c r="I1290" s="11">
        <v>9</v>
      </c>
      <c r="J1290" s="11">
        <v>8</v>
      </c>
      <c r="K1290" s="11">
        <v>773</v>
      </c>
      <c r="L1290" s="11">
        <v>1.30403284230862E-2</v>
      </c>
      <c r="M1290" s="11">
        <f t="shared" si="5"/>
        <v>1.3043478260869565</v>
      </c>
      <c r="N1290" s="11">
        <v>0.88888888888888895</v>
      </c>
      <c r="O1290" s="11">
        <v>1.12001931900507</v>
      </c>
      <c r="P1290" s="11">
        <v>0.15456081081081099</v>
      </c>
      <c r="Q1290" s="11">
        <v>0.65</v>
      </c>
      <c r="R1290" s="11">
        <v>0.116331096196868</v>
      </c>
      <c r="S1290" s="10" t="s">
        <v>84</v>
      </c>
      <c r="T1290" s="10" t="s">
        <v>84</v>
      </c>
      <c r="U1290" s="10"/>
      <c r="V1290" s="10"/>
      <c r="W1290" s="10"/>
      <c r="X1290" s="10"/>
      <c r="Y1290" s="10"/>
      <c r="Z1290" s="10"/>
      <c r="AA1290" s="10"/>
    </row>
    <row r="1291" spans="1:27" ht="12.5" hidden="1" x14ac:dyDescent="0.25">
      <c r="A1291" s="10" t="s">
        <v>16</v>
      </c>
      <c r="B1291" s="10" t="s">
        <v>1697</v>
      </c>
      <c r="C1291" s="10" t="s">
        <v>191</v>
      </c>
      <c r="D1291" s="11">
        <v>2024</v>
      </c>
      <c r="E1291" s="10" t="s">
        <v>124</v>
      </c>
      <c r="F1291" s="10" t="s">
        <v>125</v>
      </c>
      <c r="G1291" s="10" t="s">
        <v>84</v>
      </c>
      <c r="H1291" s="12">
        <v>460.75</v>
      </c>
      <c r="I1291" s="11">
        <v>6</v>
      </c>
      <c r="J1291" s="11">
        <v>6</v>
      </c>
      <c r="K1291" s="11">
        <v>6</v>
      </c>
      <c r="L1291" s="11">
        <v>1.30222463374932E-2</v>
      </c>
      <c r="M1291" s="11">
        <f t="shared" si="5"/>
        <v>1.3022246337493217</v>
      </c>
      <c r="N1291" s="11">
        <v>1</v>
      </c>
      <c r="O1291" s="11">
        <v>1.30222463374932E-2</v>
      </c>
      <c r="P1291" s="11">
        <v>0.27696078431372601</v>
      </c>
      <c r="Q1291" s="11">
        <v>0.16666666666666699</v>
      </c>
      <c r="R1291" s="11">
        <v>0.25</v>
      </c>
      <c r="S1291" s="10" t="s">
        <v>84</v>
      </c>
      <c r="T1291" s="10" t="s">
        <v>84</v>
      </c>
      <c r="U1291" s="10"/>
      <c r="V1291" s="10"/>
      <c r="W1291" s="10"/>
      <c r="X1291" s="10"/>
      <c r="Y1291" s="10"/>
      <c r="Z1291" s="10"/>
      <c r="AA1291" s="10"/>
    </row>
    <row r="1292" spans="1:27" ht="12.5" hidden="1" x14ac:dyDescent="0.25">
      <c r="A1292" s="10" t="s">
        <v>77</v>
      </c>
      <c r="B1292" s="10" t="s">
        <v>1698</v>
      </c>
      <c r="C1292" s="10" t="s">
        <v>191</v>
      </c>
      <c r="D1292" s="11">
        <v>2024</v>
      </c>
      <c r="E1292" s="10" t="s">
        <v>124</v>
      </c>
      <c r="F1292" s="10" t="s">
        <v>125</v>
      </c>
      <c r="G1292" s="10" t="s">
        <v>84</v>
      </c>
      <c r="H1292" s="12">
        <v>614.58333333333303</v>
      </c>
      <c r="I1292" s="11">
        <v>8</v>
      </c>
      <c r="J1292" s="11">
        <v>3</v>
      </c>
      <c r="K1292" s="11">
        <v>8</v>
      </c>
      <c r="L1292" s="11">
        <v>1.30169491525424E-2</v>
      </c>
      <c r="M1292" s="11">
        <f t="shared" si="5"/>
        <v>1.3016949152542379</v>
      </c>
      <c r="N1292" s="11">
        <v>0.375</v>
      </c>
      <c r="O1292" s="11">
        <v>1.30169491525424E-2</v>
      </c>
      <c r="P1292" s="11">
        <v>0.27573529411764702</v>
      </c>
      <c r="Q1292" s="11">
        <v>0.34782608695652201</v>
      </c>
      <c r="R1292" s="11">
        <v>0.24806201550387599</v>
      </c>
      <c r="S1292" s="10" t="s">
        <v>84</v>
      </c>
      <c r="T1292" s="10" t="s">
        <v>84</v>
      </c>
      <c r="U1292" s="10"/>
      <c r="V1292" s="10"/>
      <c r="W1292" s="10"/>
      <c r="X1292" s="10"/>
      <c r="Y1292" s="10"/>
      <c r="Z1292" s="10"/>
      <c r="AA1292" s="10"/>
    </row>
    <row r="1293" spans="1:27" ht="12.5" x14ac:dyDescent="0.25">
      <c r="A1293" s="10" t="s">
        <v>86</v>
      </c>
      <c r="B1293" s="10" t="s">
        <v>1171</v>
      </c>
      <c r="C1293" s="10" t="s">
        <v>76</v>
      </c>
      <c r="D1293" s="11">
        <v>2024</v>
      </c>
      <c r="E1293" s="10" t="s">
        <v>81</v>
      </c>
      <c r="F1293" s="10" t="s">
        <v>83</v>
      </c>
      <c r="G1293" s="10" t="s">
        <v>84</v>
      </c>
      <c r="H1293" s="11">
        <v>36144</v>
      </c>
      <c r="I1293" s="11">
        <v>470</v>
      </c>
      <c r="J1293" s="11">
        <v>204</v>
      </c>
      <c r="K1293" s="11">
        <v>11229</v>
      </c>
      <c r="L1293" s="11">
        <v>1.30034514480173E-2</v>
      </c>
      <c r="M1293" s="11">
        <f t="shared" si="5"/>
        <v>1.3003541389995572</v>
      </c>
      <c r="N1293" s="11">
        <v>0.43404255319148899</v>
      </c>
      <c r="O1293" s="11">
        <v>0.31067182193571602</v>
      </c>
      <c r="P1293" s="11">
        <v>0.15371621621621601</v>
      </c>
      <c r="Q1293" s="11">
        <v>4.3478260869565202E-2</v>
      </c>
      <c r="R1293" s="11">
        <v>0.186046511627907</v>
      </c>
      <c r="S1293" s="10" t="s">
        <v>84</v>
      </c>
      <c r="T1293" s="10" t="s">
        <v>84</v>
      </c>
      <c r="U1293" s="10"/>
      <c r="V1293" s="10"/>
      <c r="W1293" s="10"/>
      <c r="X1293" s="10"/>
      <c r="Y1293" s="10"/>
      <c r="Z1293" s="10"/>
      <c r="AA1293" s="10"/>
    </row>
    <row r="1294" spans="1:27" ht="12.5" x14ac:dyDescent="0.25">
      <c r="A1294" s="10" t="s">
        <v>86</v>
      </c>
      <c r="B1294" s="10" t="s">
        <v>1219</v>
      </c>
      <c r="C1294" s="10" t="s">
        <v>76</v>
      </c>
      <c r="D1294" s="11">
        <v>2024</v>
      </c>
      <c r="E1294" s="10" t="s">
        <v>124</v>
      </c>
      <c r="F1294" s="10" t="s">
        <v>83</v>
      </c>
      <c r="G1294" s="10" t="s">
        <v>84</v>
      </c>
      <c r="H1294" s="11">
        <v>30684</v>
      </c>
      <c r="I1294" s="11">
        <v>397</v>
      </c>
      <c r="J1294" s="11">
        <v>380</v>
      </c>
      <c r="K1294" s="11">
        <v>15061</v>
      </c>
      <c r="L1294" s="11">
        <v>1.2938163508621399E-2</v>
      </c>
      <c r="M1294" s="11">
        <f t="shared" si="5"/>
        <v>1.2938339199582845</v>
      </c>
      <c r="N1294" s="11">
        <v>0.957178841309824</v>
      </c>
      <c r="O1294" s="11">
        <v>0.49083546751472701</v>
      </c>
      <c r="P1294" s="11">
        <v>0.15287162162162199</v>
      </c>
      <c r="Q1294" s="11">
        <v>2.1739130434782601E-2</v>
      </c>
      <c r="R1294" s="11">
        <v>0.114093959731544</v>
      </c>
      <c r="S1294" s="10" t="s">
        <v>84</v>
      </c>
      <c r="T1294" s="10" t="s">
        <v>84</v>
      </c>
      <c r="U1294" s="10"/>
      <c r="V1294" s="10"/>
      <c r="W1294" s="10"/>
      <c r="X1294" s="10"/>
      <c r="Y1294" s="10"/>
      <c r="Z1294" s="10"/>
      <c r="AA1294" s="10"/>
    </row>
    <row r="1295" spans="1:27" ht="12.5" x14ac:dyDescent="0.25">
      <c r="A1295" s="10" t="s">
        <v>29</v>
      </c>
      <c r="B1295" s="10" t="s">
        <v>1220</v>
      </c>
      <c r="C1295" s="10" t="s">
        <v>76</v>
      </c>
      <c r="D1295" s="11">
        <v>2024</v>
      </c>
      <c r="E1295" s="10" t="s">
        <v>124</v>
      </c>
      <c r="F1295" s="10" t="s">
        <v>83</v>
      </c>
      <c r="G1295" s="10" t="s">
        <v>84</v>
      </c>
      <c r="H1295" s="11">
        <v>15368</v>
      </c>
      <c r="I1295" s="11">
        <v>198</v>
      </c>
      <c r="J1295" s="11">
        <v>187</v>
      </c>
      <c r="K1295" s="11">
        <v>567</v>
      </c>
      <c r="L1295" s="11">
        <v>1.2883565320652201E-2</v>
      </c>
      <c r="M1295" s="11">
        <f t="shared" si="5"/>
        <v>1.2883914627798021</v>
      </c>
      <c r="N1295" s="11">
        <v>0.94444444444444398</v>
      </c>
      <c r="O1295" s="11">
        <v>3.6893846145503999E-2</v>
      </c>
      <c r="P1295" s="11">
        <v>0.152027027027027</v>
      </c>
      <c r="Q1295" s="11">
        <v>6.1224489795918401E-2</v>
      </c>
      <c r="R1295" s="11">
        <v>0.111856823266219</v>
      </c>
      <c r="S1295" s="10" t="s">
        <v>84</v>
      </c>
      <c r="T1295" s="10" t="s">
        <v>84</v>
      </c>
      <c r="U1295" s="10"/>
      <c r="V1295" s="10"/>
      <c r="W1295" s="10"/>
      <c r="X1295" s="10"/>
      <c r="Y1295" s="10"/>
      <c r="Z1295" s="10"/>
      <c r="AA1295" s="10"/>
    </row>
    <row r="1296" spans="1:27" ht="12.5" hidden="1" x14ac:dyDescent="0.25">
      <c r="A1296" s="10" t="s">
        <v>65</v>
      </c>
      <c r="B1296" s="10" t="s">
        <v>1699</v>
      </c>
      <c r="C1296" s="10" t="s">
        <v>191</v>
      </c>
      <c r="D1296" s="11">
        <v>2024</v>
      </c>
      <c r="E1296" s="10" t="s">
        <v>124</v>
      </c>
      <c r="F1296" s="10" t="s">
        <v>125</v>
      </c>
      <c r="G1296" s="10" t="s">
        <v>84</v>
      </c>
      <c r="H1296" s="12">
        <v>77.6666666666667</v>
      </c>
      <c r="I1296" s="11">
        <v>1</v>
      </c>
      <c r="J1296" s="11">
        <v>0</v>
      </c>
      <c r="K1296" s="11">
        <v>2</v>
      </c>
      <c r="L1296" s="11">
        <v>1.28755364806867E-2</v>
      </c>
      <c r="M1296" s="11">
        <f t="shared" si="5"/>
        <v>1.2875536480686689</v>
      </c>
      <c r="N1296" s="11">
        <v>0</v>
      </c>
      <c r="O1296" s="11">
        <v>2.5751072961373401E-2</v>
      </c>
      <c r="P1296" s="11">
        <v>0.27450980392156898</v>
      </c>
      <c r="Q1296" s="11">
        <v>0.11111111111111099</v>
      </c>
      <c r="R1296" s="11">
        <v>0.24612403100775199</v>
      </c>
      <c r="S1296" s="10" t="s">
        <v>84</v>
      </c>
      <c r="T1296" s="10" t="s">
        <v>84</v>
      </c>
      <c r="U1296" s="10"/>
      <c r="V1296" s="10"/>
      <c r="W1296" s="10"/>
      <c r="X1296" s="10"/>
      <c r="Y1296" s="10"/>
      <c r="Z1296" s="10"/>
      <c r="AA1296" s="10"/>
    </row>
    <row r="1297" spans="1:27" ht="12.5" x14ac:dyDescent="0.25">
      <c r="A1297" s="10" t="s">
        <v>6</v>
      </c>
      <c r="B1297" s="10" t="s">
        <v>1489</v>
      </c>
      <c r="C1297" s="10" t="s">
        <v>76</v>
      </c>
      <c r="D1297" s="11">
        <v>2024</v>
      </c>
      <c r="E1297" s="10" t="s">
        <v>257</v>
      </c>
      <c r="F1297" s="10" t="s">
        <v>83</v>
      </c>
      <c r="G1297" s="10" t="s">
        <v>84</v>
      </c>
      <c r="H1297" s="11">
        <v>7712</v>
      </c>
      <c r="I1297" s="11">
        <v>99</v>
      </c>
      <c r="J1297" s="11">
        <v>95</v>
      </c>
      <c r="K1297" s="11">
        <v>399</v>
      </c>
      <c r="L1297" s="11">
        <v>1.28364433975516E-2</v>
      </c>
      <c r="M1297" s="11">
        <f t="shared" si="5"/>
        <v>1.283713692946058</v>
      </c>
      <c r="N1297" s="11">
        <v>0.95959595959596</v>
      </c>
      <c r="O1297" s="11">
        <v>5.1734756723465398E-2</v>
      </c>
      <c r="P1297" s="11">
        <v>0.15118243243243201</v>
      </c>
      <c r="Q1297" s="11">
        <v>0.25806451612903197</v>
      </c>
      <c r="R1297" s="11">
        <v>0.204545454545455</v>
      </c>
      <c r="S1297" s="10" t="s">
        <v>84</v>
      </c>
      <c r="T1297" s="10" t="s">
        <v>84</v>
      </c>
      <c r="U1297" s="10"/>
      <c r="V1297" s="10"/>
      <c r="W1297" s="10"/>
      <c r="X1297" s="10"/>
      <c r="Y1297" s="10"/>
      <c r="Z1297" s="10"/>
      <c r="AA1297" s="10"/>
    </row>
    <row r="1298" spans="1:27" ht="12.5" hidden="1" x14ac:dyDescent="0.25">
      <c r="A1298" s="10" t="s">
        <v>77</v>
      </c>
      <c r="B1298" s="10" t="s">
        <v>1700</v>
      </c>
      <c r="C1298" s="10" t="s">
        <v>191</v>
      </c>
      <c r="D1298" s="11">
        <v>2024</v>
      </c>
      <c r="E1298" s="10" t="s">
        <v>124</v>
      </c>
      <c r="F1298" s="10" t="s">
        <v>125</v>
      </c>
      <c r="G1298" s="10" t="s">
        <v>84</v>
      </c>
      <c r="H1298" s="12">
        <v>547.66666666666697</v>
      </c>
      <c r="I1298" s="11">
        <v>7</v>
      </c>
      <c r="J1298" s="11">
        <v>4</v>
      </c>
      <c r="K1298" s="11">
        <v>949</v>
      </c>
      <c r="L1298" s="11">
        <v>1.2781497261107701E-2</v>
      </c>
      <c r="M1298" s="11">
        <f t="shared" si="5"/>
        <v>1.2781497261107724</v>
      </c>
      <c r="N1298" s="11">
        <v>0.57142857142857095</v>
      </c>
      <c r="O1298" s="11">
        <v>1.73280584297018</v>
      </c>
      <c r="P1298" s="11">
        <v>0.27205882352941202</v>
      </c>
      <c r="Q1298" s="11">
        <v>0.32608695652173902</v>
      </c>
      <c r="R1298" s="11">
        <v>0.24418604651162801</v>
      </c>
      <c r="S1298" s="10" t="s">
        <v>84</v>
      </c>
      <c r="T1298" s="10" t="s">
        <v>84</v>
      </c>
      <c r="U1298" s="10"/>
      <c r="V1298" s="10"/>
      <c r="W1298" s="10"/>
      <c r="X1298" s="10"/>
      <c r="Y1298" s="10"/>
      <c r="Z1298" s="10"/>
      <c r="AA1298" s="10"/>
    </row>
    <row r="1299" spans="1:27" ht="12.5" x14ac:dyDescent="0.25">
      <c r="A1299" s="10" t="s">
        <v>14</v>
      </c>
      <c r="B1299" s="10" t="s">
        <v>1174</v>
      </c>
      <c r="C1299" s="10" t="s">
        <v>76</v>
      </c>
      <c r="D1299" s="11">
        <v>2024</v>
      </c>
      <c r="E1299" s="10" t="s">
        <v>81</v>
      </c>
      <c r="F1299" s="10" t="s">
        <v>83</v>
      </c>
      <c r="G1299" s="10" t="s">
        <v>84</v>
      </c>
      <c r="H1299" s="11">
        <v>27108</v>
      </c>
      <c r="I1299" s="11">
        <v>346</v>
      </c>
      <c r="J1299" s="11">
        <v>402</v>
      </c>
      <c r="K1299" s="11">
        <v>5691</v>
      </c>
      <c r="L1299" s="11">
        <v>1.27636028281586E-2</v>
      </c>
      <c r="M1299" s="11">
        <f t="shared" si="5"/>
        <v>1.2763759775711967</v>
      </c>
      <c r="N1299" s="11">
        <v>1.16184971098266</v>
      </c>
      <c r="O1299" s="11">
        <v>0.20993544420534899</v>
      </c>
      <c r="P1299" s="11">
        <v>0.150337837837838</v>
      </c>
      <c r="Q1299" s="11">
        <v>3.5714285714285698E-2</v>
      </c>
      <c r="R1299" s="11">
        <v>0.184108527131783</v>
      </c>
      <c r="S1299" s="10" t="s">
        <v>84</v>
      </c>
      <c r="T1299" s="10" t="s">
        <v>84</v>
      </c>
      <c r="U1299" s="10"/>
      <c r="V1299" s="10"/>
      <c r="W1299" s="10"/>
      <c r="X1299" s="10"/>
      <c r="Y1299" s="10"/>
      <c r="Z1299" s="10"/>
      <c r="AA1299" s="10"/>
    </row>
    <row r="1300" spans="1:27" ht="12.5" x14ac:dyDescent="0.25">
      <c r="A1300" s="10" t="s">
        <v>110</v>
      </c>
      <c r="B1300" s="10" t="s">
        <v>1176</v>
      </c>
      <c r="C1300" s="10" t="s">
        <v>76</v>
      </c>
      <c r="D1300" s="11">
        <v>2024</v>
      </c>
      <c r="E1300" s="10" t="s">
        <v>81</v>
      </c>
      <c r="F1300" s="10" t="s">
        <v>83</v>
      </c>
      <c r="G1300" s="10" t="s">
        <v>84</v>
      </c>
      <c r="H1300" s="11">
        <v>31182</v>
      </c>
      <c r="I1300" s="11">
        <v>397</v>
      </c>
      <c r="J1300" s="11">
        <v>359</v>
      </c>
      <c r="K1300" s="11">
        <v>28819</v>
      </c>
      <c r="L1300" s="11">
        <v>1.27317382136548E-2</v>
      </c>
      <c r="M1300" s="11">
        <f t="shared" si="5"/>
        <v>1.273170418831377</v>
      </c>
      <c r="N1300" s="11">
        <v>0.90428211586901797</v>
      </c>
      <c r="O1300" s="11">
        <v>0.92422157072876099</v>
      </c>
      <c r="P1300" s="11">
        <v>0.14949324324324301</v>
      </c>
      <c r="Q1300" s="11">
        <v>0.33333333333333298</v>
      </c>
      <c r="R1300" s="11">
        <v>0.18217054263565899</v>
      </c>
      <c r="S1300" s="10" t="s">
        <v>84</v>
      </c>
      <c r="T1300" s="10" t="s">
        <v>84</v>
      </c>
      <c r="U1300" s="10"/>
      <c r="V1300" s="10"/>
      <c r="W1300" s="10"/>
      <c r="X1300" s="10"/>
      <c r="Y1300" s="10"/>
      <c r="Z1300" s="10"/>
      <c r="AA1300" s="10"/>
    </row>
    <row r="1301" spans="1:27" ht="12.5" x14ac:dyDescent="0.25">
      <c r="A1301" s="10" t="s">
        <v>53</v>
      </c>
      <c r="B1301" s="10" t="s">
        <v>1222</v>
      </c>
      <c r="C1301" s="10" t="s">
        <v>76</v>
      </c>
      <c r="D1301" s="11">
        <v>2024</v>
      </c>
      <c r="E1301" s="10" t="s">
        <v>124</v>
      </c>
      <c r="F1301" s="10" t="s">
        <v>125</v>
      </c>
      <c r="G1301" s="10" t="s">
        <v>84</v>
      </c>
      <c r="H1301" s="11">
        <v>1181</v>
      </c>
      <c r="I1301" s="11">
        <v>15</v>
      </c>
      <c r="J1301" s="11">
        <v>15</v>
      </c>
      <c r="K1301" s="11">
        <v>85</v>
      </c>
      <c r="L1301" s="11">
        <v>1.2705583398037699E-2</v>
      </c>
      <c r="M1301" s="11">
        <f t="shared" si="5"/>
        <v>1.2701100762066047</v>
      </c>
      <c r="N1301" s="11">
        <v>1</v>
      </c>
      <c r="O1301" s="11">
        <v>7.1998305922213596E-2</v>
      </c>
      <c r="P1301" s="11">
        <v>0.147804054054054</v>
      </c>
      <c r="Q1301" s="11">
        <v>0.625</v>
      </c>
      <c r="R1301" s="11">
        <v>0.109619686800895</v>
      </c>
      <c r="S1301" s="10" t="s">
        <v>84</v>
      </c>
      <c r="T1301" s="10" t="s">
        <v>84</v>
      </c>
      <c r="U1301" s="10"/>
      <c r="V1301" s="10"/>
      <c r="W1301" s="10"/>
      <c r="X1301" s="10"/>
      <c r="Y1301" s="10"/>
      <c r="Z1301" s="10"/>
      <c r="AA1301" s="10"/>
    </row>
    <row r="1302" spans="1:27" ht="12.5" x14ac:dyDescent="0.25">
      <c r="A1302" s="10" t="s">
        <v>67</v>
      </c>
      <c r="B1302" s="10" t="s">
        <v>1178</v>
      </c>
      <c r="C1302" s="10" t="s">
        <v>76</v>
      </c>
      <c r="D1302" s="11">
        <v>2024</v>
      </c>
      <c r="E1302" s="10" t="s">
        <v>81</v>
      </c>
      <c r="F1302" s="10" t="s">
        <v>83</v>
      </c>
      <c r="G1302" s="10" t="s">
        <v>84</v>
      </c>
      <c r="H1302" s="11">
        <v>34394</v>
      </c>
      <c r="I1302" s="11">
        <v>437</v>
      </c>
      <c r="J1302" s="11">
        <v>367</v>
      </c>
      <c r="K1302" s="11">
        <v>17284</v>
      </c>
      <c r="L1302" s="11">
        <v>1.2705550561743301E-2</v>
      </c>
      <c r="M1302" s="11">
        <f t="shared" si="5"/>
        <v>1.2705704483340119</v>
      </c>
      <c r="N1302" s="11">
        <v>0.83981693363844401</v>
      </c>
      <c r="O1302" s="11">
        <v>0.50252342313311504</v>
      </c>
      <c r="P1302" s="11">
        <v>0.14695945945945901</v>
      </c>
      <c r="Q1302" s="11">
        <v>0</v>
      </c>
      <c r="R1302" s="11">
        <v>0.18023255813953501</v>
      </c>
      <c r="S1302" s="10" t="s">
        <v>84</v>
      </c>
      <c r="T1302" s="10" t="s">
        <v>84</v>
      </c>
      <c r="U1302" s="10"/>
      <c r="V1302" s="10"/>
      <c r="W1302" s="10"/>
      <c r="X1302" s="10"/>
      <c r="Y1302" s="10"/>
      <c r="Z1302" s="10"/>
      <c r="AA1302" s="10"/>
    </row>
    <row r="1303" spans="1:27" ht="12.5" hidden="1" x14ac:dyDescent="0.25">
      <c r="A1303" s="10" t="s">
        <v>53</v>
      </c>
      <c r="B1303" s="10" t="s">
        <v>1701</v>
      </c>
      <c r="C1303" s="10" t="s">
        <v>191</v>
      </c>
      <c r="D1303" s="11">
        <v>2024</v>
      </c>
      <c r="E1303" s="10" t="s">
        <v>124</v>
      </c>
      <c r="F1303" s="10" t="s">
        <v>125</v>
      </c>
      <c r="G1303" s="10" t="s">
        <v>84</v>
      </c>
      <c r="H1303" s="12">
        <v>315</v>
      </c>
      <c r="I1303" s="11">
        <v>4</v>
      </c>
      <c r="J1303" s="11">
        <v>4</v>
      </c>
      <c r="K1303" s="11">
        <v>47</v>
      </c>
      <c r="L1303" s="11">
        <v>1.26984126984127E-2</v>
      </c>
      <c r="M1303" s="11">
        <f t="shared" si="5"/>
        <v>1.2698412698412698</v>
      </c>
      <c r="N1303" s="11">
        <v>1</v>
      </c>
      <c r="O1303" s="11">
        <v>0.14920634920634901</v>
      </c>
      <c r="P1303" s="11">
        <v>0.27083333333333298</v>
      </c>
      <c r="Q1303" s="11">
        <v>0.67741935483870996</v>
      </c>
      <c r="R1303" s="11">
        <v>0.242248062015504</v>
      </c>
      <c r="S1303" s="10" t="s">
        <v>84</v>
      </c>
      <c r="T1303" s="10" t="s">
        <v>84</v>
      </c>
      <c r="U1303" s="10"/>
      <c r="V1303" s="10"/>
      <c r="W1303" s="10"/>
      <c r="X1303" s="10"/>
      <c r="Y1303" s="10"/>
      <c r="Z1303" s="10"/>
      <c r="AA1303" s="10"/>
    </row>
    <row r="1304" spans="1:27" ht="12.5" x14ac:dyDescent="0.25">
      <c r="A1304" s="10" t="s">
        <v>82</v>
      </c>
      <c r="B1304" s="10" t="s">
        <v>1225</v>
      </c>
      <c r="C1304" s="10" t="s">
        <v>76</v>
      </c>
      <c r="D1304" s="11">
        <v>2024</v>
      </c>
      <c r="E1304" s="10" t="s">
        <v>124</v>
      </c>
      <c r="F1304" s="10" t="s">
        <v>83</v>
      </c>
      <c r="G1304" s="10" t="s">
        <v>84</v>
      </c>
      <c r="H1304" s="11">
        <v>1899</v>
      </c>
      <c r="I1304" s="11">
        <v>24</v>
      </c>
      <c r="J1304" s="11">
        <v>23</v>
      </c>
      <c r="K1304" s="11">
        <v>2642</v>
      </c>
      <c r="L1304" s="11">
        <v>1.26354582547273E-2</v>
      </c>
      <c r="M1304" s="11">
        <f t="shared" si="5"/>
        <v>1.2638230647709321</v>
      </c>
      <c r="N1304" s="11">
        <v>0.95833333333333304</v>
      </c>
      <c r="O1304" s="11">
        <v>1.3909533628745701</v>
      </c>
      <c r="P1304" s="11">
        <v>0.146114864864865</v>
      </c>
      <c r="Q1304" s="11">
        <v>0.29310344827586199</v>
      </c>
      <c r="R1304" s="11">
        <v>0.10738255033557</v>
      </c>
      <c r="S1304" s="10" t="s">
        <v>84</v>
      </c>
      <c r="T1304" s="10" t="s">
        <v>84</v>
      </c>
      <c r="U1304" s="10"/>
      <c r="V1304" s="10"/>
      <c r="W1304" s="10"/>
      <c r="X1304" s="10"/>
      <c r="Y1304" s="10"/>
      <c r="Z1304" s="10"/>
      <c r="AA1304" s="10"/>
    </row>
    <row r="1305" spans="1:27" ht="12.5" x14ac:dyDescent="0.25">
      <c r="A1305" s="10" t="s">
        <v>36</v>
      </c>
      <c r="B1305" s="10" t="s">
        <v>1181</v>
      </c>
      <c r="C1305" s="10" t="s">
        <v>76</v>
      </c>
      <c r="D1305" s="11">
        <v>2024</v>
      </c>
      <c r="E1305" s="10" t="s">
        <v>81</v>
      </c>
      <c r="F1305" s="10" t="s">
        <v>83</v>
      </c>
      <c r="G1305" s="10" t="s">
        <v>84</v>
      </c>
      <c r="H1305" s="11">
        <v>21614</v>
      </c>
      <c r="I1305" s="11">
        <v>272</v>
      </c>
      <c r="J1305" s="11">
        <v>58</v>
      </c>
      <c r="K1305" s="11">
        <v>36974</v>
      </c>
      <c r="L1305" s="11">
        <v>1.2584678616456501E-2</v>
      </c>
      <c r="M1305" s="11">
        <f t="shared" si="5"/>
        <v>1.2584436013694829</v>
      </c>
      <c r="N1305" s="11">
        <v>0.213235294117647</v>
      </c>
      <c r="O1305" s="11">
        <v>1.71068348222376</v>
      </c>
      <c r="P1305" s="11">
        <v>0.14527027027027001</v>
      </c>
      <c r="Q1305" s="11">
        <v>6.3829787234042507E-2</v>
      </c>
      <c r="R1305" s="11">
        <v>0.178294573643411</v>
      </c>
      <c r="S1305" s="10" t="s">
        <v>84</v>
      </c>
      <c r="T1305" s="10" t="s">
        <v>84</v>
      </c>
      <c r="U1305" s="10"/>
      <c r="V1305" s="10"/>
      <c r="W1305" s="10"/>
      <c r="X1305" s="10"/>
      <c r="Y1305" s="10"/>
      <c r="Z1305" s="10"/>
      <c r="AA1305" s="10"/>
    </row>
    <row r="1306" spans="1:27" ht="12.5" x14ac:dyDescent="0.25">
      <c r="A1306" s="10" t="s">
        <v>110</v>
      </c>
      <c r="B1306" s="10" t="s">
        <v>1183</v>
      </c>
      <c r="C1306" s="10" t="s">
        <v>76</v>
      </c>
      <c r="D1306" s="11">
        <v>2024</v>
      </c>
      <c r="E1306" s="10" t="s">
        <v>81</v>
      </c>
      <c r="F1306" s="10" t="s">
        <v>83</v>
      </c>
      <c r="G1306" s="10" t="s">
        <v>84</v>
      </c>
      <c r="H1306" s="11">
        <v>13307</v>
      </c>
      <c r="I1306" s="11">
        <v>167</v>
      </c>
      <c r="J1306" s="11">
        <v>122</v>
      </c>
      <c r="K1306" s="11">
        <v>2467</v>
      </c>
      <c r="L1306" s="11">
        <v>1.2549628646218201E-2</v>
      </c>
      <c r="M1306" s="11">
        <f t="shared" si="5"/>
        <v>1.2549785827008342</v>
      </c>
      <c r="N1306" s="11">
        <v>0.73053892215568905</v>
      </c>
      <c r="O1306" s="11">
        <v>0.18538882557018099</v>
      </c>
      <c r="P1306" s="11">
        <v>0.143581081081081</v>
      </c>
      <c r="Q1306" s="11">
        <v>0.30303030303030298</v>
      </c>
      <c r="R1306" s="11">
        <v>0.176356589147287</v>
      </c>
      <c r="S1306" s="10" t="s">
        <v>84</v>
      </c>
      <c r="T1306" s="10" t="s">
        <v>84</v>
      </c>
      <c r="U1306" s="10"/>
      <c r="V1306" s="10"/>
      <c r="W1306" s="10"/>
      <c r="X1306" s="10"/>
      <c r="Y1306" s="10"/>
      <c r="Z1306" s="10"/>
      <c r="AA1306" s="10"/>
    </row>
    <row r="1307" spans="1:27" ht="12.5" x14ac:dyDescent="0.25">
      <c r="A1307" s="10" t="s">
        <v>110</v>
      </c>
      <c r="B1307" s="10" t="s">
        <v>1494</v>
      </c>
      <c r="C1307" s="10" t="s">
        <v>76</v>
      </c>
      <c r="D1307" s="11">
        <v>2024</v>
      </c>
      <c r="E1307" s="10" t="s">
        <v>257</v>
      </c>
      <c r="F1307" s="10" t="s">
        <v>83</v>
      </c>
      <c r="G1307" s="10" t="s">
        <v>84</v>
      </c>
      <c r="H1307" s="11">
        <v>42120</v>
      </c>
      <c r="I1307" s="11">
        <v>527</v>
      </c>
      <c r="J1307" s="11">
        <v>527</v>
      </c>
      <c r="K1307" s="11">
        <v>12648</v>
      </c>
      <c r="L1307" s="11">
        <v>1.25119203542274E-2</v>
      </c>
      <c r="M1307" s="11">
        <f t="shared" si="5"/>
        <v>1.2511870845204178</v>
      </c>
      <c r="N1307" s="11">
        <v>1</v>
      </c>
      <c r="O1307" s="11">
        <v>0.30028608850145799</v>
      </c>
      <c r="P1307" s="11">
        <v>0.14273648648648599</v>
      </c>
      <c r="Q1307" s="11">
        <v>0.27272727272727298</v>
      </c>
      <c r="R1307" s="11">
        <v>0.18181818181818199</v>
      </c>
      <c r="S1307" s="10" t="s">
        <v>84</v>
      </c>
      <c r="T1307" s="10" t="s">
        <v>84</v>
      </c>
      <c r="U1307" s="10"/>
      <c r="V1307" s="10"/>
      <c r="W1307" s="10"/>
      <c r="X1307" s="10"/>
      <c r="Y1307" s="10"/>
      <c r="Z1307" s="10"/>
      <c r="AA1307" s="10"/>
    </row>
    <row r="1308" spans="1:27" ht="12.5" x14ac:dyDescent="0.25">
      <c r="A1308" s="10" t="s">
        <v>53</v>
      </c>
      <c r="B1308" s="10" t="s">
        <v>1185</v>
      </c>
      <c r="C1308" s="10" t="s">
        <v>76</v>
      </c>
      <c r="D1308" s="11">
        <v>2024</v>
      </c>
      <c r="E1308" s="10" t="s">
        <v>81</v>
      </c>
      <c r="F1308" s="10" t="s">
        <v>83</v>
      </c>
      <c r="G1308" s="10" t="s">
        <v>84</v>
      </c>
      <c r="H1308" s="11">
        <v>29415</v>
      </c>
      <c r="I1308" s="11">
        <v>368</v>
      </c>
      <c r="J1308" s="11">
        <v>275</v>
      </c>
      <c r="K1308" s="11">
        <v>4780</v>
      </c>
      <c r="L1308" s="11">
        <v>1.2510801048232901E-2</v>
      </c>
      <c r="M1308" s="11">
        <f t="shared" si="5"/>
        <v>1.2510623831378549</v>
      </c>
      <c r="N1308" s="11">
        <v>0.747282608695652</v>
      </c>
      <c r="O1308" s="11">
        <v>0.16250442665911199</v>
      </c>
      <c r="P1308" s="11">
        <v>0.141891891891892</v>
      </c>
      <c r="Q1308" s="11">
        <v>0.6</v>
      </c>
      <c r="R1308" s="11">
        <v>0.17441860465116299</v>
      </c>
      <c r="S1308" s="10" t="s">
        <v>84</v>
      </c>
      <c r="T1308" s="10" t="s">
        <v>84</v>
      </c>
      <c r="U1308" s="10"/>
      <c r="V1308" s="10"/>
      <c r="W1308" s="10"/>
      <c r="X1308" s="10"/>
      <c r="Y1308" s="10"/>
      <c r="Z1308" s="10"/>
      <c r="AA1308" s="10"/>
    </row>
    <row r="1309" spans="1:27" ht="12.5" x14ac:dyDescent="0.25">
      <c r="A1309" s="10" t="s">
        <v>42</v>
      </c>
      <c r="B1309" s="10" t="s">
        <v>1187</v>
      </c>
      <c r="C1309" s="10" t="s">
        <v>76</v>
      </c>
      <c r="D1309" s="11">
        <v>2024</v>
      </c>
      <c r="E1309" s="10" t="s">
        <v>81</v>
      </c>
      <c r="F1309" s="10" t="s">
        <v>83</v>
      </c>
      <c r="G1309" s="10" t="s">
        <v>84</v>
      </c>
      <c r="H1309" s="11">
        <v>13377</v>
      </c>
      <c r="I1309" s="11">
        <v>167</v>
      </c>
      <c r="J1309" s="11">
        <v>121</v>
      </c>
      <c r="K1309" s="11">
        <v>1562</v>
      </c>
      <c r="L1309" s="11">
        <v>1.24839589848373E-2</v>
      </c>
      <c r="M1309" s="11">
        <f t="shared" si="5"/>
        <v>1.2484114524930852</v>
      </c>
      <c r="N1309" s="11">
        <v>0.72455089820359297</v>
      </c>
      <c r="O1309" s="11">
        <v>0.116766131343209</v>
      </c>
      <c r="P1309" s="11">
        <v>0.14104729729729701</v>
      </c>
      <c r="Q1309" s="11">
        <v>2.3809523809523801E-2</v>
      </c>
      <c r="R1309" s="11">
        <v>0.17248062015503901</v>
      </c>
      <c r="S1309" s="10" t="s">
        <v>84</v>
      </c>
      <c r="T1309" s="10" t="s">
        <v>84</v>
      </c>
      <c r="U1309" s="10"/>
      <c r="V1309" s="10"/>
      <c r="W1309" s="10"/>
      <c r="X1309" s="10"/>
      <c r="Y1309" s="10"/>
      <c r="Z1309" s="10"/>
      <c r="AA1309" s="10"/>
    </row>
    <row r="1310" spans="1:27" ht="12.5" x14ac:dyDescent="0.25">
      <c r="A1310" s="10" t="s">
        <v>49</v>
      </c>
      <c r="B1310" s="10" t="s">
        <v>1227</v>
      </c>
      <c r="C1310" s="10" t="s">
        <v>76</v>
      </c>
      <c r="D1310" s="11">
        <v>2024</v>
      </c>
      <c r="E1310" s="10" t="s">
        <v>124</v>
      </c>
      <c r="F1310" s="10" t="s">
        <v>83</v>
      </c>
      <c r="G1310" s="10" t="s">
        <v>84</v>
      </c>
      <c r="H1310" s="11">
        <v>5989</v>
      </c>
      <c r="I1310" s="11">
        <v>74</v>
      </c>
      <c r="J1310" s="11">
        <v>73</v>
      </c>
      <c r="K1310" s="11">
        <v>2848</v>
      </c>
      <c r="L1310" s="11">
        <v>1.23552983081033E-2</v>
      </c>
      <c r="M1310" s="11">
        <f t="shared" si="5"/>
        <v>1.2355985974286192</v>
      </c>
      <c r="N1310" s="11">
        <v>0.98648648648648696</v>
      </c>
      <c r="O1310" s="11">
        <v>0.47551202137132698</v>
      </c>
      <c r="P1310" s="11">
        <v>0.14020270270270299</v>
      </c>
      <c r="Q1310" s="11">
        <v>0.19230769230769201</v>
      </c>
      <c r="R1310" s="11">
        <v>0.10514541387024599</v>
      </c>
      <c r="S1310" s="10" t="s">
        <v>84</v>
      </c>
      <c r="T1310" s="10" t="s">
        <v>84</v>
      </c>
      <c r="U1310" s="10"/>
      <c r="V1310" s="10"/>
      <c r="W1310" s="10"/>
      <c r="X1310" s="10"/>
      <c r="Y1310" s="10"/>
      <c r="Z1310" s="10"/>
      <c r="AA1310" s="10"/>
    </row>
    <row r="1311" spans="1:27" ht="12.5" hidden="1" x14ac:dyDescent="0.25">
      <c r="A1311" s="10" t="s">
        <v>29</v>
      </c>
      <c r="B1311" s="10" t="s">
        <v>1702</v>
      </c>
      <c r="C1311" s="10" t="s">
        <v>191</v>
      </c>
      <c r="D1311" s="11">
        <v>2024</v>
      </c>
      <c r="E1311" s="10" t="s">
        <v>124</v>
      </c>
      <c r="F1311" s="10" t="s">
        <v>125</v>
      </c>
      <c r="G1311" s="10" t="s">
        <v>84</v>
      </c>
      <c r="H1311" s="12">
        <v>10714</v>
      </c>
      <c r="I1311" s="11">
        <v>132</v>
      </c>
      <c r="J1311" s="11">
        <v>73</v>
      </c>
      <c r="K1311" s="11">
        <v>9695</v>
      </c>
      <c r="L1311" s="11">
        <v>1.2320136890409899E-2</v>
      </c>
      <c r="M1311" s="11">
        <f t="shared" si="5"/>
        <v>1.2320328542094456</v>
      </c>
      <c r="N1311" s="11">
        <v>0.55303030303030298</v>
      </c>
      <c r="O1311" s="11">
        <v>0.90487672085245396</v>
      </c>
      <c r="P1311" s="11">
        <v>0.26348039215686297</v>
      </c>
      <c r="Q1311" s="11">
        <v>0.183098591549296</v>
      </c>
      <c r="R1311" s="11">
        <v>0.24031007751937999</v>
      </c>
      <c r="S1311" s="10" t="s">
        <v>84</v>
      </c>
      <c r="T1311" s="10" t="s">
        <v>84</v>
      </c>
      <c r="U1311" s="10"/>
      <c r="V1311" s="10"/>
      <c r="W1311" s="10"/>
      <c r="X1311" s="10"/>
      <c r="Y1311" s="10"/>
      <c r="Z1311" s="10"/>
      <c r="AA1311" s="10"/>
    </row>
    <row r="1312" spans="1:27" ht="12.5" hidden="1" x14ac:dyDescent="0.25">
      <c r="A1312" s="10" t="s">
        <v>77</v>
      </c>
      <c r="B1312" s="10" t="s">
        <v>1703</v>
      </c>
      <c r="C1312" s="10" t="s">
        <v>191</v>
      </c>
      <c r="D1312" s="11">
        <v>2024</v>
      </c>
      <c r="E1312" s="10" t="s">
        <v>124</v>
      </c>
      <c r="F1312" s="10" t="s">
        <v>125</v>
      </c>
      <c r="G1312" s="10" t="s">
        <v>84</v>
      </c>
      <c r="H1312" s="12">
        <v>733.16666666666697</v>
      </c>
      <c r="I1312" s="11">
        <v>9</v>
      </c>
      <c r="J1312" s="11">
        <v>9</v>
      </c>
      <c r="K1312" s="11">
        <v>176</v>
      </c>
      <c r="L1312" s="11">
        <v>1.2275517162991601E-2</v>
      </c>
      <c r="M1312" s="11">
        <f t="shared" si="5"/>
        <v>1.2275517162991583</v>
      </c>
      <c r="N1312" s="11">
        <v>1</v>
      </c>
      <c r="O1312" s="11">
        <v>0.24005455785405799</v>
      </c>
      <c r="P1312" s="11">
        <v>0.26225490196078399</v>
      </c>
      <c r="Q1312" s="11">
        <v>0.30434782608695699</v>
      </c>
      <c r="R1312" s="11">
        <v>0.23837209302325599</v>
      </c>
      <c r="S1312" s="10" t="s">
        <v>84</v>
      </c>
      <c r="T1312" s="10" t="s">
        <v>84</v>
      </c>
      <c r="U1312" s="10"/>
      <c r="V1312" s="10"/>
      <c r="W1312" s="10"/>
      <c r="X1312" s="10"/>
      <c r="Y1312" s="10"/>
      <c r="Z1312" s="10"/>
      <c r="AA1312" s="10"/>
    </row>
    <row r="1313" spans="1:27" ht="12.5" hidden="1" x14ac:dyDescent="0.25">
      <c r="A1313" s="10" t="s">
        <v>86</v>
      </c>
      <c r="B1313" s="10" t="s">
        <v>420</v>
      </c>
      <c r="C1313" s="10" t="s">
        <v>191</v>
      </c>
      <c r="D1313" s="11">
        <v>2024</v>
      </c>
      <c r="E1313" s="10" t="s">
        <v>124</v>
      </c>
      <c r="F1313" s="10" t="s">
        <v>83</v>
      </c>
      <c r="G1313" s="10" t="s">
        <v>84</v>
      </c>
      <c r="H1313" s="12">
        <v>22501</v>
      </c>
      <c r="I1313" s="11">
        <v>275</v>
      </c>
      <c r="J1313" s="11">
        <v>115</v>
      </c>
      <c r="K1313" s="11">
        <v>174933</v>
      </c>
      <c r="L1313" s="11">
        <v>1.22216790364873E-2</v>
      </c>
      <c r="M1313" s="11">
        <f t="shared" si="5"/>
        <v>1.2221679036487267</v>
      </c>
      <c r="N1313" s="11">
        <v>0.41818181818181799</v>
      </c>
      <c r="O1313" s="11">
        <v>7.7744544686902799</v>
      </c>
      <c r="P1313" s="11">
        <v>0.26102941176470601</v>
      </c>
      <c r="Q1313" s="11">
        <v>0.25</v>
      </c>
      <c r="R1313" s="11">
        <v>0.23643410852713201</v>
      </c>
      <c r="S1313" s="10" t="s">
        <v>84</v>
      </c>
      <c r="T1313" s="10" t="s">
        <v>84</v>
      </c>
      <c r="U1313" s="10"/>
      <c r="V1313" s="10"/>
      <c r="W1313" s="10"/>
      <c r="X1313" s="10"/>
      <c r="Y1313" s="10"/>
      <c r="Z1313" s="10"/>
      <c r="AA1313" s="10"/>
    </row>
    <row r="1314" spans="1:27" ht="12.5" x14ac:dyDescent="0.25">
      <c r="A1314" s="10" t="s">
        <v>29</v>
      </c>
      <c r="B1314" s="10" t="s">
        <v>1190</v>
      </c>
      <c r="C1314" s="10" t="s">
        <v>76</v>
      </c>
      <c r="D1314" s="11">
        <v>2024</v>
      </c>
      <c r="E1314" s="10" t="s">
        <v>81</v>
      </c>
      <c r="F1314" s="10" t="s">
        <v>83</v>
      </c>
      <c r="G1314" s="10" t="s">
        <v>84</v>
      </c>
      <c r="H1314" s="11">
        <v>45300</v>
      </c>
      <c r="I1314" s="11">
        <v>553</v>
      </c>
      <c r="J1314" s="11">
        <v>195</v>
      </c>
      <c r="K1314" s="11">
        <v>6121</v>
      </c>
      <c r="L1314" s="11">
        <v>1.22076178036958E-2</v>
      </c>
      <c r="M1314" s="11">
        <f t="shared" si="5"/>
        <v>1.2207505518763797</v>
      </c>
      <c r="N1314" s="11">
        <v>0.35262206148282099</v>
      </c>
      <c r="O1314" s="11">
        <v>0.13512265565356599</v>
      </c>
      <c r="P1314" s="11">
        <v>0.139358108108108</v>
      </c>
      <c r="Q1314" s="11">
        <v>4.08163265306122E-2</v>
      </c>
      <c r="R1314" s="11">
        <v>0.170542635658915</v>
      </c>
      <c r="S1314" s="10" t="s">
        <v>84</v>
      </c>
      <c r="T1314" s="10" t="s">
        <v>84</v>
      </c>
      <c r="U1314" s="10"/>
      <c r="V1314" s="10"/>
      <c r="W1314" s="10"/>
      <c r="X1314" s="10"/>
      <c r="Y1314" s="10"/>
      <c r="Z1314" s="10"/>
      <c r="AA1314" s="10"/>
    </row>
    <row r="1315" spans="1:27" ht="12.5" x14ac:dyDescent="0.25">
      <c r="A1315" s="10" t="s">
        <v>52</v>
      </c>
      <c r="B1315" s="10" t="s">
        <v>1192</v>
      </c>
      <c r="C1315" s="10" t="s">
        <v>76</v>
      </c>
      <c r="D1315" s="11">
        <v>2024</v>
      </c>
      <c r="E1315" s="10" t="s">
        <v>81</v>
      </c>
      <c r="F1315" s="10" t="s">
        <v>83</v>
      </c>
      <c r="G1315" s="10" t="s">
        <v>84</v>
      </c>
      <c r="H1315" s="11">
        <v>8885</v>
      </c>
      <c r="I1315" s="11">
        <v>108</v>
      </c>
      <c r="J1315" s="11">
        <v>91</v>
      </c>
      <c r="K1315" s="11">
        <v>2311</v>
      </c>
      <c r="L1315" s="11">
        <v>1.2155659979177801E-2</v>
      </c>
      <c r="M1315" s="11">
        <f t="shared" si="5"/>
        <v>1.2155317951603828</v>
      </c>
      <c r="N1315" s="11">
        <v>0.842592592592593</v>
      </c>
      <c r="O1315" s="11">
        <v>0.26010861307296201</v>
      </c>
      <c r="P1315" s="11">
        <v>0.13851351351351401</v>
      </c>
      <c r="Q1315" s="11">
        <v>2.1276595744680899E-2</v>
      </c>
      <c r="R1315" s="11">
        <v>0.168604651162791</v>
      </c>
      <c r="S1315" s="10" t="s">
        <v>84</v>
      </c>
      <c r="T1315" s="10" t="s">
        <v>84</v>
      </c>
      <c r="U1315" s="10"/>
      <c r="V1315" s="10"/>
      <c r="W1315" s="10"/>
      <c r="X1315" s="10"/>
      <c r="Y1315" s="10"/>
      <c r="Z1315" s="10"/>
      <c r="AA1315" s="10"/>
    </row>
    <row r="1316" spans="1:27" ht="12.5" x14ac:dyDescent="0.25">
      <c r="A1316" s="10" t="s">
        <v>36</v>
      </c>
      <c r="B1316" s="10" t="s">
        <v>1196</v>
      </c>
      <c r="C1316" s="10" t="s">
        <v>76</v>
      </c>
      <c r="D1316" s="11">
        <v>2024</v>
      </c>
      <c r="E1316" s="10" t="s">
        <v>81</v>
      </c>
      <c r="F1316" s="10" t="s">
        <v>83</v>
      </c>
      <c r="G1316" s="10" t="s">
        <v>84</v>
      </c>
      <c r="H1316" s="11">
        <v>30136</v>
      </c>
      <c r="I1316" s="11">
        <v>366</v>
      </c>
      <c r="J1316" s="11">
        <v>84</v>
      </c>
      <c r="K1316" s="11">
        <v>49810</v>
      </c>
      <c r="L1316" s="11">
        <v>1.2144909341791301E-2</v>
      </c>
      <c r="M1316" s="11">
        <f t="shared" si="5"/>
        <v>1.2144942925404831</v>
      </c>
      <c r="N1316" s="11">
        <v>0.22950819672131101</v>
      </c>
      <c r="O1316" s="11">
        <v>1.6528358861055299</v>
      </c>
      <c r="P1316" s="11">
        <v>0.137668918918919</v>
      </c>
      <c r="Q1316" s="11">
        <v>4.2553191489361701E-2</v>
      </c>
      <c r="R1316" s="11">
        <v>0.16666666666666699</v>
      </c>
      <c r="S1316" s="10" t="s">
        <v>84</v>
      </c>
      <c r="T1316" s="10" t="s">
        <v>84</v>
      </c>
      <c r="U1316" s="10"/>
      <c r="V1316" s="10"/>
      <c r="W1316" s="10"/>
      <c r="X1316" s="10"/>
      <c r="Y1316" s="10"/>
      <c r="Z1316" s="10"/>
      <c r="AA1316" s="10"/>
    </row>
    <row r="1317" spans="1:27" ht="12.5" hidden="1" x14ac:dyDescent="0.25">
      <c r="A1317" s="10" t="s">
        <v>96</v>
      </c>
      <c r="B1317" s="10" t="s">
        <v>1704</v>
      </c>
      <c r="C1317" s="10" t="s">
        <v>191</v>
      </c>
      <c r="D1317" s="11">
        <v>2024</v>
      </c>
      <c r="E1317" s="10" t="s">
        <v>124</v>
      </c>
      <c r="F1317" s="10" t="s">
        <v>125</v>
      </c>
      <c r="G1317" s="10" t="s">
        <v>84</v>
      </c>
      <c r="H1317" s="12">
        <v>500000</v>
      </c>
      <c r="I1317" s="11">
        <v>6000</v>
      </c>
      <c r="J1317" s="11">
        <v>1200</v>
      </c>
      <c r="K1317" s="11">
        <v>30300</v>
      </c>
      <c r="L1317" s="11">
        <v>1.2E-2</v>
      </c>
      <c r="M1317" s="11">
        <f t="shared" si="5"/>
        <v>1.2</v>
      </c>
      <c r="N1317" s="11">
        <v>0.2</v>
      </c>
      <c r="O1317" s="11">
        <v>6.0600000000000001E-2</v>
      </c>
      <c r="P1317" s="11">
        <v>0.25980392156862703</v>
      </c>
      <c r="Q1317" s="11">
        <v>0.18181818181818199</v>
      </c>
      <c r="R1317" s="11">
        <v>0.234496124031008</v>
      </c>
      <c r="S1317" s="10" t="s">
        <v>84</v>
      </c>
      <c r="T1317" s="10" t="s">
        <v>84</v>
      </c>
      <c r="U1317" s="10"/>
      <c r="V1317" s="10"/>
      <c r="W1317" s="10"/>
      <c r="X1317" s="10"/>
      <c r="Y1317" s="10"/>
      <c r="Z1317" s="10"/>
      <c r="AA1317" s="10"/>
    </row>
    <row r="1318" spans="1:27" ht="12.5" x14ac:dyDescent="0.25">
      <c r="A1318" s="10" t="s">
        <v>6</v>
      </c>
      <c r="B1318" s="10" t="s">
        <v>1497</v>
      </c>
      <c r="C1318" s="10" t="s">
        <v>76</v>
      </c>
      <c r="D1318" s="11">
        <v>2024</v>
      </c>
      <c r="E1318" s="10" t="s">
        <v>257</v>
      </c>
      <c r="F1318" s="10" t="s">
        <v>83</v>
      </c>
      <c r="G1318" s="10" t="s">
        <v>84</v>
      </c>
      <c r="H1318" s="11">
        <v>27874</v>
      </c>
      <c r="I1318" s="11">
        <v>331</v>
      </c>
      <c r="J1318" s="11">
        <v>302</v>
      </c>
      <c r="K1318" s="11">
        <v>8469</v>
      </c>
      <c r="L1318" s="11">
        <v>1.1874758962124501E-2</v>
      </c>
      <c r="M1318" s="11">
        <f t="shared" si="5"/>
        <v>1.1874865466025686</v>
      </c>
      <c r="N1318" s="11">
        <v>0.91238670694863999</v>
      </c>
      <c r="O1318" s="11">
        <v>0.303828802568679</v>
      </c>
      <c r="P1318" s="11">
        <v>0.13597972972972999</v>
      </c>
      <c r="Q1318" s="11">
        <v>0.225806451612903</v>
      </c>
      <c r="R1318" s="11">
        <v>0.15909090909090901</v>
      </c>
      <c r="S1318" s="10" t="s">
        <v>84</v>
      </c>
      <c r="T1318" s="10" t="s">
        <v>84</v>
      </c>
      <c r="U1318" s="10"/>
      <c r="V1318" s="10"/>
      <c r="W1318" s="10"/>
      <c r="X1318" s="10"/>
      <c r="Y1318" s="10"/>
      <c r="Z1318" s="10"/>
      <c r="AA1318" s="10"/>
    </row>
    <row r="1319" spans="1:27" ht="12.5" hidden="1" x14ac:dyDescent="0.25">
      <c r="A1319" s="10" t="s">
        <v>34</v>
      </c>
      <c r="B1319" s="10" t="s">
        <v>1705</v>
      </c>
      <c r="C1319" s="10" t="s">
        <v>191</v>
      </c>
      <c r="D1319" s="11">
        <v>2024</v>
      </c>
      <c r="E1319" s="10" t="s">
        <v>124</v>
      </c>
      <c r="F1319" s="10" t="s">
        <v>125</v>
      </c>
      <c r="G1319" s="10" t="s">
        <v>84</v>
      </c>
      <c r="H1319" s="12">
        <v>29307</v>
      </c>
      <c r="I1319" s="11">
        <v>348</v>
      </c>
      <c r="J1319" s="11">
        <v>320</v>
      </c>
      <c r="K1319" s="11">
        <v>10385</v>
      </c>
      <c r="L1319" s="11">
        <v>1.18743300074215E-2</v>
      </c>
      <c r="M1319" s="11">
        <f t="shared" si="5"/>
        <v>1.1874296243218345</v>
      </c>
      <c r="N1319" s="11">
        <v>0.91954022988505701</v>
      </c>
      <c r="O1319" s="11">
        <v>0.354353210135264</v>
      </c>
      <c r="P1319" s="11">
        <v>0.25612745098039202</v>
      </c>
      <c r="Q1319" s="11">
        <v>0.64285714285714302</v>
      </c>
      <c r="R1319" s="11">
        <v>0.232558139534884</v>
      </c>
      <c r="S1319" s="10" t="s">
        <v>84</v>
      </c>
      <c r="T1319" s="10" t="s">
        <v>84</v>
      </c>
      <c r="U1319" s="10"/>
      <c r="V1319" s="10"/>
      <c r="W1319" s="10"/>
      <c r="X1319" s="10"/>
      <c r="Y1319" s="10"/>
      <c r="Z1319" s="10"/>
      <c r="AA1319" s="10"/>
    </row>
    <row r="1320" spans="1:27" ht="12.5" hidden="1" x14ac:dyDescent="0.25">
      <c r="A1320" s="10" t="s">
        <v>29</v>
      </c>
      <c r="B1320" s="10" t="s">
        <v>1706</v>
      </c>
      <c r="C1320" s="10" t="s">
        <v>191</v>
      </c>
      <c r="D1320" s="11">
        <v>2024</v>
      </c>
      <c r="E1320" s="10" t="s">
        <v>124</v>
      </c>
      <c r="F1320" s="10" t="s">
        <v>125</v>
      </c>
      <c r="G1320" s="10" t="s">
        <v>84</v>
      </c>
      <c r="H1320" s="12">
        <v>5226</v>
      </c>
      <c r="I1320" s="11">
        <v>62</v>
      </c>
      <c r="J1320" s="11">
        <v>62</v>
      </c>
      <c r="K1320" s="11">
        <v>0</v>
      </c>
      <c r="L1320" s="11">
        <v>1.1864136501355401E-2</v>
      </c>
      <c r="M1320" s="11">
        <f t="shared" si="5"/>
        <v>1.1863758132414848</v>
      </c>
      <c r="N1320" s="11">
        <v>1</v>
      </c>
      <c r="O1320" s="11">
        <v>0</v>
      </c>
      <c r="P1320" s="11">
        <v>0.25490196078431399</v>
      </c>
      <c r="Q1320" s="11">
        <v>0.169014084507042</v>
      </c>
      <c r="R1320" s="11">
        <v>0.23062015503875999</v>
      </c>
      <c r="S1320" s="10" t="s">
        <v>84</v>
      </c>
      <c r="T1320" s="10" t="s">
        <v>84</v>
      </c>
      <c r="U1320" s="10"/>
      <c r="V1320" s="10"/>
      <c r="W1320" s="10"/>
      <c r="X1320" s="10"/>
      <c r="Y1320" s="10"/>
      <c r="Z1320" s="10"/>
      <c r="AA1320" s="10"/>
    </row>
    <row r="1321" spans="1:27" ht="12.5" hidden="1" x14ac:dyDescent="0.25">
      <c r="A1321" s="10" t="s">
        <v>12</v>
      </c>
      <c r="B1321" s="10" t="s">
        <v>1707</v>
      </c>
      <c r="C1321" s="10" t="s">
        <v>191</v>
      </c>
      <c r="D1321" s="11">
        <v>2024</v>
      </c>
      <c r="E1321" s="10" t="s">
        <v>124</v>
      </c>
      <c r="F1321" s="10" t="s">
        <v>125</v>
      </c>
      <c r="G1321" s="10" t="s">
        <v>84</v>
      </c>
      <c r="H1321" s="12">
        <v>1434</v>
      </c>
      <c r="I1321" s="11">
        <v>17</v>
      </c>
      <c r="J1321" s="11">
        <v>5</v>
      </c>
      <c r="K1321" s="11">
        <v>169</v>
      </c>
      <c r="L1321" s="11">
        <v>1.1856329187492701E-2</v>
      </c>
      <c r="M1321" s="11">
        <f t="shared" si="5"/>
        <v>1.1854951185495117</v>
      </c>
      <c r="N1321" s="11">
        <v>0.29411764705882398</v>
      </c>
      <c r="O1321" s="11">
        <v>0.11786586074625099</v>
      </c>
      <c r="P1321" s="11">
        <v>0.253676470588235</v>
      </c>
      <c r="Q1321" s="11">
        <v>0.19047619047618999</v>
      </c>
      <c r="R1321" s="11">
        <v>0.22868217054263601</v>
      </c>
      <c r="S1321" s="10" t="s">
        <v>84</v>
      </c>
      <c r="T1321" s="10" t="s">
        <v>84</v>
      </c>
      <c r="U1321" s="10"/>
      <c r="V1321" s="10"/>
      <c r="W1321" s="10"/>
      <c r="X1321" s="10"/>
      <c r="Y1321" s="10"/>
      <c r="Z1321" s="10"/>
      <c r="AA1321" s="10"/>
    </row>
    <row r="1322" spans="1:27" ht="12.5" hidden="1" x14ac:dyDescent="0.25">
      <c r="A1322" s="10" t="s">
        <v>52</v>
      </c>
      <c r="B1322" s="10" t="s">
        <v>1708</v>
      </c>
      <c r="C1322" s="10" t="s">
        <v>191</v>
      </c>
      <c r="D1322" s="11">
        <v>2024</v>
      </c>
      <c r="E1322" s="10" t="s">
        <v>124</v>
      </c>
      <c r="F1322" s="10" t="s">
        <v>125</v>
      </c>
      <c r="G1322" s="10" t="s">
        <v>84</v>
      </c>
      <c r="H1322" s="12">
        <v>1101</v>
      </c>
      <c r="I1322" s="11">
        <v>13</v>
      </c>
      <c r="J1322" s="11">
        <v>13</v>
      </c>
      <c r="K1322" s="11">
        <v>230</v>
      </c>
      <c r="L1322" s="11">
        <v>1.1811023622047201E-2</v>
      </c>
      <c r="M1322" s="11">
        <f t="shared" si="5"/>
        <v>1.1807447774750226</v>
      </c>
      <c r="N1322" s="11">
        <v>1</v>
      </c>
      <c r="O1322" s="11">
        <v>0.20896426408237401</v>
      </c>
      <c r="P1322" s="11">
        <v>0.25245098039215702</v>
      </c>
      <c r="Q1322" s="11">
        <v>0.35714285714285698</v>
      </c>
      <c r="R1322" s="11">
        <v>0.226744186046512</v>
      </c>
      <c r="S1322" s="10" t="s">
        <v>84</v>
      </c>
      <c r="T1322" s="10" t="s">
        <v>84</v>
      </c>
      <c r="U1322" s="10"/>
      <c r="V1322" s="10"/>
      <c r="W1322" s="10"/>
      <c r="X1322" s="10"/>
      <c r="Y1322" s="10"/>
      <c r="Z1322" s="10"/>
      <c r="AA1322" s="10"/>
    </row>
    <row r="1323" spans="1:27" ht="12.5" x14ac:dyDescent="0.25">
      <c r="A1323" s="10" t="s">
        <v>103</v>
      </c>
      <c r="B1323" s="10" t="s">
        <v>1230</v>
      </c>
      <c r="C1323" s="10" t="s">
        <v>76</v>
      </c>
      <c r="D1323" s="11">
        <v>2024</v>
      </c>
      <c r="E1323" s="10" t="s">
        <v>124</v>
      </c>
      <c r="F1323" s="10" t="s">
        <v>125</v>
      </c>
      <c r="G1323" s="10" t="s">
        <v>84</v>
      </c>
      <c r="H1323" s="11">
        <v>593</v>
      </c>
      <c r="I1323" s="11">
        <v>7</v>
      </c>
      <c r="J1323" s="11">
        <v>5</v>
      </c>
      <c r="K1323" s="11">
        <v>328</v>
      </c>
      <c r="L1323" s="11">
        <v>1.18027258676409E-2</v>
      </c>
      <c r="M1323" s="11">
        <f t="shared" si="5"/>
        <v>1.1804384485666104</v>
      </c>
      <c r="N1323" s="11">
        <v>0.71428571428571397</v>
      </c>
      <c r="O1323" s="11">
        <v>0.55304201208374304</v>
      </c>
      <c r="P1323" s="11">
        <v>0.135135135135135</v>
      </c>
      <c r="Q1323" s="11">
        <v>8.6956521739130405E-2</v>
      </c>
      <c r="R1323" s="11">
        <v>0.10290827740492201</v>
      </c>
      <c r="S1323" s="10" t="s">
        <v>84</v>
      </c>
      <c r="T1323" s="10" t="s">
        <v>84</v>
      </c>
      <c r="U1323" s="10"/>
      <c r="V1323" s="10"/>
      <c r="W1323" s="10"/>
      <c r="X1323" s="10"/>
      <c r="Y1323" s="10"/>
      <c r="Z1323" s="10"/>
      <c r="AA1323" s="10"/>
    </row>
    <row r="1324" spans="1:27" ht="12.5" x14ac:dyDescent="0.25">
      <c r="A1324" s="10" t="s">
        <v>12</v>
      </c>
      <c r="B1324" s="10" t="s">
        <v>1198</v>
      </c>
      <c r="C1324" s="10" t="s">
        <v>76</v>
      </c>
      <c r="D1324" s="11">
        <v>2024</v>
      </c>
      <c r="E1324" s="10" t="s">
        <v>81</v>
      </c>
      <c r="F1324" s="10" t="s">
        <v>83</v>
      </c>
      <c r="G1324" s="10" t="s">
        <v>84</v>
      </c>
      <c r="H1324" s="11">
        <v>55057</v>
      </c>
      <c r="I1324" s="11">
        <v>640</v>
      </c>
      <c r="J1324" s="11">
        <v>144</v>
      </c>
      <c r="K1324" s="11">
        <v>138146</v>
      </c>
      <c r="L1324" s="11">
        <v>1.1624299022983699E-2</v>
      </c>
      <c r="M1324" s="11">
        <f t="shared" si="5"/>
        <v>1.1624316617323864</v>
      </c>
      <c r="N1324" s="11">
        <v>0.22500000000000001</v>
      </c>
      <c r="O1324" s="11">
        <v>2.5091412700454798</v>
      </c>
      <c r="P1324" s="11">
        <v>0.133445945945946</v>
      </c>
      <c r="Q1324" s="11">
        <v>9.7222222222222196E-2</v>
      </c>
      <c r="R1324" s="11">
        <v>0.16472868217054301</v>
      </c>
      <c r="S1324" s="10" t="s">
        <v>84</v>
      </c>
      <c r="T1324" s="10" t="s">
        <v>84</v>
      </c>
      <c r="U1324" s="10"/>
      <c r="V1324" s="10"/>
      <c r="W1324" s="10"/>
      <c r="X1324" s="10"/>
      <c r="Y1324" s="10"/>
      <c r="Z1324" s="10"/>
      <c r="AA1324" s="10"/>
    </row>
    <row r="1325" spans="1:27" ht="12.5" hidden="1" x14ac:dyDescent="0.25">
      <c r="A1325" s="10" t="s">
        <v>86</v>
      </c>
      <c r="B1325" s="10" t="s">
        <v>1488</v>
      </c>
      <c r="C1325" s="10" t="s">
        <v>191</v>
      </c>
      <c r="D1325" s="11">
        <v>2024</v>
      </c>
      <c r="E1325" s="10" t="s">
        <v>124</v>
      </c>
      <c r="F1325" s="10" t="s">
        <v>125</v>
      </c>
      <c r="G1325" s="10" t="s">
        <v>84</v>
      </c>
      <c r="H1325" s="12">
        <v>519.5</v>
      </c>
      <c r="I1325" s="11">
        <v>6</v>
      </c>
      <c r="J1325" s="11">
        <v>0</v>
      </c>
      <c r="K1325" s="11">
        <v>0</v>
      </c>
      <c r="L1325" s="11">
        <v>1.15495668912416E-2</v>
      </c>
      <c r="M1325" s="11">
        <f t="shared" si="5"/>
        <v>1.1549566891241578</v>
      </c>
      <c r="N1325" s="11">
        <v>0</v>
      </c>
      <c r="O1325" s="11">
        <v>0</v>
      </c>
      <c r="P1325" s="11">
        <v>0.246323529411765</v>
      </c>
      <c r="Q1325" s="11">
        <v>0.125</v>
      </c>
      <c r="R1325" s="11">
        <v>0.224806201550388</v>
      </c>
      <c r="S1325" s="10" t="s">
        <v>84</v>
      </c>
      <c r="T1325" s="10" t="s">
        <v>84</v>
      </c>
      <c r="U1325" s="10"/>
      <c r="V1325" s="10"/>
      <c r="W1325" s="10"/>
      <c r="X1325" s="10"/>
      <c r="Y1325" s="10"/>
      <c r="Z1325" s="10"/>
      <c r="AA1325" s="10"/>
    </row>
    <row r="1326" spans="1:27" ht="12.5" hidden="1" x14ac:dyDescent="0.25">
      <c r="A1326" s="10" t="s">
        <v>10</v>
      </c>
      <c r="B1326" s="10" t="s">
        <v>1709</v>
      </c>
      <c r="C1326" s="10" t="s">
        <v>191</v>
      </c>
      <c r="D1326" s="11">
        <v>2024</v>
      </c>
      <c r="E1326" s="10" t="s">
        <v>124</v>
      </c>
      <c r="F1326" s="10" t="s">
        <v>125</v>
      </c>
      <c r="G1326" s="10" t="s">
        <v>84</v>
      </c>
      <c r="H1326" s="12">
        <v>607.08333333333303</v>
      </c>
      <c r="I1326" s="11">
        <v>7</v>
      </c>
      <c r="J1326" s="11">
        <v>5</v>
      </c>
      <c r="K1326" s="11">
        <v>49</v>
      </c>
      <c r="L1326" s="11">
        <v>1.1530542210020599E-2</v>
      </c>
      <c r="M1326" s="11">
        <f t="shared" si="5"/>
        <v>1.1530542210020596</v>
      </c>
      <c r="N1326" s="11">
        <v>0.71428571428571397</v>
      </c>
      <c r="O1326" s="11">
        <v>8.0713795470144095E-2</v>
      </c>
      <c r="P1326" s="11">
        <v>0.24509803921568599</v>
      </c>
      <c r="Q1326" s="11">
        <v>0.17241379310344801</v>
      </c>
      <c r="R1326" s="11">
        <v>0.22286821705426399</v>
      </c>
      <c r="S1326" s="10" t="s">
        <v>84</v>
      </c>
      <c r="T1326" s="10" t="s">
        <v>84</v>
      </c>
      <c r="U1326" s="10"/>
      <c r="V1326" s="10"/>
      <c r="W1326" s="10"/>
      <c r="X1326" s="10"/>
      <c r="Y1326" s="10"/>
      <c r="Z1326" s="10"/>
      <c r="AA1326" s="10"/>
    </row>
    <row r="1327" spans="1:27" ht="12.5" x14ac:dyDescent="0.25">
      <c r="A1327" s="10" t="s">
        <v>110</v>
      </c>
      <c r="B1327" s="10" t="s">
        <v>1580</v>
      </c>
      <c r="C1327" s="10" t="s">
        <v>76</v>
      </c>
      <c r="D1327" s="11">
        <v>2024</v>
      </c>
      <c r="E1327" s="10" t="s">
        <v>257</v>
      </c>
      <c r="F1327" s="10" t="s">
        <v>83</v>
      </c>
      <c r="G1327" s="10" t="s">
        <v>84</v>
      </c>
      <c r="H1327" s="11">
        <v>217653</v>
      </c>
      <c r="I1327" s="11">
        <v>2501</v>
      </c>
      <c r="J1327" s="11">
        <v>2262</v>
      </c>
      <c r="K1327" s="11">
        <v>44443</v>
      </c>
      <c r="L1327" s="11">
        <v>1.14907454167386E-2</v>
      </c>
      <c r="M1327" s="11">
        <f t="shared" si="5"/>
        <v>1.1490767414186802</v>
      </c>
      <c r="N1327" s="11">
        <v>0.90443822471011603</v>
      </c>
      <c r="O1327" s="11">
        <v>0.204191602781333</v>
      </c>
      <c r="P1327" s="11">
        <v>0.13260135135135101</v>
      </c>
      <c r="Q1327" s="11">
        <v>0.24242424242424199</v>
      </c>
      <c r="R1327" s="11">
        <v>0.13636363636363599</v>
      </c>
      <c r="S1327" s="10" t="s">
        <v>84</v>
      </c>
      <c r="T1327" s="10" t="s">
        <v>84</v>
      </c>
      <c r="U1327" s="10"/>
      <c r="V1327" s="10"/>
      <c r="W1327" s="10"/>
      <c r="X1327" s="10"/>
      <c r="Y1327" s="10"/>
      <c r="Z1327" s="10"/>
      <c r="AA1327" s="10"/>
    </row>
    <row r="1328" spans="1:27" ht="12.5" x14ac:dyDescent="0.25">
      <c r="A1328" s="10" t="s">
        <v>49</v>
      </c>
      <c r="B1328" s="10" t="s">
        <v>1201</v>
      </c>
      <c r="C1328" s="10" t="s">
        <v>76</v>
      </c>
      <c r="D1328" s="11">
        <v>2024</v>
      </c>
      <c r="E1328" s="10" t="s">
        <v>81</v>
      </c>
      <c r="F1328" s="10" t="s">
        <v>83</v>
      </c>
      <c r="G1328" s="10" t="s">
        <v>84</v>
      </c>
      <c r="H1328" s="11">
        <v>35260</v>
      </c>
      <c r="I1328" s="11">
        <v>402</v>
      </c>
      <c r="J1328" s="11">
        <v>330</v>
      </c>
      <c r="K1328" s="11">
        <v>6561</v>
      </c>
      <c r="L1328" s="11">
        <v>1.1401047932142E-2</v>
      </c>
      <c r="M1328" s="11">
        <f t="shared" si="5"/>
        <v>1.1401020986954056</v>
      </c>
      <c r="N1328" s="11">
        <v>0.82089552238805996</v>
      </c>
      <c r="O1328" s="11">
        <v>0.18607531214622799</v>
      </c>
      <c r="P1328" s="11">
        <v>0.13175675675675699</v>
      </c>
      <c r="Q1328" s="11">
        <v>0.15384615384615399</v>
      </c>
      <c r="R1328" s="11">
        <v>0.162790697674419</v>
      </c>
      <c r="S1328" s="10" t="s">
        <v>84</v>
      </c>
      <c r="T1328" s="10" t="s">
        <v>84</v>
      </c>
      <c r="U1328" s="10"/>
      <c r="V1328" s="10"/>
      <c r="W1328" s="10"/>
      <c r="X1328" s="10"/>
      <c r="Y1328" s="10"/>
      <c r="Z1328" s="10"/>
      <c r="AA1328" s="10"/>
    </row>
    <row r="1329" spans="1:27" ht="12.5" hidden="1" x14ac:dyDescent="0.25">
      <c r="A1329" s="10" t="s">
        <v>12</v>
      </c>
      <c r="B1329" s="10" t="s">
        <v>1710</v>
      </c>
      <c r="C1329" s="10" t="s">
        <v>191</v>
      </c>
      <c r="D1329" s="11">
        <v>2024</v>
      </c>
      <c r="E1329" s="10" t="s">
        <v>124</v>
      </c>
      <c r="F1329" s="10" t="s">
        <v>125</v>
      </c>
      <c r="G1329" s="10" t="s">
        <v>84</v>
      </c>
      <c r="H1329" s="12">
        <v>263.5</v>
      </c>
      <c r="I1329" s="11">
        <v>3</v>
      </c>
      <c r="J1329" s="11">
        <v>0</v>
      </c>
      <c r="K1329" s="11">
        <v>15</v>
      </c>
      <c r="L1329" s="11">
        <v>1.13851992409867E-2</v>
      </c>
      <c r="M1329" s="11">
        <f t="shared" si="5"/>
        <v>1.1385199240986716</v>
      </c>
      <c r="N1329" s="11">
        <v>0</v>
      </c>
      <c r="O1329" s="11">
        <v>5.6925996204933597E-2</v>
      </c>
      <c r="P1329" s="11">
        <v>0.243872549019608</v>
      </c>
      <c r="Q1329" s="11">
        <v>0.17460317460317501</v>
      </c>
      <c r="R1329" s="11">
        <v>0.22093023255814001</v>
      </c>
      <c r="S1329" s="10" t="s">
        <v>84</v>
      </c>
      <c r="T1329" s="10" t="s">
        <v>84</v>
      </c>
      <c r="U1329" s="10"/>
      <c r="V1329" s="10"/>
      <c r="W1329" s="10"/>
      <c r="X1329" s="10"/>
      <c r="Y1329" s="10"/>
      <c r="Z1329" s="10"/>
      <c r="AA1329" s="10"/>
    </row>
    <row r="1330" spans="1:27" ht="12.5" x14ac:dyDescent="0.25">
      <c r="A1330" s="10" t="s">
        <v>53</v>
      </c>
      <c r="B1330" s="10" t="s">
        <v>1232</v>
      </c>
      <c r="C1330" s="10" t="s">
        <v>76</v>
      </c>
      <c r="D1330" s="11">
        <v>2024</v>
      </c>
      <c r="E1330" s="10" t="s">
        <v>124</v>
      </c>
      <c r="F1330" s="10" t="s">
        <v>83</v>
      </c>
      <c r="G1330" s="10" t="s">
        <v>84</v>
      </c>
      <c r="H1330" s="11">
        <v>2737</v>
      </c>
      <c r="I1330" s="11">
        <v>31</v>
      </c>
      <c r="J1330" s="11">
        <v>33</v>
      </c>
      <c r="K1330" s="11">
        <v>2334</v>
      </c>
      <c r="L1330" s="11">
        <v>1.13266144992845E-2</v>
      </c>
      <c r="M1330" s="11">
        <f t="shared" si="5"/>
        <v>1.1326269638290098</v>
      </c>
      <c r="N1330" s="11">
        <v>1.06451612903226</v>
      </c>
      <c r="O1330" s="11">
        <v>0.85278445939774095</v>
      </c>
      <c r="P1330" s="11">
        <v>0.130912162162162</v>
      </c>
      <c r="Q1330" s="11">
        <v>0.57499999999999996</v>
      </c>
      <c r="R1330" s="11">
        <v>0.100671140939597</v>
      </c>
      <c r="S1330" s="10" t="s">
        <v>84</v>
      </c>
      <c r="T1330" s="10" t="s">
        <v>84</v>
      </c>
      <c r="U1330" s="10"/>
      <c r="V1330" s="10"/>
      <c r="W1330" s="10"/>
      <c r="X1330" s="10"/>
      <c r="Y1330" s="10"/>
      <c r="Z1330" s="10"/>
      <c r="AA1330" s="10"/>
    </row>
    <row r="1331" spans="1:27" ht="12.5" x14ac:dyDescent="0.25">
      <c r="A1331" s="10" t="s">
        <v>82</v>
      </c>
      <c r="B1331" s="10" t="s">
        <v>1235</v>
      </c>
      <c r="C1331" s="10" t="s">
        <v>76</v>
      </c>
      <c r="D1331" s="11">
        <v>2024</v>
      </c>
      <c r="E1331" s="10" t="s">
        <v>124</v>
      </c>
      <c r="F1331" s="10" t="s">
        <v>83</v>
      </c>
      <c r="G1331" s="10" t="s">
        <v>84</v>
      </c>
      <c r="H1331" s="11">
        <v>4977</v>
      </c>
      <c r="I1331" s="11">
        <v>56</v>
      </c>
      <c r="J1331" s="11">
        <v>56</v>
      </c>
      <c r="K1331" s="11">
        <v>961</v>
      </c>
      <c r="L1331" s="11">
        <v>1.1251946486278299E-2</v>
      </c>
      <c r="M1331" s="11">
        <f t="shared" si="5"/>
        <v>1.1251758087201125</v>
      </c>
      <c r="N1331" s="11">
        <v>1</v>
      </c>
      <c r="O1331" s="11">
        <v>0.19309143880916901</v>
      </c>
      <c r="P1331" s="11">
        <v>0.13006756756756799</v>
      </c>
      <c r="Q1331" s="11">
        <v>0.27586206896551702</v>
      </c>
      <c r="R1331" s="11">
        <v>9.8434004474272904E-2</v>
      </c>
      <c r="S1331" s="10" t="s">
        <v>84</v>
      </c>
      <c r="T1331" s="10" t="s">
        <v>84</v>
      </c>
      <c r="U1331" s="10"/>
      <c r="V1331" s="10"/>
      <c r="W1331" s="10"/>
      <c r="X1331" s="10"/>
      <c r="Y1331" s="10"/>
      <c r="Z1331" s="10"/>
      <c r="AA1331" s="10"/>
    </row>
    <row r="1332" spans="1:27" ht="12.5" hidden="1" x14ac:dyDescent="0.25">
      <c r="A1332" s="10" t="s">
        <v>55</v>
      </c>
      <c r="B1332" s="10" t="s">
        <v>792</v>
      </c>
      <c r="C1332" s="10" t="s">
        <v>191</v>
      </c>
      <c r="D1332" s="11">
        <v>2024</v>
      </c>
      <c r="E1332" s="10" t="s">
        <v>81</v>
      </c>
      <c r="F1332" s="10" t="s">
        <v>83</v>
      </c>
      <c r="G1332" s="10" t="s">
        <v>84</v>
      </c>
      <c r="H1332" s="12">
        <v>33081</v>
      </c>
      <c r="I1332" s="11">
        <v>372</v>
      </c>
      <c r="J1332" s="11">
        <v>146</v>
      </c>
      <c r="K1332" s="11">
        <v>3859</v>
      </c>
      <c r="L1332" s="11">
        <v>1.1245012292934601E-2</v>
      </c>
      <c r="M1332" s="11">
        <f t="shared" si="5"/>
        <v>1.124512560079804</v>
      </c>
      <c r="N1332" s="11">
        <v>0.39247311827956999</v>
      </c>
      <c r="O1332" s="11">
        <v>0.11665188827536201</v>
      </c>
      <c r="P1332" s="11">
        <v>0.240196078431373</v>
      </c>
      <c r="Q1332" s="11">
        <v>0.18518518518518501</v>
      </c>
      <c r="R1332" s="11">
        <v>0.375</v>
      </c>
      <c r="S1332" s="10" t="s">
        <v>84</v>
      </c>
      <c r="T1332" s="10" t="s">
        <v>84</v>
      </c>
      <c r="U1332" s="10"/>
      <c r="V1332" s="10"/>
      <c r="W1332" s="10"/>
      <c r="X1332" s="10"/>
      <c r="Y1332" s="10"/>
      <c r="Z1332" s="10"/>
      <c r="AA1332" s="10"/>
    </row>
    <row r="1333" spans="1:27" ht="12.5" x14ac:dyDescent="0.25">
      <c r="A1333" s="10" t="s">
        <v>110</v>
      </c>
      <c r="B1333" s="10" t="s">
        <v>1237</v>
      </c>
      <c r="C1333" s="10" t="s">
        <v>76</v>
      </c>
      <c r="D1333" s="11">
        <v>2024</v>
      </c>
      <c r="E1333" s="10" t="s">
        <v>124</v>
      </c>
      <c r="F1333" s="10" t="s">
        <v>83</v>
      </c>
      <c r="G1333" s="10" t="s">
        <v>84</v>
      </c>
      <c r="H1333" s="11">
        <v>11048</v>
      </c>
      <c r="I1333" s="11">
        <v>124</v>
      </c>
      <c r="J1333" s="11">
        <v>62</v>
      </c>
      <c r="K1333" s="11">
        <v>20633</v>
      </c>
      <c r="L1333" s="11">
        <v>1.12241742160804E-2</v>
      </c>
      <c r="M1333" s="11">
        <f t="shared" si="5"/>
        <v>1.1223750905141203</v>
      </c>
      <c r="N1333" s="11">
        <v>0.5</v>
      </c>
      <c r="O1333" s="11">
        <v>1.8676482790353801</v>
      </c>
      <c r="P1333" s="11">
        <v>0.129222972972973</v>
      </c>
      <c r="Q1333" s="11">
        <v>0.21212121212121199</v>
      </c>
      <c r="R1333" s="11">
        <v>9.61968680089485E-2</v>
      </c>
      <c r="S1333" s="10" t="s">
        <v>84</v>
      </c>
      <c r="T1333" s="10" t="s">
        <v>84</v>
      </c>
      <c r="U1333" s="10"/>
      <c r="V1333" s="10"/>
      <c r="W1333" s="10"/>
      <c r="X1333" s="10"/>
      <c r="Y1333" s="10"/>
      <c r="Z1333" s="10"/>
      <c r="AA1333" s="10"/>
    </row>
    <row r="1334" spans="1:27" ht="12.5" hidden="1" x14ac:dyDescent="0.25">
      <c r="A1334" s="10" t="s">
        <v>77</v>
      </c>
      <c r="B1334" s="10" t="s">
        <v>1711</v>
      </c>
      <c r="C1334" s="10" t="s">
        <v>191</v>
      </c>
      <c r="D1334" s="11">
        <v>2024</v>
      </c>
      <c r="E1334" s="10" t="s">
        <v>124</v>
      </c>
      <c r="F1334" s="10" t="s">
        <v>125</v>
      </c>
      <c r="G1334" s="10" t="s">
        <v>84</v>
      </c>
      <c r="H1334" s="12">
        <v>356.58333333333297</v>
      </c>
      <c r="I1334" s="11">
        <v>4</v>
      </c>
      <c r="J1334" s="11">
        <v>1</v>
      </c>
      <c r="K1334" s="11">
        <v>116</v>
      </c>
      <c r="L1334" s="11">
        <v>1.12175741995793E-2</v>
      </c>
      <c r="M1334" s="11">
        <f t="shared" si="5"/>
        <v>1.1217574199579352</v>
      </c>
      <c r="N1334" s="11">
        <v>0.25</v>
      </c>
      <c r="O1334" s="11">
        <v>0.32530965178780102</v>
      </c>
      <c r="P1334" s="11">
        <v>0.23897058823529399</v>
      </c>
      <c r="Q1334" s="11">
        <v>0.26086956521739102</v>
      </c>
      <c r="R1334" s="11">
        <v>0.218992248062016</v>
      </c>
      <c r="S1334" s="10" t="s">
        <v>84</v>
      </c>
      <c r="T1334" s="10" t="s">
        <v>84</v>
      </c>
      <c r="U1334" s="10"/>
      <c r="V1334" s="10"/>
      <c r="W1334" s="10"/>
      <c r="X1334" s="10"/>
      <c r="Y1334" s="10"/>
      <c r="Z1334" s="10"/>
      <c r="AA1334" s="10"/>
    </row>
    <row r="1335" spans="1:27" ht="12.5" x14ac:dyDescent="0.25">
      <c r="A1335" s="10" t="s">
        <v>34</v>
      </c>
      <c r="B1335" s="10" t="s">
        <v>1203</v>
      </c>
      <c r="C1335" s="10" t="s">
        <v>76</v>
      </c>
      <c r="D1335" s="11">
        <v>2024</v>
      </c>
      <c r="E1335" s="10" t="s">
        <v>81</v>
      </c>
      <c r="F1335" s="10" t="s">
        <v>83</v>
      </c>
      <c r="G1335" s="10" t="s">
        <v>84</v>
      </c>
      <c r="H1335" s="11">
        <v>4293</v>
      </c>
      <c r="I1335" s="11">
        <v>48</v>
      </c>
      <c r="J1335" s="11">
        <v>40</v>
      </c>
      <c r="K1335" s="11">
        <v>1119</v>
      </c>
      <c r="L1335" s="11">
        <v>1.1181643468639001E-2</v>
      </c>
      <c r="M1335" s="11">
        <f t="shared" si="5"/>
        <v>1.1180992313067784</v>
      </c>
      <c r="N1335" s="11">
        <v>0.83333333333333304</v>
      </c>
      <c r="O1335" s="11">
        <v>0.26067206336264598</v>
      </c>
      <c r="P1335" s="11">
        <v>0.12837837837837801</v>
      </c>
      <c r="Q1335" s="11">
        <v>0.26530612244898</v>
      </c>
      <c r="R1335" s="11">
        <v>0.160852713178295</v>
      </c>
      <c r="S1335" s="10" t="s">
        <v>84</v>
      </c>
      <c r="T1335" s="10" t="s">
        <v>84</v>
      </c>
      <c r="U1335" s="10"/>
      <c r="V1335" s="10"/>
      <c r="W1335" s="10"/>
      <c r="X1335" s="10"/>
      <c r="Y1335" s="10"/>
      <c r="Z1335" s="10"/>
      <c r="AA1335" s="10"/>
    </row>
    <row r="1336" spans="1:27" ht="12.5" hidden="1" x14ac:dyDescent="0.25">
      <c r="A1336" s="10" t="s">
        <v>32</v>
      </c>
      <c r="B1336" s="10" t="s">
        <v>1712</v>
      </c>
      <c r="C1336" s="10" t="s">
        <v>191</v>
      </c>
      <c r="D1336" s="11">
        <v>2024</v>
      </c>
      <c r="E1336" s="10" t="s">
        <v>124</v>
      </c>
      <c r="F1336" s="10" t="s">
        <v>125</v>
      </c>
      <c r="G1336" s="10" t="s">
        <v>84</v>
      </c>
      <c r="H1336" s="12">
        <v>1792</v>
      </c>
      <c r="I1336" s="11">
        <v>20</v>
      </c>
      <c r="J1336" s="11">
        <v>8</v>
      </c>
      <c r="K1336" s="11">
        <v>12</v>
      </c>
      <c r="L1336" s="11">
        <v>1.11596763693853E-2</v>
      </c>
      <c r="M1336" s="11">
        <f t="shared" si="5"/>
        <v>1.1160714285714286</v>
      </c>
      <c r="N1336" s="11">
        <v>0.4</v>
      </c>
      <c r="O1336" s="11">
        <v>6.6958058216311702E-3</v>
      </c>
      <c r="P1336" s="11">
        <v>0.236519607843137</v>
      </c>
      <c r="Q1336" s="11">
        <v>0.214285714285714</v>
      </c>
      <c r="R1336" s="11">
        <v>0.217054263565891</v>
      </c>
      <c r="S1336" s="10" t="s">
        <v>84</v>
      </c>
      <c r="T1336" s="10" t="s">
        <v>84</v>
      </c>
      <c r="U1336" s="10"/>
      <c r="V1336" s="10"/>
      <c r="W1336" s="10"/>
      <c r="X1336" s="10"/>
      <c r="Y1336" s="10"/>
      <c r="Z1336" s="10"/>
      <c r="AA1336" s="10"/>
    </row>
    <row r="1337" spans="1:27" ht="12.5" x14ac:dyDescent="0.25">
      <c r="A1337" s="10" t="s">
        <v>62</v>
      </c>
      <c r="B1337" s="10" t="s">
        <v>1238</v>
      </c>
      <c r="C1337" s="10" t="s">
        <v>76</v>
      </c>
      <c r="D1337" s="11">
        <v>2024</v>
      </c>
      <c r="E1337" s="10" t="s">
        <v>124</v>
      </c>
      <c r="F1337" s="10" t="s">
        <v>83</v>
      </c>
      <c r="G1337" s="10" t="s">
        <v>84</v>
      </c>
      <c r="H1337" s="11">
        <v>13813</v>
      </c>
      <c r="I1337" s="11">
        <v>153</v>
      </c>
      <c r="J1337" s="11">
        <v>38</v>
      </c>
      <c r="K1337" s="11">
        <v>14248</v>
      </c>
      <c r="L1337" s="11">
        <v>1.1076923076923101E-2</v>
      </c>
      <c r="M1337" s="11">
        <f t="shared" si="5"/>
        <v>1.107652211684645</v>
      </c>
      <c r="N1337" s="11">
        <v>0.24836601307189499</v>
      </c>
      <c r="O1337" s="11">
        <v>1.03152941176471</v>
      </c>
      <c r="P1337" s="11">
        <v>0.12753378378378399</v>
      </c>
      <c r="Q1337" s="11">
        <v>0.11111111111111099</v>
      </c>
      <c r="R1337" s="11">
        <v>9.3959731543624206E-2</v>
      </c>
      <c r="S1337" s="10" t="s">
        <v>84</v>
      </c>
      <c r="T1337" s="10" t="s">
        <v>84</v>
      </c>
      <c r="U1337" s="10"/>
      <c r="V1337" s="10"/>
      <c r="W1337" s="10"/>
      <c r="X1337" s="10"/>
      <c r="Y1337" s="10"/>
      <c r="Z1337" s="10"/>
      <c r="AA1337" s="10"/>
    </row>
    <row r="1338" spans="1:27" ht="12.5" hidden="1" x14ac:dyDescent="0.25">
      <c r="A1338" s="10" t="s">
        <v>49</v>
      </c>
      <c r="B1338" s="10" t="s">
        <v>1713</v>
      </c>
      <c r="C1338" s="10" t="s">
        <v>191</v>
      </c>
      <c r="D1338" s="11">
        <v>2024</v>
      </c>
      <c r="E1338" s="10" t="s">
        <v>81</v>
      </c>
      <c r="F1338" s="10" t="s">
        <v>125</v>
      </c>
      <c r="G1338" s="10" t="s">
        <v>84</v>
      </c>
      <c r="H1338" s="12">
        <v>13447</v>
      </c>
      <c r="I1338" s="11">
        <v>147</v>
      </c>
      <c r="J1338" s="11">
        <v>115</v>
      </c>
      <c r="K1338" s="11">
        <v>2078</v>
      </c>
      <c r="L1338" s="11">
        <v>1.0931670860032499E-2</v>
      </c>
      <c r="M1338" s="11">
        <f t="shared" si="5"/>
        <v>1.0931806350858928</v>
      </c>
      <c r="N1338" s="11">
        <v>0.78231292517006801</v>
      </c>
      <c r="O1338" s="11">
        <v>0.154530694198282</v>
      </c>
      <c r="P1338" s="11">
        <v>0.230392156862745</v>
      </c>
      <c r="Q1338" s="11">
        <v>0.28571428571428598</v>
      </c>
      <c r="R1338" s="11">
        <v>0.33333333333333298</v>
      </c>
      <c r="S1338" s="10" t="s">
        <v>84</v>
      </c>
      <c r="T1338" s="10" t="s">
        <v>84</v>
      </c>
      <c r="U1338" s="10"/>
      <c r="V1338" s="10"/>
      <c r="W1338" s="10"/>
      <c r="X1338" s="10"/>
      <c r="Y1338" s="10"/>
      <c r="Z1338" s="10"/>
      <c r="AA1338" s="10"/>
    </row>
    <row r="1339" spans="1:27" ht="12.5" x14ac:dyDescent="0.25">
      <c r="A1339" s="10" t="s">
        <v>80</v>
      </c>
      <c r="B1339" s="10" t="s">
        <v>1206</v>
      </c>
      <c r="C1339" s="10" t="s">
        <v>76</v>
      </c>
      <c r="D1339" s="11">
        <v>2024</v>
      </c>
      <c r="E1339" s="10" t="s">
        <v>81</v>
      </c>
      <c r="F1339" s="10" t="s">
        <v>83</v>
      </c>
      <c r="G1339" s="10" t="s">
        <v>84</v>
      </c>
      <c r="H1339" s="11">
        <v>7503</v>
      </c>
      <c r="I1339" s="11">
        <v>82</v>
      </c>
      <c r="J1339" s="11">
        <v>80</v>
      </c>
      <c r="K1339" s="11">
        <v>4883</v>
      </c>
      <c r="L1339" s="11">
        <v>1.09287189853173E-2</v>
      </c>
      <c r="M1339" s="11">
        <f t="shared" si="5"/>
        <v>1.0928961748633881</v>
      </c>
      <c r="N1339" s="11">
        <v>0.97560975609756095</v>
      </c>
      <c r="O1339" s="11">
        <v>0.65079188786956599</v>
      </c>
      <c r="P1339" s="11">
        <v>0.12584459459459499</v>
      </c>
      <c r="Q1339" s="11">
        <v>0.2</v>
      </c>
      <c r="R1339" s="11">
        <v>0.15891472868217099</v>
      </c>
      <c r="S1339" s="10" t="s">
        <v>84</v>
      </c>
      <c r="T1339" s="10" t="s">
        <v>84</v>
      </c>
      <c r="U1339" s="10"/>
      <c r="V1339" s="10"/>
      <c r="W1339" s="10"/>
      <c r="X1339" s="10"/>
      <c r="Y1339" s="10"/>
      <c r="Z1339" s="10"/>
      <c r="AA1339" s="10"/>
    </row>
    <row r="1340" spans="1:27" ht="12.5" hidden="1" x14ac:dyDescent="0.25">
      <c r="A1340" s="10" t="s">
        <v>29</v>
      </c>
      <c r="B1340" s="10" t="s">
        <v>1714</v>
      </c>
      <c r="C1340" s="10" t="s">
        <v>191</v>
      </c>
      <c r="D1340" s="11">
        <v>2024</v>
      </c>
      <c r="E1340" s="10" t="s">
        <v>124</v>
      </c>
      <c r="F1340" s="10" t="s">
        <v>125</v>
      </c>
      <c r="G1340" s="10" t="s">
        <v>84</v>
      </c>
      <c r="H1340" s="12">
        <v>10125</v>
      </c>
      <c r="I1340" s="11">
        <v>110</v>
      </c>
      <c r="J1340" s="11">
        <v>93</v>
      </c>
      <c r="K1340" s="11">
        <v>1798</v>
      </c>
      <c r="L1340" s="11">
        <v>1.0864286948863801E-2</v>
      </c>
      <c r="M1340" s="11">
        <f t="shared" si="5"/>
        <v>1.0864197530864197</v>
      </c>
      <c r="N1340" s="11">
        <v>0.84545454545454501</v>
      </c>
      <c r="O1340" s="11">
        <v>0.17758170849142799</v>
      </c>
      <c r="P1340" s="11">
        <v>0.22916666666666699</v>
      </c>
      <c r="Q1340" s="11">
        <v>0.140845070422535</v>
      </c>
      <c r="R1340" s="11">
        <v>0.21511627906976699</v>
      </c>
      <c r="S1340" s="10" t="s">
        <v>84</v>
      </c>
      <c r="T1340" s="10" t="s">
        <v>84</v>
      </c>
      <c r="U1340" s="10"/>
      <c r="V1340" s="10"/>
      <c r="W1340" s="10"/>
      <c r="X1340" s="10"/>
      <c r="Y1340" s="10"/>
      <c r="Z1340" s="10"/>
      <c r="AA1340" s="10"/>
    </row>
    <row r="1341" spans="1:27" ht="12.5" hidden="1" x14ac:dyDescent="0.25">
      <c r="A1341" s="10" t="s">
        <v>58</v>
      </c>
      <c r="B1341" s="10" t="s">
        <v>1715</v>
      </c>
      <c r="C1341" s="10" t="s">
        <v>191</v>
      </c>
      <c r="D1341" s="11">
        <v>2024</v>
      </c>
      <c r="E1341" s="10" t="s">
        <v>124</v>
      </c>
      <c r="F1341" s="10" t="s">
        <v>125</v>
      </c>
      <c r="G1341" s="10" t="s">
        <v>84</v>
      </c>
      <c r="H1341" s="12">
        <v>925.5</v>
      </c>
      <c r="I1341" s="11">
        <v>10</v>
      </c>
      <c r="J1341" s="11">
        <v>2</v>
      </c>
      <c r="K1341" s="11">
        <v>1149</v>
      </c>
      <c r="L1341" s="11">
        <v>1.08049702863317E-2</v>
      </c>
      <c r="M1341" s="11">
        <f t="shared" si="5"/>
        <v>1.0804970286331712</v>
      </c>
      <c r="N1341" s="11">
        <v>0.2</v>
      </c>
      <c r="O1341" s="11">
        <v>1.2414910858995101</v>
      </c>
      <c r="P1341" s="11">
        <v>0.22794117647058801</v>
      </c>
      <c r="Q1341" s="11">
        <v>0.113207547169811</v>
      </c>
      <c r="R1341" s="11">
        <v>0.21317829457364301</v>
      </c>
      <c r="S1341" s="10" t="s">
        <v>84</v>
      </c>
      <c r="T1341" s="10" t="s">
        <v>84</v>
      </c>
      <c r="U1341" s="10"/>
      <c r="V1341" s="10"/>
      <c r="W1341" s="10"/>
      <c r="X1341" s="10"/>
      <c r="Y1341" s="10"/>
      <c r="Z1341" s="10"/>
      <c r="AA1341" s="10"/>
    </row>
    <row r="1342" spans="1:27" ht="12.5" x14ac:dyDescent="0.25">
      <c r="A1342" s="10" t="s">
        <v>53</v>
      </c>
      <c r="B1342" s="10" t="s">
        <v>1208</v>
      </c>
      <c r="C1342" s="10" t="s">
        <v>76</v>
      </c>
      <c r="D1342" s="11">
        <v>2024</v>
      </c>
      <c r="E1342" s="10" t="s">
        <v>81</v>
      </c>
      <c r="F1342" s="10" t="s">
        <v>83</v>
      </c>
      <c r="G1342" s="10" t="s">
        <v>84</v>
      </c>
      <c r="H1342" s="11">
        <v>18909</v>
      </c>
      <c r="I1342" s="11">
        <v>200</v>
      </c>
      <c r="J1342" s="11">
        <v>159</v>
      </c>
      <c r="K1342" s="11">
        <v>2261</v>
      </c>
      <c r="L1342" s="11">
        <v>1.05770205414553E-2</v>
      </c>
      <c r="M1342" s="11">
        <f t="shared" si="5"/>
        <v>1.0576973927759268</v>
      </c>
      <c r="N1342" s="11">
        <v>0.79500000000000004</v>
      </c>
      <c r="O1342" s="11">
        <v>0.119573217221152</v>
      </c>
      <c r="P1342" s="11">
        <v>0.124155405405405</v>
      </c>
      <c r="Q1342" s="11">
        <v>0.55000000000000004</v>
      </c>
      <c r="R1342" s="11">
        <v>0.15697674418604701</v>
      </c>
      <c r="S1342" s="10" t="s">
        <v>84</v>
      </c>
      <c r="T1342" s="10" t="s">
        <v>84</v>
      </c>
      <c r="U1342" s="10"/>
      <c r="V1342" s="10"/>
      <c r="W1342" s="10"/>
      <c r="X1342" s="10"/>
      <c r="Y1342" s="10"/>
      <c r="Z1342" s="10"/>
      <c r="AA1342" s="10"/>
    </row>
    <row r="1343" spans="1:27" ht="12.5" hidden="1" x14ac:dyDescent="0.25">
      <c r="A1343" s="10" t="s">
        <v>12</v>
      </c>
      <c r="B1343" s="10" t="s">
        <v>1716</v>
      </c>
      <c r="C1343" s="10" t="s">
        <v>191</v>
      </c>
      <c r="D1343" s="11">
        <v>2024</v>
      </c>
      <c r="E1343" s="10" t="s">
        <v>81</v>
      </c>
      <c r="F1343" s="10" t="s">
        <v>125</v>
      </c>
      <c r="G1343" s="10" t="s">
        <v>84</v>
      </c>
      <c r="H1343" s="12">
        <v>853.25</v>
      </c>
      <c r="I1343" s="11">
        <v>9</v>
      </c>
      <c r="J1343" s="11">
        <v>6</v>
      </c>
      <c r="K1343" s="11">
        <v>898</v>
      </c>
      <c r="L1343" s="11">
        <v>1.0547905068854399E-2</v>
      </c>
      <c r="M1343" s="11">
        <f t="shared" si="5"/>
        <v>1.054790506885438</v>
      </c>
      <c r="N1343" s="11">
        <v>0.66666666666666696</v>
      </c>
      <c r="O1343" s="11">
        <v>1.05244652798125</v>
      </c>
      <c r="P1343" s="11">
        <v>0.22671568627451</v>
      </c>
      <c r="Q1343" s="11">
        <v>0.158730158730159</v>
      </c>
      <c r="R1343" s="11">
        <v>0.29166666666666702</v>
      </c>
      <c r="S1343" s="10" t="s">
        <v>84</v>
      </c>
      <c r="T1343" s="10" t="s">
        <v>84</v>
      </c>
      <c r="U1343" s="10"/>
      <c r="V1343" s="10"/>
      <c r="W1343" s="10"/>
      <c r="X1343" s="10"/>
      <c r="Y1343" s="10"/>
      <c r="Z1343" s="10"/>
      <c r="AA1343" s="10"/>
    </row>
    <row r="1344" spans="1:27" ht="12.5" x14ac:dyDescent="0.25">
      <c r="A1344" s="10" t="s">
        <v>96</v>
      </c>
      <c r="B1344" s="10" t="s">
        <v>1211</v>
      </c>
      <c r="C1344" s="10" t="s">
        <v>76</v>
      </c>
      <c r="D1344" s="11">
        <v>2024</v>
      </c>
      <c r="E1344" s="10" t="s">
        <v>81</v>
      </c>
      <c r="F1344" s="10" t="s">
        <v>83</v>
      </c>
      <c r="G1344" s="10" t="s">
        <v>84</v>
      </c>
      <c r="H1344" s="11">
        <v>18168</v>
      </c>
      <c r="I1344" s="11">
        <v>191</v>
      </c>
      <c r="J1344" s="11">
        <v>119</v>
      </c>
      <c r="K1344" s="11">
        <v>4351</v>
      </c>
      <c r="L1344" s="11">
        <v>1.05132309837577E-2</v>
      </c>
      <c r="M1344" s="11">
        <f t="shared" si="5"/>
        <v>1.0512989872302951</v>
      </c>
      <c r="N1344" s="11">
        <v>0.62303664921465995</v>
      </c>
      <c r="O1344" s="11">
        <v>0.23949250267188399</v>
      </c>
      <c r="P1344" s="11">
        <v>0.12331081081081099</v>
      </c>
      <c r="Q1344" s="11">
        <v>0.11764705882352899</v>
      </c>
      <c r="R1344" s="11">
        <v>0.15503875968992201</v>
      </c>
      <c r="S1344" s="10" t="s">
        <v>84</v>
      </c>
      <c r="T1344" s="10" t="s">
        <v>84</v>
      </c>
      <c r="U1344" s="10"/>
      <c r="V1344" s="10"/>
      <c r="W1344" s="10"/>
      <c r="X1344" s="10"/>
      <c r="Y1344" s="10"/>
      <c r="Z1344" s="10"/>
      <c r="AA1344" s="10"/>
    </row>
    <row r="1345" spans="1:27" ht="12.5" x14ac:dyDescent="0.25">
      <c r="A1345" s="10" t="s">
        <v>12</v>
      </c>
      <c r="B1345" s="10" t="s">
        <v>1214</v>
      </c>
      <c r="C1345" s="10" t="s">
        <v>76</v>
      </c>
      <c r="D1345" s="11">
        <v>2024</v>
      </c>
      <c r="E1345" s="10" t="s">
        <v>81</v>
      </c>
      <c r="F1345" s="10" t="s">
        <v>83</v>
      </c>
      <c r="G1345" s="10" t="s">
        <v>84</v>
      </c>
      <c r="H1345" s="11">
        <v>6293</v>
      </c>
      <c r="I1345" s="11">
        <v>66</v>
      </c>
      <c r="J1345" s="11">
        <v>22</v>
      </c>
      <c r="K1345" s="11">
        <v>10566</v>
      </c>
      <c r="L1345" s="11">
        <v>1.048839919483E-2</v>
      </c>
      <c r="M1345" s="11">
        <f t="shared" si="5"/>
        <v>1.0487843635785794</v>
      </c>
      <c r="N1345" s="11">
        <v>0.33333333333333298</v>
      </c>
      <c r="O1345" s="11">
        <v>1.67909736200869</v>
      </c>
      <c r="P1345" s="11">
        <v>0.12246621621621601</v>
      </c>
      <c r="Q1345" s="11">
        <v>8.3333333333333301E-2</v>
      </c>
      <c r="R1345" s="11">
        <v>0.153100775193798</v>
      </c>
      <c r="S1345" s="10" t="s">
        <v>84</v>
      </c>
      <c r="T1345" s="10" t="s">
        <v>84</v>
      </c>
      <c r="U1345" s="10"/>
      <c r="V1345" s="10"/>
      <c r="W1345" s="10"/>
      <c r="X1345" s="10"/>
      <c r="Y1345" s="10"/>
      <c r="Z1345" s="10"/>
      <c r="AA1345" s="10"/>
    </row>
    <row r="1346" spans="1:27" ht="12.5" hidden="1" x14ac:dyDescent="0.25">
      <c r="A1346" s="10" t="s">
        <v>115</v>
      </c>
      <c r="B1346" s="10" t="s">
        <v>1717</v>
      </c>
      <c r="C1346" s="10" t="s">
        <v>191</v>
      </c>
      <c r="D1346" s="11">
        <v>2024</v>
      </c>
      <c r="E1346" s="10" t="s">
        <v>81</v>
      </c>
      <c r="F1346" s="10" t="s">
        <v>125</v>
      </c>
      <c r="G1346" s="10" t="s">
        <v>84</v>
      </c>
      <c r="H1346" s="12">
        <v>1144</v>
      </c>
      <c r="I1346" s="11">
        <v>12</v>
      </c>
      <c r="J1346" s="11">
        <v>3</v>
      </c>
      <c r="K1346" s="11">
        <v>539</v>
      </c>
      <c r="L1346" s="11">
        <v>1.04864549956306E-2</v>
      </c>
      <c r="M1346" s="11">
        <f t="shared" si="5"/>
        <v>1.048951048951049</v>
      </c>
      <c r="N1346" s="11">
        <v>0.25</v>
      </c>
      <c r="O1346" s="11">
        <v>0.47101660355374297</v>
      </c>
      <c r="P1346" s="11">
        <v>0.22549019607843099</v>
      </c>
      <c r="Q1346" s="11">
        <v>0.25</v>
      </c>
      <c r="R1346" s="11">
        <v>0.25</v>
      </c>
      <c r="S1346" s="10" t="s">
        <v>84</v>
      </c>
      <c r="T1346" s="10" t="s">
        <v>84</v>
      </c>
      <c r="U1346" s="10"/>
      <c r="V1346" s="10"/>
      <c r="W1346" s="10"/>
      <c r="X1346" s="10"/>
      <c r="Y1346" s="10"/>
      <c r="Z1346" s="10"/>
      <c r="AA1346" s="10"/>
    </row>
    <row r="1347" spans="1:27" ht="12.5" x14ac:dyDescent="0.25">
      <c r="A1347" s="10" t="s">
        <v>10</v>
      </c>
      <c r="B1347" s="10" t="s">
        <v>1216</v>
      </c>
      <c r="C1347" s="10" t="s">
        <v>76</v>
      </c>
      <c r="D1347" s="11">
        <v>2024</v>
      </c>
      <c r="E1347" s="10" t="s">
        <v>81</v>
      </c>
      <c r="F1347" s="10" t="s">
        <v>83</v>
      </c>
      <c r="G1347" s="10" t="s">
        <v>84</v>
      </c>
      <c r="H1347" s="11">
        <v>15081</v>
      </c>
      <c r="I1347" s="11">
        <v>158</v>
      </c>
      <c r="J1347" s="11">
        <v>122</v>
      </c>
      <c r="K1347" s="11">
        <v>26990</v>
      </c>
      <c r="L1347" s="11">
        <v>1.0476469385612501E-2</v>
      </c>
      <c r="M1347" s="11">
        <f t="shared" si="5"/>
        <v>1.0476758835620981</v>
      </c>
      <c r="N1347" s="11">
        <v>0.772151898734177</v>
      </c>
      <c r="O1347" s="11">
        <v>1.78961967542837</v>
      </c>
      <c r="P1347" s="11">
        <v>0.121621621621622</v>
      </c>
      <c r="Q1347" s="11">
        <v>0.16666666666666699</v>
      </c>
      <c r="R1347" s="11">
        <v>0.15116279069767399</v>
      </c>
      <c r="S1347" s="10" t="s">
        <v>84</v>
      </c>
      <c r="T1347" s="10" t="s">
        <v>84</v>
      </c>
      <c r="U1347" s="10"/>
      <c r="V1347" s="10"/>
      <c r="W1347" s="10"/>
      <c r="X1347" s="10"/>
      <c r="Y1347" s="10"/>
      <c r="Z1347" s="10"/>
      <c r="AA1347" s="10"/>
    </row>
    <row r="1348" spans="1:27" ht="12.5" hidden="1" x14ac:dyDescent="0.25">
      <c r="A1348" s="10" t="s">
        <v>34</v>
      </c>
      <c r="B1348" s="10" t="s">
        <v>1718</v>
      </c>
      <c r="C1348" s="10" t="s">
        <v>191</v>
      </c>
      <c r="D1348" s="11">
        <v>2024</v>
      </c>
      <c r="E1348" s="10" t="s">
        <v>124</v>
      </c>
      <c r="F1348" s="10" t="s">
        <v>125</v>
      </c>
      <c r="G1348" s="10" t="s">
        <v>84</v>
      </c>
      <c r="H1348" s="12">
        <v>3365</v>
      </c>
      <c r="I1348" s="11">
        <v>35</v>
      </c>
      <c r="J1348" s="11">
        <v>35</v>
      </c>
      <c r="K1348" s="11">
        <v>791</v>
      </c>
      <c r="L1348" s="11">
        <v>1.04011887072808E-2</v>
      </c>
      <c r="M1348" s="11">
        <f t="shared" si="5"/>
        <v>1.0401188707280831</v>
      </c>
      <c r="N1348" s="11">
        <v>1</v>
      </c>
      <c r="O1348" s="11">
        <v>0.235066864784547</v>
      </c>
      <c r="P1348" s="11">
        <v>0.224264705882353</v>
      </c>
      <c r="Q1348" s="11">
        <v>0.57142857142857095</v>
      </c>
      <c r="R1348" s="11">
        <v>0.21124031007751901</v>
      </c>
      <c r="S1348" s="10" t="s">
        <v>84</v>
      </c>
      <c r="T1348" s="10" t="s">
        <v>84</v>
      </c>
      <c r="U1348" s="10"/>
      <c r="V1348" s="10"/>
      <c r="W1348" s="10"/>
      <c r="X1348" s="10"/>
      <c r="Y1348" s="10"/>
      <c r="Z1348" s="10"/>
      <c r="AA1348" s="10"/>
    </row>
    <row r="1349" spans="1:27" ht="12.5" hidden="1" x14ac:dyDescent="0.25">
      <c r="A1349" s="10" t="s">
        <v>34</v>
      </c>
      <c r="B1349" s="10" t="s">
        <v>1719</v>
      </c>
      <c r="C1349" s="10" t="s">
        <v>191</v>
      </c>
      <c r="D1349" s="11">
        <v>2024</v>
      </c>
      <c r="E1349" s="10" t="s">
        <v>124</v>
      </c>
      <c r="F1349" s="10" t="s">
        <v>125</v>
      </c>
      <c r="G1349" s="10" t="s">
        <v>84</v>
      </c>
      <c r="H1349" s="12">
        <v>4908</v>
      </c>
      <c r="I1349" s="11">
        <v>51</v>
      </c>
      <c r="J1349" s="11">
        <v>34</v>
      </c>
      <c r="K1349" s="11">
        <v>10700</v>
      </c>
      <c r="L1349" s="11">
        <v>1.03920802839144E-2</v>
      </c>
      <c r="M1349" s="11">
        <f t="shared" si="5"/>
        <v>1.039119804400978</v>
      </c>
      <c r="N1349" s="11">
        <v>0.66666666666666696</v>
      </c>
      <c r="O1349" s="11">
        <v>2.1802991968212502</v>
      </c>
      <c r="P1349" s="11">
        <v>0.22303921568627499</v>
      </c>
      <c r="Q1349" s="11">
        <v>0.53571428571428603</v>
      </c>
      <c r="R1349" s="11">
        <v>0.209302325581395</v>
      </c>
      <c r="S1349" s="10" t="s">
        <v>84</v>
      </c>
      <c r="T1349" s="10" t="s">
        <v>84</v>
      </c>
      <c r="U1349" s="10"/>
      <c r="V1349" s="10"/>
      <c r="W1349" s="10"/>
      <c r="X1349" s="10"/>
      <c r="Y1349" s="10"/>
      <c r="Z1349" s="10"/>
      <c r="AA1349" s="10"/>
    </row>
    <row r="1350" spans="1:27" ht="12.5" x14ac:dyDescent="0.25">
      <c r="A1350" s="10" t="s">
        <v>6</v>
      </c>
      <c r="B1350" s="10" t="s">
        <v>1504</v>
      </c>
      <c r="C1350" s="10" t="s">
        <v>76</v>
      </c>
      <c r="D1350" s="11">
        <v>2024</v>
      </c>
      <c r="E1350" s="10" t="s">
        <v>257</v>
      </c>
      <c r="F1350" s="10" t="s">
        <v>83</v>
      </c>
      <c r="G1350" s="10" t="s">
        <v>84</v>
      </c>
      <c r="H1350" s="11">
        <v>20276</v>
      </c>
      <c r="I1350" s="11">
        <v>210</v>
      </c>
      <c r="J1350" s="11">
        <v>105</v>
      </c>
      <c r="K1350" s="11">
        <v>3000</v>
      </c>
      <c r="L1350" s="11">
        <v>1.0357072400868E-2</v>
      </c>
      <c r="M1350" s="11">
        <f t="shared" si="5"/>
        <v>1.0357072400868022</v>
      </c>
      <c r="N1350" s="11">
        <v>0.5</v>
      </c>
      <c r="O1350" s="11">
        <v>0.147958177155257</v>
      </c>
      <c r="P1350" s="11">
        <v>0.120777027027027</v>
      </c>
      <c r="Q1350" s="11">
        <v>0.19354838709677399</v>
      </c>
      <c r="R1350" s="11">
        <v>0.11363636363636399</v>
      </c>
      <c r="S1350" s="10" t="s">
        <v>84</v>
      </c>
      <c r="T1350" s="10" t="s">
        <v>84</v>
      </c>
      <c r="U1350" s="10"/>
      <c r="V1350" s="10"/>
      <c r="W1350" s="10"/>
      <c r="X1350" s="10"/>
      <c r="Y1350" s="10"/>
      <c r="Z1350" s="10"/>
      <c r="AA1350" s="10"/>
    </row>
    <row r="1351" spans="1:27" ht="12.5" x14ac:dyDescent="0.25">
      <c r="A1351" s="10" t="s">
        <v>77</v>
      </c>
      <c r="B1351" s="10" t="s">
        <v>1218</v>
      </c>
      <c r="C1351" s="10" t="s">
        <v>76</v>
      </c>
      <c r="D1351" s="11">
        <v>2024</v>
      </c>
      <c r="E1351" s="10" t="s">
        <v>81</v>
      </c>
      <c r="F1351" s="10" t="s">
        <v>83</v>
      </c>
      <c r="G1351" s="10" t="s">
        <v>84</v>
      </c>
      <c r="H1351" s="11">
        <v>13644</v>
      </c>
      <c r="I1351" s="11">
        <v>140</v>
      </c>
      <c r="J1351" s="11">
        <v>122</v>
      </c>
      <c r="K1351" s="11">
        <v>6515</v>
      </c>
      <c r="L1351" s="11">
        <v>1.02612339133781E-2</v>
      </c>
      <c r="M1351" s="11">
        <f t="shared" si="5"/>
        <v>1.0260920551158019</v>
      </c>
      <c r="N1351" s="11">
        <v>0.871428571428571</v>
      </c>
      <c r="O1351" s="11">
        <v>0.47751384961184401</v>
      </c>
      <c r="P1351" s="11">
        <v>0.119932432432432</v>
      </c>
      <c r="Q1351" s="11">
        <v>7.1428571428571397E-2</v>
      </c>
      <c r="R1351" s="11">
        <v>0.14922480620154999</v>
      </c>
      <c r="S1351" s="10" t="s">
        <v>84</v>
      </c>
      <c r="T1351" s="10" t="s">
        <v>84</v>
      </c>
      <c r="U1351" s="10"/>
      <c r="V1351" s="10"/>
      <c r="W1351" s="10"/>
      <c r="X1351" s="10"/>
      <c r="Y1351" s="10"/>
      <c r="Z1351" s="10"/>
      <c r="AA1351" s="10"/>
    </row>
    <row r="1352" spans="1:27" ht="12.5" hidden="1" x14ac:dyDescent="0.25">
      <c r="A1352" s="10" t="s">
        <v>13</v>
      </c>
      <c r="B1352" s="10" t="s">
        <v>1720</v>
      </c>
      <c r="C1352" s="10" t="s">
        <v>191</v>
      </c>
      <c r="D1352" s="11">
        <v>2024</v>
      </c>
      <c r="E1352" s="10" t="s">
        <v>124</v>
      </c>
      <c r="F1352" s="10" t="s">
        <v>125</v>
      </c>
      <c r="G1352" s="10" t="s">
        <v>84</v>
      </c>
      <c r="H1352" s="12">
        <v>975.66666666666697</v>
      </c>
      <c r="I1352" s="11">
        <v>10</v>
      </c>
      <c r="J1352" s="11">
        <v>9</v>
      </c>
      <c r="K1352" s="11">
        <v>32</v>
      </c>
      <c r="L1352" s="11">
        <v>1.0249402118209801E-2</v>
      </c>
      <c r="M1352" s="11">
        <f t="shared" si="5"/>
        <v>1.0249402118209767</v>
      </c>
      <c r="N1352" s="11">
        <v>0.9</v>
      </c>
      <c r="O1352" s="11">
        <v>3.2798086778271299E-2</v>
      </c>
      <c r="P1352" s="11">
        <v>0.220588235294118</v>
      </c>
      <c r="Q1352" s="11">
        <v>8.6206896551724102E-2</v>
      </c>
      <c r="R1352" s="11">
        <v>0.20736434108527099</v>
      </c>
      <c r="S1352" s="10" t="s">
        <v>84</v>
      </c>
      <c r="T1352" s="10" t="s">
        <v>84</v>
      </c>
      <c r="U1352" s="10"/>
      <c r="V1352" s="10"/>
      <c r="W1352" s="10"/>
      <c r="X1352" s="10"/>
      <c r="Y1352" s="10"/>
      <c r="Z1352" s="10"/>
      <c r="AA1352" s="10"/>
    </row>
    <row r="1353" spans="1:27" ht="12.5" hidden="1" x14ac:dyDescent="0.25">
      <c r="A1353" s="10" t="s">
        <v>77</v>
      </c>
      <c r="B1353" s="10" t="s">
        <v>1721</v>
      </c>
      <c r="C1353" s="10" t="s">
        <v>191</v>
      </c>
      <c r="D1353" s="11">
        <v>2024</v>
      </c>
      <c r="E1353" s="10" t="s">
        <v>124</v>
      </c>
      <c r="F1353" s="10" t="s">
        <v>125</v>
      </c>
      <c r="G1353" s="10" t="s">
        <v>84</v>
      </c>
      <c r="H1353" s="12">
        <v>293.25</v>
      </c>
      <c r="I1353" s="11">
        <v>3</v>
      </c>
      <c r="J1353" s="11">
        <v>2</v>
      </c>
      <c r="K1353" s="11">
        <v>526</v>
      </c>
      <c r="L1353" s="11">
        <v>1.0230179028133E-2</v>
      </c>
      <c r="M1353" s="11">
        <f t="shared" si="5"/>
        <v>1.0230179028132993</v>
      </c>
      <c r="N1353" s="11">
        <v>0.66666666666666696</v>
      </c>
      <c r="O1353" s="11">
        <v>1.7936913895993201</v>
      </c>
      <c r="P1353" s="11">
        <v>0.21936274509803899</v>
      </c>
      <c r="Q1353" s="11">
        <v>0.23913043478260901</v>
      </c>
      <c r="R1353" s="11">
        <v>0.20542635658914701</v>
      </c>
      <c r="S1353" s="10" t="s">
        <v>84</v>
      </c>
      <c r="T1353" s="10" t="s">
        <v>84</v>
      </c>
      <c r="U1353" s="10"/>
      <c r="V1353" s="10"/>
      <c r="W1353" s="10"/>
      <c r="X1353" s="10"/>
      <c r="Y1353" s="10"/>
      <c r="Z1353" s="10"/>
      <c r="AA1353" s="10"/>
    </row>
    <row r="1354" spans="1:27" ht="12.5" hidden="1" x14ac:dyDescent="0.25">
      <c r="A1354" s="10" t="s">
        <v>34</v>
      </c>
      <c r="B1354" s="10" t="s">
        <v>1722</v>
      </c>
      <c r="C1354" s="10" t="s">
        <v>191</v>
      </c>
      <c r="D1354" s="11">
        <v>2024</v>
      </c>
      <c r="E1354" s="10" t="s">
        <v>81</v>
      </c>
      <c r="F1354" s="10" t="s">
        <v>125</v>
      </c>
      <c r="G1354" s="10" t="s">
        <v>84</v>
      </c>
      <c r="H1354" s="12">
        <v>1076</v>
      </c>
      <c r="I1354" s="11">
        <v>11</v>
      </c>
      <c r="J1354" s="11">
        <v>15</v>
      </c>
      <c r="K1354" s="11">
        <v>248</v>
      </c>
      <c r="L1354" s="11">
        <v>1.02221846751711E-2</v>
      </c>
      <c r="M1354" s="11">
        <f t="shared" si="5"/>
        <v>1.0223048327137547</v>
      </c>
      <c r="N1354" s="11">
        <v>1.36363636363636</v>
      </c>
      <c r="O1354" s="11">
        <v>0.23046379994931099</v>
      </c>
      <c r="P1354" s="11">
        <v>0.21813725490196101</v>
      </c>
      <c r="Q1354" s="11">
        <v>0.5</v>
      </c>
      <c r="R1354" s="11">
        <v>0.20833333333333301</v>
      </c>
      <c r="S1354" s="10" t="s">
        <v>84</v>
      </c>
      <c r="T1354" s="10" t="s">
        <v>84</v>
      </c>
      <c r="U1354" s="10"/>
      <c r="V1354" s="10"/>
      <c r="W1354" s="10"/>
      <c r="X1354" s="10"/>
      <c r="Y1354" s="10"/>
      <c r="Z1354" s="10"/>
      <c r="AA1354" s="10"/>
    </row>
    <row r="1355" spans="1:27" ht="12.5" x14ac:dyDescent="0.25">
      <c r="A1355" s="10" t="s">
        <v>34</v>
      </c>
      <c r="B1355" s="10" t="s">
        <v>1239</v>
      </c>
      <c r="C1355" s="10" t="s">
        <v>76</v>
      </c>
      <c r="D1355" s="11">
        <v>2024</v>
      </c>
      <c r="E1355" s="10" t="s">
        <v>124</v>
      </c>
      <c r="F1355" s="10" t="s">
        <v>125</v>
      </c>
      <c r="G1355" s="10" t="s">
        <v>84</v>
      </c>
      <c r="H1355" s="11">
        <v>196</v>
      </c>
      <c r="I1355" s="11">
        <v>2</v>
      </c>
      <c r="J1355" s="11">
        <v>2</v>
      </c>
      <c r="K1355" s="11">
        <v>54</v>
      </c>
      <c r="L1355" s="11">
        <v>1.02040816326531E-2</v>
      </c>
      <c r="M1355" s="11">
        <f t="shared" si="5"/>
        <v>1.0204081632653061</v>
      </c>
      <c r="N1355" s="11">
        <v>1</v>
      </c>
      <c r="O1355" s="11">
        <v>0.27551020408163301</v>
      </c>
      <c r="P1355" s="11">
        <v>0.11824324324324299</v>
      </c>
      <c r="Q1355" s="11">
        <v>0.24489795918367299</v>
      </c>
      <c r="R1355" s="11">
        <v>9.1722595078299801E-2</v>
      </c>
      <c r="S1355" s="10" t="s">
        <v>84</v>
      </c>
      <c r="T1355" s="10" t="s">
        <v>84</v>
      </c>
      <c r="U1355" s="10"/>
      <c r="V1355" s="10"/>
      <c r="W1355" s="10"/>
      <c r="X1355" s="10"/>
      <c r="Y1355" s="10"/>
      <c r="Z1355" s="10"/>
      <c r="AA1355" s="10"/>
    </row>
    <row r="1356" spans="1:27" ht="12.5" x14ac:dyDescent="0.25">
      <c r="A1356" s="10" t="s">
        <v>29</v>
      </c>
      <c r="B1356" s="10" t="s">
        <v>1171</v>
      </c>
      <c r="C1356" s="10" t="s">
        <v>76</v>
      </c>
      <c r="D1356" s="11">
        <v>2024</v>
      </c>
      <c r="E1356" s="10" t="s">
        <v>81</v>
      </c>
      <c r="F1356" s="10" t="s">
        <v>83</v>
      </c>
      <c r="G1356" s="10" t="s">
        <v>84</v>
      </c>
      <c r="H1356" s="11">
        <v>997</v>
      </c>
      <c r="I1356" s="11">
        <v>10</v>
      </c>
      <c r="J1356" s="11">
        <v>3</v>
      </c>
      <c r="K1356" s="11">
        <v>214</v>
      </c>
      <c r="L1356" s="11">
        <v>1.0031767262999499E-2</v>
      </c>
      <c r="M1356" s="11">
        <f t="shared" si="5"/>
        <v>1.0030090270812437</v>
      </c>
      <c r="N1356" s="11">
        <v>0.3</v>
      </c>
      <c r="O1356" s="11">
        <v>0.21467981942818901</v>
      </c>
      <c r="P1356" s="11">
        <v>0.117398648648649</v>
      </c>
      <c r="Q1356" s="11">
        <v>2.04081632653061E-2</v>
      </c>
      <c r="R1356" s="11">
        <v>0.14728682170542601</v>
      </c>
      <c r="S1356" s="10" t="s">
        <v>84</v>
      </c>
      <c r="T1356" s="10" t="s">
        <v>84</v>
      </c>
      <c r="U1356" s="10"/>
      <c r="V1356" s="10"/>
      <c r="W1356" s="10"/>
      <c r="X1356" s="10"/>
      <c r="Y1356" s="10"/>
      <c r="Z1356" s="10"/>
      <c r="AA1356" s="10"/>
    </row>
    <row r="1357" spans="1:27" ht="12.5" hidden="1" x14ac:dyDescent="0.25">
      <c r="A1357" s="10" t="s">
        <v>16</v>
      </c>
      <c r="B1357" s="10" t="s">
        <v>1723</v>
      </c>
      <c r="C1357" s="10" t="s">
        <v>191</v>
      </c>
      <c r="D1357" s="11">
        <v>2024</v>
      </c>
      <c r="E1357" s="10" t="s">
        <v>124</v>
      </c>
      <c r="F1357" s="10" t="s">
        <v>125</v>
      </c>
      <c r="G1357" s="10" t="s">
        <v>84</v>
      </c>
      <c r="H1357" s="12">
        <v>1716</v>
      </c>
      <c r="I1357" s="11">
        <v>17</v>
      </c>
      <c r="J1357" s="11">
        <v>0</v>
      </c>
      <c r="K1357" s="11">
        <v>0</v>
      </c>
      <c r="L1357" s="11">
        <v>9.9091659785301399E-3</v>
      </c>
      <c r="M1357" s="11">
        <f t="shared" si="5"/>
        <v>0.99067599067599066</v>
      </c>
      <c r="N1357" s="11">
        <v>0</v>
      </c>
      <c r="O1357" s="11">
        <v>0</v>
      </c>
      <c r="P1357" s="11">
        <v>0.216911764705882</v>
      </c>
      <c r="Q1357" s="11">
        <v>0.125</v>
      </c>
      <c r="R1357" s="11">
        <v>0.20348837209302301</v>
      </c>
      <c r="S1357" s="10" t="s">
        <v>84</v>
      </c>
      <c r="T1357" s="10" t="s">
        <v>84</v>
      </c>
      <c r="U1357" s="10"/>
      <c r="V1357" s="10"/>
      <c r="W1357" s="10"/>
      <c r="X1357" s="10"/>
      <c r="Y1357" s="10"/>
      <c r="Z1357" s="10"/>
      <c r="AA1357" s="10"/>
    </row>
    <row r="1358" spans="1:27" ht="12.5" x14ac:dyDescent="0.25">
      <c r="A1358" s="10" t="s">
        <v>22</v>
      </c>
      <c r="B1358" s="10" t="s">
        <v>1062</v>
      </c>
      <c r="C1358" s="10" t="s">
        <v>76</v>
      </c>
      <c r="D1358" s="11">
        <v>2024</v>
      </c>
      <c r="E1358" s="10" t="s">
        <v>81</v>
      </c>
      <c r="F1358" s="10" t="s">
        <v>83</v>
      </c>
      <c r="G1358" s="10" t="s">
        <v>84</v>
      </c>
      <c r="H1358" s="11">
        <v>4541</v>
      </c>
      <c r="I1358" s="11">
        <v>45</v>
      </c>
      <c r="J1358" s="11">
        <v>38</v>
      </c>
      <c r="K1358" s="11">
        <v>2611</v>
      </c>
      <c r="L1358" s="11">
        <v>9.9088023193937298E-3</v>
      </c>
      <c r="M1358" s="11">
        <f t="shared" si="5"/>
        <v>0.9909711517286941</v>
      </c>
      <c r="N1358" s="11">
        <v>0.844444444444444</v>
      </c>
      <c r="O1358" s="11">
        <v>0.57493073013193396</v>
      </c>
      <c r="P1358" s="11">
        <v>0.116554054054054</v>
      </c>
      <c r="Q1358" s="11">
        <v>0</v>
      </c>
      <c r="R1358" s="11">
        <v>0.145348837209302</v>
      </c>
      <c r="S1358" s="10" t="s">
        <v>84</v>
      </c>
      <c r="T1358" s="10" t="s">
        <v>84</v>
      </c>
      <c r="U1358" s="10"/>
      <c r="V1358" s="10"/>
      <c r="W1358" s="10"/>
      <c r="X1358" s="10"/>
      <c r="Y1358" s="10"/>
      <c r="Z1358" s="10"/>
      <c r="AA1358" s="10"/>
    </row>
    <row r="1359" spans="1:27" ht="12.5" x14ac:dyDescent="0.25">
      <c r="A1359" s="10" t="s">
        <v>92</v>
      </c>
      <c r="B1359" s="10" t="s">
        <v>1242</v>
      </c>
      <c r="C1359" s="10" t="s">
        <v>76</v>
      </c>
      <c r="D1359" s="11">
        <v>2024</v>
      </c>
      <c r="E1359" s="10" t="s">
        <v>124</v>
      </c>
      <c r="F1359" s="10" t="s">
        <v>83</v>
      </c>
      <c r="G1359" s="10" t="s">
        <v>84</v>
      </c>
      <c r="H1359" s="11">
        <v>15193</v>
      </c>
      <c r="I1359" s="11">
        <v>150</v>
      </c>
      <c r="J1359" s="11">
        <v>128</v>
      </c>
      <c r="K1359" s="11">
        <v>2458</v>
      </c>
      <c r="L1359" s="11">
        <v>9.8729678141249305E-3</v>
      </c>
      <c r="M1359" s="11">
        <f t="shared" si="5"/>
        <v>0.98729678141249255</v>
      </c>
      <c r="N1359" s="11">
        <v>0.85333333333333306</v>
      </c>
      <c r="O1359" s="11">
        <v>0.16178503258079399</v>
      </c>
      <c r="P1359" s="11">
        <v>0.115709459459459</v>
      </c>
      <c r="Q1359" s="11">
        <v>0.38888888888888901</v>
      </c>
      <c r="R1359" s="11">
        <v>8.9485458612975396E-2</v>
      </c>
      <c r="S1359" s="10" t="s">
        <v>84</v>
      </c>
      <c r="T1359" s="10" t="s">
        <v>84</v>
      </c>
      <c r="U1359" s="10"/>
      <c r="V1359" s="10"/>
      <c r="W1359" s="10"/>
      <c r="X1359" s="10"/>
      <c r="Y1359" s="10"/>
      <c r="Z1359" s="10"/>
      <c r="AA1359" s="10"/>
    </row>
    <row r="1360" spans="1:27" ht="12.5" hidden="1" x14ac:dyDescent="0.25">
      <c r="A1360" s="10" t="s">
        <v>42</v>
      </c>
      <c r="B1360" s="10" t="s">
        <v>1724</v>
      </c>
      <c r="C1360" s="10" t="s">
        <v>191</v>
      </c>
      <c r="D1360" s="11">
        <v>2024</v>
      </c>
      <c r="E1360" s="10" t="s">
        <v>124</v>
      </c>
      <c r="F1360" s="10" t="s">
        <v>125</v>
      </c>
      <c r="G1360" s="10" t="s">
        <v>84</v>
      </c>
      <c r="H1360" s="12">
        <v>8841</v>
      </c>
      <c r="I1360" s="11">
        <v>87</v>
      </c>
      <c r="J1360" s="11">
        <v>85</v>
      </c>
      <c r="K1360" s="11">
        <v>177</v>
      </c>
      <c r="L1360" s="11">
        <v>9.8400520278613002E-3</v>
      </c>
      <c r="M1360" s="11">
        <f t="shared" si="5"/>
        <v>0.98405157787580588</v>
      </c>
      <c r="N1360" s="11">
        <v>0.97701149425287404</v>
      </c>
      <c r="O1360" s="11">
        <v>2.0019416194614399E-2</v>
      </c>
      <c r="P1360" s="11">
        <v>0.21568627450980399</v>
      </c>
      <c r="Q1360" s="11">
        <v>0.238095238095238</v>
      </c>
      <c r="R1360" s="11">
        <v>0.201550387596899</v>
      </c>
      <c r="S1360" s="10" t="s">
        <v>84</v>
      </c>
      <c r="T1360" s="10" t="s">
        <v>84</v>
      </c>
      <c r="U1360" s="10"/>
      <c r="V1360" s="10"/>
      <c r="W1360" s="10"/>
      <c r="X1360" s="10"/>
      <c r="Y1360" s="10"/>
      <c r="Z1360" s="10"/>
      <c r="AA1360" s="10"/>
    </row>
    <row r="1361" spans="1:27" ht="12.5" x14ac:dyDescent="0.25">
      <c r="A1361" s="10" t="s">
        <v>92</v>
      </c>
      <c r="B1361" s="10" t="s">
        <v>1244</v>
      </c>
      <c r="C1361" s="10" t="s">
        <v>76</v>
      </c>
      <c r="D1361" s="11">
        <v>2024</v>
      </c>
      <c r="E1361" s="10" t="s">
        <v>124</v>
      </c>
      <c r="F1361" s="10" t="s">
        <v>83</v>
      </c>
      <c r="G1361" s="10" t="s">
        <v>84</v>
      </c>
      <c r="H1361" s="11">
        <v>10539</v>
      </c>
      <c r="I1361" s="11">
        <v>103</v>
      </c>
      <c r="J1361" s="11">
        <v>103</v>
      </c>
      <c r="K1361" s="11">
        <v>974</v>
      </c>
      <c r="L1361" s="11">
        <v>9.7732232659645101E-3</v>
      </c>
      <c r="M1361" s="11">
        <f t="shared" si="5"/>
        <v>0.97732232659645135</v>
      </c>
      <c r="N1361" s="11">
        <v>1</v>
      </c>
      <c r="O1361" s="11">
        <v>9.2418635544169306E-2</v>
      </c>
      <c r="P1361" s="11">
        <v>0.114864864864865</v>
      </c>
      <c r="Q1361" s="11">
        <v>0.33333333333333298</v>
      </c>
      <c r="R1361" s="11">
        <v>8.7248322147651006E-2</v>
      </c>
      <c r="S1361" s="10" t="s">
        <v>84</v>
      </c>
      <c r="T1361" s="10" t="s">
        <v>84</v>
      </c>
      <c r="U1361" s="10"/>
      <c r="V1361" s="10"/>
      <c r="W1361" s="10"/>
      <c r="X1361" s="10"/>
      <c r="Y1361" s="10"/>
      <c r="Z1361" s="10"/>
      <c r="AA1361" s="10"/>
    </row>
    <row r="1362" spans="1:27" ht="12.5" x14ac:dyDescent="0.25">
      <c r="A1362" s="10" t="s">
        <v>72</v>
      </c>
      <c r="B1362" s="10" t="s">
        <v>1221</v>
      </c>
      <c r="C1362" s="10" t="s">
        <v>76</v>
      </c>
      <c r="D1362" s="11">
        <v>2024</v>
      </c>
      <c r="E1362" s="10" t="s">
        <v>81</v>
      </c>
      <c r="F1362" s="10" t="s">
        <v>83</v>
      </c>
      <c r="G1362" s="10" t="s">
        <v>84</v>
      </c>
      <c r="H1362" s="11">
        <v>64385</v>
      </c>
      <c r="I1362" s="11">
        <v>629</v>
      </c>
      <c r="J1362" s="11">
        <v>375</v>
      </c>
      <c r="K1362" s="11">
        <v>19197</v>
      </c>
      <c r="L1362" s="11">
        <v>9.7692929946610607E-3</v>
      </c>
      <c r="M1362" s="11">
        <f t="shared" si="5"/>
        <v>0.97693562165100567</v>
      </c>
      <c r="N1362" s="11">
        <v>0.59618441971383196</v>
      </c>
      <c r="O1362" s="11">
        <v>0.298157579679663</v>
      </c>
      <c r="P1362" s="11">
        <v>0.11402027027026999</v>
      </c>
      <c r="Q1362" s="11">
        <v>0.2</v>
      </c>
      <c r="R1362" s="11">
        <v>0.14341085271317799</v>
      </c>
      <c r="S1362" s="10" t="s">
        <v>84</v>
      </c>
      <c r="T1362" s="10" t="s">
        <v>84</v>
      </c>
      <c r="U1362" s="10"/>
      <c r="V1362" s="10"/>
      <c r="W1362" s="10"/>
      <c r="X1362" s="10"/>
      <c r="Y1362" s="10"/>
      <c r="Z1362" s="10"/>
      <c r="AA1362" s="10"/>
    </row>
    <row r="1363" spans="1:27" ht="12.5" x14ac:dyDescent="0.25">
      <c r="A1363" s="10" t="s">
        <v>82</v>
      </c>
      <c r="B1363" s="10" t="s">
        <v>1246</v>
      </c>
      <c r="C1363" s="10" t="s">
        <v>76</v>
      </c>
      <c r="D1363" s="11">
        <v>2024</v>
      </c>
      <c r="E1363" s="10" t="s">
        <v>124</v>
      </c>
      <c r="F1363" s="10" t="s">
        <v>83</v>
      </c>
      <c r="G1363" s="10" t="s">
        <v>84</v>
      </c>
      <c r="H1363" s="11">
        <v>2254</v>
      </c>
      <c r="I1363" s="11">
        <v>22</v>
      </c>
      <c r="J1363" s="11">
        <v>22</v>
      </c>
      <c r="K1363" s="11">
        <v>309</v>
      </c>
      <c r="L1363" s="11">
        <v>9.7604259094942296E-3</v>
      </c>
      <c r="M1363" s="11">
        <f t="shared" si="5"/>
        <v>0.97604259094942325</v>
      </c>
      <c r="N1363" s="11">
        <v>1</v>
      </c>
      <c r="O1363" s="11">
        <v>0.13708961845607801</v>
      </c>
      <c r="P1363" s="11">
        <v>0.113175675675676</v>
      </c>
      <c r="Q1363" s="11">
        <v>0.24137931034482801</v>
      </c>
      <c r="R1363" s="11">
        <v>8.5011185682326601E-2</v>
      </c>
      <c r="S1363" s="10" t="s">
        <v>84</v>
      </c>
      <c r="T1363" s="10" t="s">
        <v>84</v>
      </c>
      <c r="U1363" s="10"/>
      <c r="V1363" s="10"/>
      <c r="W1363" s="10"/>
      <c r="X1363" s="10"/>
      <c r="Y1363" s="10"/>
      <c r="Z1363" s="10"/>
      <c r="AA1363" s="10"/>
    </row>
    <row r="1364" spans="1:27" ht="12.5" hidden="1" x14ac:dyDescent="0.25">
      <c r="A1364" s="10" t="s">
        <v>52</v>
      </c>
      <c r="B1364" s="10" t="s">
        <v>1725</v>
      </c>
      <c r="C1364" s="10" t="s">
        <v>191</v>
      </c>
      <c r="D1364" s="11">
        <v>2024</v>
      </c>
      <c r="E1364" s="10" t="s">
        <v>124</v>
      </c>
      <c r="F1364" s="10" t="s">
        <v>125</v>
      </c>
      <c r="G1364" s="10" t="s">
        <v>84</v>
      </c>
      <c r="H1364" s="12">
        <v>520.16666666666697</v>
      </c>
      <c r="I1364" s="11">
        <v>5</v>
      </c>
      <c r="J1364" s="11">
        <v>5</v>
      </c>
      <c r="K1364" s="11">
        <v>857</v>
      </c>
      <c r="L1364" s="11">
        <v>9.6123037487984599E-3</v>
      </c>
      <c r="M1364" s="11">
        <f t="shared" si="5"/>
        <v>0.96123037487984564</v>
      </c>
      <c r="N1364" s="11">
        <v>1</v>
      </c>
      <c r="O1364" s="11">
        <v>1.64754886254406</v>
      </c>
      <c r="P1364" s="11">
        <v>0.21200980392156901</v>
      </c>
      <c r="Q1364" s="11">
        <v>0.32142857142857101</v>
      </c>
      <c r="R1364" s="11">
        <v>0.19961240310077499</v>
      </c>
      <c r="S1364" s="10" t="s">
        <v>84</v>
      </c>
      <c r="T1364" s="10" t="s">
        <v>84</v>
      </c>
      <c r="U1364" s="10"/>
      <c r="V1364" s="10"/>
      <c r="W1364" s="10"/>
      <c r="X1364" s="10"/>
      <c r="Y1364" s="10"/>
      <c r="Z1364" s="10"/>
      <c r="AA1364" s="10"/>
    </row>
    <row r="1365" spans="1:27" ht="12.5" x14ac:dyDescent="0.25">
      <c r="A1365" s="10" t="s">
        <v>6</v>
      </c>
      <c r="B1365" s="10" t="s">
        <v>1248</v>
      </c>
      <c r="C1365" s="10" t="s">
        <v>76</v>
      </c>
      <c r="D1365" s="11">
        <v>2024</v>
      </c>
      <c r="E1365" s="10" t="s">
        <v>124</v>
      </c>
      <c r="F1365" s="10" t="s">
        <v>125</v>
      </c>
      <c r="G1365" s="10" t="s">
        <v>84</v>
      </c>
      <c r="H1365" s="11">
        <v>1043</v>
      </c>
      <c r="I1365" s="11">
        <v>10</v>
      </c>
      <c r="J1365" s="11">
        <v>7</v>
      </c>
      <c r="K1365" s="11">
        <v>45</v>
      </c>
      <c r="L1365" s="11">
        <v>9.5838990495966808E-3</v>
      </c>
      <c r="M1365" s="11">
        <f t="shared" si="5"/>
        <v>0.95877277085330781</v>
      </c>
      <c r="N1365" s="11">
        <v>0.7</v>
      </c>
      <c r="O1365" s="11">
        <v>4.3127545723185001E-2</v>
      </c>
      <c r="P1365" s="11">
        <v>0.112331081081081</v>
      </c>
      <c r="Q1365" s="11">
        <v>0.16129032258064499</v>
      </c>
      <c r="R1365" s="11">
        <v>8.2774049217002196E-2</v>
      </c>
      <c r="S1365" s="10" t="s">
        <v>84</v>
      </c>
      <c r="T1365" s="10" t="s">
        <v>84</v>
      </c>
      <c r="U1365" s="10"/>
      <c r="V1365" s="10"/>
      <c r="W1365" s="10"/>
      <c r="X1365" s="10"/>
      <c r="Y1365" s="10"/>
      <c r="Z1365" s="10"/>
      <c r="AA1365" s="10"/>
    </row>
    <row r="1366" spans="1:27" ht="12.5" x14ac:dyDescent="0.25">
      <c r="A1366" s="10" t="s">
        <v>118</v>
      </c>
      <c r="B1366" s="10" t="s">
        <v>1508</v>
      </c>
      <c r="C1366" s="10" t="s">
        <v>76</v>
      </c>
      <c r="D1366" s="11">
        <v>2024</v>
      </c>
      <c r="E1366" s="10" t="s">
        <v>257</v>
      </c>
      <c r="F1366" s="10" t="s">
        <v>83</v>
      </c>
      <c r="G1366" s="10" t="s">
        <v>84</v>
      </c>
      <c r="H1366" s="11">
        <v>4072</v>
      </c>
      <c r="I1366" s="11">
        <v>39</v>
      </c>
      <c r="J1366" s="11">
        <v>39</v>
      </c>
      <c r="K1366" s="11">
        <v>484</v>
      </c>
      <c r="L1366" s="11">
        <v>9.5770151636073407E-3</v>
      </c>
      <c r="M1366" s="11">
        <f t="shared" si="5"/>
        <v>0.95776031434184672</v>
      </c>
      <c r="N1366" s="11">
        <v>1</v>
      </c>
      <c r="O1366" s="11">
        <v>0.118853213825281</v>
      </c>
      <c r="P1366" s="11">
        <v>0.111486486486486</v>
      </c>
      <c r="Q1366" s="11">
        <v>7.1428571428571397E-2</v>
      </c>
      <c r="R1366" s="11">
        <v>9.0909090909090898E-2</v>
      </c>
      <c r="S1366" s="10" t="s">
        <v>84</v>
      </c>
      <c r="T1366" s="10" t="s">
        <v>84</v>
      </c>
      <c r="U1366" s="10"/>
      <c r="V1366" s="10"/>
      <c r="W1366" s="10"/>
      <c r="X1366" s="10"/>
      <c r="Y1366" s="10"/>
      <c r="Z1366" s="10"/>
      <c r="AA1366" s="10"/>
    </row>
    <row r="1367" spans="1:27" ht="12.5" x14ac:dyDescent="0.25">
      <c r="A1367" s="10" t="s">
        <v>53</v>
      </c>
      <c r="B1367" s="10" t="s">
        <v>1250</v>
      </c>
      <c r="C1367" s="10" t="s">
        <v>76</v>
      </c>
      <c r="D1367" s="11">
        <v>2024</v>
      </c>
      <c r="E1367" s="10" t="s">
        <v>124</v>
      </c>
      <c r="F1367" s="10" t="s">
        <v>125</v>
      </c>
      <c r="G1367" s="10" t="s">
        <v>84</v>
      </c>
      <c r="H1367" s="11">
        <v>420</v>
      </c>
      <c r="I1367" s="11">
        <v>4</v>
      </c>
      <c r="J1367" s="11">
        <v>4</v>
      </c>
      <c r="K1367" s="11">
        <v>47</v>
      </c>
      <c r="L1367" s="11">
        <v>9.5238095238095195E-3</v>
      </c>
      <c r="M1367" s="11">
        <f t="shared" si="5"/>
        <v>0.95238095238095244</v>
      </c>
      <c r="N1367" s="11">
        <v>1</v>
      </c>
      <c r="O1367" s="11">
        <v>0.11190476190476201</v>
      </c>
      <c r="P1367" s="11">
        <v>0.110641891891892</v>
      </c>
      <c r="Q1367" s="11">
        <v>0.52500000000000002</v>
      </c>
      <c r="R1367" s="11">
        <v>8.0536912751677805E-2</v>
      </c>
      <c r="S1367" s="10" t="s">
        <v>84</v>
      </c>
      <c r="T1367" s="10" t="s">
        <v>84</v>
      </c>
      <c r="U1367" s="10"/>
      <c r="V1367" s="10"/>
      <c r="W1367" s="10"/>
      <c r="X1367" s="10"/>
      <c r="Y1367" s="10"/>
      <c r="Z1367" s="10"/>
      <c r="AA1367" s="10"/>
    </row>
    <row r="1368" spans="1:27" ht="12.5" x14ac:dyDescent="0.25">
      <c r="A1368" s="10" t="s">
        <v>12</v>
      </c>
      <c r="B1368" s="10" t="s">
        <v>1223</v>
      </c>
      <c r="C1368" s="10" t="s">
        <v>76</v>
      </c>
      <c r="D1368" s="11">
        <v>2024</v>
      </c>
      <c r="E1368" s="10" t="s">
        <v>81</v>
      </c>
      <c r="F1368" s="10" t="s">
        <v>83</v>
      </c>
      <c r="G1368" s="10" t="s">
        <v>84</v>
      </c>
      <c r="H1368" s="11">
        <v>32726</v>
      </c>
      <c r="I1368" s="11">
        <v>310</v>
      </c>
      <c r="J1368" s="11">
        <v>5443</v>
      </c>
      <c r="K1368" s="11">
        <v>31859</v>
      </c>
      <c r="L1368" s="11">
        <v>9.4727353287191902E-3</v>
      </c>
      <c r="M1368" s="11">
        <f t="shared" si="5"/>
        <v>0.94725906007455851</v>
      </c>
      <c r="N1368" s="11">
        <v>17.558064516129001</v>
      </c>
      <c r="O1368" s="11">
        <v>0.97352217689569298</v>
      </c>
      <c r="P1368" s="11">
        <v>0.10979729729729699</v>
      </c>
      <c r="Q1368" s="11">
        <v>6.9444444444444406E-2</v>
      </c>
      <c r="R1368" s="11">
        <v>0.14147286821705399</v>
      </c>
      <c r="S1368" s="10" t="s">
        <v>84</v>
      </c>
      <c r="T1368" s="10" t="s">
        <v>84</v>
      </c>
      <c r="U1368" s="10"/>
      <c r="V1368" s="10"/>
      <c r="W1368" s="10"/>
      <c r="X1368" s="10"/>
      <c r="Y1368" s="10"/>
      <c r="Z1368" s="10"/>
      <c r="AA1368" s="10"/>
    </row>
    <row r="1369" spans="1:27" ht="12.5" hidden="1" x14ac:dyDescent="0.25">
      <c r="A1369" s="10" t="s">
        <v>103</v>
      </c>
      <c r="B1369" s="10" t="s">
        <v>1726</v>
      </c>
      <c r="C1369" s="10" t="s">
        <v>191</v>
      </c>
      <c r="D1369" s="11">
        <v>2024</v>
      </c>
      <c r="E1369" s="10" t="s">
        <v>124</v>
      </c>
      <c r="F1369" s="10" t="s">
        <v>125</v>
      </c>
      <c r="G1369" s="10" t="s">
        <v>84</v>
      </c>
      <c r="H1369" s="12">
        <v>139010</v>
      </c>
      <c r="I1369" s="11">
        <v>1308</v>
      </c>
      <c r="J1369" s="11">
        <v>689</v>
      </c>
      <c r="K1369" s="11">
        <v>44123</v>
      </c>
      <c r="L1369" s="11">
        <v>9.4093668040464602E-3</v>
      </c>
      <c r="M1369" s="11">
        <f t="shared" si="5"/>
        <v>0.94093950075534138</v>
      </c>
      <c r="N1369" s="11">
        <v>0.52675840978593302</v>
      </c>
      <c r="O1369" s="11">
        <v>0.31740786811539901</v>
      </c>
      <c r="P1369" s="11">
        <v>0.20955882352941199</v>
      </c>
      <c r="Q1369" s="11">
        <v>0.75</v>
      </c>
      <c r="R1369" s="11">
        <v>0.19767441860465099</v>
      </c>
      <c r="S1369" s="10" t="s">
        <v>84</v>
      </c>
      <c r="T1369" s="10" t="s">
        <v>84</v>
      </c>
      <c r="U1369" s="10"/>
      <c r="V1369" s="10"/>
      <c r="W1369" s="10"/>
      <c r="X1369" s="10"/>
      <c r="Y1369" s="10"/>
      <c r="Z1369" s="10"/>
      <c r="AA1369" s="10"/>
    </row>
    <row r="1370" spans="1:27" ht="12.5" hidden="1" x14ac:dyDescent="0.25">
      <c r="A1370" s="10" t="s">
        <v>112</v>
      </c>
      <c r="B1370" s="10" t="s">
        <v>1727</v>
      </c>
      <c r="C1370" s="10" t="s">
        <v>191</v>
      </c>
      <c r="D1370" s="11">
        <v>2024</v>
      </c>
      <c r="E1370" s="10" t="s">
        <v>124</v>
      </c>
      <c r="F1370" s="10" t="s">
        <v>125</v>
      </c>
      <c r="G1370" s="10" t="s">
        <v>84</v>
      </c>
      <c r="H1370" s="12">
        <v>1925</v>
      </c>
      <c r="I1370" s="11">
        <v>18</v>
      </c>
      <c r="J1370" s="11">
        <v>17</v>
      </c>
      <c r="K1370" s="11">
        <v>100</v>
      </c>
      <c r="L1370" s="11">
        <v>9.3510541581886698E-3</v>
      </c>
      <c r="M1370" s="11">
        <f t="shared" si="5"/>
        <v>0.93506493506493504</v>
      </c>
      <c r="N1370" s="11">
        <v>0.94444444444444398</v>
      </c>
      <c r="O1370" s="11">
        <v>5.1950300878825899E-2</v>
      </c>
      <c r="P1370" s="11">
        <v>0.20833333333333301</v>
      </c>
      <c r="Q1370" s="11">
        <v>0.2</v>
      </c>
      <c r="R1370" s="11">
        <v>0.19573643410852701</v>
      </c>
      <c r="S1370" s="10" t="s">
        <v>84</v>
      </c>
      <c r="T1370" s="10" t="s">
        <v>84</v>
      </c>
      <c r="U1370" s="10"/>
      <c r="V1370" s="10"/>
      <c r="W1370" s="10"/>
      <c r="X1370" s="10"/>
      <c r="Y1370" s="10"/>
      <c r="Z1370" s="10"/>
      <c r="AA1370" s="10"/>
    </row>
    <row r="1371" spans="1:27" ht="12.5" x14ac:dyDescent="0.25">
      <c r="A1371" s="10" t="s">
        <v>110</v>
      </c>
      <c r="B1371" s="10" t="s">
        <v>1511</v>
      </c>
      <c r="C1371" s="10" t="s">
        <v>76</v>
      </c>
      <c r="D1371" s="11">
        <v>2024</v>
      </c>
      <c r="E1371" s="10" t="s">
        <v>257</v>
      </c>
      <c r="F1371" s="10" t="s">
        <v>83</v>
      </c>
      <c r="G1371" s="10" t="s">
        <v>84</v>
      </c>
      <c r="H1371" s="11">
        <v>9120</v>
      </c>
      <c r="I1371" s="11">
        <v>84</v>
      </c>
      <c r="J1371" s="11">
        <v>56</v>
      </c>
      <c r="K1371" s="11">
        <v>5631</v>
      </c>
      <c r="L1371" s="11">
        <v>9.2108629701378002E-3</v>
      </c>
      <c r="M1371" s="11">
        <f t="shared" si="5"/>
        <v>0.92105263157894723</v>
      </c>
      <c r="N1371" s="11">
        <v>0.66666666666666696</v>
      </c>
      <c r="O1371" s="11">
        <v>0.61745677839102298</v>
      </c>
      <c r="P1371" s="11">
        <v>0.108108108108108</v>
      </c>
      <c r="Q1371" s="11">
        <v>0.15151515151515199</v>
      </c>
      <c r="R1371" s="11">
        <v>6.8181818181818205E-2</v>
      </c>
      <c r="S1371" s="10" t="s">
        <v>84</v>
      </c>
      <c r="T1371" s="10" t="s">
        <v>84</v>
      </c>
      <c r="U1371" s="10"/>
      <c r="V1371" s="10"/>
      <c r="W1371" s="10"/>
      <c r="X1371" s="10"/>
      <c r="Y1371" s="10"/>
      <c r="Z1371" s="10"/>
      <c r="AA1371" s="10"/>
    </row>
    <row r="1372" spans="1:27" ht="12.5" hidden="1" x14ac:dyDescent="0.25">
      <c r="A1372" s="10" t="s">
        <v>14</v>
      </c>
      <c r="B1372" s="10" t="s">
        <v>1728</v>
      </c>
      <c r="C1372" s="10" t="s">
        <v>191</v>
      </c>
      <c r="D1372" s="11">
        <v>2024</v>
      </c>
      <c r="E1372" s="10" t="s">
        <v>124</v>
      </c>
      <c r="F1372" s="10" t="s">
        <v>125</v>
      </c>
      <c r="G1372" s="10" t="s">
        <v>84</v>
      </c>
      <c r="H1372" s="12">
        <v>871.91666666666697</v>
      </c>
      <c r="I1372" s="11">
        <v>8</v>
      </c>
      <c r="J1372" s="11">
        <v>8</v>
      </c>
      <c r="K1372" s="11">
        <v>0</v>
      </c>
      <c r="L1372" s="11">
        <v>9.1751887603937696E-3</v>
      </c>
      <c r="M1372" s="11">
        <f t="shared" si="5"/>
        <v>0.91751887603937665</v>
      </c>
      <c r="N1372" s="11">
        <v>1</v>
      </c>
      <c r="O1372" s="11">
        <v>0</v>
      </c>
      <c r="P1372" s="11">
        <v>0.20588235294117599</v>
      </c>
      <c r="Q1372" s="11">
        <v>8.5106382978723402E-2</v>
      </c>
      <c r="R1372" s="11">
        <v>0.193798449612403</v>
      </c>
      <c r="S1372" s="10" t="s">
        <v>84</v>
      </c>
      <c r="T1372" s="10" t="s">
        <v>84</v>
      </c>
      <c r="U1372" s="10"/>
      <c r="V1372" s="10"/>
      <c r="W1372" s="10"/>
      <c r="X1372" s="10"/>
      <c r="Y1372" s="10"/>
      <c r="Z1372" s="10"/>
      <c r="AA1372" s="10"/>
    </row>
    <row r="1373" spans="1:27" ht="12.5" x14ac:dyDescent="0.25">
      <c r="A1373" s="10" t="s">
        <v>53</v>
      </c>
      <c r="B1373" s="10" t="s">
        <v>1252</v>
      </c>
      <c r="C1373" s="10" t="s">
        <v>76</v>
      </c>
      <c r="D1373" s="11">
        <v>2024</v>
      </c>
      <c r="E1373" s="10" t="s">
        <v>124</v>
      </c>
      <c r="F1373" s="10" t="s">
        <v>125</v>
      </c>
      <c r="G1373" s="10" t="s">
        <v>84</v>
      </c>
      <c r="H1373" s="11">
        <v>873</v>
      </c>
      <c r="I1373" s="11">
        <v>8</v>
      </c>
      <c r="J1373" s="11">
        <v>8</v>
      </c>
      <c r="K1373" s="11">
        <v>266</v>
      </c>
      <c r="L1373" s="11">
        <v>9.1690544412607392E-3</v>
      </c>
      <c r="M1373" s="11">
        <f t="shared" si="5"/>
        <v>0.91638029782359687</v>
      </c>
      <c r="N1373" s="11">
        <v>1</v>
      </c>
      <c r="O1373" s="11">
        <v>0.30487106017192001</v>
      </c>
      <c r="P1373" s="11">
        <v>0.107263513513514</v>
      </c>
      <c r="Q1373" s="11">
        <v>0.5</v>
      </c>
      <c r="R1373" s="11">
        <v>7.8299776286353498E-2</v>
      </c>
      <c r="S1373" s="10" t="s">
        <v>84</v>
      </c>
      <c r="T1373" s="10" t="s">
        <v>84</v>
      </c>
      <c r="U1373" s="10"/>
      <c r="V1373" s="10"/>
      <c r="W1373" s="10"/>
      <c r="X1373" s="10"/>
      <c r="Y1373" s="10"/>
      <c r="Z1373" s="10"/>
      <c r="AA1373" s="10"/>
    </row>
    <row r="1374" spans="1:27" ht="12.5" x14ac:dyDescent="0.25">
      <c r="A1374" s="10" t="s">
        <v>12</v>
      </c>
      <c r="B1374" s="10" t="s">
        <v>1226</v>
      </c>
      <c r="C1374" s="10" t="s">
        <v>76</v>
      </c>
      <c r="D1374" s="11">
        <v>2024</v>
      </c>
      <c r="E1374" s="10" t="s">
        <v>81</v>
      </c>
      <c r="F1374" s="10" t="s">
        <v>83</v>
      </c>
      <c r="G1374" s="10" t="s">
        <v>84</v>
      </c>
      <c r="H1374" s="11">
        <v>13157</v>
      </c>
      <c r="I1374" s="11">
        <v>120</v>
      </c>
      <c r="J1374" s="11">
        <v>11</v>
      </c>
      <c r="K1374" s="11">
        <v>8111</v>
      </c>
      <c r="L1374" s="11">
        <v>9.1205624346834702E-3</v>
      </c>
      <c r="M1374" s="11">
        <f t="shared" si="5"/>
        <v>0.91206202021737481</v>
      </c>
      <c r="N1374" s="11">
        <v>9.1666666666666702E-2</v>
      </c>
      <c r="O1374" s="11">
        <v>0.61647401589764705</v>
      </c>
      <c r="P1374" s="11">
        <v>0.106418918918919</v>
      </c>
      <c r="Q1374" s="11">
        <v>5.5555555555555601E-2</v>
      </c>
      <c r="R1374" s="11">
        <v>0.13953488372093001</v>
      </c>
      <c r="S1374" s="10" t="s">
        <v>84</v>
      </c>
      <c r="T1374" s="10" t="s">
        <v>84</v>
      </c>
      <c r="U1374" s="10"/>
      <c r="V1374" s="10"/>
      <c r="W1374" s="10"/>
      <c r="X1374" s="10"/>
      <c r="Y1374" s="10"/>
      <c r="Z1374" s="10"/>
      <c r="AA1374" s="10"/>
    </row>
    <row r="1375" spans="1:27" ht="12.5" hidden="1" x14ac:dyDescent="0.25">
      <c r="A1375" s="10" t="s">
        <v>16</v>
      </c>
      <c r="B1375" s="10" t="s">
        <v>1729</v>
      </c>
      <c r="C1375" s="10" t="s">
        <v>191</v>
      </c>
      <c r="D1375" s="11">
        <v>2024</v>
      </c>
      <c r="E1375" s="10" t="s">
        <v>124</v>
      </c>
      <c r="F1375" s="10" t="s">
        <v>125</v>
      </c>
      <c r="G1375" s="10" t="s">
        <v>84</v>
      </c>
      <c r="H1375" s="12">
        <v>3180</v>
      </c>
      <c r="I1375" s="11">
        <v>29</v>
      </c>
      <c r="J1375" s="11">
        <v>142</v>
      </c>
      <c r="K1375" s="11">
        <v>3987</v>
      </c>
      <c r="L1375" s="11">
        <v>9.11854103343465E-3</v>
      </c>
      <c r="M1375" s="11">
        <f t="shared" si="5"/>
        <v>0.91194968553459121</v>
      </c>
      <c r="N1375" s="11">
        <v>4.8965517241379297</v>
      </c>
      <c r="O1375" s="11">
        <v>1.25364217587255</v>
      </c>
      <c r="P1375" s="11">
        <v>0.20465686274509801</v>
      </c>
      <c r="Q1375" s="11">
        <v>8.3333333333333301E-2</v>
      </c>
      <c r="R1375" s="11">
        <v>0.19186046511627899</v>
      </c>
      <c r="S1375" s="10" t="s">
        <v>84</v>
      </c>
      <c r="T1375" s="10" t="s">
        <v>84</v>
      </c>
      <c r="U1375" s="10"/>
      <c r="V1375" s="10"/>
      <c r="W1375" s="10"/>
      <c r="X1375" s="10"/>
      <c r="Y1375" s="10"/>
      <c r="Z1375" s="10"/>
      <c r="AA1375" s="10"/>
    </row>
    <row r="1376" spans="1:27" ht="12.5" x14ac:dyDescent="0.25">
      <c r="A1376" s="10" t="s">
        <v>82</v>
      </c>
      <c r="B1376" s="10" t="s">
        <v>1255</v>
      </c>
      <c r="C1376" s="10" t="s">
        <v>76</v>
      </c>
      <c r="D1376" s="11">
        <v>2024</v>
      </c>
      <c r="E1376" s="10" t="s">
        <v>124</v>
      </c>
      <c r="F1376" s="10" t="s">
        <v>83</v>
      </c>
      <c r="G1376" s="10" t="s">
        <v>84</v>
      </c>
      <c r="H1376" s="11">
        <v>1101</v>
      </c>
      <c r="I1376" s="11">
        <v>10</v>
      </c>
      <c r="J1376" s="11">
        <v>9</v>
      </c>
      <c r="K1376" s="11">
        <v>554</v>
      </c>
      <c r="L1376" s="11">
        <v>9.0826521344232504E-3</v>
      </c>
      <c r="M1376" s="11">
        <f t="shared" si="5"/>
        <v>0.90826521344232525</v>
      </c>
      <c r="N1376" s="11">
        <v>0.9</v>
      </c>
      <c r="O1376" s="11">
        <v>0.50317892824704802</v>
      </c>
      <c r="P1376" s="11">
        <v>0.105574324324324</v>
      </c>
      <c r="Q1376" s="11">
        <v>0.22413793103448301</v>
      </c>
      <c r="R1376" s="11">
        <v>7.6062639821029093E-2</v>
      </c>
      <c r="S1376" s="10" t="s">
        <v>84</v>
      </c>
      <c r="T1376" s="10" t="s">
        <v>84</v>
      </c>
      <c r="U1376" s="10"/>
      <c r="V1376" s="10"/>
      <c r="W1376" s="10"/>
      <c r="X1376" s="10"/>
      <c r="Y1376" s="10"/>
      <c r="Z1376" s="10"/>
      <c r="AA1376" s="10"/>
    </row>
    <row r="1377" spans="1:27" ht="12.5" x14ac:dyDescent="0.25">
      <c r="A1377" s="10" t="s">
        <v>10</v>
      </c>
      <c r="B1377" s="10" t="s">
        <v>1228</v>
      </c>
      <c r="C1377" s="10" t="s">
        <v>76</v>
      </c>
      <c r="D1377" s="11">
        <v>2024</v>
      </c>
      <c r="E1377" s="10" t="s">
        <v>81</v>
      </c>
      <c r="F1377" s="10" t="s">
        <v>125</v>
      </c>
      <c r="G1377" s="10" t="s">
        <v>84</v>
      </c>
      <c r="H1377" s="11">
        <v>11945</v>
      </c>
      <c r="I1377" s="11">
        <v>108</v>
      </c>
      <c r="J1377" s="11">
        <v>102</v>
      </c>
      <c r="K1377" s="11">
        <v>4075</v>
      </c>
      <c r="L1377" s="11">
        <v>9.0414399330263698E-3</v>
      </c>
      <c r="M1377" s="11">
        <f t="shared" si="5"/>
        <v>0.90414399330263717</v>
      </c>
      <c r="N1377" s="11">
        <v>0.94444444444444398</v>
      </c>
      <c r="O1377" s="11">
        <v>0.34114692339891201</v>
      </c>
      <c r="P1377" s="11">
        <v>0.10472972972973001</v>
      </c>
      <c r="Q1377" s="11">
        <v>0.133333333333333</v>
      </c>
      <c r="R1377" s="11">
        <v>0.137596899224806</v>
      </c>
      <c r="S1377" s="10" t="s">
        <v>84</v>
      </c>
      <c r="T1377" s="10" t="s">
        <v>84</v>
      </c>
      <c r="U1377" s="10"/>
      <c r="V1377" s="10"/>
      <c r="W1377" s="10"/>
      <c r="X1377" s="10"/>
      <c r="Y1377" s="10"/>
      <c r="Z1377" s="10"/>
      <c r="AA1377" s="10"/>
    </row>
    <row r="1378" spans="1:27" ht="12.5" x14ac:dyDescent="0.25">
      <c r="A1378" s="10" t="s">
        <v>77</v>
      </c>
      <c r="B1378" s="10" t="s">
        <v>1231</v>
      </c>
      <c r="C1378" s="10" t="s">
        <v>76</v>
      </c>
      <c r="D1378" s="11">
        <v>2024</v>
      </c>
      <c r="E1378" s="10" t="s">
        <v>81</v>
      </c>
      <c r="F1378" s="10" t="s">
        <v>83</v>
      </c>
      <c r="G1378" s="10" t="s">
        <v>84</v>
      </c>
      <c r="H1378" s="11">
        <v>16303</v>
      </c>
      <c r="I1378" s="11">
        <v>147</v>
      </c>
      <c r="J1378" s="11">
        <v>156</v>
      </c>
      <c r="K1378" s="11">
        <v>1219</v>
      </c>
      <c r="L1378" s="11">
        <v>9.0166532064322891E-3</v>
      </c>
      <c r="M1378" s="11">
        <f t="shared" si="5"/>
        <v>0.9016745384285102</v>
      </c>
      <c r="N1378" s="11">
        <v>1.06122448979592</v>
      </c>
      <c r="O1378" s="11">
        <v>7.4770750058782004E-2</v>
      </c>
      <c r="P1378" s="11">
        <v>0.103885135135135</v>
      </c>
      <c r="Q1378" s="11">
        <v>3.5714285714285698E-2</v>
      </c>
      <c r="R1378" s="11">
        <v>0.135658914728682</v>
      </c>
      <c r="S1378" s="10" t="s">
        <v>84</v>
      </c>
      <c r="T1378" s="10" t="s">
        <v>84</v>
      </c>
      <c r="U1378" s="10"/>
      <c r="V1378" s="10"/>
      <c r="W1378" s="10"/>
      <c r="X1378" s="10"/>
      <c r="Y1378" s="10"/>
      <c r="Z1378" s="10"/>
      <c r="AA1378" s="10"/>
    </row>
    <row r="1379" spans="1:27" ht="12.5" x14ac:dyDescent="0.25">
      <c r="A1379" s="10" t="s">
        <v>91</v>
      </c>
      <c r="B1379" s="10" t="s">
        <v>1233</v>
      </c>
      <c r="C1379" s="10" t="s">
        <v>76</v>
      </c>
      <c r="D1379" s="11">
        <v>2024</v>
      </c>
      <c r="E1379" s="10" t="s">
        <v>81</v>
      </c>
      <c r="F1379" s="10" t="s">
        <v>83</v>
      </c>
      <c r="G1379" s="10" t="s">
        <v>84</v>
      </c>
      <c r="H1379" s="11">
        <v>20697</v>
      </c>
      <c r="I1379" s="11">
        <v>186</v>
      </c>
      <c r="J1379" s="11">
        <v>166</v>
      </c>
      <c r="K1379" s="11">
        <v>3278</v>
      </c>
      <c r="L1379" s="11">
        <v>8.9866287660698395E-3</v>
      </c>
      <c r="M1379" s="11">
        <f t="shared" si="5"/>
        <v>0.89868096825626909</v>
      </c>
      <c r="N1379" s="11">
        <v>0.89247311827956999</v>
      </c>
      <c r="O1379" s="11">
        <v>0.158377253199876</v>
      </c>
      <c r="P1379" s="11">
        <v>0.103040540540541</v>
      </c>
      <c r="Q1379" s="11">
        <v>0.133333333333333</v>
      </c>
      <c r="R1379" s="11">
        <v>0.13372093023255799</v>
      </c>
      <c r="S1379" s="10" t="s">
        <v>84</v>
      </c>
      <c r="T1379" s="10" t="s">
        <v>84</v>
      </c>
      <c r="U1379" s="10"/>
      <c r="V1379" s="10"/>
      <c r="W1379" s="10"/>
      <c r="X1379" s="10"/>
      <c r="Y1379" s="10"/>
      <c r="Z1379" s="10"/>
      <c r="AA1379" s="10"/>
    </row>
    <row r="1380" spans="1:27" ht="12.5" hidden="1" x14ac:dyDescent="0.25">
      <c r="A1380" s="10" t="s">
        <v>65</v>
      </c>
      <c r="B1380" s="10" t="s">
        <v>1730</v>
      </c>
      <c r="C1380" s="10" t="s">
        <v>191</v>
      </c>
      <c r="D1380" s="11">
        <v>2024</v>
      </c>
      <c r="E1380" s="10" t="s">
        <v>124</v>
      </c>
      <c r="F1380" s="10" t="s">
        <v>125</v>
      </c>
      <c r="G1380" s="10" t="s">
        <v>84</v>
      </c>
      <c r="H1380" s="12">
        <v>2793</v>
      </c>
      <c r="I1380" s="11">
        <v>25</v>
      </c>
      <c r="J1380" s="11">
        <v>25</v>
      </c>
      <c r="K1380" s="11">
        <v>1210</v>
      </c>
      <c r="L1380" s="11">
        <v>8.9512158734894806E-3</v>
      </c>
      <c r="M1380" s="11">
        <f t="shared" si="5"/>
        <v>0.89509488005728599</v>
      </c>
      <c r="N1380" s="11">
        <v>1</v>
      </c>
      <c r="O1380" s="11">
        <v>0.43323884827689102</v>
      </c>
      <c r="P1380" s="11">
        <v>0.19975490196078399</v>
      </c>
      <c r="Q1380" s="11">
        <v>0</v>
      </c>
      <c r="R1380" s="11">
        <v>0.18992248062015499</v>
      </c>
      <c r="S1380" s="10" t="s">
        <v>84</v>
      </c>
      <c r="T1380" s="10" t="s">
        <v>84</v>
      </c>
      <c r="U1380" s="10"/>
      <c r="V1380" s="10"/>
      <c r="W1380" s="10"/>
      <c r="X1380" s="10"/>
      <c r="Y1380" s="10"/>
      <c r="Z1380" s="10"/>
      <c r="AA1380" s="10"/>
    </row>
    <row r="1381" spans="1:27" ht="12.5" hidden="1" x14ac:dyDescent="0.25">
      <c r="A1381" s="10" t="s">
        <v>53</v>
      </c>
      <c r="B1381" s="10" t="s">
        <v>1731</v>
      </c>
      <c r="C1381" s="10" t="s">
        <v>191</v>
      </c>
      <c r="D1381" s="11">
        <v>2024</v>
      </c>
      <c r="E1381" s="10" t="s">
        <v>124</v>
      </c>
      <c r="F1381" s="10" t="s">
        <v>125</v>
      </c>
      <c r="G1381" s="10" t="s">
        <v>84</v>
      </c>
      <c r="H1381" s="12">
        <v>1343</v>
      </c>
      <c r="I1381" s="11">
        <v>12</v>
      </c>
      <c r="J1381" s="11">
        <v>8</v>
      </c>
      <c r="K1381" s="11">
        <v>2613</v>
      </c>
      <c r="L1381" s="11">
        <v>8.9368832619623906E-3</v>
      </c>
      <c r="M1381" s="11">
        <f t="shared" si="5"/>
        <v>0.89352196574832465</v>
      </c>
      <c r="N1381" s="11">
        <v>0.66666666666666696</v>
      </c>
      <c r="O1381" s="11">
        <v>1.9460063302923101</v>
      </c>
      <c r="P1381" s="11">
        <v>0.19852941176470601</v>
      </c>
      <c r="Q1381" s="11">
        <v>0.58064516129032295</v>
      </c>
      <c r="R1381" s="11">
        <v>0.18798449612403101</v>
      </c>
      <c r="S1381" s="10" t="s">
        <v>84</v>
      </c>
      <c r="T1381" s="10" t="s">
        <v>84</v>
      </c>
      <c r="U1381" s="10"/>
      <c r="V1381" s="10"/>
      <c r="W1381" s="10"/>
      <c r="X1381" s="10"/>
      <c r="Y1381" s="10"/>
      <c r="Z1381" s="10"/>
      <c r="AA1381" s="10"/>
    </row>
    <row r="1382" spans="1:27" ht="12.5" hidden="1" x14ac:dyDescent="0.25">
      <c r="A1382" s="10" t="s">
        <v>96</v>
      </c>
      <c r="B1382" s="10" t="s">
        <v>1732</v>
      </c>
      <c r="C1382" s="10" t="s">
        <v>191</v>
      </c>
      <c r="D1382" s="11">
        <v>2024</v>
      </c>
      <c r="E1382" s="10" t="s">
        <v>124</v>
      </c>
      <c r="F1382" s="10" t="s">
        <v>83</v>
      </c>
      <c r="G1382" s="10" t="s">
        <v>84</v>
      </c>
      <c r="H1382" s="12">
        <v>6718</v>
      </c>
      <c r="I1382" s="11">
        <v>60</v>
      </c>
      <c r="J1382" s="11">
        <v>36</v>
      </c>
      <c r="K1382" s="11">
        <v>4632</v>
      </c>
      <c r="L1382" s="11">
        <v>8.9312295325989898E-3</v>
      </c>
      <c r="M1382" s="11">
        <f t="shared" si="5"/>
        <v>0.89312295325989877</v>
      </c>
      <c r="N1382" s="11">
        <v>0.6</v>
      </c>
      <c r="O1382" s="11">
        <v>0.68949091991664202</v>
      </c>
      <c r="P1382" s="11">
        <v>0.197303921568627</v>
      </c>
      <c r="Q1382" s="11">
        <v>0</v>
      </c>
      <c r="R1382" s="11">
        <v>0.186046511627907</v>
      </c>
      <c r="S1382" s="10" t="s">
        <v>84</v>
      </c>
      <c r="T1382" s="10" t="s">
        <v>84</v>
      </c>
      <c r="U1382" s="10"/>
      <c r="V1382" s="10"/>
      <c r="W1382" s="10"/>
      <c r="X1382" s="10"/>
      <c r="Y1382" s="10"/>
      <c r="Z1382" s="10"/>
      <c r="AA1382" s="10"/>
    </row>
    <row r="1383" spans="1:27" ht="12.5" hidden="1" x14ac:dyDescent="0.25">
      <c r="A1383" s="10" t="s">
        <v>29</v>
      </c>
      <c r="B1383" s="10" t="s">
        <v>1733</v>
      </c>
      <c r="C1383" s="10" t="s">
        <v>191</v>
      </c>
      <c r="D1383" s="11">
        <v>2024</v>
      </c>
      <c r="E1383" s="10" t="s">
        <v>257</v>
      </c>
      <c r="F1383" s="10" t="s">
        <v>125</v>
      </c>
      <c r="G1383" s="10" t="s">
        <v>84</v>
      </c>
      <c r="H1383" s="12">
        <v>4484</v>
      </c>
      <c r="I1383" s="11">
        <v>40</v>
      </c>
      <c r="J1383" s="11">
        <v>22</v>
      </c>
      <c r="K1383" s="11">
        <v>561</v>
      </c>
      <c r="L1383" s="11">
        <v>8.9216014274562296E-3</v>
      </c>
      <c r="M1383" s="11">
        <f t="shared" si="5"/>
        <v>0.89206066012488849</v>
      </c>
      <c r="N1383" s="11">
        <v>0.55000000000000004</v>
      </c>
      <c r="O1383" s="11">
        <v>0.12512546002007399</v>
      </c>
      <c r="P1383" s="11">
        <v>0.19607843137254899</v>
      </c>
      <c r="Q1383" s="11">
        <v>0.12676056338028199</v>
      </c>
      <c r="R1383" s="11">
        <v>2.7777777777777801E-2</v>
      </c>
      <c r="S1383" s="10" t="s">
        <v>84</v>
      </c>
      <c r="T1383" s="10" t="s">
        <v>84</v>
      </c>
      <c r="U1383" s="10"/>
      <c r="V1383" s="10"/>
      <c r="W1383" s="10"/>
      <c r="X1383" s="10"/>
      <c r="Y1383" s="10"/>
      <c r="Z1383" s="10"/>
      <c r="AA1383" s="10"/>
    </row>
    <row r="1384" spans="1:27" ht="12.5" x14ac:dyDescent="0.25">
      <c r="A1384" s="10" t="s">
        <v>104</v>
      </c>
      <c r="B1384" s="10" t="s">
        <v>1234</v>
      </c>
      <c r="C1384" s="10" t="s">
        <v>76</v>
      </c>
      <c r="D1384" s="11">
        <v>2024</v>
      </c>
      <c r="E1384" s="10" t="s">
        <v>81</v>
      </c>
      <c r="F1384" s="10" t="s">
        <v>83</v>
      </c>
      <c r="G1384" s="10" t="s">
        <v>84</v>
      </c>
      <c r="H1384" s="11">
        <v>50010</v>
      </c>
      <c r="I1384" s="11">
        <v>446</v>
      </c>
      <c r="J1384" s="11">
        <v>309</v>
      </c>
      <c r="K1384" s="11">
        <v>1957</v>
      </c>
      <c r="L1384" s="11">
        <v>8.9182163567286497E-3</v>
      </c>
      <c r="M1384" s="11">
        <f t="shared" si="5"/>
        <v>0.89182163567286554</v>
      </c>
      <c r="N1384" s="11">
        <v>0.69282511210762299</v>
      </c>
      <c r="O1384" s="11">
        <v>3.91321735652869E-2</v>
      </c>
      <c r="P1384" s="11">
        <v>0.102195945945946</v>
      </c>
      <c r="Q1384" s="11">
        <v>6.8965517241379296E-2</v>
      </c>
      <c r="R1384" s="11">
        <v>0.13178294573643401</v>
      </c>
      <c r="S1384" s="10" t="s">
        <v>84</v>
      </c>
      <c r="T1384" s="10" t="s">
        <v>84</v>
      </c>
      <c r="U1384" s="10"/>
      <c r="V1384" s="10"/>
      <c r="W1384" s="10"/>
      <c r="X1384" s="10"/>
      <c r="Y1384" s="10"/>
      <c r="Z1384" s="10"/>
      <c r="AA1384" s="10"/>
    </row>
    <row r="1385" spans="1:27" ht="12.5" hidden="1" x14ac:dyDescent="0.25">
      <c r="A1385" s="10" t="s">
        <v>12</v>
      </c>
      <c r="B1385" s="10" t="s">
        <v>1734</v>
      </c>
      <c r="C1385" s="10" t="s">
        <v>191</v>
      </c>
      <c r="D1385" s="11">
        <v>2024</v>
      </c>
      <c r="E1385" s="10" t="s">
        <v>124</v>
      </c>
      <c r="F1385" s="10" t="s">
        <v>125</v>
      </c>
      <c r="G1385" s="10" t="s">
        <v>84</v>
      </c>
      <c r="H1385" s="12">
        <v>54730</v>
      </c>
      <c r="I1385" s="11">
        <v>487</v>
      </c>
      <c r="J1385" s="11">
        <v>341</v>
      </c>
      <c r="K1385" s="11">
        <v>108319</v>
      </c>
      <c r="L1385" s="11">
        <v>8.8981870172345299E-3</v>
      </c>
      <c r="M1385" s="11">
        <f t="shared" si="5"/>
        <v>0.88982276630732682</v>
      </c>
      <c r="N1385" s="11">
        <v>0.70020533880903502</v>
      </c>
      <c r="O1385" s="11">
        <v>1.9791431612316801</v>
      </c>
      <c r="P1385" s="11">
        <v>0.19485294117647101</v>
      </c>
      <c r="Q1385" s="11">
        <v>0.14285714285714299</v>
      </c>
      <c r="R1385" s="11">
        <v>0.184108527131783</v>
      </c>
      <c r="S1385" s="10" t="s">
        <v>84</v>
      </c>
      <c r="T1385" s="10" t="s">
        <v>84</v>
      </c>
      <c r="U1385" s="10"/>
      <c r="V1385" s="10"/>
      <c r="W1385" s="10"/>
      <c r="X1385" s="10"/>
      <c r="Y1385" s="10"/>
      <c r="Z1385" s="10"/>
      <c r="AA1385" s="10"/>
    </row>
    <row r="1386" spans="1:27" ht="12.5" hidden="1" x14ac:dyDescent="0.25">
      <c r="A1386" s="10" t="s">
        <v>29</v>
      </c>
      <c r="B1386" s="10" t="s">
        <v>1735</v>
      </c>
      <c r="C1386" s="10" t="s">
        <v>191</v>
      </c>
      <c r="D1386" s="11">
        <v>2024</v>
      </c>
      <c r="E1386" s="10" t="s">
        <v>124</v>
      </c>
      <c r="F1386" s="10" t="s">
        <v>125</v>
      </c>
      <c r="G1386" s="10" t="s">
        <v>84</v>
      </c>
      <c r="H1386" s="12">
        <v>9693</v>
      </c>
      <c r="I1386" s="11">
        <v>86</v>
      </c>
      <c r="J1386" s="11">
        <v>76</v>
      </c>
      <c r="K1386" s="11">
        <v>111</v>
      </c>
      <c r="L1386" s="11">
        <v>8.8720770288858303E-3</v>
      </c>
      <c r="M1386" s="11">
        <f t="shared" si="5"/>
        <v>0.88723821314350548</v>
      </c>
      <c r="N1386" s="11">
        <v>0.88372093023255804</v>
      </c>
      <c r="O1386" s="11">
        <v>1.1451169188445701E-2</v>
      </c>
      <c r="P1386" s="11">
        <v>0.193627450980392</v>
      </c>
      <c r="Q1386" s="11">
        <v>0.11267605633802801</v>
      </c>
      <c r="R1386" s="11">
        <v>0.18217054263565899</v>
      </c>
      <c r="S1386" s="10" t="s">
        <v>84</v>
      </c>
      <c r="T1386" s="10" t="s">
        <v>84</v>
      </c>
      <c r="U1386" s="10"/>
      <c r="V1386" s="10"/>
      <c r="W1386" s="10"/>
      <c r="X1386" s="10"/>
      <c r="Y1386" s="10"/>
      <c r="Z1386" s="10"/>
      <c r="AA1386" s="10"/>
    </row>
    <row r="1387" spans="1:27" ht="12.5" x14ac:dyDescent="0.25">
      <c r="A1387" s="10" t="s">
        <v>65</v>
      </c>
      <c r="B1387" s="10" t="s">
        <v>1236</v>
      </c>
      <c r="C1387" s="10" t="s">
        <v>76</v>
      </c>
      <c r="D1387" s="11">
        <v>2024</v>
      </c>
      <c r="E1387" s="10" t="s">
        <v>81</v>
      </c>
      <c r="F1387" s="10" t="s">
        <v>83</v>
      </c>
      <c r="G1387" s="10" t="s">
        <v>84</v>
      </c>
      <c r="H1387" s="11">
        <v>1016</v>
      </c>
      <c r="I1387" s="11">
        <v>9</v>
      </c>
      <c r="J1387" s="11">
        <v>7</v>
      </c>
      <c r="K1387" s="11">
        <v>119</v>
      </c>
      <c r="L1387" s="11">
        <v>8.8546363859965602E-3</v>
      </c>
      <c r="M1387" s="11">
        <f t="shared" si="5"/>
        <v>0.88582677165354329</v>
      </c>
      <c r="N1387" s="11">
        <v>0.77777777777777801</v>
      </c>
      <c r="O1387" s="11">
        <v>0.117077969992621</v>
      </c>
      <c r="P1387" s="11">
        <v>0.101351351351351</v>
      </c>
      <c r="Q1387" s="11">
        <v>0</v>
      </c>
      <c r="R1387" s="11">
        <v>0.12984496124031</v>
      </c>
      <c r="S1387" s="10" t="s">
        <v>84</v>
      </c>
      <c r="T1387" s="10" t="s">
        <v>84</v>
      </c>
      <c r="U1387" s="10"/>
      <c r="V1387" s="10"/>
      <c r="W1387" s="10"/>
      <c r="X1387" s="10"/>
      <c r="Y1387" s="10"/>
      <c r="Z1387" s="10"/>
      <c r="AA1387" s="10"/>
    </row>
    <row r="1388" spans="1:27" ht="12.5" hidden="1" x14ac:dyDescent="0.25">
      <c r="A1388" s="10" t="s">
        <v>34</v>
      </c>
      <c r="B1388" s="10" t="s">
        <v>1736</v>
      </c>
      <c r="C1388" s="10" t="s">
        <v>191</v>
      </c>
      <c r="D1388" s="11">
        <v>2024</v>
      </c>
      <c r="E1388" s="10" t="s">
        <v>124</v>
      </c>
      <c r="F1388" s="10" t="s">
        <v>83</v>
      </c>
      <c r="G1388" s="10" t="s">
        <v>84</v>
      </c>
      <c r="H1388" s="12">
        <v>9529</v>
      </c>
      <c r="I1388" s="11">
        <v>84</v>
      </c>
      <c r="J1388" s="11">
        <v>75</v>
      </c>
      <c r="K1388" s="11">
        <v>5903</v>
      </c>
      <c r="L1388" s="11">
        <v>8.8148873653281102E-3</v>
      </c>
      <c r="M1388" s="11">
        <f t="shared" si="5"/>
        <v>0.88151957183335083</v>
      </c>
      <c r="N1388" s="11">
        <v>0.89285714285714302</v>
      </c>
      <c r="O1388" s="11">
        <v>0.61945571568490299</v>
      </c>
      <c r="P1388" s="11">
        <v>0.19240196078431401</v>
      </c>
      <c r="Q1388" s="11">
        <v>0.42857142857142899</v>
      </c>
      <c r="R1388" s="11">
        <v>0.18023255813953501</v>
      </c>
      <c r="S1388" s="10" t="s">
        <v>84</v>
      </c>
      <c r="T1388" s="10" t="s">
        <v>84</v>
      </c>
      <c r="U1388" s="10"/>
      <c r="V1388" s="10"/>
      <c r="W1388" s="10"/>
      <c r="X1388" s="10"/>
      <c r="Y1388" s="10"/>
      <c r="Z1388" s="10"/>
      <c r="AA1388" s="10"/>
    </row>
    <row r="1389" spans="1:27" ht="12.5" x14ac:dyDescent="0.25">
      <c r="A1389" s="10" t="s">
        <v>14</v>
      </c>
      <c r="B1389" s="10" t="s">
        <v>292</v>
      </c>
      <c r="C1389" s="10" t="s">
        <v>76</v>
      </c>
      <c r="D1389" s="11">
        <v>2024</v>
      </c>
      <c r="E1389" s="10" t="s">
        <v>81</v>
      </c>
      <c r="F1389" s="10" t="s">
        <v>83</v>
      </c>
      <c r="G1389" s="10" t="s">
        <v>84</v>
      </c>
      <c r="H1389" s="11">
        <v>342</v>
      </c>
      <c r="I1389" s="11">
        <v>3</v>
      </c>
      <c r="J1389" s="11">
        <v>3</v>
      </c>
      <c r="K1389" s="11">
        <v>47</v>
      </c>
      <c r="L1389" s="11">
        <v>8.7719298245613996E-3</v>
      </c>
      <c r="M1389" s="11">
        <f t="shared" si="5"/>
        <v>0.8771929824561403</v>
      </c>
      <c r="N1389" s="11">
        <v>1</v>
      </c>
      <c r="O1389" s="11">
        <v>0.13742690058479501</v>
      </c>
      <c r="P1389" s="11">
        <v>0.10050675675675701</v>
      </c>
      <c r="Q1389" s="11">
        <v>0</v>
      </c>
      <c r="R1389" s="11">
        <v>0.127906976744186</v>
      </c>
      <c r="S1389" s="10" t="s">
        <v>84</v>
      </c>
      <c r="T1389" s="10" t="s">
        <v>84</v>
      </c>
      <c r="U1389" s="10"/>
      <c r="V1389" s="10"/>
      <c r="W1389" s="10"/>
      <c r="X1389" s="10"/>
      <c r="Y1389" s="10"/>
      <c r="Z1389" s="10"/>
      <c r="AA1389" s="10"/>
    </row>
    <row r="1390" spans="1:27" ht="12.5" x14ac:dyDescent="0.25">
      <c r="A1390" s="10" t="s">
        <v>53</v>
      </c>
      <c r="B1390" s="10" t="s">
        <v>1257</v>
      </c>
      <c r="C1390" s="10" t="s">
        <v>76</v>
      </c>
      <c r="D1390" s="11">
        <v>2024</v>
      </c>
      <c r="E1390" s="10" t="s">
        <v>124</v>
      </c>
      <c r="F1390" s="10" t="s">
        <v>125</v>
      </c>
      <c r="G1390" s="10" t="s">
        <v>84</v>
      </c>
      <c r="H1390" s="11">
        <v>583</v>
      </c>
      <c r="I1390" s="11">
        <v>5</v>
      </c>
      <c r="J1390" s="11">
        <v>5</v>
      </c>
      <c r="K1390" s="11">
        <v>2985</v>
      </c>
      <c r="L1390" s="11">
        <v>8.5775553967119399E-3</v>
      </c>
      <c r="M1390" s="11">
        <f t="shared" si="5"/>
        <v>0.85763293310463129</v>
      </c>
      <c r="N1390" s="11">
        <v>1</v>
      </c>
      <c r="O1390" s="11">
        <v>5.1208005718370302</v>
      </c>
      <c r="P1390" s="11">
        <v>9.9662162162162199E-2</v>
      </c>
      <c r="Q1390" s="11">
        <v>0.47499999999999998</v>
      </c>
      <c r="R1390" s="11">
        <v>7.3825503355704702E-2</v>
      </c>
      <c r="S1390" s="10" t="s">
        <v>84</v>
      </c>
      <c r="T1390" s="10" t="s">
        <v>84</v>
      </c>
      <c r="U1390" s="10"/>
      <c r="V1390" s="10"/>
      <c r="W1390" s="10"/>
      <c r="X1390" s="10"/>
      <c r="Y1390" s="10"/>
      <c r="Z1390" s="10"/>
      <c r="AA1390" s="10"/>
    </row>
    <row r="1391" spans="1:27" ht="12.5" hidden="1" x14ac:dyDescent="0.25">
      <c r="A1391" s="10" t="s">
        <v>77</v>
      </c>
      <c r="B1391" s="10" t="s">
        <v>1737</v>
      </c>
      <c r="C1391" s="10" t="s">
        <v>191</v>
      </c>
      <c r="D1391" s="11">
        <v>2024</v>
      </c>
      <c r="E1391" s="10" t="s">
        <v>124</v>
      </c>
      <c r="F1391" s="10" t="s">
        <v>125</v>
      </c>
      <c r="G1391" s="10" t="s">
        <v>84</v>
      </c>
      <c r="H1391" s="12">
        <v>470.25</v>
      </c>
      <c r="I1391" s="11">
        <v>4</v>
      </c>
      <c r="J1391" s="11">
        <v>2</v>
      </c>
      <c r="K1391" s="11">
        <v>8</v>
      </c>
      <c r="L1391" s="11">
        <v>8.5061137692716594E-3</v>
      </c>
      <c r="M1391" s="11">
        <f t="shared" si="5"/>
        <v>0.85061137692716648</v>
      </c>
      <c r="N1391" s="11">
        <v>0.5</v>
      </c>
      <c r="O1391" s="11">
        <v>1.7012227538543302E-2</v>
      </c>
      <c r="P1391" s="11">
        <v>0.18995098039215699</v>
      </c>
      <c r="Q1391" s="11">
        <v>0.217391304347826</v>
      </c>
      <c r="R1391" s="11">
        <v>0.178294573643411</v>
      </c>
      <c r="S1391" s="10" t="s">
        <v>84</v>
      </c>
      <c r="T1391" s="10" t="s">
        <v>84</v>
      </c>
      <c r="U1391" s="10"/>
      <c r="V1391" s="10"/>
      <c r="W1391" s="10"/>
      <c r="X1391" s="10"/>
      <c r="Y1391" s="10"/>
      <c r="Z1391" s="10"/>
      <c r="AA1391" s="10"/>
    </row>
    <row r="1392" spans="1:27" ht="12.5" x14ac:dyDescent="0.25">
      <c r="A1392" s="10" t="s">
        <v>55</v>
      </c>
      <c r="B1392" s="10" t="s">
        <v>1259</v>
      </c>
      <c r="C1392" s="10" t="s">
        <v>76</v>
      </c>
      <c r="D1392" s="11">
        <v>2024</v>
      </c>
      <c r="E1392" s="10" t="s">
        <v>124</v>
      </c>
      <c r="F1392" s="10" t="s">
        <v>125</v>
      </c>
      <c r="G1392" s="10" t="s">
        <v>84</v>
      </c>
      <c r="H1392" s="11">
        <v>1060</v>
      </c>
      <c r="I1392" s="11">
        <v>9</v>
      </c>
      <c r="J1392" s="11">
        <v>9</v>
      </c>
      <c r="K1392" s="11">
        <v>347</v>
      </c>
      <c r="L1392" s="11">
        <v>8.4878968877711396E-3</v>
      </c>
      <c r="M1392" s="11">
        <f t="shared" si="5"/>
        <v>0.84905660377358494</v>
      </c>
      <c r="N1392" s="11">
        <v>1</v>
      </c>
      <c r="O1392" s="11">
        <v>0.32725558000628702</v>
      </c>
      <c r="P1392" s="11">
        <v>9.8817567567567599E-2</v>
      </c>
      <c r="Q1392" s="11">
        <v>9.0909090909090898E-2</v>
      </c>
      <c r="R1392" s="11">
        <v>7.1588366890380298E-2</v>
      </c>
      <c r="S1392" s="10" t="s">
        <v>84</v>
      </c>
      <c r="T1392" s="10" t="s">
        <v>84</v>
      </c>
      <c r="U1392" s="10"/>
      <c r="V1392" s="10"/>
      <c r="W1392" s="10"/>
      <c r="X1392" s="10"/>
      <c r="Y1392" s="10"/>
      <c r="Z1392" s="10"/>
      <c r="AA1392" s="10"/>
    </row>
    <row r="1393" spans="1:27" ht="12.5" hidden="1" x14ac:dyDescent="0.25">
      <c r="A1393" s="10" t="s">
        <v>34</v>
      </c>
      <c r="B1393" s="10" t="s">
        <v>1738</v>
      </c>
      <c r="C1393" s="10" t="s">
        <v>191</v>
      </c>
      <c r="D1393" s="11">
        <v>2024</v>
      </c>
      <c r="E1393" s="10" t="s">
        <v>124</v>
      </c>
      <c r="F1393" s="10" t="s">
        <v>125</v>
      </c>
      <c r="G1393" s="10" t="s">
        <v>84</v>
      </c>
      <c r="H1393" s="12">
        <v>478</v>
      </c>
      <c r="I1393" s="11">
        <v>4</v>
      </c>
      <c r="J1393" s="11">
        <v>3</v>
      </c>
      <c r="K1393" s="11">
        <v>29</v>
      </c>
      <c r="L1393" s="11">
        <v>8.3682008368200795E-3</v>
      </c>
      <c r="M1393" s="11">
        <f t="shared" si="5"/>
        <v>0.83682008368200833</v>
      </c>
      <c r="N1393" s="11">
        <v>0.75</v>
      </c>
      <c r="O1393" s="11">
        <v>6.0669456066945598E-2</v>
      </c>
      <c r="P1393" s="11">
        <v>0.18627450980392199</v>
      </c>
      <c r="Q1393" s="11">
        <v>0.35714285714285698</v>
      </c>
      <c r="R1393" s="11">
        <v>0.176356589147287</v>
      </c>
      <c r="S1393" s="10" t="s">
        <v>84</v>
      </c>
      <c r="T1393" s="10" t="s">
        <v>84</v>
      </c>
      <c r="U1393" s="10"/>
      <c r="V1393" s="10"/>
      <c r="W1393" s="10"/>
      <c r="X1393" s="10"/>
      <c r="Y1393" s="10"/>
      <c r="Z1393" s="10"/>
      <c r="AA1393" s="10"/>
    </row>
    <row r="1394" spans="1:27" ht="12.5" x14ac:dyDescent="0.25">
      <c r="A1394" s="10" t="s">
        <v>34</v>
      </c>
      <c r="B1394" s="10" t="s">
        <v>1262</v>
      </c>
      <c r="C1394" s="10" t="s">
        <v>76</v>
      </c>
      <c r="D1394" s="11">
        <v>2024</v>
      </c>
      <c r="E1394" s="10" t="s">
        <v>124</v>
      </c>
      <c r="F1394" s="10" t="s">
        <v>125</v>
      </c>
      <c r="G1394" s="10" t="s">
        <v>84</v>
      </c>
      <c r="H1394" s="11">
        <v>359</v>
      </c>
      <c r="I1394" s="11">
        <v>3</v>
      </c>
      <c r="J1394" s="11">
        <v>1</v>
      </c>
      <c r="K1394" s="11">
        <v>12</v>
      </c>
      <c r="L1394" s="11">
        <v>8.3565459610027894E-3</v>
      </c>
      <c r="M1394" s="11">
        <f t="shared" si="5"/>
        <v>0.83565459610027859</v>
      </c>
      <c r="N1394" s="11">
        <v>0.33333333333333298</v>
      </c>
      <c r="O1394" s="11">
        <v>3.3426183844011102E-2</v>
      </c>
      <c r="P1394" s="11">
        <v>9.7972972972972999E-2</v>
      </c>
      <c r="Q1394" s="11">
        <v>0.22448979591836701</v>
      </c>
      <c r="R1394" s="11">
        <v>6.9351230425055893E-2</v>
      </c>
      <c r="S1394" s="10" t="s">
        <v>84</v>
      </c>
      <c r="T1394" s="10" t="s">
        <v>84</v>
      </c>
      <c r="U1394" s="10"/>
      <c r="V1394" s="10"/>
      <c r="W1394" s="10"/>
      <c r="X1394" s="10"/>
      <c r="Y1394" s="10"/>
      <c r="Z1394" s="10"/>
      <c r="AA1394" s="10"/>
    </row>
    <row r="1395" spans="1:27" ht="12.5" hidden="1" x14ac:dyDescent="0.25">
      <c r="A1395" s="10" t="s">
        <v>6</v>
      </c>
      <c r="B1395" s="10" t="s">
        <v>1739</v>
      </c>
      <c r="C1395" s="10" t="s">
        <v>191</v>
      </c>
      <c r="D1395" s="11">
        <v>2024</v>
      </c>
      <c r="E1395" s="10" t="s">
        <v>124</v>
      </c>
      <c r="F1395" s="10" t="s">
        <v>125</v>
      </c>
      <c r="G1395" s="10" t="s">
        <v>84</v>
      </c>
      <c r="H1395" s="12">
        <v>3953</v>
      </c>
      <c r="I1395" s="11">
        <v>33</v>
      </c>
      <c r="J1395" s="11">
        <v>24</v>
      </c>
      <c r="K1395" s="11">
        <v>5739</v>
      </c>
      <c r="L1395" s="11">
        <v>8.3472102190088708E-3</v>
      </c>
      <c r="M1395" s="11">
        <f t="shared" si="5"/>
        <v>0.83480900581836581</v>
      </c>
      <c r="N1395" s="11">
        <v>0.72727272727272696</v>
      </c>
      <c r="O1395" s="11">
        <v>1.45165574081491</v>
      </c>
      <c r="P1395" s="11">
        <v>0.183823529411765</v>
      </c>
      <c r="Q1395" s="11">
        <v>0.3</v>
      </c>
      <c r="R1395" s="11">
        <v>0.17441860465116299</v>
      </c>
      <c r="S1395" s="10" t="s">
        <v>84</v>
      </c>
      <c r="T1395" s="10" t="s">
        <v>84</v>
      </c>
      <c r="U1395" s="10"/>
      <c r="V1395" s="10"/>
      <c r="W1395" s="10"/>
      <c r="X1395" s="10"/>
      <c r="Y1395" s="10"/>
      <c r="Z1395" s="10"/>
      <c r="AA1395" s="10"/>
    </row>
    <row r="1396" spans="1:27" ht="12.5" x14ac:dyDescent="0.25">
      <c r="A1396" s="10" t="s">
        <v>82</v>
      </c>
      <c r="B1396" s="10" t="s">
        <v>1168</v>
      </c>
      <c r="C1396" s="10" t="s">
        <v>76</v>
      </c>
      <c r="D1396" s="11">
        <v>2024</v>
      </c>
      <c r="E1396" s="10" t="s">
        <v>81</v>
      </c>
      <c r="F1396" s="10" t="s">
        <v>83</v>
      </c>
      <c r="G1396" s="10" t="s">
        <v>84</v>
      </c>
      <c r="H1396" s="11">
        <v>5539</v>
      </c>
      <c r="I1396" s="11">
        <v>46</v>
      </c>
      <c r="J1396" s="11">
        <v>27</v>
      </c>
      <c r="K1396" s="11">
        <v>1923</v>
      </c>
      <c r="L1396" s="11">
        <v>8.3051229970661292E-3</v>
      </c>
      <c r="M1396" s="11">
        <f t="shared" si="5"/>
        <v>0.83047481494854658</v>
      </c>
      <c r="N1396" s="11">
        <v>0.58695652173913004</v>
      </c>
      <c r="O1396" s="11">
        <v>0.34719025050778601</v>
      </c>
      <c r="P1396" s="11">
        <v>9.7128378378378399E-2</v>
      </c>
      <c r="Q1396" s="11">
        <v>0.20689655172413801</v>
      </c>
      <c r="R1396" s="11">
        <v>0.12596899224806199</v>
      </c>
      <c r="S1396" s="10" t="s">
        <v>84</v>
      </c>
      <c r="T1396" s="10" t="s">
        <v>84</v>
      </c>
      <c r="U1396" s="10"/>
      <c r="V1396" s="10"/>
      <c r="W1396" s="10"/>
      <c r="X1396" s="10"/>
      <c r="Y1396" s="10"/>
      <c r="Z1396" s="10"/>
      <c r="AA1396" s="10"/>
    </row>
    <row r="1397" spans="1:27" ht="12.5" x14ac:dyDescent="0.25">
      <c r="A1397" s="10" t="s">
        <v>29</v>
      </c>
      <c r="B1397" s="10" t="s">
        <v>1240</v>
      </c>
      <c r="C1397" s="10" t="s">
        <v>76</v>
      </c>
      <c r="D1397" s="11">
        <v>2024</v>
      </c>
      <c r="E1397" s="10" t="s">
        <v>81</v>
      </c>
      <c r="F1397" s="10" t="s">
        <v>83</v>
      </c>
      <c r="G1397" s="10" t="s">
        <v>84</v>
      </c>
      <c r="H1397" s="11">
        <v>71335</v>
      </c>
      <c r="I1397" s="11">
        <v>592</v>
      </c>
      <c r="J1397" s="11">
        <v>64</v>
      </c>
      <c r="K1397" s="11">
        <v>94778</v>
      </c>
      <c r="L1397" s="11">
        <v>8.2988715216934204E-3</v>
      </c>
      <c r="M1397" s="11">
        <f t="shared" si="5"/>
        <v>0.82988715216934184</v>
      </c>
      <c r="N1397" s="11">
        <v>0.108108108108108</v>
      </c>
      <c r="O1397" s="11">
        <v>1.32863250858625</v>
      </c>
      <c r="P1397" s="11">
        <v>9.62837837837838E-2</v>
      </c>
      <c r="Q1397" s="11">
        <v>0</v>
      </c>
      <c r="R1397" s="11">
        <v>0.124031007751938</v>
      </c>
      <c r="S1397" s="10" t="s">
        <v>84</v>
      </c>
      <c r="T1397" s="10" t="s">
        <v>84</v>
      </c>
      <c r="U1397" s="10"/>
      <c r="V1397" s="10"/>
      <c r="W1397" s="10"/>
      <c r="X1397" s="10"/>
      <c r="Y1397" s="10"/>
      <c r="Z1397" s="10"/>
      <c r="AA1397" s="10"/>
    </row>
    <row r="1398" spans="1:27" ht="12.5" hidden="1" x14ac:dyDescent="0.25">
      <c r="A1398" s="10" t="s">
        <v>34</v>
      </c>
      <c r="B1398" s="10" t="s">
        <v>1740</v>
      </c>
      <c r="C1398" s="10" t="s">
        <v>191</v>
      </c>
      <c r="D1398" s="11">
        <v>2024</v>
      </c>
      <c r="E1398" s="10" t="s">
        <v>124</v>
      </c>
      <c r="F1398" s="10" t="s">
        <v>125</v>
      </c>
      <c r="G1398" s="10" t="s">
        <v>84</v>
      </c>
      <c r="H1398" s="12">
        <v>604.25</v>
      </c>
      <c r="I1398" s="11">
        <v>5</v>
      </c>
      <c r="J1398" s="11">
        <v>5</v>
      </c>
      <c r="K1398" s="11">
        <v>41</v>
      </c>
      <c r="L1398" s="11">
        <v>8.2747207281754203E-3</v>
      </c>
      <c r="M1398" s="11">
        <f t="shared" si="5"/>
        <v>0.82747207281754243</v>
      </c>
      <c r="N1398" s="11">
        <v>1</v>
      </c>
      <c r="O1398" s="11">
        <v>6.7852709971038497E-2</v>
      </c>
      <c r="P1398" s="11">
        <v>0.18259803921568599</v>
      </c>
      <c r="Q1398" s="11">
        <v>0.32142857142857101</v>
      </c>
      <c r="R1398" s="11">
        <v>0.17248062015503901</v>
      </c>
      <c r="S1398" s="10" t="s">
        <v>84</v>
      </c>
      <c r="T1398" s="10" t="s">
        <v>84</v>
      </c>
      <c r="U1398" s="10"/>
      <c r="V1398" s="10"/>
      <c r="W1398" s="10"/>
      <c r="X1398" s="10"/>
      <c r="Y1398" s="10"/>
      <c r="Z1398" s="10"/>
      <c r="AA1398" s="10"/>
    </row>
    <row r="1399" spans="1:27" ht="12.5" hidden="1" x14ac:dyDescent="0.25">
      <c r="A1399" s="10" t="s">
        <v>29</v>
      </c>
      <c r="B1399" s="10" t="s">
        <v>1741</v>
      </c>
      <c r="C1399" s="10" t="s">
        <v>191</v>
      </c>
      <c r="D1399" s="11">
        <v>2024</v>
      </c>
      <c r="E1399" s="10" t="s">
        <v>124</v>
      </c>
      <c r="F1399" s="10" t="s">
        <v>125</v>
      </c>
      <c r="G1399" s="10" t="s">
        <v>84</v>
      </c>
      <c r="H1399" s="12">
        <v>3386</v>
      </c>
      <c r="I1399" s="11">
        <v>28</v>
      </c>
      <c r="J1399" s="11">
        <v>27</v>
      </c>
      <c r="K1399" s="11">
        <v>52</v>
      </c>
      <c r="L1399" s="11">
        <v>8.2705656476148304E-3</v>
      </c>
      <c r="M1399" s="11">
        <f t="shared" si="5"/>
        <v>0.8269344359125812</v>
      </c>
      <c r="N1399" s="11">
        <v>0.96428571428571397</v>
      </c>
      <c r="O1399" s="11">
        <v>1.5359621916999E-2</v>
      </c>
      <c r="P1399" s="11">
        <v>0.181372549019608</v>
      </c>
      <c r="Q1399" s="11">
        <v>9.85915492957746E-2</v>
      </c>
      <c r="R1399" s="11">
        <v>0.170542635658915</v>
      </c>
      <c r="S1399" s="10" t="s">
        <v>84</v>
      </c>
      <c r="T1399" s="10" t="s">
        <v>84</v>
      </c>
      <c r="U1399" s="10"/>
      <c r="V1399" s="10"/>
      <c r="W1399" s="10"/>
      <c r="X1399" s="10"/>
      <c r="Y1399" s="10"/>
      <c r="Z1399" s="10"/>
      <c r="AA1399" s="10"/>
    </row>
    <row r="1400" spans="1:27" ht="12.5" x14ac:dyDescent="0.25">
      <c r="A1400" s="10" t="s">
        <v>12</v>
      </c>
      <c r="B1400" s="10" t="s">
        <v>1243</v>
      </c>
      <c r="C1400" s="10" t="s">
        <v>76</v>
      </c>
      <c r="D1400" s="11">
        <v>2024</v>
      </c>
      <c r="E1400" s="10" t="s">
        <v>81</v>
      </c>
      <c r="F1400" s="10" t="s">
        <v>83</v>
      </c>
      <c r="G1400" s="10" t="s">
        <v>84</v>
      </c>
      <c r="H1400" s="11">
        <v>3912</v>
      </c>
      <c r="I1400" s="11">
        <v>32</v>
      </c>
      <c r="J1400" s="11">
        <v>28</v>
      </c>
      <c r="K1400" s="11">
        <v>544</v>
      </c>
      <c r="L1400" s="11">
        <v>8.1796106164529498E-3</v>
      </c>
      <c r="M1400" s="11">
        <f t="shared" si="5"/>
        <v>0.81799591002045002</v>
      </c>
      <c r="N1400" s="11">
        <v>0.875</v>
      </c>
      <c r="O1400" s="11">
        <v>0.13905338047970001</v>
      </c>
      <c r="P1400" s="11">
        <v>9.54391891891892E-2</v>
      </c>
      <c r="Q1400" s="11">
        <v>4.1666666666666699E-2</v>
      </c>
      <c r="R1400" s="11">
        <v>0.122093023255814</v>
      </c>
      <c r="S1400" s="10" t="s">
        <v>84</v>
      </c>
      <c r="T1400" s="10" t="s">
        <v>84</v>
      </c>
      <c r="U1400" s="10"/>
      <c r="V1400" s="10"/>
      <c r="W1400" s="10"/>
      <c r="X1400" s="10"/>
      <c r="Y1400" s="10"/>
      <c r="Z1400" s="10"/>
      <c r="AA1400" s="10"/>
    </row>
    <row r="1401" spans="1:27" ht="12.5" x14ac:dyDescent="0.25">
      <c r="A1401" s="10" t="s">
        <v>82</v>
      </c>
      <c r="B1401" s="10" t="s">
        <v>1264</v>
      </c>
      <c r="C1401" s="10" t="s">
        <v>76</v>
      </c>
      <c r="D1401" s="11">
        <v>2024</v>
      </c>
      <c r="E1401" s="10" t="s">
        <v>124</v>
      </c>
      <c r="F1401" s="10" t="s">
        <v>83</v>
      </c>
      <c r="G1401" s="10" t="s">
        <v>84</v>
      </c>
      <c r="H1401" s="11">
        <v>2337</v>
      </c>
      <c r="I1401" s="11">
        <v>19</v>
      </c>
      <c r="J1401" s="11">
        <v>16</v>
      </c>
      <c r="K1401" s="11">
        <v>494</v>
      </c>
      <c r="L1401" s="11">
        <v>8.1306611511304493E-3</v>
      </c>
      <c r="M1401" s="11">
        <f t="shared" si="5"/>
        <v>0.81300813008130091</v>
      </c>
      <c r="N1401" s="11">
        <v>0.84210526315789502</v>
      </c>
      <c r="O1401" s="11">
        <v>0.21139718992939199</v>
      </c>
      <c r="P1401" s="11">
        <v>9.45945945945946E-2</v>
      </c>
      <c r="Q1401" s="11">
        <v>0.18965517241379301</v>
      </c>
      <c r="R1401" s="11">
        <v>6.7114093959731502E-2</v>
      </c>
      <c r="S1401" s="10" t="s">
        <v>84</v>
      </c>
      <c r="T1401" s="10" t="s">
        <v>84</v>
      </c>
      <c r="U1401" s="10"/>
      <c r="V1401" s="10"/>
      <c r="W1401" s="10"/>
      <c r="X1401" s="10"/>
      <c r="Y1401" s="10"/>
      <c r="Z1401" s="10"/>
      <c r="AA1401" s="10"/>
    </row>
    <row r="1402" spans="1:27" ht="12.5" x14ac:dyDescent="0.25">
      <c r="A1402" s="10" t="s">
        <v>53</v>
      </c>
      <c r="B1402" s="10" t="s">
        <v>1268</v>
      </c>
      <c r="C1402" s="10" t="s">
        <v>76</v>
      </c>
      <c r="D1402" s="11">
        <v>2024</v>
      </c>
      <c r="E1402" s="10" t="s">
        <v>124</v>
      </c>
      <c r="F1402" s="10" t="s">
        <v>125</v>
      </c>
      <c r="G1402" s="10" t="s">
        <v>84</v>
      </c>
      <c r="H1402" s="11">
        <v>622</v>
      </c>
      <c r="I1402" s="11">
        <v>5</v>
      </c>
      <c r="J1402" s="11">
        <v>5</v>
      </c>
      <c r="K1402" s="11">
        <v>30</v>
      </c>
      <c r="L1402" s="11">
        <v>8.0418174507438708E-3</v>
      </c>
      <c r="M1402" s="11">
        <f t="shared" si="5"/>
        <v>0.8038585209003215</v>
      </c>
      <c r="N1402" s="11">
        <v>1</v>
      </c>
      <c r="O1402" s="11">
        <v>4.82509047044632E-2</v>
      </c>
      <c r="P1402" s="11">
        <v>9.375E-2</v>
      </c>
      <c r="Q1402" s="11">
        <v>0.45</v>
      </c>
      <c r="R1402" s="11">
        <v>6.4876957494407195E-2</v>
      </c>
      <c r="S1402" s="10" t="s">
        <v>84</v>
      </c>
      <c r="T1402" s="10" t="s">
        <v>84</v>
      </c>
      <c r="U1402" s="10"/>
      <c r="V1402" s="10"/>
      <c r="W1402" s="10"/>
      <c r="X1402" s="10"/>
      <c r="Y1402" s="10"/>
      <c r="Z1402" s="10"/>
      <c r="AA1402" s="10"/>
    </row>
    <row r="1403" spans="1:27" ht="12.5" x14ac:dyDescent="0.25">
      <c r="A1403" s="10" t="s">
        <v>34</v>
      </c>
      <c r="B1403" s="10" t="s">
        <v>1245</v>
      </c>
      <c r="C1403" s="10" t="s">
        <v>76</v>
      </c>
      <c r="D1403" s="11">
        <v>2024</v>
      </c>
      <c r="E1403" s="10" t="s">
        <v>81</v>
      </c>
      <c r="F1403" s="10" t="s">
        <v>83</v>
      </c>
      <c r="G1403" s="10" t="s">
        <v>84</v>
      </c>
      <c r="H1403" s="11">
        <v>44641</v>
      </c>
      <c r="I1403" s="11">
        <v>357</v>
      </c>
      <c r="J1403" s="11">
        <v>309</v>
      </c>
      <c r="K1403" s="11">
        <v>16653</v>
      </c>
      <c r="L1403" s="11">
        <v>7.9971476093494195E-3</v>
      </c>
      <c r="M1403" s="11">
        <f t="shared" si="5"/>
        <v>0.79971326807195176</v>
      </c>
      <c r="N1403" s="11">
        <v>0.86554621848739499</v>
      </c>
      <c r="O1403" s="11">
        <v>0.37304341495377003</v>
      </c>
      <c r="P1403" s="11">
        <v>9.29054054054054E-2</v>
      </c>
      <c r="Q1403" s="11">
        <v>0.20408163265306101</v>
      </c>
      <c r="R1403" s="11">
        <v>0.12015503875969</v>
      </c>
      <c r="S1403" s="10" t="s">
        <v>84</v>
      </c>
      <c r="T1403" s="10" t="s">
        <v>84</v>
      </c>
      <c r="U1403" s="10"/>
      <c r="V1403" s="10"/>
      <c r="W1403" s="10"/>
      <c r="X1403" s="10"/>
      <c r="Y1403" s="10"/>
      <c r="Z1403" s="10"/>
      <c r="AA1403" s="10"/>
    </row>
    <row r="1404" spans="1:27" ht="12.5" x14ac:dyDescent="0.25">
      <c r="A1404" s="10" t="s">
        <v>82</v>
      </c>
      <c r="B1404" s="10" t="s">
        <v>1093</v>
      </c>
      <c r="C1404" s="10" t="s">
        <v>76</v>
      </c>
      <c r="D1404" s="11">
        <v>2024</v>
      </c>
      <c r="E1404" s="10" t="s">
        <v>81</v>
      </c>
      <c r="F1404" s="10" t="s">
        <v>83</v>
      </c>
      <c r="G1404" s="10" t="s">
        <v>84</v>
      </c>
      <c r="H1404" s="11">
        <v>7310</v>
      </c>
      <c r="I1404" s="11">
        <v>58</v>
      </c>
      <c r="J1404" s="11">
        <v>54</v>
      </c>
      <c r="K1404" s="11">
        <v>58</v>
      </c>
      <c r="L1404" s="11">
        <v>7.9346078867266294E-3</v>
      </c>
      <c r="M1404" s="11">
        <f t="shared" si="5"/>
        <v>0.79343365253077969</v>
      </c>
      <c r="N1404" s="11">
        <v>0.931034482758621</v>
      </c>
      <c r="O1404" s="11">
        <v>7.9346078867266294E-3</v>
      </c>
      <c r="P1404" s="11">
        <v>9.20608108108108E-2</v>
      </c>
      <c r="Q1404" s="11">
        <v>0.17241379310344801</v>
      </c>
      <c r="R1404" s="11">
        <v>0.118217054263566</v>
      </c>
      <c r="S1404" s="10" t="s">
        <v>84</v>
      </c>
      <c r="T1404" s="10" t="s">
        <v>84</v>
      </c>
      <c r="U1404" s="10"/>
      <c r="V1404" s="10"/>
      <c r="W1404" s="10"/>
      <c r="X1404" s="10"/>
      <c r="Y1404" s="10"/>
      <c r="Z1404" s="10"/>
      <c r="AA1404" s="10"/>
    </row>
    <row r="1405" spans="1:27" ht="12.5" x14ac:dyDescent="0.25">
      <c r="A1405" s="10" t="s">
        <v>82</v>
      </c>
      <c r="B1405" s="10" t="s">
        <v>1270</v>
      </c>
      <c r="C1405" s="10" t="s">
        <v>76</v>
      </c>
      <c r="D1405" s="11">
        <v>2024</v>
      </c>
      <c r="E1405" s="10" t="s">
        <v>124</v>
      </c>
      <c r="F1405" s="10" t="s">
        <v>83</v>
      </c>
      <c r="G1405" s="10" t="s">
        <v>84</v>
      </c>
      <c r="H1405" s="11">
        <v>1649</v>
      </c>
      <c r="I1405" s="11">
        <v>13</v>
      </c>
      <c r="J1405" s="11">
        <v>13</v>
      </c>
      <c r="K1405" s="11">
        <v>387</v>
      </c>
      <c r="L1405" s="11">
        <v>7.8827690752905494E-3</v>
      </c>
      <c r="M1405" s="11">
        <f t="shared" si="5"/>
        <v>0.78835657974530016</v>
      </c>
      <c r="N1405" s="11">
        <v>1</v>
      </c>
      <c r="O1405" s="11">
        <v>0.23466397170288</v>
      </c>
      <c r="P1405" s="11">
        <v>9.12162162162162E-2</v>
      </c>
      <c r="Q1405" s="11">
        <v>0.15517241379310301</v>
      </c>
      <c r="R1405" s="11">
        <v>6.2639821029082804E-2</v>
      </c>
      <c r="S1405" s="10" t="s">
        <v>84</v>
      </c>
      <c r="T1405" s="10" t="s">
        <v>84</v>
      </c>
      <c r="U1405" s="10"/>
      <c r="V1405" s="10"/>
      <c r="W1405" s="10"/>
      <c r="X1405" s="10"/>
      <c r="Y1405" s="10"/>
      <c r="Z1405" s="10"/>
      <c r="AA1405" s="10"/>
    </row>
    <row r="1406" spans="1:27" ht="12.5" x14ac:dyDescent="0.25">
      <c r="A1406" s="10" t="s">
        <v>77</v>
      </c>
      <c r="B1406" s="10" t="s">
        <v>1247</v>
      </c>
      <c r="C1406" s="10" t="s">
        <v>76</v>
      </c>
      <c r="D1406" s="11">
        <v>2024</v>
      </c>
      <c r="E1406" s="10" t="s">
        <v>81</v>
      </c>
      <c r="F1406" s="10" t="s">
        <v>83</v>
      </c>
      <c r="G1406" s="10" t="s">
        <v>84</v>
      </c>
      <c r="H1406" s="11">
        <v>16593</v>
      </c>
      <c r="I1406" s="11">
        <v>130</v>
      </c>
      <c r="J1406" s="11">
        <v>25</v>
      </c>
      <c r="K1406" s="11">
        <v>15922</v>
      </c>
      <c r="L1406" s="11">
        <v>7.8346290604471795E-3</v>
      </c>
      <c r="M1406" s="11">
        <f t="shared" si="5"/>
        <v>0.78346290604471758</v>
      </c>
      <c r="N1406" s="11">
        <v>0.19230769230769201</v>
      </c>
      <c r="O1406" s="11">
        <v>0.95956126077261505</v>
      </c>
      <c r="P1406" s="11">
        <v>9.0371621621621601E-2</v>
      </c>
      <c r="Q1406" s="11">
        <v>0</v>
      </c>
      <c r="R1406" s="11">
        <v>0.116279069767442</v>
      </c>
      <c r="S1406" s="10" t="s">
        <v>84</v>
      </c>
      <c r="T1406" s="10" t="s">
        <v>84</v>
      </c>
      <c r="U1406" s="10"/>
      <c r="V1406" s="10"/>
      <c r="W1406" s="10"/>
      <c r="X1406" s="10"/>
      <c r="Y1406" s="10"/>
      <c r="Z1406" s="10"/>
      <c r="AA1406" s="10"/>
    </row>
    <row r="1407" spans="1:27" ht="12.5" x14ac:dyDescent="0.25">
      <c r="A1407" s="10" t="s">
        <v>36</v>
      </c>
      <c r="B1407" s="10" t="s">
        <v>1249</v>
      </c>
      <c r="C1407" s="10" t="s">
        <v>76</v>
      </c>
      <c r="D1407" s="11">
        <v>2024</v>
      </c>
      <c r="E1407" s="10" t="s">
        <v>81</v>
      </c>
      <c r="F1407" s="10" t="s">
        <v>83</v>
      </c>
      <c r="G1407" s="10" t="s">
        <v>84</v>
      </c>
      <c r="H1407" s="11">
        <v>91062</v>
      </c>
      <c r="I1407" s="11">
        <v>702</v>
      </c>
      <c r="J1407" s="11">
        <v>1216</v>
      </c>
      <c r="K1407" s="11">
        <v>49811</v>
      </c>
      <c r="L1407" s="11">
        <v>7.7090616249062003E-3</v>
      </c>
      <c r="M1407" s="11">
        <f t="shared" si="5"/>
        <v>0.77090334058114252</v>
      </c>
      <c r="N1407" s="11">
        <v>1.73219373219373</v>
      </c>
      <c r="O1407" s="11">
        <v>0.54700294672108596</v>
      </c>
      <c r="P1407" s="11">
        <v>8.8682432432432401E-2</v>
      </c>
      <c r="Q1407" s="11">
        <v>2.1276595744680899E-2</v>
      </c>
      <c r="R1407" s="11">
        <v>0.114341085271318</v>
      </c>
      <c r="S1407" s="10" t="s">
        <v>84</v>
      </c>
      <c r="T1407" s="10" t="s">
        <v>84</v>
      </c>
      <c r="U1407" s="10"/>
      <c r="V1407" s="10"/>
      <c r="W1407" s="10"/>
      <c r="X1407" s="10"/>
      <c r="Y1407" s="10"/>
      <c r="Z1407" s="10"/>
      <c r="AA1407" s="10"/>
    </row>
    <row r="1408" spans="1:27" ht="12.5" x14ac:dyDescent="0.25">
      <c r="A1408" s="10" t="s">
        <v>55</v>
      </c>
      <c r="B1408" s="10" t="s">
        <v>1272</v>
      </c>
      <c r="C1408" s="10" t="s">
        <v>76</v>
      </c>
      <c r="D1408" s="11">
        <v>2024</v>
      </c>
      <c r="E1408" s="10" t="s">
        <v>124</v>
      </c>
      <c r="F1408" s="10" t="s">
        <v>125</v>
      </c>
      <c r="G1408" s="10" t="s">
        <v>84</v>
      </c>
      <c r="H1408" s="11">
        <v>520</v>
      </c>
      <c r="I1408" s="11">
        <v>4</v>
      </c>
      <c r="J1408" s="11">
        <v>4</v>
      </c>
      <c r="K1408" s="11">
        <v>490</v>
      </c>
      <c r="L1408" s="11">
        <v>7.6923076923076901E-3</v>
      </c>
      <c r="M1408" s="11">
        <f t="shared" si="5"/>
        <v>0.76923076923076927</v>
      </c>
      <c r="N1408" s="11">
        <v>1</v>
      </c>
      <c r="O1408" s="11">
        <v>0.94230769230769196</v>
      </c>
      <c r="P1408" s="11">
        <v>8.7837837837837801E-2</v>
      </c>
      <c r="Q1408" s="11">
        <v>4.5454545454545497E-2</v>
      </c>
      <c r="R1408" s="11">
        <v>6.0402684563758399E-2</v>
      </c>
      <c r="S1408" s="10" t="s">
        <v>84</v>
      </c>
      <c r="T1408" s="10" t="s">
        <v>84</v>
      </c>
      <c r="U1408" s="10"/>
      <c r="V1408" s="10"/>
      <c r="W1408" s="10"/>
      <c r="X1408" s="10"/>
      <c r="Y1408" s="10"/>
      <c r="Z1408" s="10"/>
      <c r="AA1408" s="10"/>
    </row>
    <row r="1409" spans="1:27" ht="12.5" x14ac:dyDescent="0.25">
      <c r="A1409" s="10" t="s">
        <v>82</v>
      </c>
      <c r="B1409" s="10" t="s">
        <v>1274</v>
      </c>
      <c r="C1409" s="10" t="s">
        <v>76</v>
      </c>
      <c r="D1409" s="11">
        <v>2024</v>
      </c>
      <c r="E1409" s="10" t="s">
        <v>124</v>
      </c>
      <c r="F1409" s="10" t="s">
        <v>83</v>
      </c>
      <c r="G1409" s="10" t="s">
        <v>84</v>
      </c>
      <c r="H1409" s="11">
        <v>6120</v>
      </c>
      <c r="I1409" s="11">
        <v>47</v>
      </c>
      <c r="J1409" s="11">
        <v>47</v>
      </c>
      <c r="K1409" s="11">
        <v>799</v>
      </c>
      <c r="L1409" s="11">
        <v>7.6798431351189399E-3</v>
      </c>
      <c r="M1409" s="11">
        <f t="shared" si="5"/>
        <v>0.76797385620915026</v>
      </c>
      <c r="N1409" s="11">
        <v>1</v>
      </c>
      <c r="O1409" s="11">
        <v>0.13055733329702199</v>
      </c>
      <c r="P1409" s="11">
        <v>8.6993243243243201E-2</v>
      </c>
      <c r="Q1409" s="11">
        <v>0.13793103448275901</v>
      </c>
      <c r="R1409" s="11">
        <v>5.8165548098434001E-2</v>
      </c>
      <c r="S1409" s="10" t="s">
        <v>84</v>
      </c>
      <c r="T1409" s="10" t="s">
        <v>84</v>
      </c>
      <c r="U1409" s="10"/>
      <c r="V1409" s="10"/>
      <c r="W1409" s="10"/>
      <c r="X1409" s="10"/>
      <c r="Y1409" s="10"/>
      <c r="Z1409" s="10"/>
      <c r="AA1409" s="10"/>
    </row>
    <row r="1410" spans="1:27" ht="12.5" x14ac:dyDescent="0.25">
      <c r="A1410" s="10" t="s">
        <v>53</v>
      </c>
      <c r="B1410" s="10" t="s">
        <v>1276</v>
      </c>
      <c r="C1410" s="10" t="s">
        <v>76</v>
      </c>
      <c r="D1410" s="11">
        <v>2024</v>
      </c>
      <c r="E1410" s="10" t="s">
        <v>124</v>
      </c>
      <c r="F1410" s="10" t="s">
        <v>125</v>
      </c>
      <c r="G1410" s="10" t="s">
        <v>84</v>
      </c>
      <c r="H1410" s="11">
        <v>2889</v>
      </c>
      <c r="I1410" s="11">
        <v>22</v>
      </c>
      <c r="J1410" s="11">
        <v>22</v>
      </c>
      <c r="K1410" s="11">
        <v>895</v>
      </c>
      <c r="L1410" s="11">
        <v>7.6157507572479502E-3</v>
      </c>
      <c r="M1410" s="11">
        <f t="shared" si="5"/>
        <v>0.76150917272412599</v>
      </c>
      <c r="N1410" s="11">
        <v>1</v>
      </c>
      <c r="O1410" s="11">
        <v>0.30982258762440501</v>
      </c>
      <c r="P1410" s="11">
        <v>8.6148648648648601E-2</v>
      </c>
      <c r="Q1410" s="11">
        <v>0.42499999999999999</v>
      </c>
      <c r="R1410" s="11">
        <v>5.5928411633109597E-2</v>
      </c>
      <c r="S1410" s="10" t="s">
        <v>84</v>
      </c>
      <c r="T1410" s="10" t="s">
        <v>84</v>
      </c>
      <c r="U1410" s="10"/>
      <c r="V1410" s="10"/>
      <c r="W1410" s="10"/>
      <c r="X1410" s="10"/>
      <c r="Y1410" s="10"/>
      <c r="Z1410" s="10"/>
      <c r="AA1410" s="10"/>
    </row>
    <row r="1411" spans="1:27" ht="12.5" x14ac:dyDescent="0.25">
      <c r="A1411" s="10" t="s">
        <v>10</v>
      </c>
      <c r="B1411" s="10" t="s">
        <v>1251</v>
      </c>
      <c r="C1411" s="10" t="s">
        <v>76</v>
      </c>
      <c r="D1411" s="11">
        <v>2024</v>
      </c>
      <c r="E1411" s="10" t="s">
        <v>81</v>
      </c>
      <c r="F1411" s="10" t="s">
        <v>83</v>
      </c>
      <c r="G1411" s="10" t="s">
        <v>84</v>
      </c>
      <c r="H1411" s="11">
        <v>9199</v>
      </c>
      <c r="I1411" s="11">
        <v>70</v>
      </c>
      <c r="J1411" s="11">
        <v>50</v>
      </c>
      <c r="K1411" s="11">
        <v>5511</v>
      </c>
      <c r="L1411" s="11">
        <v>7.6098674614750502E-3</v>
      </c>
      <c r="M1411" s="11">
        <f t="shared" si="5"/>
        <v>0.76095227742145888</v>
      </c>
      <c r="N1411" s="11">
        <v>0.71428571428571397</v>
      </c>
      <c r="O1411" s="11">
        <v>0.59911399400270005</v>
      </c>
      <c r="P1411" s="11">
        <v>8.5304054054054099E-2</v>
      </c>
      <c r="Q1411" s="11">
        <v>6.6666666666666693E-2</v>
      </c>
      <c r="R1411" s="11">
        <v>0.112403100775194</v>
      </c>
      <c r="S1411" s="10" t="s">
        <v>84</v>
      </c>
      <c r="T1411" s="10" t="s">
        <v>84</v>
      </c>
      <c r="U1411" s="10"/>
      <c r="V1411" s="10"/>
      <c r="W1411" s="10"/>
      <c r="X1411" s="10"/>
      <c r="Y1411" s="10"/>
      <c r="Z1411" s="10"/>
      <c r="AA1411" s="10"/>
    </row>
    <row r="1412" spans="1:27" ht="12.5" hidden="1" x14ac:dyDescent="0.25">
      <c r="A1412" s="10" t="s">
        <v>10</v>
      </c>
      <c r="B1412" s="10" t="s">
        <v>1742</v>
      </c>
      <c r="C1412" s="10" t="s">
        <v>191</v>
      </c>
      <c r="D1412" s="11">
        <v>2024</v>
      </c>
      <c r="E1412" s="10" t="s">
        <v>124</v>
      </c>
      <c r="F1412" s="10" t="s">
        <v>125</v>
      </c>
      <c r="G1412" s="10" t="s">
        <v>84</v>
      </c>
      <c r="H1412" s="12">
        <v>394.58333333333297</v>
      </c>
      <c r="I1412" s="11">
        <v>3</v>
      </c>
      <c r="J1412" s="11">
        <v>3</v>
      </c>
      <c r="K1412" s="11">
        <v>182</v>
      </c>
      <c r="L1412" s="11">
        <v>7.6029567053854299E-3</v>
      </c>
      <c r="M1412" s="11">
        <f t="shared" si="5"/>
        <v>0.76029567053854341</v>
      </c>
      <c r="N1412" s="11">
        <v>1</v>
      </c>
      <c r="O1412" s="11">
        <v>0.46124604012671599</v>
      </c>
      <c r="P1412" s="11">
        <v>0.177696078431373</v>
      </c>
      <c r="Q1412" s="11">
        <v>0.10344827586206901</v>
      </c>
      <c r="R1412" s="11">
        <v>0.168604651162791</v>
      </c>
      <c r="S1412" s="10" t="s">
        <v>84</v>
      </c>
      <c r="T1412" s="10" t="s">
        <v>84</v>
      </c>
      <c r="U1412" s="10"/>
      <c r="V1412" s="10"/>
      <c r="W1412" s="10"/>
      <c r="X1412" s="10"/>
      <c r="Y1412" s="10"/>
      <c r="Z1412" s="10"/>
      <c r="AA1412" s="10"/>
    </row>
    <row r="1413" spans="1:27" ht="12.5" hidden="1" x14ac:dyDescent="0.25">
      <c r="A1413" s="10" t="s">
        <v>77</v>
      </c>
      <c r="B1413" s="10" t="s">
        <v>1743</v>
      </c>
      <c r="C1413" s="10" t="s">
        <v>191</v>
      </c>
      <c r="D1413" s="11">
        <v>2024</v>
      </c>
      <c r="E1413" s="10" t="s">
        <v>124</v>
      </c>
      <c r="F1413" s="10" t="s">
        <v>125</v>
      </c>
      <c r="G1413" s="10" t="s">
        <v>84</v>
      </c>
      <c r="H1413" s="12">
        <v>264.33333333333297</v>
      </c>
      <c r="I1413" s="11">
        <v>2</v>
      </c>
      <c r="J1413" s="11">
        <v>2</v>
      </c>
      <c r="K1413" s="11">
        <v>132</v>
      </c>
      <c r="L1413" s="11">
        <v>7.5662042875157603E-3</v>
      </c>
      <c r="M1413" s="11">
        <f t="shared" si="5"/>
        <v>0.75662042875157731</v>
      </c>
      <c r="N1413" s="11">
        <v>1</v>
      </c>
      <c r="O1413" s="11">
        <v>0.49936948297604</v>
      </c>
      <c r="P1413" s="11">
        <v>0.17647058823529399</v>
      </c>
      <c r="Q1413" s="11">
        <v>0.19565217391304299</v>
      </c>
      <c r="R1413" s="11">
        <v>0.16666666666666699</v>
      </c>
      <c r="S1413" s="10" t="s">
        <v>84</v>
      </c>
      <c r="T1413" s="10" t="s">
        <v>84</v>
      </c>
      <c r="U1413" s="10"/>
      <c r="V1413" s="10"/>
      <c r="W1413" s="10"/>
      <c r="X1413" s="10"/>
      <c r="Y1413" s="10"/>
      <c r="Z1413" s="10"/>
      <c r="AA1413" s="10"/>
    </row>
    <row r="1414" spans="1:27" ht="12.5" x14ac:dyDescent="0.25">
      <c r="A1414" s="10" t="s">
        <v>110</v>
      </c>
      <c r="B1414" s="10" t="s">
        <v>1253</v>
      </c>
      <c r="C1414" s="10" t="s">
        <v>76</v>
      </c>
      <c r="D1414" s="11">
        <v>2024</v>
      </c>
      <c r="E1414" s="10" t="s">
        <v>81</v>
      </c>
      <c r="F1414" s="10" t="s">
        <v>83</v>
      </c>
      <c r="G1414" s="10" t="s">
        <v>84</v>
      </c>
      <c r="H1414" s="11">
        <v>14407</v>
      </c>
      <c r="I1414" s="11">
        <v>109</v>
      </c>
      <c r="J1414" s="11">
        <v>103</v>
      </c>
      <c r="K1414" s="11">
        <v>4461</v>
      </c>
      <c r="L1414" s="11">
        <v>7.5659416936603397E-3</v>
      </c>
      <c r="M1414" s="11">
        <f t="shared" si="5"/>
        <v>0.75657666412160762</v>
      </c>
      <c r="N1414" s="11">
        <v>0.94495412844036697</v>
      </c>
      <c r="O1414" s="11">
        <v>0.30964831096714501</v>
      </c>
      <c r="P1414" s="11">
        <v>8.4459459459459499E-2</v>
      </c>
      <c r="Q1414" s="11">
        <v>0.12121212121212099</v>
      </c>
      <c r="R1414" s="11">
        <v>0.11046511627907001</v>
      </c>
      <c r="S1414" s="10" t="s">
        <v>84</v>
      </c>
      <c r="T1414" s="10" t="s">
        <v>84</v>
      </c>
      <c r="U1414" s="10"/>
      <c r="V1414" s="10"/>
      <c r="W1414" s="10"/>
      <c r="X1414" s="10"/>
      <c r="Y1414" s="10"/>
      <c r="Z1414" s="10"/>
      <c r="AA1414" s="10"/>
    </row>
    <row r="1415" spans="1:27" ht="12.5" x14ac:dyDescent="0.25">
      <c r="A1415" s="10" t="s">
        <v>32</v>
      </c>
      <c r="B1415" s="10" t="s">
        <v>1280</v>
      </c>
      <c r="C1415" s="10" t="s">
        <v>76</v>
      </c>
      <c r="D1415" s="11">
        <v>2024</v>
      </c>
      <c r="E1415" s="10" t="s">
        <v>124</v>
      </c>
      <c r="F1415" s="10" t="s">
        <v>125</v>
      </c>
      <c r="G1415" s="10" t="s">
        <v>84</v>
      </c>
      <c r="H1415" s="11">
        <v>5513</v>
      </c>
      <c r="I1415" s="11">
        <v>41</v>
      </c>
      <c r="J1415" s="11">
        <v>33</v>
      </c>
      <c r="K1415" s="11">
        <v>7394</v>
      </c>
      <c r="L1415" s="11">
        <v>7.4375292890508102E-3</v>
      </c>
      <c r="M1415" s="11">
        <f t="shared" si="5"/>
        <v>0.7436967168510793</v>
      </c>
      <c r="N1415" s="11">
        <v>0.80487804878048796</v>
      </c>
      <c r="O1415" s="11">
        <v>1.3412949161766301</v>
      </c>
      <c r="P1415" s="11">
        <v>8.3614864864864899E-2</v>
      </c>
      <c r="Q1415" s="11">
        <v>0</v>
      </c>
      <c r="R1415" s="11">
        <v>5.3691275167785199E-2</v>
      </c>
      <c r="S1415" s="10" t="s">
        <v>84</v>
      </c>
      <c r="T1415" s="10" t="s">
        <v>84</v>
      </c>
      <c r="U1415" s="10"/>
      <c r="V1415" s="10"/>
      <c r="W1415" s="10"/>
      <c r="X1415" s="10"/>
      <c r="Y1415" s="10"/>
      <c r="Z1415" s="10"/>
      <c r="AA1415" s="10"/>
    </row>
    <row r="1416" spans="1:27" ht="12.5" x14ac:dyDescent="0.25">
      <c r="A1416" s="10" t="s">
        <v>82</v>
      </c>
      <c r="B1416" s="10" t="s">
        <v>1281</v>
      </c>
      <c r="C1416" s="10" t="s">
        <v>76</v>
      </c>
      <c r="D1416" s="11">
        <v>2024</v>
      </c>
      <c r="E1416" s="10" t="s">
        <v>124</v>
      </c>
      <c r="F1416" s="10" t="s">
        <v>83</v>
      </c>
      <c r="G1416" s="10" t="s">
        <v>84</v>
      </c>
      <c r="H1416" s="11">
        <v>1488</v>
      </c>
      <c r="I1416" s="11">
        <v>11</v>
      </c>
      <c r="J1416" s="11">
        <v>11</v>
      </c>
      <c r="K1416" s="11">
        <v>284</v>
      </c>
      <c r="L1416" s="11">
        <v>7.3924731182795703E-3</v>
      </c>
      <c r="M1416" s="11">
        <f t="shared" si="5"/>
        <v>0.739247311827957</v>
      </c>
      <c r="N1416" s="11">
        <v>1</v>
      </c>
      <c r="O1416" s="11">
        <v>0.19086021505376299</v>
      </c>
      <c r="P1416" s="11">
        <v>8.2770270270270299E-2</v>
      </c>
      <c r="Q1416" s="11">
        <v>0.12068965517241401</v>
      </c>
      <c r="R1416" s="11">
        <v>5.1454138702460801E-2</v>
      </c>
      <c r="S1416" s="10" t="s">
        <v>84</v>
      </c>
      <c r="T1416" s="10" t="s">
        <v>84</v>
      </c>
      <c r="U1416" s="10"/>
      <c r="V1416" s="10"/>
      <c r="W1416" s="10"/>
      <c r="X1416" s="10"/>
      <c r="Y1416" s="10"/>
      <c r="Z1416" s="10"/>
      <c r="AA1416" s="10"/>
    </row>
    <row r="1417" spans="1:27" ht="12.5" hidden="1" x14ac:dyDescent="0.25">
      <c r="A1417" s="10" t="s">
        <v>52</v>
      </c>
      <c r="B1417" s="10" t="s">
        <v>1744</v>
      </c>
      <c r="C1417" s="10" t="s">
        <v>191</v>
      </c>
      <c r="D1417" s="11">
        <v>2024</v>
      </c>
      <c r="E1417" s="10" t="s">
        <v>124</v>
      </c>
      <c r="F1417" s="10" t="s">
        <v>125</v>
      </c>
      <c r="G1417" s="10" t="s">
        <v>84</v>
      </c>
      <c r="H1417" s="12">
        <v>684</v>
      </c>
      <c r="I1417" s="11">
        <v>5</v>
      </c>
      <c r="J1417" s="11">
        <v>0</v>
      </c>
      <c r="K1417" s="11">
        <v>1342</v>
      </c>
      <c r="L1417" s="11">
        <v>7.3099415204678402E-3</v>
      </c>
      <c r="M1417" s="11">
        <f t="shared" si="5"/>
        <v>0.73099415204678353</v>
      </c>
      <c r="N1417" s="11">
        <v>0</v>
      </c>
      <c r="O1417" s="11">
        <v>1.9619883040935699</v>
      </c>
      <c r="P1417" s="11">
        <v>0.174019607843137</v>
      </c>
      <c r="Q1417" s="11">
        <v>0.28571428571428598</v>
      </c>
      <c r="R1417" s="11">
        <v>0.16472868217054301</v>
      </c>
      <c r="S1417" s="10" t="s">
        <v>84</v>
      </c>
      <c r="T1417" s="10" t="s">
        <v>84</v>
      </c>
      <c r="U1417" s="10"/>
      <c r="V1417" s="10"/>
      <c r="W1417" s="10"/>
      <c r="X1417" s="10"/>
      <c r="Y1417" s="10"/>
      <c r="Z1417" s="10"/>
      <c r="AA1417" s="10"/>
    </row>
    <row r="1418" spans="1:27" ht="12.5" hidden="1" x14ac:dyDescent="0.25">
      <c r="A1418" s="10" t="s">
        <v>58</v>
      </c>
      <c r="B1418" s="10" t="s">
        <v>1745</v>
      </c>
      <c r="C1418" s="10" t="s">
        <v>191</v>
      </c>
      <c r="D1418" s="11">
        <v>2024</v>
      </c>
      <c r="E1418" s="10" t="s">
        <v>124</v>
      </c>
      <c r="F1418" s="10" t="s">
        <v>125</v>
      </c>
      <c r="G1418" s="10" t="s">
        <v>84</v>
      </c>
      <c r="H1418" s="12">
        <v>970</v>
      </c>
      <c r="I1418" s="11">
        <v>7</v>
      </c>
      <c r="J1418" s="11">
        <v>7</v>
      </c>
      <c r="K1418" s="11">
        <v>0</v>
      </c>
      <c r="L1418" s="11">
        <v>7.2164948453608303E-3</v>
      </c>
      <c r="M1418" s="11">
        <f t="shared" si="5"/>
        <v>0.72164948453608246</v>
      </c>
      <c r="N1418" s="11">
        <v>1</v>
      </c>
      <c r="O1418" s="11">
        <v>0</v>
      </c>
      <c r="P1418" s="11">
        <v>0.17156862745098</v>
      </c>
      <c r="Q1418" s="11">
        <v>7.5471698113207503E-2</v>
      </c>
      <c r="R1418" s="11">
        <v>0.162790697674419</v>
      </c>
      <c r="S1418" s="10" t="s">
        <v>84</v>
      </c>
      <c r="T1418" s="10" t="s">
        <v>84</v>
      </c>
      <c r="U1418" s="10"/>
      <c r="V1418" s="10"/>
      <c r="W1418" s="10"/>
      <c r="X1418" s="10"/>
      <c r="Y1418" s="10"/>
      <c r="Z1418" s="10"/>
      <c r="AA1418" s="10"/>
    </row>
    <row r="1419" spans="1:27" ht="12.5" hidden="1" x14ac:dyDescent="0.25">
      <c r="A1419" s="10" t="s">
        <v>86</v>
      </c>
      <c r="B1419" s="10" t="s">
        <v>1746</v>
      </c>
      <c r="C1419" s="10" t="s">
        <v>191</v>
      </c>
      <c r="D1419" s="11">
        <v>2024</v>
      </c>
      <c r="E1419" s="10" t="s">
        <v>124</v>
      </c>
      <c r="F1419" s="10" t="s">
        <v>125</v>
      </c>
      <c r="G1419" s="10" t="s">
        <v>84</v>
      </c>
      <c r="H1419" s="12">
        <v>15691</v>
      </c>
      <c r="I1419" s="11">
        <v>113</v>
      </c>
      <c r="J1419" s="11">
        <v>60</v>
      </c>
      <c r="K1419" s="11">
        <v>2825</v>
      </c>
      <c r="L1419" s="11">
        <v>7.2015040309303504E-3</v>
      </c>
      <c r="M1419" s="11">
        <f t="shared" si="5"/>
        <v>0.72015805238671848</v>
      </c>
      <c r="N1419" s="11">
        <v>0.53097345132743401</v>
      </c>
      <c r="O1419" s="11">
        <v>0.180037600773259</v>
      </c>
      <c r="P1419" s="11">
        <v>0.17034313725490199</v>
      </c>
      <c r="Q1419" s="11">
        <v>0</v>
      </c>
      <c r="R1419" s="11">
        <v>0.160852713178295</v>
      </c>
      <c r="S1419" s="10" t="s">
        <v>84</v>
      </c>
      <c r="T1419" s="10" t="s">
        <v>84</v>
      </c>
      <c r="U1419" s="10"/>
      <c r="V1419" s="10"/>
      <c r="W1419" s="10"/>
      <c r="X1419" s="10"/>
      <c r="Y1419" s="10"/>
      <c r="Z1419" s="10"/>
      <c r="AA1419" s="10"/>
    </row>
    <row r="1420" spans="1:27" ht="12.5" hidden="1" x14ac:dyDescent="0.25">
      <c r="A1420" s="10" t="s">
        <v>52</v>
      </c>
      <c r="B1420" s="10" t="s">
        <v>1747</v>
      </c>
      <c r="C1420" s="10" t="s">
        <v>191</v>
      </c>
      <c r="D1420" s="11">
        <v>2024</v>
      </c>
      <c r="E1420" s="10" t="s">
        <v>124</v>
      </c>
      <c r="F1420" s="10" t="s">
        <v>125</v>
      </c>
      <c r="G1420" s="10" t="s">
        <v>84</v>
      </c>
      <c r="H1420" s="12">
        <v>697.83333333333303</v>
      </c>
      <c r="I1420" s="11">
        <v>5</v>
      </c>
      <c r="J1420" s="11">
        <v>0</v>
      </c>
      <c r="K1420" s="11">
        <v>1750</v>
      </c>
      <c r="L1420" s="11">
        <v>7.1650346310007202E-3</v>
      </c>
      <c r="M1420" s="11">
        <f t="shared" si="5"/>
        <v>0.71650346310007196</v>
      </c>
      <c r="N1420" s="11">
        <v>0</v>
      </c>
      <c r="O1420" s="11">
        <v>2.5077621208502499</v>
      </c>
      <c r="P1420" s="11">
        <v>0.16911764705882401</v>
      </c>
      <c r="Q1420" s="11">
        <v>0.214285714285714</v>
      </c>
      <c r="R1420" s="11">
        <v>0.15891472868217099</v>
      </c>
      <c r="S1420" s="10" t="s">
        <v>84</v>
      </c>
      <c r="T1420" s="10" t="s">
        <v>84</v>
      </c>
      <c r="U1420" s="10"/>
      <c r="V1420" s="10"/>
      <c r="W1420" s="10"/>
      <c r="X1420" s="10"/>
      <c r="Y1420" s="10"/>
      <c r="Z1420" s="10"/>
      <c r="AA1420" s="10"/>
    </row>
    <row r="1421" spans="1:27" ht="12.5" hidden="1" x14ac:dyDescent="0.25">
      <c r="A1421" s="10" t="s">
        <v>52</v>
      </c>
      <c r="B1421" s="10" t="s">
        <v>1748</v>
      </c>
      <c r="C1421" s="10" t="s">
        <v>191</v>
      </c>
      <c r="D1421" s="11">
        <v>2024</v>
      </c>
      <c r="E1421" s="10" t="s">
        <v>124</v>
      </c>
      <c r="F1421" s="10" t="s">
        <v>125</v>
      </c>
      <c r="G1421" s="10" t="s">
        <v>84</v>
      </c>
      <c r="H1421" s="12">
        <v>702.5</v>
      </c>
      <c r="I1421" s="11">
        <v>5</v>
      </c>
      <c r="J1421" s="11">
        <v>5</v>
      </c>
      <c r="K1421" s="11">
        <v>1868</v>
      </c>
      <c r="L1421" s="11">
        <v>7.1174377224199302E-3</v>
      </c>
      <c r="M1421" s="11">
        <f t="shared" si="5"/>
        <v>0.71174377224199281</v>
      </c>
      <c r="N1421" s="11">
        <v>1</v>
      </c>
      <c r="O1421" s="11">
        <v>2.65907473309609</v>
      </c>
      <c r="P1421" s="11">
        <v>0.16666666666666699</v>
      </c>
      <c r="Q1421" s="11">
        <v>0.17857142857142899</v>
      </c>
      <c r="R1421" s="11">
        <v>0.15697674418604701</v>
      </c>
      <c r="S1421" s="10" t="s">
        <v>84</v>
      </c>
      <c r="T1421" s="10" t="s">
        <v>84</v>
      </c>
      <c r="U1421" s="10"/>
      <c r="V1421" s="10"/>
      <c r="W1421" s="10"/>
      <c r="X1421" s="10"/>
      <c r="Y1421" s="10"/>
      <c r="Z1421" s="10"/>
      <c r="AA1421" s="10"/>
    </row>
    <row r="1422" spans="1:27" ht="12.5" hidden="1" x14ac:dyDescent="0.25">
      <c r="A1422" s="10" t="s">
        <v>53</v>
      </c>
      <c r="B1422" s="10" t="s">
        <v>1749</v>
      </c>
      <c r="C1422" s="10" t="s">
        <v>191</v>
      </c>
      <c r="D1422" s="11">
        <v>2024</v>
      </c>
      <c r="E1422" s="10" t="s">
        <v>124</v>
      </c>
      <c r="F1422" s="10" t="s">
        <v>125</v>
      </c>
      <c r="G1422" s="10" t="s">
        <v>84</v>
      </c>
      <c r="H1422" s="12">
        <v>422.08333333333297</v>
      </c>
      <c r="I1422" s="11">
        <v>3</v>
      </c>
      <c r="J1422" s="11">
        <v>2</v>
      </c>
      <c r="K1422" s="11">
        <v>119</v>
      </c>
      <c r="L1422" s="11">
        <v>7.1076011846002004E-3</v>
      </c>
      <c r="M1422" s="11">
        <f t="shared" si="5"/>
        <v>0.71076011846002041</v>
      </c>
      <c r="N1422" s="11">
        <v>0.66666666666666696</v>
      </c>
      <c r="O1422" s="11">
        <v>0.28193484698914101</v>
      </c>
      <c r="P1422" s="11">
        <v>0.16544117647058801</v>
      </c>
      <c r="Q1422" s="11">
        <v>0.54838709677419395</v>
      </c>
      <c r="R1422" s="11">
        <v>0.15503875968992201</v>
      </c>
      <c r="S1422" s="10" t="s">
        <v>84</v>
      </c>
      <c r="T1422" s="10" t="s">
        <v>84</v>
      </c>
      <c r="U1422" s="10"/>
      <c r="V1422" s="10"/>
      <c r="W1422" s="10"/>
      <c r="X1422" s="10"/>
      <c r="Y1422" s="10"/>
      <c r="Z1422" s="10"/>
      <c r="AA1422" s="10"/>
    </row>
    <row r="1423" spans="1:27" ht="12.5" x14ac:dyDescent="0.25">
      <c r="A1423" s="10" t="s">
        <v>91</v>
      </c>
      <c r="B1423" s="10" t="s">
        <v>1254</v>
      </c>
      <c r="C1423" s="10" t="s">
        <v>76</v>
      </c>
      <c r="D1423" s="11">
        <v>2024</v>
      </c>
      <c r="E1423" s="10" t="s">
        <v>81</v>
      </c>
      <c r="F1423" s="10" t="s">
        <v>83</v>
      </c>
      <c r="G1423" s="10" t="s">
        <v>84</v>
      </c>
      <c r="H1423" s="11">
        <v>3711</v>
      </c>
      <c r="I1423" s="11">
        <v>26</v>
      </c>
      <c r="J1423" s="11">
        <v>23</v>
      </c>
      <c r="K1423" s="11">
        <v>1907</v>
      </c>
      <c r="L1423" s="11">
        <v>7.0061977903529997E-3</v>
      </c>
      <c r="M1423" s="11">
        <f t="shared" si="5"/>
        <v>0.70061977903530048</v>
      </c>
      <c r="N1423" s="11">
        <v>0.88461538461538503</v>
      </c>
      <c r="O1423" s="11">
        <v>0.51387766100781496</v>
      </c>
      <c r="P1423" s="11">
        <v>8.1081081081081099E-2</v>
      </c>
      <c r="Q1423" s="11">
        <v>6.6666666666666693E-2</v>
      </c>
      <c r="R1423" s="11">
        <v>0.108527131782946</v>
      </c>
      <c r="S1423" s="10" t="s">
        <v>84</v>
      </c>
      <c r="T1423" s="10" t="s">
        <v>84</v>
      </c>
      <c r="U1423" s="10"/>
      <c r="V1423" s="10"/>
      <c r="W1423" s="10"/>
      <c r="X1423" s="10"/>
      <c r="Y1423" s="10"/>
      <c r="Z1423" s="10"/>
      <c r="AA1423" s="10"/>
    </row>
    <row r="1424" spans="1:27" ht="12.5" x14ac:dyDescent="0.25">
      <c r="A1424" s="10" t="s">
        <v>72</v>
      </c>
      <c r="B1424" s="10" t="s">
        <v>1256</v>
      </c>
      <c r="C1424" s="10" t="s">
        <v>76</v>
      </c>
      <c r="D1424" s="11">
        <v>2024</v>
      </c>
      <c r="E1424" s="10" t="s">
        <v>81</v>
      </c>
      <c r="F1424" s="10" t="s">
        <v>83</v>
      </c>
      <c r="G1424" s="10" t="s">
        <v>84</v>
      </c>
      <c r="H1424" s="11">
        <v>29581</v>
      </c>
      <c r="I1424" s="11">
        <v>206</v>
      </c>
      <c r="J1424" s="11">
        <v>113</v>
      </c>
      <c r="K1424" s="11">
        <v>2795</v>
      </c>
      <c r="L1424" s="11">
        <v>6.9640472608644196E-3</v>
      </c>
      <c r="M1424" s="11">
        <f t="shared" si="5"/>
        <v>0.69639295493729081</v>
      </c>
      <c r="N1424" s="11">
        <v>0.54854368932038799</v>
      </c>
      <c r="O1424" s="11">
        <v>9.4487922786971101E-2</v>
      </c>
      <c r="P1424" s="11">
        <v>7.93918918918919E-2</v>
      </c>
      <c r="Q1424" s="11">
        <v>0.1</v>
      </c>
      <c r="R1424" s="11">
        <v>0.10658914728682201</v>
      </c>
      <c r="S1424" s="10" t="s">
        <v>84</v>
      </c>
      <c r="T1424" s="10" t="s">
        <v>84</v>
      </c>
      <c r="U1424" s="10"/>
      <c r="V1424" s="10"/>
      <c r="W1424" s="10"/>
      <c r="X1424" s="10"/>
      <c r="Y1424" s="10"/>
      <c r="Z1424" s="10"/>
      <c r="AA1424" s="10"/>
    </row>
    <row r="1425" spans="1:27" ht="12.5" x14ac:dyDescent="0.25">
      <c r="A1425" s="10" t="s">
        <v>43</v>
      </c>
      <c r="B1425" s="10" t="s">
        <v>1284</v>
      </c>
      <c r="C1425" s="10" t="s">
        <v>76</v>
      </c>
      <c r="D1425" s="11">
        <v>2024</v>
      </c>
      <c r="E1425" s="10" t="s">
        <v>124</v>
      </c>
      <c r="F1425" s="10" t="s">
        <v>83</v>
      </c>
      <c r="G1425" s="10" t="s">
        <v>84</v>
      </c>
      <c r="H1425" s="11">
        <v>17996</v>
      </c>
      <c r="I1425" s="11">
        <v>125</v>
      </c>
      <c r="J1425" s="11">
        <v>125</v>
      </c>
      <c r="K1425" s="11">
        <v>2481</v>
      </c>
      <c r="L1425" s="11">
        <v>6.9459879973327397E-3</v>
      </c>
      <c r="M1425" s="11">
        <f t="shared" si="5"/>
        <v>0.6945987997332741</v>
      </c>
      <c r="N1425" s="11">
        <v>1</v>
      </c>
      <c r="O1425" s="11">
        <v>0.13786396977106</v>
      </c>
      <c r="P1425" s="11">
        <v>7.85472972972973E-2</v>
      </c>
      <c r="Q1425" s="11">
        <v>0.30769230769230799</v>
      </c>
      <c r="R1425" s="11">
        <v>4.9217002237136501E-2</v>
      </c>
      <c r="S1425" s="10" t="s">
        <v>84</v>
      </c>
      <c r="T1425" s="10" t="s">
        <v>84</v>
      </c>
      <c r="U1425" s="10"/>
      <c r="V1425" s="10"/>
      <c r="W1425" s="10"/>
      <c r="X1425" s="10"/>
      <c r="Y1425" s="10"/>
      <c r="Z1425" s="10"/>
      <c r="AA1425" s="10"/>
    </row>
    <row r="1426" spans="1:27" ht="12.5" x14ac:dyDescent="0.25">
      <c r="A1426" s="10" t="s">
        <v>92</v>
      </c>
      <c r="B1426" s="10" t="s">
        <v>1285</v>
      </c>
      <c r="C1426" s="10" t="s">
        <v>76</v>
      </c>
      <c r="D1426" s="11">
        <v>2024</v>
      </c>
      <c r="E1426" s="10" t="s">
        <v>124</v>
      </c>
      <c r="F1426" s="10" t="s">
        <v>83</v>
      </c>
      <c r="G1426" s="10" t="s">
        <v>84</v>
      </c>
      <c r="H1426" s="11">
        <v>6698</v>
      </c>
      <c r="I1426" s="11">
        <v>46</v>
      </c>
      <c r="J1426" s="11">
        <v>45</v>
      </c>
      <c r="K1426" s="11">
        <v>288</v>
      </c>
      <c r="L1426" s="11">
        <v>6.8676362641053998E-3</v>
      </c>
      <c r="M1426" s="11">
        <f t="shared" si="5"/>
        <v>0.68677217079725295</v>
      </c>
      <c r="N1426" s="11">
        <v>0.97826086956521696</v>
      </c>
      <c r="O1426" s="11">
        <v>4.2997374870920799E-2</v>
      </c>
      <c r="P1426" s="11">
        <v>7.68581081081081E-2</v>
      </c>
      <c r="Q1426" s="11">
        <v>0.27777777777777801</v>
      </c>
      <c r="R1426" s="11">
        <v>4.6979865771812103E-2</v>
      </c>
      <c r="S1426" s="10" t="s">
        <v>84</v>
      </c>
      <c r="T1426" s="10" t="s">
        <v>84</v>
      </c>
      <c r="U1426" s="10"/>
      <c r="V1426" s="10"/>
      <c r="W1426" s="10"/>
      <c r="X1426" s="10"/>
      <c r="Y1426" s="10"/>
      <c r="Z1426" s="10"/>
      <c r="AA1426" s="10"/>
    </row>
    <row r="1427" spans="1:27" ht="12.5" hidden="1" x14ac:dyDescent="0.25">
      <c r="A1427" s="10" t="s">
        <v>53</v>
      </c>
      <c r="B1427" s="10" t="s">
        <v>1750</v>
      </c>
      <c r="C1427" s="10" t="s">
        <v>191</v>
      </c>
      <c r="D1427" s="11">
        <v>2024</v>
      </c>
      <c r="E1427" s="10" t="s">
        <v>124</v>
      </c>
      <c r="F1427" s="10" t="s">
        <v>125</v>
      </c>
      <c r="G1427" s="10" t="s">
        <v>84</v>
      </c>
      <c r="H1427" s="12">
        <v>876.91666666666697</v>
      </c>
      <c r="I1427" s="11">
        <v>6</v>
      </c>
      <c r="J1427" s="11">
        <v>5</v>
      </c>
      <c r="K1427" s="11">
        <v>406</v>
      </c>
      <c r="L1427" s="11">
        <v>6.8421552789128598E-3</v>
      </c>
      <c r="M1427" s="11">
        <f t="shared" si="5"/>
        <v>0.68421552789128559</v>
      </c>
      <c r="N1427" s="11">
        <v>0.83333333333333304</v>
      </c>
      <c r="O1427" s="11">
        <v>0.46298584053976999</v>
      </c>
      <c r="P1427" s="11">
        <v>0.161764705882353</v>
      </c>
      <c r="Q1427" s="11">
        <v>0.51612903225806495</v>
      </c>
      <c r="R1427" s="11">
        <v>0.153100775193798</v>
      </c>
      <c r="S1427" s="10" t="s">
        <v>84</v>
      </c>
      <c r="T1427" s="10" t="s">
        <v>84</v>
      </c>
      <c r="U1427" s="10"/>
      <c r="V1427" s="10"/>
      <c r="W1427" s="10"/>
      <c r="X1427" s="10"/>
      <c r="Y1427" s="10"/>
      <c r="Z1427" s="10"/>
      <c r="AA1427" s="10"/>
    </row>
    <row r="1428" spans="1:27" ht="12.5" x14ac:dyDescent="0.25">
      <c r="A1428" s="10" t="s">
        <v>82</v>
      </c>
      <c r="B1428" s="10" t="s">
        <v>1288</v>
      </c>
      <c r="C1428" s="10" t="s">
        <v>76</v>
      </c>
      <c r="D1428" s="11">
        <v>2024</v>
      </c>
      <c r="E1428" s="10" t="s">
        <v>124</v>
      </c>
      <c r="F1428" s="10" t="s">
        <v>83</v>
      </c>
      <c r="G1428" s="10" t="s">
        <v>84</v>
      </c>
      <c r="H1428" s="11">
        <v>6439</v>
      </c>
      <c r="I1428" s="11">
        <v>44</v>
      </c>
      <c r="J1428" s="11">
        <v>44</v>
      </c>
      <c r="K1428" s="11">
        <v>160</v>
      </c>
      <c r="L1428" s="11">
        <v>6.8338014314743203E-3</v>
      </c>
      <c r="M1428" s="11">
        <f t="shared" si="5"/>
        <v>0.68333592172697633</v>
      </c>
      <c r="N1428" s="11">
        <v>1</v>
      </c>
      <c r="O1428" s="11">
        <v>2.4850187023543E-2</v>
      </c>
      <c r="P1428" s="11">
        <v>7.60135135135135E-2</v>
      </c>
      <c r="Q1428" s="11">
        <v>0.10344827586206901</v>
      </c>
      <c r="R1428" s="11">
        <v>4.4742729306487698E-2</v>
      </c>
      <c r="S1428" s="10" t="s">
        <v>84</v>
      </c>
      <c r="T1428" s="10" t="s">
        <v>84</v>
      </c>
      <c r="U1428" s="10"/>
      <c r="V1428" s="10"/>
      <c r="W1428" s="10"/>
      <c r="X1428" s="10"/>
      <c r="Y1428" s="10"/>
      <c r="Z1428" s="10"/>
      <c r="AA1428" s="10"/>
    </row>
    <row r="1429" spans="1:27" ht="12.5" x14ac:dyDescent="0.25">
      <c r="A1429" s="10" t="s">
        <v>49</v>
      </c>
      <c r="B1429" s="10" t="s">
        <v>1258</v>
      </c>
      <c r="C1429" s="10" t="s">
        <v>76</v>
      </c>
      <c r="D1429" s="11">
        <v>2024</v>
      </c>
      <c r="E1429" s="10" t="s">
        <v>81</v>
      </c>
      <c r="F1429" s="10" t="s">
        <v>125</v>
      </c>
      <c r="G1429" s="10" t="s">
        <v>84</v>
      </c>
      <c r="H1429" s="11">
        <v>27116</v>
      </c>
      <c r="I1429" s="11">
        <v>185</v>
      </c>
      <c r="J1429" s="11">
        <v>65</v>
      </c>
      <c r="K1429" s="11">
        <v>8170</v>
      </c>
      <c r="L1429" s="11">
        <v>6.8225821322105799E-3</v>
      </c>
      <c r="M1429" s="11">
        <f t="shared" si="5"/>
        <v>0.68225401976692723</v>
      </c>
      <c r="N1429" s="11">
        <v>0.35135135135135098</v>
      </c>
      <c r="O1429" s="11">
        <v>0.30129997848735401</v>
      </c>
      <c r="P1429" s="11">
        <v>7.5168918918918901E-2</v>
      </c>
      <c r="Q1429" s="11">
        <v>0.115384615384615</v>
      </c>
      <c r="R1429" s="11">
        <v>0.104651162790698</v>
      </c>
      <c r="S1429" s="10" t="s">
        <v>84</v>
      </c>
      <c r="T1429" s="10" t="s">
        <v>84</v>
      </c>
      <c r="U1429" s="10"/>
      <c r="V1429" s="10"/>
      <c r="W1429" s="10"/>
      <c r="X1429" s="10"/>
      <c r="Y1429" s="10"/>
      <c r="Z1429" s="10"/>
      <c r="AA1429" s="10"/>
    </row>
    <row r="1430" spans="1:27" ht="12.5" x14ac:dyDescent="0.25">
      <c r="A1430" s="10" t="s">
        <v>6</v>
      </c>
      <c r="B1430" s="10" t="s">
        <v>1291</v>
      </c>
      <c r="C1430" s="10" t="s">
        <v>76</v>
      </c>
      <c r="D1430" s="11">
        <v>2024</v>
      </c>
      <c r="E1430" s="10" t="s">
        <v>124</v>
      </c>
      <c r="F1430" s="10" t="s">
        <v>125</v>
      </c>
      <c r="G1430" s="10" t="s">
        <v>84</v>
      </c>
      <c r="H1430" s="11">
        <v>443</v>
      </c>
      <c r="I1430" s="11">
        <v>3</v>
      </c>
      <c r="J1430" s="11">
        <v>3</v>
      </c>
      <c r="K1430" s="11">
        <v>680</v>
      </c>
      <c r="L1430" s="11">
        <v>6.7681895093062603E-3</v>
      </c>
      <c r="M1430" s="11">
        <f t="shared" si="5"/>
        <v>0.67720090293453727</v>
      </c>
      <c r="N1430" s="11">
        <v>1</v>
      </c>
      <c r="O1430" s="11">
        <v>1.53412295544275</v>
      </c>
      <c r="P1430" s="11">
        <v>7.4324324324324301E-2</v>
      </c>
      <c r="Q1430" s="11">
        <v>0.12903225806451599</v>
      </c>
      <c r="R1430" s="11">
        <v>4.25055928411633E-2</v>
      </c>
      <c r="S1430" s="10" t="s">
        <v>84</v>
      </c>
      <c r="T1430" s="10" t="s">
        <v>84</v>
      </c>
      <c r="U1430" s="10"/>
      <c r="V1430" s="10"/>
      <c r="W1430" s="10"/>
      <c r="X1430" s="10"/>
      <c r="Y1430" s="10"/>
      <c r="Z1430" s="10"/>
      <c r="AA1430" s="10"/>
    </row>
    <row r="1431" spans="1:27" ht="12.5" x14ac:dyDescent="0.25">
      <c r="A1431" s="10" t="s">
        <v>6</v>
      </c>
      <c r="B1431" s="10" t="s">
        <v>1294</v>
      </c>
      <c r="C1431" s="10" t="s">
        <v>76</v>
      </c>
      <c r="D1431" s="11">
        <v>2024</v>
      </c>
      <c r="E1431" s="10" t="s">
        <v>124</v>
      </c>
      <c r="F1431" s="10" t="s">
        <v>125</v>
      </c>
      <c r="G1431" s="10" t="s">
        <v>84</v>
      </c>
      <c r="H1431" s="11">
        <v>444</v>
      </c>
      <c r="I1431" s="11">
        <v>3</v>
      </c>
      <c r="J1431" s="11">
        <v>4</v>
      </c>
      <c r="K1431" s="11">
        <v>3</v>
      </c>
      <c r="L1431" s="11">
        <v>6.7643742953776799E-3</v>
      </c>
      <c r="M1431" s="11">
        <f t="shared" si="5"/>
        <v>0.67567567567567566</v>
      </c>
      <c r="N1431" s="11">
        <v>1.3333333333333299</v>
      </c>
      <c r="O1431" s="11">
        <v>6.7643742953776799E-3</v>
      </c>
      <c r="P1431" s="11">
        <v>7.3479729729729701E-2</v>
      </c>
      <c r="Q1431" s="11">
        <v>9.6774193548387094E-2</v>
      </c>
      <c r="R1431" s="11">
        <v>4.0268456375838903E-2</v>
      </c>
      <c r="S1431" s="10" t="s">
        <v>84</v>
      </c>
      <c r="T1431" s="10" t="s">
        <v>84</v>
      </c>
      <c r="U1431" s="10"/>
      <c r="V1431" s="10"/>
      <c r="W1431" s="10"/>
      <c r="X1431" s="10"/>
      <c r="Y1431" s="10"/>
      <c r="Z1431" s="10"/>
      <c r="AA1431" s="10"/>
    </row>
    <row r="1432" spans="1:27" ht="12.5" x14ac:dyDescent="0.25">
      <c r="A1432" s="10" t="s">
        <v>101</v>
      </c>
      <c r="B1432" s="10" t="s">
        <v>1523</v>
      </c>
      <c r="C1432" s="10" t="s">
        <v>76</v>
      </c>
      <c r="D1432" s="11">
        <v>2024</v>
      </c>
      <c r="E1432" s="10" t="s">
        <v>257</v>
      </c>
      <c r="F1432" s="10" t="s">
        <v>83</v>
      </c>
      <c r="G1432" s="10" t="s">
        <v>84</v>
      </c>
      <c r="H1432" s="11">
        <v>31378</v>
      </c>
      <c r="I1432" s="11">
        <v>212</v>
      </c>
      <c r="J1432" s="11">
        <v>1398</v>
      </c>
      <c r="K1432" s="11">
        <v>1610</v>
      </c>
      <c r="L1432" s="11">
        <v>6.7563440317633203E-3</v>
      </c>
      <c r="M1432" s="11">
        <f t="shared" si="5"/>
        <v>0.67563260883421505</v>
      </c>
      <c r="N1432" s="11">
        <v>6.5943396226415096</v>
      </c>
      <c r="O1432" s="11">
        <v>5.1309971184617602E-2</v>
      </c>
      <c r="P1432" s="11">
        <v>7.2635135135135101E-2</v>
      </c>
      <c r="Q1432" s="11">
        <v>7.1428571428571397E-2</v>
      </c>
      <c r="R1432" s="11">
        <v>4.5454545454545497E-2</v>
      </c>
      <c r="S1432" s="10" t="s">
        <v>84</v>
      </c>
      <c r="T1432" s="10" t="s">
        <v>84</v>
      </c>
      <c r="U1432" s="10"/>
      <c r="V1432" s="10"/>
      <c r="W1432" s="10"/>
      <c r="X1432" s="10"/>
      <c r="Y1432" s="10"/>
      <c r="Z1432" s="10"/>
      <c r="AA1432" s="10"/>
    </row>
    <row r="1433" spans="1:27" ht="12.5" hidden="1" x14ac:dyDescent="0.25">
      <c r="A1433" s="10" t="s">
        <v>36</v>
      </c>
      <c r="B1433" s="10" t="s">
        <v>929</v>
      </c>
      <c r="C1433" s="10" t="s">
        <v>191</v>
      </c>
      <c r="D1433" s="11">
        <v>2024</v>
      </c>
      <c r="E1433" s="10" t="s">
        <v>124</v>
      </c>
      <c r="F1433" s="10" t="s">
        <v>83</v>
      </c>
      <c r="G1433" s="10" t="s">
        <v>84</v>
      </c>
      <c r="H1433" s="12">
        <v>5348</v>
      </c>
      <c r="I1433" s="11">
        <v>36</v>
      </c>
      <c r="J1433" s="11">
        <v>17</v>
      </c>
      <c r="K1433" s="11">
        <v>183</v>
      </c>
      <c r="L1433" s="11">
        <v>6.7311737484223796E-3</v>
      </c>
      <c r="M1433" s="11">
        <f t="shared" si="5"/>
        <v>0.67314884068810776</v>
      </c>
      <c r="N1433" s="11">
        <v>0.47222222222222199</v>
      </c>
      <c r="O1433" s="11">
        <v>3.4216799887813801E-2</v>
      </c>
      <c r="P1433" s="11">
        <v>0.16053921568627499</v>
      </c>
      <c r="Q1433" s="11">
        <v>2.5000000000000001E-2</v>
      </c>
      <c r="R1433" s="11">
        <v>0.15116279069767399</v>
      </c>
      <c r="S1433" s="10" t="s">
        <v>84</v>
      </c>
      <c r="T1433" s="10" t="s">
        <v>84</v>
      </c>
      <c r="U1433" s="10"/>
      <c r="V1433" s="10"/>
      <c r="W1433" s="10"/>
      <c r="X1433" s="10"/>
      <c r="Y1433" s="10"/>
      <c r="Z1433" s="10"/>
      <c r="AA1433" s="10"/>
    </row>
    <row r="1434" spans="1:27" ht="12.5" x14ac:dyDescent="0.25">
      <c r="A1434" s="10" t="s">
        <v>49</v>
      </c>
      <c r="B1434" s="10" t="s">
        <v>1296</v>
      </c>
      <c r="C1434" s="10" t="s">
        <v>76</v>
      </c>
      <c r="D1434" s="11">
        <v>2024</v>
      </c>
      <c r="E1434" s="10" t="s">
        <v>124</v>
      </c>
      <c r="F1434" s="10" t="s">
        <v>83</v>
      </c>
      <c r="G1434" s="10" t="s">
        <v>84</v>
      </c>
      <c r="H1434" s="11">
        <v>2084</v>
      </c>
      <c r="I1434" s="11">
        <v>14</v>
      </c>
      <c r="J1434" s="11">
        <v>11</v>
      </c>
      <c r="K1434" s="11">
        <v>883</v>
      </c>
      <c r="L1434" s="11">
        <v>6.7175816705985804E-3</v>
      </c>
      <c r="M1434" s="11">
        <f t="shared" si="5"/>
        <v>0.67178502879078694</v>
      </c>
      <c r="N1434" s="11">
        <v>0.78571428571428603</v>
      </c>
      <c r="O1434" s="11">
        <v>0.42368747250989602</v>
      </c>
      <c r="P1434" s="11">
        <v>7.1790540540540501E-2</v>
      </c>
      <c r="Q1434" s="11">
        <v>7.69230769230769E-2</v>
      </c>
      <c r="R1434" s="11">
        <v>3.8031319910514498E-2</v>
      </c>
      <c r="S1434" s="10" t="s">
        <v>84</v>
      </c>
      <c r="T1434" s="10" t="s">
        <v>84</v>
      </c>
      <c r="U1434" s="10"/>
      <c r="V1434" s="10"/>
      <c r="W1434" s="10"/>
      <c r="X1434" s="10"/>
      <c r="Y1434" s="10"/>
      <c r="Z1434" s="10"/>
      <c r="AA1434" s="10"/>
    </row>
    <row r="1435" spans="1:27" ht="12.5" hidden="1" x14ac:dyDescent="0.25">
      <c r="A1435" s="10" t="s">
        <v>29</v>
      </c>
      <c r="B1435" s="10" t="s">
        <v>1751</v>
      </c>
      <c r="C1435" s="10" t="s">
        <v>191</v>
      </c>
      <c r="D1435" s="11">
        <v>2024</v>
      </c>
      <c r="E1435" s="10" t="s">
        <v>124</v>
      </c>
      <c r="F1435" s="10" t="s">
        <v>83</v>
      </c>
      <c r="G1435" s="10" t="s">
        <v>84</v>
      </c>
      <c r="H1435" s="12">
        <v>97825</v>
      </c>
      <c r="I1435" s="11">
        <v>653</v>
      </c>
      <c r="J1435" s="11">
        <v>268</v>
      </c>
      <c r="K1435" s="11">
        <v>1916</v>
      </c>
      <c r="L1435" s="11">
        <v>6.6751966525200697E-3</v>
      </c>
      <c r="M1435" s="11">
        <f t="shared" si="5"/>
        <v>0.66751852798364419</v>
      </c>
      <c r="N1435" s="11">
        <v>0.41041347626340002</v>
      </c>
      <c r="O1435" s="11">
        <v>1.95860287691094E-2</v>
      </c>
      <c r="P1435" s="11">
        <v>0.15931372549019601</v>
      </c>
      <c r="Q1435" s="11">
        <v>8.4507042253521097E-2</v>
      </c>
      <c r="R1435" s="11">
        <v>0.14922480620154999</v>
      </c>
      <c r="S1435" s="10" t="s">
        <v>84</v>
      </c>
      <c r="T1435" s="10" t="s">
        <v>84</v>
      </c>
      <c r="U1435" s="10"/>
      <c r="V1435" s="10"/>
      <c r="W1435" s="10"/>
      <c r="X1435" s="10"/>
      <c r="Y1435" s="10"/>
      <c r="Z1435" s="10"/>
      <c r="AA1435" s="10"/>
    </row>
    <row r="1436" spans="1:27" ht="12.5" hidden="1" x14ac:dyDescent="0.25">
      <c r="A1436" s="10" t="s">
        <v>34</v>
      </c>
      <c r="B1436" s="10" t="s">
        <v>1752</v>
      </c>
      <c r="C1436" s="10" t="s">
        <v>191</v>
      </c>
      <c r="D1436" s="11">
        <v>2024</v>
      </c>
      <c r="E1436" s="10" t="s">
        <v>124</v>
      </c>
      <c r="F1436" s="10" t="s">
        <v>125</v>
      </c>
      <c r="G1436" s="10" t="s">
        <v>84</v>
      </c>
      <c r="H1436" s="12">
        <v>450.08333333333297</v>
      </c>
      <c r="I1436" s="11">
        <v>3</v>
      </c>
      <c r="J1436" s="11">
        <v>2</v>
      </c>
      <c r="K1436" s="11">
        <v>62</v>
      </c>
      <c r="L1436" s="11">
        <v>6.6654323273467901E-3</v>
      </c>
      <c r="M1436" s="11">
        <f t="shared" si="5"/>
        <v>0.6665432327346793</v>
      </c>
      <c r="N1436" s="11">
        <v>0.66666666666666696</v>
      </c>
      <c r="O1436" s="11">
        <v>0.1377522680985</v>
      </c>
      <c r="P1436" s="11">
        <v>0.158088235294118</v>
      </c>
      <c r="Q1436" s="11">
        <v>0.28571428571428598</v>
      </c>
      <c r="R1436" s="11">
        <v>0.14728682170542601</v>
      </c>
      <c r="S1436" s="10" t="s">
        <v>84</v>
      </c>
      <c r="T1436" s="10" t="s">
        <v>84</v>
      </c>
      <c r="U1436" s="10"/>
      <c r="V1436" s="10"/>
      <c r="W1436" s="10"/>
      <c r="X1436" s="10"/>
      <c r="Y1436" s="10"/>
      <c r="Z1436" s="10"/>
      <c r="AA1436" s="10"/>
    </row>
    <row r="1437" spans="1:27" ht="12.5" hidden="1" x14ac:dyDescent="0.25">
      <c r="A1437" s="10" t="s">
        <v>34</v>
      </c>
      <c r="B1437" s="10" t="s">
        <v>1753</v>
      </c>
      <c r="C1437" s="10" t="s">
        <v>191</v>
      </c>
      <c r="D1437" s="11">
        <v>2024</v>
      </c>
      <c r="E1437" s="10" t="s">
        <v>124</v>
      </c>
      <c r="F1437" s="10" t="s">
        <v>125</v>
      </c>
      <c r="G1437" s="10" t="s">
        <v>84</v>
      </c>
      <c r="H1437" s="12">
        <v>305</v>
      </c>
      <c r="I1437" s="11">
        <v>2</v>
      </c>
      <c r="J1437" s="11">
        <v>2</v>
      </c>
      <c r="K1437" s="11">
        <v>12</v>
      </c>
      <c r="L1437" s="11">
        <v>6.5573770491803296E-3</v>
      </c>
      <c r="M1437" s="11">
        <f t="shared" si="5"/>
        <v>0.65573770491803274</v>
      </c>
      <c r="N1437" s="11">
        <v>1</v>
      </c>
      <c r="O1437" s="11">
        <v>3.9344262295081998E-2</v>
      </c>
      <c r="P1437" s="11">
        <v>0.15686274509803899</v>
      </c>
      <c r="Q1437" s="11">
        <v>0.25</v>
      </c>
      <c r="R1437" s="11">
        <v>0.145348837209302</v>
      </c>
      <c r="S1437" s="10" t="s">
        <v>84</v>
      </c>
      <c r="T1437" s="10" t="s">
        <v>84</v>
      </c>
      <c r="U1437" s="10"/>
      <c r="V1437" s="10"/>
      <c r="W1437" s="10"/>
      <c r="X1437" s="10"/>
      <c r="Y1437" s="10"/>
      <c r="Z1437" s="10"/>
      <c r="AA1437" s="10"/>
    </row>
    <row r="1438" spans="1:27" ht="12.5" x14ac:dyDescent="0.25">
      <c r="A1438" s="10" t="s">
        <v>34</v>
      </c>
      <c r="B1438" s="10" t="s">
        <v>1260</v>
      </c>
      <c r="C1438" s="10" t="s">
        <v>76</v>
      </c>
      <c r="D1438" s="11">
        <v>2024</v>
      </c>
      <c r="E1438" s="10" t="s">
        <v>81</v>
      </c>
      <c r="F1438" s="10" t="s">
        <v>83</v>
      </c>
      <c r="G1438" s="10" t="s">
        <v>84</v>
      </c>
      <c r="H1438" s="11">
        <v>11133</v>
      </c>
      <c r="I1438" s="11">
        <v>73</v>
      </c>
      <c r="J1438" s="11">
        <v>42</v>
      </c>
      <c r="K1438" s="11">
        <v>5884</v>
      </c>
      <c r="L1438" s="11">
        <v>6.5573279637101299E-3</v>
      </c>
      <c r="M1438" s="11">
        <f t="shared" si="5"/>
        <v>0.65570825473816574</v>
      </c>
      <c r="N1438" s="11">
        <v>0.57534246575342496</v>
      </c>
      <c r="O1438" s="11">
        <v>0.52853859915712897</v>
      </c>
      <c r="P1438" s="11">
        <v>7.0101351351351399E-2</v>
      </c>
      <c r="Q1438" s="11">
        <v>0.183673469387755</v>
      </c>
      <c r="R1438" s="11">
        <v>0.10271317829457401</v>
      </c>
      <c r="S1438" s="10" t="s">
        <v>84</v>
      </c>
      <c r="T1438" s="10" t="s">
        <v>84</v>
      </c>
      <c r="U1438" s="10"/>
      <c r="V1438" s="10"/>
      <c r="W1438" s="10"/>
      <c r="X1438" s="10"/>
      <c r="Y1438" s="10"/>
      <c r="Z1438" s="10"/>
      <c r="AA1438" s="10"/>
    </row>
    <row r="1439" spans="1:27" ht="12.5" x14ac:dyDescent="0.25">
      <c r="A1439" s="10" t="s">
        <v>12</v>
      </c>
      <c r="B1439" s="10" t="s">
        <v>1263</v>
      </c>
      <c r="C1439" s="10" t="s">
        <v>76</v>
      </c>
      <c r="D1439" s="11">
        <v>2024</v>
      </c>
      <c r="E1439" s="10" t="s">
        <v>81</v>
      </c>
      <c r="F1439" s="10" t="s">
        <v>83</v>
      </c>
      <c r="G1439" s="10" t="s">
        <v>84</v>
      </c>
      <c r="H1439" s="11">
        <v>9566</v>
      </c>
      <c r="I1439" s="11">
        <v>62</v>
      </c>
      <c r="J1439" s="11">
        <v>162</v>
      </c>
      <c r="K1439" s="11">
        <v>10697</v>
      </c>
      <c r="L1439" s="11">
        <v>6.4815137470815801E-3</v>
      </c>
      <c r="M1439" s="11">
        <f t="shared" si="5"/>
        <v>0.64812878946268027</v>
      </c>
      <c r="N1439" s="11">
        <v>2.6129032258064502</v>
      </c>
      <c r="O1439" s="11">
        <v>1.11827020246019</v>
      </c>
      <c r="P1439" s="11">
        <v>6.9256756756756799E-2</v>
      </c>
      <c r="Q1439" s="11">
        <v>2.7777777777777801E-2</v>
      </c>
      <c r="R1439" s="11">
        <v>0.10077519379845</v>
      </c>
      <c r="S1439" s="10" t="s">
        <v>84</v>
      </c>
      <c r="T1439" s="10" t="s">
        <v>84</v>
      </c>
      <c r="U1439" s="10"/>
      <c r="V1439" s="10"/>
      <c r="W1439" s="10"/>
      <c r="X1439" s="10"/>
      <c r="Y1439" s="10"/>
      <c r="Z1439" s="10"/>
      <c r="AA1439" s="10"/>
    </row>
    <row r="1440" spans="1:27" ht="12.5" x14ac:dyDescent="0.25">
      <c r="A1440" s="10" t="s">
        <v>53</v>
      </c>
      <c r="B1440" s="10" t="s">
        <v>1265</v>
      </c>
      <c r="C1440" s="10" t="s">
        <v>76</v>
      </c>
      <c r="D1440" s="11">
        <v>2024</v>
      </c>
      <c r="E1440" s="10" t="s">
        <v>81</v>
      </c>
      <c r="F1440" s="10" t="s">
        <v>83</v>
      </c>
      <c r="G1440" s="10" t="s">
        <v>84</v>
      </c>
      <c r="H1440" s="11">
        <v>3447</v>
      </c>
      <c r="I1440" s="11">
        <v>22</v>
      </c>
      <c r="J1440" s="11">
        <v>12</v>
      </c>
      <c r="K1440" s="11">
        <v>98</v>
      </c>
      <c r="L1440" s="11">
        <v>6.3831330544742403E-3</v>
      </c>
      <c r="M1440" s="11">
        <f t="shared" si="5"/>
        <v>0.63823614737452861</v>
      </c>
      <c r="N1440" s="11">
        <v>0.54545454545454497</v>
      </c>
      <c r="O1440" s="11">
        <v>2.8433956333567101E-2</v>
      </c>
      <c r="P1440" s="11">
        <v>6.8412162162162199E-2</v>
      </c>
      <c r="Q1440" s="11">
        <v>0.4</v>
      </c>
      <c r="R1440" s="11">
        <v>9.8837209302325604E-2</v>
      </c>
      <c r="S1440" s="10" t="s">
        <v>84</v>
      </c>
      <c r="T1440" s="10" t="s">
        <v>84</v>
      </c>
      <c r="U1440" s="10"/>
      <c r="V1440" s="10"/>
      <c r="W1440" s="10"/>
      <c r="X1440" s="10"/>
      <c r="Y1440" s="10"/>
      <c r="Z1440" s="10"/>
      <c r="AA1440" s="10"/>
    </row>
    <row r="1441" spans="1:27" ht="12.5" hidden="1" x14ac:dyDescent="0.25">
      <c r="A1441" s="10" t="s">
        <v>14</v>
      </c>
      <c r="B1441" s="10" t="s">
        <v>1754</v>
      </c>
      <c r="C1441" s="10" t="s">
        <v>191</v>
      </c>
      <c r="D1441" s="11">
        <v>2024</v>
      </c>
      <c r="E1441" s="10" t="s">
        <v>124</v>
      </c>
      <c r="F1441" s="10" t="s">
        <v>83</v>
      </c>
      <c r="G1441" s="10" t="s">
        <v>84</v>
      </c>
      <c r="H1441" s="12">
        <v>6465</v>
      </c>
      <c r="I1441" s="11">
        <v>41</v>
      </c>
      <c r="J1441" s="11">
        <v>21</v>
      </c>
      <c r="K1441" s="11">
        <v>500</v>
      </c>
      <c r="L1441" s="11">
        <v>6.3422494360296502E-3</v>
      </c>
      <c r="M1441" s="11">
        <f t="shared" si="5"/>
        <v>0.63418406805877803</v>
      </c>
      <c r="N1441" s="11">
        <v>0.51219512195121997</v>
      </c>
      <c r="O1441" s="11">
        <v>7.7344505317434697E-2</v>
      </c>
      <c r="P1441" s="11">
        <v>0.15196078431372501</v>
      </c>
      <c r="Q1441" s="11">
        <v>4.2553191489361701E-2</v>
      </c>
      <c r="R1441" s="11">
        <v>0.14341085271317799</v>
      </c>
      <c r="S1441" s="10" t="s">
        <v>84</v>
      </c>
      <c r="T1441" s="10" t="s">
        <v>84</v>
      </c>
      <c r="U1441" s="10"/>
      <c r="V1441" s="10"/>
      <c r="W1441" s="10"/>
      <c r="X1441" s="10"/>
      <c r="Y1441" s="10"/>
      <c r="Z1441" s="10"/>
      <c r="AA1441" s="10"/>
    </row>
    <row r="1442" spans="1:27" ht="12.5" hidden="1" x14ac:dyDescent="0.25">
      <c r="A1442" s="10" t="s">
        <v>34</v>
      </c>
      <c r="B1442" s="10" t="s">
        <v>1755</v>
      </c>
      <c r="C1442" s="10" t="s">
        <v>191</v>
      </c>
      <c r="D1442" s="11">
        <v>2024</v>
      </c>
      <c r="E1442" s="10" t="s">
        <v>124</v>
      </c>
      <c r="F1442" s="10" t="s">
        <v>125</v>
      </c>
      <c r="G1442" s="10" t="s">
        <v>84</v>
      </c>
      <c r="H1442" s="12">
        <v>3162</v>
      </c>
      <c r="I1442" s="11">
        <v>20</v>
      </c>
      <c r="J1442" s="11">
        <v>20</v>
      </c>
      <c r="K1442" s="11">
        <v>48</v>
      </c>
      <c r="L1442" s="11">
        <v>6.3256108167944998E-3</v>
      </c>
      <c r="M1442" s="11">
        <f t="shared" si="5"/>
        <v>0.63251106894370646</v>
      </c>
      <c r="N1442" s="11">
        <v>1</v>
      </c>
      <c r="O1442" s="11">
        <v>1.5181465960306799E-2</v>
      </c>
      <c r="P1442" s="11">
        <v>0.150735294117647</v>
      </c>
      <c r="Q1442" s="11">
        <v>0.214285714285714</v>
      </c>
      <c r="R1442" s="11">
        <v>0.14147286821705399</v>
      </c>
      <c r="S1442" s="10" t="s">
        <v>84</v>
      </c>
      <c r="T1442" s="10" t="s">
        <v>84</v>
      </c>
      <c r="U1442" s="10"/>
      <c r="V1442" s="10"/>
      <c r="W1442" s="10"/>
      <c r="X1442" s="10"/>
      <c r="Y1442" s="10"/>
      <c r="Z1442" s="10"/>
      <c r="AA1442" s="10"/>
    </row>
    <row r="1443" spans="1:27" ht="12.5" x14ac:dyDescent="0.25">
      <c r="A1443" s="10" t="s">
        <v>92</v>
      </c>
      <c r="B1443" s="10" t="s">
        <v>1298</v>
      </c>
      <c r="C1443" s="10" t="s">
        <v>76</v>
      </c>
      <c r="D1443" s="11">
        <v>2024</v>
      </c>
      <c r="E1443" s="10" t="s">
        <v>124</v>
      </c>
      <c r="F1443" s="10" t="s">
        <v>83</v>
      </c>
      <c r="G1443" s="10" t="s">
        <v>84</v>
      </c>
      <c r="H1443" s="11">
        <v>13976</v>
      </c>
      <c r="I1443" s="11">
        <v>88</v>
      </c>
      <c r="J1443" s="11">
        <v>79</v>
      </c>
      <c r="K1443" s="11">
        <v>3802</v>
      </c>
      <c r="L1443" s="11">
        <v>6.2963581292184399E-3</v>
      </c>
      <c r="M1443" s="11">
        <f t="shared" si="5"/>
        <v>0.62965082999427591</v>
      </c>
      <c r="N1443" s="11">
        <v>0.89772727272727304</v>
      </c>
      <c r="O1443" s="11">
        <v>0.27203129099191498</v>
      </c>
      <c r="P1443" s="11">
        <v>6.6722972972972999E-2</v>
      </c>
      <c r="Q1443" s="11">
        <v>0.22222222222222199</v>
      </c>
      <c r="R1443" s="11">
        <v>3.5794183445190197E-2</v>
      </c>
      <c r="S1443" s="10" t="s">
        <v>84</v>
      </c>
      <c r="T1443" s="10" t="s">
        <v>84</v>
      </c>
      <c r="U1443" s="10"/>
      <c r="V1443" s="10"/>
      <c r="W1443" s="10"/>
      <c r="X1443" s="10"/>
      <c r="Y1443" s="10"/>
      <c r="Z1443" s="10"/>
      <c r="AA1443" s="10"/>
    </row>
    <row r="1444" spans="1:27" ht="12.5" hidden="1" x14ac:dyDescent="0.25">
      <c r="A1444" s="10" t="s">
        <v>55</v>
      </c>
      <c r="B1444" s="10" t="s">
        <v>1756</v>
      </c>
      <c r="C1444" s="10" t="s">
        <v>191</v>
      </c>
      <c r="D1444" s="11">
        <v>2024</v>
      </c>
      <c r="E1444" s="10" t="s">
        <v>124</v>
      </c>
      <c r="F1444" s="10" t="s">
        <v>125</v>
      </c>
      <c r="G1444" s="10" t="s">
        <v>84</v>
      </c>
      <c r="H1444" s="12">
        <v>480.16666666666703</v>
      </c>
      <c r="I1444" s="11">
        <v>3</v>
      </c>
      <c r="J1444" s="11">
        <v>3</v>
      </c>
      <c r="K1444" s="11">
        <v>490</v>
      </c>
      <c r="L1444" s="11">
        <v>6.24783061437001E-3</v>
      </c>
      <c r="M1444" s="11">
        <f t="shared" si="5"/>
        <v>0.62478306143700058</v>
      </c>
      <c r="N1444" s="11">
        <v>1</v>
      </c>
      <c r="O1444" s="11">
        <v>1.0204790003471</v>
      </c>
      <c r="P1444" s="11">
        <v>0.14950980392156901</v>
      </c>
      <c r="Q1444" s="11">
        <v>0.148148148148148</v>
      </c>
      <c r="R1444" s="11">
        <v>0.13953488372093001</v>
      </c>
      <c r="S1444" s="10" t="s">
        <v>84</v>
      </c>
      <c r="T1444" s="10" t="s">
        <v>84</v>
      </c>
      <c r="U1444" s="10"/>
      <c r="V1444" s="10"/>
      <c r="W1444" s="10"/>
      <c r="X1444" s="10"/>
      <c r="Y1444" s="10"/>
      <c r="Z1444" s="10"/>
      <c r="AA1444" s="10"/>
    </row>
    <row r="1445" spans="1:27" ht="12.5" hidden="1" x14ac:dyDescent="0.25">
      <c r="A1445" s="10" t="s">
        <v>32</v>
      </c>
      <c r="B1445" s="10" t="s">
        <v>1757</v>
      </c>
      <c r="C1445" s="10" t="s">
        <v>191</v>
      </c>
      <c r="D1445" s="11">
        <v>2024</v>
      </c>
      <c r="E1445" s="10" t="s">
        <v>124</v>
      </c>
      <c r="F1445" s="10" t="s">
        <v>125</v>
      </c>
      <c r="G1445" s="10" t="s">
        <v>84</v>
      </c>
      <c r="H1445" s="12">
        <v>7382</v>
      </c>
      <c r="I1445" s="11">
        <v>46</v>
      </c>
      <c r="J1445" s="11">
        <v>52</v>
      </c>
      <c r="K1445" s="11">
        <v>6260</v>
      </c>
      <c r="L1445" s="11">
        <v>6.2312329261960103E-3</v>
      </c>
      <c r="M1445" s="11">
        <f t="shared" si="5"/>
        <v>0.62313736114874019</v>
      </c>
      <c r="N1445" s="11">
        <v>1.1304347826087</v>
      </c>
      <c r="O1445" s="11">
        <v>0.84798952430406604</v>
      </c>
      <c r="P1445" s="11">
        <v>0.14828431372549</v>
      </c>
      <c r="Q1445" s="11">
        <v>7.1428571428571397E-2</v>
      </c>
      <c r="R1445" s="11">
        <v>0.137596899224806</v>
      </c>
      <c r="S1445" s="10" t="s">
        <v>84</v>
      </c>
      <c r="T1445" s="10" t="s">
        <v>84</v>
      </c>
      <c r="U1445" s="10"/>
      <c r="V1445" s="10"/>
      <c r="W1445" s="10"/>
      <c r="X1445" s="10"/>
      <c r="Y1445" s="10"/>
      <c r="Z1445" s="10"/>
      <c r="AA1445" s="10"/>
    </row>
    <row r="1446" spans="1:27" ht="12.5" hidden="1" x14ac:dyDescent="0.25">
      <c r="A1446" s="10" t="s">
        <v>6</v>
      </c>
      <c r="B1446" s="10" t="s">
        <v>1758</v>
      </c>
      <c r="C1446" s="10" t="s">
        <v>191</v>
      </c>
      <c r="D1446" s="11">
        <v>2024</v>
      </c>
      <c r="E1446" s="10" t="s">
        <v>124</v>
      </c>
      <c r="F1446" s="10" t="s">
        <v>125</v>
      </c>
      <c r="G1446" s="10" t="s">
        <v>84</v>
      </c>
      <c r="H1446" s="12">
        <v>487.75</v>
      </c>
      <c r="I1446" s="11">
        <v>3</v>
      </c>
      <c r="J1446" s="11">
        <v>1</v>
      </c>
      <c r="K1446" s="11">
        <v>452</v>
      </c>
      <c r="L1446" s="11">
        <v>6.1506919528446996E-3</v>
      </c>
      <c r="M1446" s="11">
        <f t="shared" si="5"/>
        <v>0.61506919528446957</v>
      </c>
      <c r="N1446" s="11">
        <v>0.33333333333333298</v>
      </c>
      <c r="O1446" s="11">
        <v>0.92670425422860103</v>
      </c>
      <c r="P1446" s="11">
        <v>0.14705882352941199</v>
      </c>
      <c r="Q1446" s="11">
        <v>0.2</v>
      </c>
      <c r="R1446" s="11">
        <v>0.135658914728682</v>
      </c>
      <c r="S1446" s="10" t="s">
        <v>84</v>
      </c>
      <c r="T1446" s="10" t="s">
        <v>84</v>
      </c>
      <c r="U1446" s="10"/>
      <c r="V1446" s="10"/>
      <c r="W1446" s="10"/>
      <c r="X1446" s="10"/>
      <c r="Y1446" s="10"/>
      <c r="Z1446" s="10"/>
      <c r="AA1446" s="10"/>
    </row>
    <row r="1447" spans="1:27" ht="12.5" x14ac:dyDescent="0.25">
      <c r="A1447" s="10" t="s">
        <v>49</v>
      </c>
      <c r="B1447" s="10" t="s">
        <v>1266</v>
      </c>
      <c r="C1447" s="10" t="s">
        <v>76</v>
      </c>
      <c r="D1447" s="11">
        <v>2024</v>
      </c>
      <c r="E1447" s="10" t="s">
        <v>81</v>
      </c>
      <c r="F1447" s="10" t="s">
        <v>83</v>
      </c>
      <c r="G1447" s="10" t="s">
        <v>84</v>
      </c>
      <c r="H1447" s="11">
        <v>9813</v>
      </c>
      <c r="I1447" s="11">
        <v>59</v>
      </c>
      <c r="J1447" s="11">
        <v>26</v>
      </c>
      <c r="K1447" s="11">
        <v>5960</v>
      </c>
      <c r="L1447" s="11">
        <v>6.0127388535031797E-3</v>
      </c>
      <c r="M1447" s="11">
        <f t="shared" si="5"/>
        <v>0.60124324875165602</v>
      </c>
      <c r="N1447" s="11">
        <v>0.44067796610169502</v>
      </c>
      <c r="O1447" s="11">
        <v>0.60738853503184698</v>
      </c>
      <c r="P1447" s="11">
        <v>6.5878378378378399E-2</v>
      </c>
      <c r="Q1447" s="11">
        <v>3.8461538461538498E-2</v>
      </c>
      <c r="R1447" s="11">
        <v>9.6899224806201598E-2</v>
      </c>
      <c r="S1447" s="10" t="s">
        <v>84</v>
      </c>
      <c r="T1447" s="10" t="s">
        <v>84</v>
      </c>
      <c r="U1447" s="10"/>
      <c r="V1447" s="10"/>
      <c r="W1447" s="10"/>
      <c r="X1447" s="10"/>
      <c r="Y1447" s="10"/>
      <c r="Z1447" s="10"/>
      <c r="AA1447" s="10"/>
    </row>
    <row r="1448" spans="1:27" ht="12.5" hidden="1" x14ac:dyDescent="0.25">
      <c r="A1448" s="10" t="s">
        <v>16</v>
      </c>
      <c r="B1448" s="10" t="s">
        <v>1759</v>
      </c>
      <c r="C1448" s="10" t="s">
        <v>191</v>
      </c>
      <c r="D1448" s="11">
        <v>2024</v>
      </c>
      <c r="E1448" s="10" t="s">
        <v>124</v>
      </c>
      <c r="F1448" s="10" t="s">
        <v>125</v>
      </c>
      <c r="G1448" s="10" t="s">
        <v>84</v>
      </c>
      <c r="H1448" s="12">
        <v>64366</v>
      </c>
      <c r="I1448" s="11">
        <v>386</v>
      </c>
      <c r="J1448" s="11">
        <v>249</v>
      </c>
      <c r="K1448" s="11">
        <v>308955</v>
      </c>
      <c r="L1448" s="11">
        <v>5.9969549140850799E-3</v>
      </c>
      <c r="M1448" s="11">
        <f t="shared" si="5"/>
        <v>0.59969549140850764</v>
      </c>
      <c r="N1448" s="11">
        <v>0.64507772020725396</v>
      </c>
      <c r="O1448" s="11">
        <v>4.7999720349252701</v>
      </c>
      <c r="P1448" s="11">
        <v>0.14583333333333301</v>
      </c>
      <c r="Q1448" s="11">
        <v>4.1666666666666699E-2</v>
      </c>
      <c r="R1448" s="11">
        <v>0.13372093023255799</v>
      </c>
      <c r="S1448" s="10" t="s">
        <v>84</v>
      </c>
      <c r="T1448" s="10" t="s">
        <v>84</v>
      </c>
      <c r="U1448" s="10"/>
      <c r="V1448" s="10"/>
      <c r="W1448" s="10"/>
      <c r="X1448" s="10"/>
      <c r="Y1448" s="10"/>
      <c r="Z1448" s="10"/>
      <c r="AA1448" s="10"/>
    </row>
    <row r="1449" spans="1:27" ht="12.5" x14ac:dyDescent="0.25">
      <c r="A1449" s="10" t="s">
        <v>88</v>
      </c>
      <c r="B1449" s="10" t="s">
        <v>1269</v>
      </c>
      <c r="C1449" s="10" t="s">
        <v>76</v>
      </c>
      <c r="D1449" s="11">
        <v>2024</v>
      </c>
      <c r="E1449" s="10" t="s">
        <v>81</v>
      </c>
      <c r="F1449" s="10" t="s">
        <v>125</v>
      </c>
      <c r="G1449" s="10" t="s">
        <v>84</v>
      </c>
      <c r="H1449" s="11">
        <v>10894</v>
      </c>
      <c r="I1449" s="11">
        <v>65</v>
      </c>
      <c r="J1449" s="11">
        <v>45</v>
      </c>
      <c r="K1449" s="11">
        <v>13257</v>
      </c>
      <c r="L1449" s="11">
        <v>5.9668153270656301E-3</v>
      </c>
      <c r="M1449" s="11">
        <f t="shared" si="5"/>
        <v>0.59665871121718372</v>
      </c>
      <c r="N1449" s="11">
        <v>0.69230769230769196</v>
      </c>
      <c r="O1449" s="11">
        <v>1.21695493524475</v>
      </c>
      <c r="P1449" s="11">
        <v>6.50337837837838E-2</v>
      </c>
      <c r="Q1449" s="11">
        <v>0</v>
      </c>
      <c r="R1449" s="11">
        <v>9.4961240310077494E-2</v>
      </c>
      <c r="S1449" s="10" t="s">
        <v>84</v>
      </c>
      <c r="T1449" s="10" t="s">
        <v>84</v>
      </c>
      <c r="U1449" s="10"/>
      <c r="V1449" s="10"/>
      <c r="W1449" s="10"/>
      <c r="X1449" s="10"/>
      <c r="Y1449" s="10"/>
      <c r="Z1449" s="10"/>
      <c r="AA1449" s="10"/>
    </row>
    <row r="1450" spans="1:27" ht="12.5" hidden="1" x14ac:dyDescent="0.25">
      <c r="A1450" s="10" t="s">
        <v>12</v>
      </c>
      <c r="B1450" s="10" t="s">
        <v>1760</v>
      </c>
      <c r="C1450" s="10" t="s">
        <v>191</v>
      </c>
      <c r="D1450" s="11">
        <v>2024</v>
      </c>
      <c r="E1450" s="10" t="s">
        <v>124</v>
      </c>
      <c r="F1450" s="10" t="s">
        <v>125</v>
      </c>
      <c r="G1450" s="10" t="s">
        <v>84</v>
      </c>
      <c r="H1450" s="12">
        <v>167.75</v>
      </c>
      <c r="I1450" s="11">
        <v>1</v>
      </c>
      <c r="J1450" s="11">
        <v>1</v>
      </c>
      <c r="K1450" s="11">
        <v>1</v>
      </c>
      <c r="L1450" s="11">
        <v>5.9612518628912098E-3</v>
      </c>
      <c r="M1450" s="11">
        <f t="shared" si="5"/>
        <v>0.5961251862891207</v>
      </c>
      <c r="N1450" s="11">
        <v>1</v>
      </c>
      <c r="O1450" s="11">
        <v>5.9612518628912098E-3</v>
      </c>
      <c r="P1450" s="11">
        <v>0.144607843137255</v>
      </c>
      <c r="Q1450" s="11">
        <v>0.126984126984127</v>
      </c>
      <c r="R1450" s="11">
        <v>0.13178294573643401</v>
      </c>
      <c r="S1450" s="10" t="s">
        <v>84</v>
      </c>
      <c r="T1450" s="10" t="s">
        <v>84</v>
      </c>
      <c r="U1450" s="10"/>
      <c r="V1450" s="10"/>
      <c r="W1450" s="10"/>
      <c r="X1450" s="10"/>
      <c r="Y1450" s="10"/>
      <c r="Z1450" s="10"/>
      <c r="AA1450" s="10"/>
    </row>
    <row r="1451" spans="1:27" ht="12.5" x14ac:dyDescent="0.25">
      <c r="A1451" s="10" t="s">
        <v>82</v>
      </c>
      <c r="B1451" s="10" t="s">
        <v>1271</v>
      </c>
      <c r="C1451" s="10" t="s">
        <v>76</v>
      </c>
      <c r="D1451" s="11">
        <v>2024</v>
      </c>
      <c r="E1451" s="10" t="s">
        <v>81</v>
      </c>
      <c r="F1451" s="10" t="s">
        <v>83</v>
      </c>
      <c r="G1451" s="10" t="s">
        <v>84</v>
      </c>
      <c r="H1451" s="11">
        <v>20378</v>
      </c>
      <c r="I1451" s="11">
        <v>121</v>
      </c>
      <c r="J1451" s="11">
        <v>83</v>
      </c>
      <c r="K1451" s="11">
        <v>7126</v>
      </c>
      <c r="L1451" s="11">
        <v>5.9376546264225602E-3</v>
      </c>
      <c r="M1451" s="11">
        <f t="shared" si="5"/>
        <v>0.59377760329767404</v>
      </c>
      <c r="N1451" s="11">
        <v>0.68595041322313999</v>
      </c>
      <c r="O1451" s="11">
        <v>0.34968369312303499</v>
      </c>
      <c r="P1451" s="11">
        <v>6.41891891891892E-2</v>
      </c>
      <c r="Q1451" s="11">
        <v>6.8965517241379296E-2</v>
      </c>
      <c r="R1451" s="11">
        <v>9.3023255813953501E-2</v>
      </c>
      <c r="S1451" s="10" t="s">
        <v>84</v>
      </c>
      <c r="T1451" s="10" t="s">
        <v>84</v>
      </c>
      <c r="U1451" s="10"/>
      <c r="V1451" s="10"/>
      <c r="W1451" s="10"/>
      <c r="X1451" s="10"/>
      <c r="Y1451" s="10"/>
      <c r="Z1451" s="10"/>
      <c r="AA1451" s="10"/>
    </row>
    <row r="1452" spans="1:27" ht="12.5" x14ac:dyDescent="0.25">
      <c r="A1452" s="10" t="s">
        <v>53</v>
      </c>
      <c r="B1452" s="10" t="s">
        <v>1273</v>
      </c>
      <c r="C1452" s="10" t="s">
        <v>76</v>
      </c>
      <c r="D1452" s="11">
        <v>2024</v>
      </c>
      <c r="E1452" s="10" t="s">
        <v>81</v>
      </c>
      <c r="F1452" s="10" t="s">
        <v>83</v>
      </c>
      <c r="G1452" s="10" t="s">
        <v>84</v>
      </c>
      <c r="H1452" s="11">
        <v>5105</v>
      </c>
      <c r="I1452" s="11">
        <v>30</v>
      </c>
      <c r="J1452" s="11">
        <v>27</v>
      </c>
      <c r="K1452" s="11">
        <v>215</v>
      </c>
      <c r="L1452" s="11">
        <v>5.8764956497608604E-3</v>
      </c>
      <c r="M1452" s="11">
        <f t="shared" si="5"/>
        <v>0.5876591576885406</v>
      </c>
      <c r="N1452" s="11">
        <v>0.9</v>
      </c>
      <c r="O1452" s="11">
        <v>4.2114885489952798E-2</v>
      </c>
      <c r="P1452" s="11">
        <v>6.33445945945946E-2</v>
      </c>
      <c r="Q1452" s="11">
        <v>0.375</v>
      </c>
      <c r="R1452" s="11">
        <v>9.1085271317829494E-2</v>
      </c>
      <c r="S1452" s="10" t="s">
        <v>84</v>
      </c>
      <c r="T1452" s="10" t="s">
        <v>84</v>
      </c>
      <c r="U1452" s="10"/>
      <c r="V1452" s="10"/>
      <c r="W1452" s="10"/>
      <c r="X1452" s="10"/>
      <c r="Y1452" s="10"/>
      <c r="Z1452" s="10"/>
      <c r="AA1452" s="10"/>
    </row>
    <row r="1453" spans="1:27" ht="12.5" x14ac:dyDescent="0.25">
      <c r="A1453" s="10" t="s">
        <v>53</v>
      </c>
      <c r="B1453" s="10" t="s">
        <v>1301</v>
      </c>
      <c r="C1453" s="10" t="s">
        <v>76</v>
      </c>
      <c r="D1453" s="11">
        <v>2024</v>
      </c>
      <c r="E1453" s="10" t="s">
        <v>124</v>
      </c>
      <c r="F1453" s="10" t="s">
        <v>125</v>
      </c>
      <c r="G1453" s="10" t="s">
        <v>84</v>
      </c>
      <c r="H1453" s="11">
        <v>1026</v>
      </c>
      <c r="I1453" s="11">
        <v>6</v>
      </c>
      <c r="J1453" s="11">
        <v>5</v>
      </c>
      <c r="K1453" s="11">
        <v>406</v>
      </c>
      <c r="L1453" s="11">
        <v>5.8479532163742704E-3</v>
      </c>
      <c r="M1453" s="11">
        <f t="shared" si="5"/>
        <v>0.58479532163742687</v>
      </c>
      <c r="N1453" s="11">
        <v>0.83333333333333304</v>
      </c>
      <c r="O1453" s="11">
        <v>0.39571150097465901</v>
      </c>
      <c r="P1453" s="11">
        <v>6.25E-2</v>
      </c>
      <c r="Q1453" s="11">
        <v>0.35</v>
      </c>
      <c r="R1453" s="11">
        <v>3.35570469798658E-2</v>
      </c>
      <c r="S1453" s="10" t="s">
        <v>84</v>
      </c>
      <c r="T1453" s="10" t="s">
        <v>84</v>
      </c>
      <c r="U1453" s="10"/>
      <c r="V1453" s="10"/>
      <c r="W1453" s="10"/>
      <c r="X1453" s="10"/>
      <c r="Y1453" s="10"/>
      <c r="Z1453" s="10"/>
      <c r="AA1453" s="10"/>
    </row>
    <row r="1454" spans="1:27" ht="12.5" hidden="1" x14ac:dyDescent="0.25">
      <c r="A1454" s="10" t="s">
        <v>32</v>
      </c>
      <c r="B1454" s="10" t="s">
        <v>1761</v>
      </c>
      <c r="C1454" s="10" t="s">
        <v>191</v>
      </c>
      <c r="D1454" s="11">
        <v>2024</v>
      </c>
      <c r="E1454" s="10" t="s">
        <v>124</v>
      </c>
      <c r="F1454" s="10" t="s">
        <v>125</v>
      </c>
      <c r="G1454" s="10" t="s">
        <v>84</v>
      </c>
      <c r="H1454" s="12">
        <v>7022</v>
      </c>
      <c r="I1454" s="11">
        <v>41</v>
      </c>
      <c r="J1454" s="11">
        <v>17</v>
      </c>
      <c r="K1454" s="11">
        <v>0</v>
      </c>
      <c r="L1454" s="11">
        <v>5.8390002492256197E-3</v>
      </c>
      <c r="M1454" s="11">
        <f t="shared" si="5"/>
        <v>0.58387923668470521</v>
      </c>
      <c r="N1454" s="11">
        <v>0.41463414634146301</v>
      </c>
      <c r="O1454" s="11">
        <v>0</v>
      </c>
      <c r="P1454" s="11">
        <v>0.14215686274509801</v>
      </c>
      <c r="Q1454" s="11">
        <v>0</v>
      </c>
      <c r="R1454" s="11">
        <v>0.12984496124031</v>
      </c>
      <c r="S1454" s="10" t="s">
        <v>84</v>
      </c>
      <c r="T1454" s="10" t="s">
        <v>84</v>
      </c>
      <c r="U1454" s="10"/>
      <c r="V1454" s="10"/>
      <c r="W1454" s="10"/>
      <c r="X1454" s="10"/>
      <c r="Y1454" s="10"/>
      <c r="Z1454" s="10"/>
      <c r="AA1454" s="10"/>
    </row>
    <row r="1455" spans="1:27" ht="12.5" x14ac:dyDescent="0.25">
      <c r="A1455" s="10" t="s">
        <v>34</v>
      </c>
      <c r="B1455" s="10" t="s">
        <v>1275</v>
      </c>
      <c r="C1455" s="10" t="s">
        <v>76</v>
      </c>
      <c r="D1455" s="11">
        <v>2024</v>
      </c>
      <c r="E1455" s="10" t="s">
        <v>81</v>
      </c>
      <c r="F1455" s="10" t="s">
        <v>83</v>
      </c>
      <c r="G1455" s="10" t="s">
        <v>84</v>
      </c>
      <c r="H1455" s="11">
        <v>5498</v>
      </c>
      <c r="I1455" s="11">
        <v>32</v>
      </c>
      <c r="J1455" s="11">
        <v>15</v>
      </c>
      <c r="K1455" s="11">
        <v>5427</v>
      </c>
      <c r="L1455" s="11">
        <v>5.8202100732073301E-3</v>
      </c>
      <c r="M1455" s="11">
        <f t="shared" si="5"/>
        <v>0.58202982902873768</v>
      </c>
      <c r="N1455" s="11">
        <v>0.46875</v>
      </c>
      <c r="O1455" s="11">
        <v>0.98707125210300595</v>
      </c>
      <c r="P1455" s="11">
        <v>6.08108108108108E-2</v>
      </c>
      <c r="Q1455" s="11">
        <v>0.16326530612244899</v>
      </c>
      <c r="R1455" s="11">
        <v>8.9147286821705404E-2</v>
      </c>
      <c r="S1455" s="10" t="s">
        <v>84</v>
      </c>
      <c r="T1455" s="10" t="s">
        <v>84</v>
      </c>
      <c r="U1455" s="10"/>
      <c r="V1455" s="10"/>
      <c r="W1455" s="10"/>
      <c r="X1455" s="10"/>
      <c r="Y1455" s="10"/>
      <c r="Z1455" s="10"/>
      <c r="AA1455" s="10"/>
    </row>
    <row r="1456" spans="1:27" ht="12.5" hidden="1" x14ac:dyDescent="0.25">
      <c r="A1456" s="10" t="s">
        <v>77</v>
      </c>
      <c r="B1456" s="10" t="s">
        <v>1762</v>
      </c>
      <c r="C1456" s="10" t="s">
        <v>191</v>
      </c>
      <c r="D1456" s="11">
        <v>2024</v>
      </c>
      <c r="E1456" s="10" t="s">
        <v>124</v>
      </c>
      <c r="F1456" s="10" t="s">
        <v>125</v>
      </c>
      <c r="G1456" s="10" t="s">
        <v>84</v>
      </c>
      <c r="H1456" s="12">
        <v>344.33333333333297</v>
      </c>
      <c r="I1456" s="11">
        <v>2</v>
      </c>
      <c r="J1456" s="11">
        <v>2</v>
      </c>
      <c r="K1456" s="11">
        <v>113</v>
      </c>
      <c r="L1456" s="11">
        <v>5.80832526621491E-3</v>
      </c>
      <c r="M1456" s="11">
        <f t="shared" si="5"/>
        <v>0.58083252662149143</v>
      </c>
      <c r="N1456" s="11">
        <v>1</v>
      </c>
      <c r="O1456" s="11">
        <v>0.32817037754114198</v>
      </c>
      <c r="P1456" s="11">
        <v>0.14093137254902</v>
      </c>
      <c r="Q1456" s="11">
        <v>0.173913043478261</v>
      </c>
      <c r="R1456" s="11">
        <v>0.127906976744186</v>
      </c>
      <c r="S1456" s="10" t="s">
        <v>84</v>
      </c>
      <c r="T1456" s="10" t="s">
        <v>84</v>
      </c>
      <c r="U1456" s="10"/>
      <c r="V1456" s="10"/>
      <c r="W1456" s="10"/>
      <c r="X1456" s="10"/>
      <c r="Y1456" s="10"/>
      <c r="Z1456" s="10"/>
      <c r="AA1456" s="10"/>
    </row>
    <row r="1457" spans="1:27" ht="12.5" hidden="1" x14ac:dyDescent="0.25">
      <c r="A1457" s="10" t="s">
        <v>52</v>
      </c>
      <c r="B1457" s="10" t="s">
        <v>1763</v>
      </c>
      <c r="C1457" s="10" t="s">
        <v>191</v>
      </c>
      <c r="D1457" s="11">
        <v>2024</v>
      </c>
      <c r="E1457" s="10" t="s">
        <v>124</v>
      </c>
      <c r="F1457" s="10" t="s">
        <v>125</v>
      </c>
      <c r="G1457" s="10" t="s">
        <v>84</v>
      </c>
      <c r="H1457" s="12">
        <v>696.41666666666697</v>
      </c>
      <c r="I1457" s="11">
        <v>4</v>
      </c>
      <c r="J1457" s="11">
        <v>2</v>
      </c>
      <c r="K1457" s="11">
        <v>130</v>
      </c>
      <c r="L1457" s="11">
        <v>5.7436879262893403E-3</v>
      </c>
      <c r="M1457" s="11">
        <f t="shared" si="5"/>
        <v>0.57436879262893359</v>
      </c>
      <c r="N1457" s="11">
        <v>0.5</v>
      </c>
      <c r="O1457" s="11">
        <v>0.18666985760440299</v>
      </c>
      <c r="P1457" s="11">
        <v>0.13970588235294101</v>
      </c>
      <c r="Q1457" s="11">
        <v>0.14285714285714299</v>
      </c>
      <c r="R1457" s="11">
        <v>0.12596899224806199</v>
      </c>
      <c r="S1457" s="10" t="s">
        <v>84</v>
      </c>
      <c r="T1457" s="10" t="s">
        <v>84</v>
      </c>
      <c r="U1457" s="10"/>
      <c r="V1457" s="10"/>
      <c r="W1457" s="10"/>
      <c r="X1457" s="10"/>
      <c r="Y1457" s="10"/>
      <c r="Z1457" s="10"/>
      <c r="AA1457" s="10"/>
    </row>
    <row r="1458" spans="1:27" ht="12.5" x14ac:dyDescent="0.25">
      <c r="A1458" s="10" t="s">
        <v>92</v>
      </c>
      <c r="B1458" s="10" t="s">
        <v>1305</v>
      </c>
      <c r="C1458" s="10" t="s">
        <v>76</v>
      </c>
      <c r="D1458" s="11">
        <v>2024</v>
      </c>
      <c r="E1458" s="10" t="s">
        <v>124</v>
      </c>
      <c r="F1458" s="10" t="s">
        <v>83</v>
      </c>
      <c r="G1458" s="10" t="s">
        <v>84</v>
      </c>
      <c r="H1458" s="11">
        <v>11529</v>
      </c>
      <c r="I1458" s="11">
        <v>65</v>
      </c>
      <c r="J1458" s="11">
        <v>63</v>
      </c>
      <c r="K1458" s="11">
        <v>1137</v>
      </c>
      <c r="L1458" s="11">
        <v>5.6379157059321004E-3</v>
      </c>
      <c r="M1458" s="11">
        <f t="shared" si="5"/>
        <v>0.5637956457628589</v>
      </c>
      <c r="N1458" s="11">
        <v>0.96923076923076901</v>
      </c>
      <c r="O1458" s="11">
        <v>9.8620156271458398E-2</v>
      </c>
      <c r="P1458" s="11">
        <v>5.99662162162162E-2</v>
      </c>
      <c r="Q1458" s="11">
        <v>0.16666666666666699</v>
      </c>
      <c r="R1458" s="11">
        <v>3.1319910514541402E-2</v>
      </c>
      <c r="S1458" s="10" t="s">
        <v>84</v>
      </c>
      <c r="T1458" s="10" t="s">
        <v>84</v>
      </c>
      <c r="U1458" s="10"/>
      <c r="V1458" s="10"/>
      <c r="W1458" s="10"/>
      <c r="X1458" s="10"/>
      <c r="Y1458" s="10"/>
      <c r="Z1458" s="10"/>
      <c r="AA1458" s="10"/>
    </row>
    <row r="1459" spans="1:27" ht="12.5" hidden="1" x14ac:dyDescent="0.25">
      <c r="A1459" s="10" t="s">
        <v>42</v>
      </c>
      <c r="B1459" s="10" t="s">
        <v>1764</v>
      </c>
      <c r="C1459" s="10" t="s">
        <v>191</v>
      </c>
      <c r="D1459" s="11">
        <v>2024</v>
      </c>
      <c r="E1459" s="10" t="s">
        <v>124</v>
      </c>
      <c r="F1459" s="10" t="s">
        <v>125</v>
      </c>
      <c r="G1459" s="10" t="s">
        <v>84</v>
      </c>
      <c r="H1459" s="12">
        <v>355.08333333333297</v>
      </c>
      <c r="I1459" s="11">
        <v>2</v>
      </c>
      <c r="J1459" s="11">
        <v>2</v>
      </c>
      <c r="K1459" s="11">
        <v>2</v>
      </c>
      <c r="L1459" s="11">
        <v>5.63248063834781E-3</v>
      </c>
      <c r="M1459" s="11">
        <f t="shared" si="5"/>
        <v>0.56324806383478121</v>
      </c>
      <c r="N1459" s="11">
        <v>1</v>
      </c>
      <c r="O1459" s="11">
        <v>5.63248063834781E-3</v>
      </c>
      <c r="P1459" s="11">
        <v>0.13725490196078399</v>
      </c>
      <c r="Q1459" s="11">
        <v>0.19047619047618999</v>
      </c>
      <c r="R1459" s="11">
        <v>0.124031007751938</v>
      </c>
      <c r="S1459" s="10" t="s">
        <v>84</v>
      </c>
      <c r="T1459" s="10" t="s">
        <v>84</v>
      </c>
      <c r="U1459" s="10"/>
      <c r="V1459" s="10"/>
      <c r="W1459" s="10"/>
      <c r="X1459" s="10"/>
      <c r="Y1459" s="10"/>
      <c r="Z1459" s="10"/>
      <c r="AA1459" s="10"/>
    </row>
    <row r="1460" spans="1:27" ht="12.5" hidden="1" x14ac:dyDescent="0.25">
      <c r="A1460" s="10" t="s">
        <v>58</v>
      </c>
      <c r="B1460" s="10" t="s">
        <v>1765</v>
      </c>
      <c r="C1460" s="10" t="s">
        <v>191</v>
      </c>
      <c r="D1460" s="11">
        <v>2024</v>
      </c>
      <c r="E1460" s="10" t="s">
        <v>124</v>
      </c>
      <c r="F1460" s="10" t="s">
        <v>125</v>
      </c>
      <c r="G1460" s="10" t="s">
        <v>84</v>
      </c>
      <c r="H1460" s="12">
        <v>9264</v>
      </c>
      <c r="I1460" s="11">
        <v>52</v>
      </c>
      <c r="J1460" s="11">
        <v>21</v>
      </c>
      <c r="K1460" s="11">
        <v>21906</v>
      </c>
      <c r="L1460" s="11">
        <v>5.6129746066869999E-3</v>
      </c>
      <c r="M1460" s="11">
        <f t="shared" si="5"/>
        <v>0.56131260794473237</v>
      </c>
      <c r="N1460" s="11">
        <v>0.40384615384615402</v>
      </c>
      <c r="O1460" s="11">
        <v>2.36457349488626</v>
      </c>
      <c r="P1460" s="11">
        <v>0.134803921568627</v>
      </c>
      <c r="Q1460" s="11">
        <v>5.6603773584905703E-2</v>
      </c>
      <c r="R1460" s="11">
        <v>0.122093023255814</v>
      </c>
      <c r="S1460" s="10" t="s">
        <v>84</v>
      </c>
      <c r="T1460" s="10" t="s">
        <v>84</v>
      </c>
      <c r="U1460" s="10"/>
      <c r="V1460" s="10"/>
      <c r="W1460" s="10"/>
      <c r="X1460" s="10"/>
      <c r="Y1460" s="10"/>
      <c r="Z1460" s="10"/>
      <c r="AA1460" s="10"/>
    </row>
    <row r="1461" spans="1:27" ht="12.5" hidden="1" x14ac:dyDescent="0.25">
      <c r="A1461" s="10" t="s">
        <v>55</v>
      </c>
      <c r="B1461" s="10" t="s">
        <v>1766</v>
      </c>
      <c r="C1461" s="10" t="s">
        <v>191</v>
      </c>
      <c r="D1461" s="11">
        <v>2024</v>
      </c>
      <c r="E1461" s="10" t="s">
        <v>124</v>
      </c>
      <c r="F1461" s="10" t="s">
        <v>125</v>
      </c>
      <c r="G1461" s="10" t="s">
        <v>84</v>
      </c>
      <c r="H1461" s="12">
        <v>723.58333333333303</v>
      </c>
      <c r="I1461" s="11">
        <v>4</v>
      </c>
      <c r="J1461" s="11">
        <v>4</v>
      </c>
      <c r="K1461" s="11">
        <v>1197</v>
      </c>
      <c r="L1461" s="11">
        <v>5.5280433030058702E-3</v>
      </c>
      <c r="M1461" s="11">
        <f t="shared" si="5"/>
        <v>0.55280433030058751</v>
      </c>
      <c r="N1461" s="11">
        <v>1</v>
      </c>
      <c r="O1461" s="11">
        <v>1.65426695842451</v>
      </c>
      <c r="P1461" s="11">
        <v>0.13357843137254899</v>
      </c>
      <c r="Q1461" s="11">
        <v>0.11111111111111099</v>
      </c>
      <c r="R1461" s="11">
        <v>0.12015503875969</v>
      </c>
      <c r="S1461" s="10" t="s">
        <v>84</v>
      </c>
      <c r="T1461" s="10" t="s">
        <v>84</v>
      </c>
      <c r="U1461" s="10"/>
      <c r="V1461" s="10"/>
      <c r="W1461" s="10"/>
      <c r="X1461" s="10"/>
      <c r="Y1461" s="10"/>
      <c r="Z1461" s="10"/>
      <c r="AA1461" s="10"/>
    </row>
    <row r="1462" spans="1:27" ht="12.5" x14ac:dyDescent="0.25">
      <c r="A1462" s="10" t="s">
        <v>10</v>
      </c>
      <c r="B1462" s="10" t="s">
        <v>1308</v>
      </c>
      <c r="C1462" s="10" t="s">
        <v>76</v>
      </c>
      <c r="D1462" s="11">
        <v>2024</v>
      </c>
      <c r="E1462" s="10" t="s">
        <v>124</v>
      </c>
      <c r="F1462" s="10" t="s">
        <v>125</v>
      </c>
      <c r="G1462" s="10" t="s">
        <v>84</v>
      </c>
      <c r="H1462" s="11">
        <v>546</v>
      </c>
      <c r="I1462" s="11">
        <v>3</v>
      </c>
      <c r="J1462" s="11">
        <v>3</v>
      </c>
      <c r="K1462" s="11">
        <v>183</v>
      </c>
      <c r="L1462" s="11">
        <v>5.4911531421598502E-3</v>
      </c>
      <c r="M1462" s="11">
        <f t="shared" si="5"/>
        <v>0.5494505494505495</v>
      </c>
      <c r="N1462" s="11">
        <v>1</v>
      </c>
      <c r="O1462" s="11">
        <v>0.33496034167175098</v>
      </c>
      <c r="P1462" s="11">
        <v>5.8277027027027001E-2</v>
      </c>
      <c r="Q1462" s="11">
        <v>3.3333333333333298E-2</v>
      </c>
      <c r="R1462" s="11">
        <v>2.9082774049217001E-2</v>
      </c>
      <c r="S1462" s="10" t="s">
        <v>84</v>
      </c>
      <c r="T1462" s="10" t="s">
        <v>84</v>
      </c>
      <c r="U1462" s="10"/>
      <c r="V1462" s="10"/>
      <c r="W1462" s="10"/>
      <c r="X1462" s="10"/>
      <c r="Y1462" s="10"/>
      <c r="Z1462" s="10"/>
      <c r="AA1462" s="10"/>
    </row>
    <row r="1463" spans="1:27" ht="12.5" x14ac:dyDescent="0.25">
      <c r="A1463" s="10" t="s">
        <v>53</v>
      </c>
      <c r="B1463" s="10" t="s">
        <v>1310</v>
      </c>
      <c r="C1463" s="10" t="s">
        <v>76</v>
      </c>
      <c r="D1463" s="11">
        <v>2024</v>
      </c>
      <c r="E1463" s="10" t="s">
        <v>124</v>
      </c>
      <c r="F1463" s="10" t="s">
        <v>125</v>
      </c>
      <c r="G1463" s="10" t="s">
        <v>84</v>
      </c>
      <c r="H1463" s="11">
        <v>1102</v>
      </c>
      <c r="I1463" s="11">
        <v>6</v>
      </c>
      <c r="J1463" s="11">
        <v>10</v>
      </c>
      <c r="K1463" s="11">
        <v>290</v>
      </c>
      <c r="L1463" s="11">
        <v>5.4462934947049901E-3</v>
      </c>
      <c r="M1463" s="11">
        <f t="shared" si="5"/>
        <v>0.54446460980036293</v>
      </c>
      <c r="N1463" s="11">
        <v>1.6666666666666701</v>
      </c>
      <c r="O1463" s="11">
        <v>0.26323751891074099</v>
      </c>
      <c r="P1463" s="11">
        <v>5.7432432432432401E-2</v>
      </c>
      <c r="Q1463" s="11">
        <v>0.32500000000000001</v>
      </c>
      <c r="R1463" s="11">
        <v>2.68456375838926E-2</v>
      </c>
      <c r="S1463" s="10" t="s">
        <v>84</v>
      </c>
      <c r="T1463" s="10" t="s">
        <v>84</v>
      </c>
      <c r="U1463" s="10"/>
      <c r="V1463" s="10"/>
      <c r="W1463" s="10"/>
      <c r="X1463" s="10"/>
      <c r="Y1463" s="10"/>
      <c r="Z1463" s="10"/>
      <c r="AA1463" s="10"/>
    </row>
    <row r="1464" spans="1:27" ht="12.5" x14ac:dyDescent="0.25">
      <c r="A1464" s="10" t="s">
        <v>62</v>
      </c>
      <c r="B1464" s="10" t="s">
        <v>1277</v>
      </c>
      <c r="C1464" s="10" t="s">
        <v>76</v>
      </c>
      <c r="D1464" s="11">
        <v>2024</v>
      </c>
      <c r="E1464" s="10" t="s">
        <v>81</v>
      </c>
      <c r="F1464" s="10" t="s">
        <v>83</v>
      </c>
      <c r="G1464" s="10" t="s">
        <v>84</v>
      </c>
      <c r="H1464" s="11">
        <v>17893</v>
      </c>
      <c r="I1464" s="11">
        <v>94</v>
      </c>
      <c r="J1464" s="11">
        <v>53</v>
      </c>
      <c r="K1464" s="11">
        <v>9083</v>
      </c>
      <c r="L1464" s="11">
        <v>5.2533287382230901E-3</v>
      </c>
      <c r="M1464" s="11">
        <f t="shared" si="5"/>
        <v>0.52534510702509363</v>
      </c>
      <c r="N1464" s="11">
        <v>0.56382978723404298</v>
      </c>
      <c r="O1464" s="11">
        <v>0.50761686094979097</v>
      </c>
      <c r="P1464" s="11">
        <v>5.6587837837837801E-2</v>
      </c>
      <c r="Q1464" s="11">
        <v>8.3333333333333301E-2</v>
      </c>
      <c r="R1464" s="11">
        <v>8.7209302325581398E-2</v>
      </c>
      <c r="S1464" s="10" t="s">
        <v>84</v>
      </c>
      <c r="T1464" s="10" t="s">
        <v>84</v>
      </c>
      <c r="U1464" s="10"/>
      <c r="V1464" s="10"/>
      <c r="W1464" s="10"/>
      <c r="X1464" s="10"/>
      <c r="Y1464" s="10"/>
      <c r="Z1464" s="10"/>
      <c r="AA1464" s="10"/>
    </row>
    <row r="1465" spans="1:27" ht="12.5" x14ac:dyDescent="0.25">
      <c r="A1465" s="10" t="s">
        <v>34</v>
      </c>
      <c r="B1465" s="10" t="s">
        <v>1279</v>
      </c>
      <c r="C1465" s="10" t="s">
        <v>76</v>
      </c>
      <c r="D1465" s="11">
        <v>2024</v>
      </c>
      <c r="E1465" s="10" t="s">
        <v>81</v>
      </c>
      <c r="F1465" s="10" t="s">
        <v>83</v>
      </c>
      <c r="G1465" s="10" t="s">
        <v>84</v>
      </c>
      <c r="H1465" s="11">
        <v>60014</v>
      </c>
      <c r="I1465" s="11">
        <v>315</v>
      </c>
      <c r="J1465" s="11">
        <v>240</v>
      </c>
      <c r="K1465" s="11">
        <v>19397</v>
      </c>
      <c r="L1465" s="11">
        <v>5.2488044389889001E-3</v>
      </c>
      <c r="M1465" s="11">
        <f t="shared" si="5"/>
        <v>0.52487752857666536</v>
      </c>
      <c r="N1465" s="11">
        <v>0.76190476190476197</v>
      </c>
      <c r="O1465" s="11">
        <v>0.32320971334307202</v>
      </c>
      <c r="P1465" s="11">
        <v>5.5743243243243201E-2</v>
      </c>
      <c r="Q1465" s="11">
        <v>0.14285714285714299</v>
      </c>
      <c r="R1465" s="11">
        <v>8.5271317829457405E-2</v>
      </c>
      <c r="S1465" s="10" t="s">
        <v>84</v>
      </c>
      <c r="T1465" s="10" t="s">
        <v>84</v>
      </c>
      <c r="U1465" s="10"/>
      <c r="V1465" s="10"/>
      <c r="W1465" s="10"/>
      <c r="X1465" s="10"/>
      <c r="Y1465" s="10"/>
      <c r="Z1465" s="10"/>
      <c r="AA1465" s="10"/>
    </row>
    <row r="1466" spans="1:27" ht="12.5" hidden="1" x14ac:dyDescent="0.25">
      <c r="A1466" s="10" t="s">
        <v>6</v>
      </c>
      <c r="B1466" s="10" t="s">
        <v>1767</v>
      </c>
      <c r="C1466" s="10" t="s">
        <v>191</v>
      </c>
      <c r="D1466" s="11">
        <v>2024</v>
      </c>
      <c r="E1466" s="10" t="s">
        <v>124</v>
      </c>
      <c r="F1466" s="10" t="s">
        <v>125</v>
      </c>
      <c r="G1466" s="10" t="s">
        <v>84</v>
      </c>
      <c r="H1466" s="12">
        <v>579.5</v>
      </c>
      <c r="I1466" s="11">
        <v>3</v>
      </c>
      <c r="J1466" s="11">
        <v>3</v>
      </c>
      <c r="K1466" s="11">
        <v>525</v>
      </c>
      <c r="L1466" s="11">
        <v>5.17687661777394E-3</v>
      </c>
      <c r="M1466" s="11">
        <f t="shared" si="5"/>
        <v>0.51768766177739423</v>
      </c>
      <c r="N1466" s="11">
        <v>1</v>
      </c>
      <c r="O1466" s="11">
        <v>0.90595340811044001</v>
      </c>
      <c r="P1466" s="11">
        <v>0.131127450980392</v>
      </c>
      <c r="Q1466" s="11">
        <v>0.1</v>
      </c>
      <c r="R1466" s="11">
        <v>0.118217054263566</v>
      </c>
      <c r="S1466" s="10" t="s">
        <v>84</v>
      </c>
      <c r="T1466" s="10" t="s">
        <v>84</v>
      </c>
      <c r="U1466" s="10"/>
      <c r="V1466" s="10"/>
      <c r="W1466" s="10"/>
      <c r="X1466" s="10"/>
      <c r="Y1466" s="10"/>
      <c r="Z1466" s="10"/>
      <c r="AA1466" s="10"/>
    </row>
    <row r="1467" spans="1:27" ht="12.5" x14ac:dyDescent="0.25">
      <c r="A1467" s="10" t="s">
        <v>115</v>
      </c>
      <c r="B1467" s="10" t="s">
        <v>1091</v>
      </c>
      <c r="C1467" s="10" t="s">
        <v>76</v>
      </c>
      <c r="D1467" s="11">
        <v>2024</v>
      </c>
      <c r="E1467" s="10" t="s">
        <v>81</v>
      </c>
      <c r="F1467" s="10" t="s">
        <v>83</v>
      </c>
      <c r="G1467" s="10" t="s">
        <v>84</v>
      </c>
      <c r="H1467" s="11">
        <v>5217</v>
      </c>
      <c r="I1467" s="11">
        <v>27</v>
      </c>
      <c r="J1467" s="11">
        <v>22</v>
      </c>
      <c r="K1467" s="11">
        <v>2056</v>
      </c>
      <c r="L1467" s="11">
        <v>5.1758842135531504E-3</v>
      </c>
      <c r="M1467" s="11">
        <f t="shared" si="5"/>
        <v>0.51753881541115576</v>
      </c>
      <c r="N1467" s="11">
        <v>0.81481481481481499</v>
      </c>
      <c r="O1467" s="11">
        <v>0.39413399789130599</v>
      </c>
      <c r="P1467" s="11">
        <v>5.4898648648648601E-2</v>
      </c>
      <c r="Q1467" s="11">
        <v>0.44444444444444398</v>
      </c>
      <c r="R1467" s="11">
        <v>8.3333333333333301E-2</v>
      </c>
      <c r="S1467" s="10" t="s">
        <v>84</v>
      </c>
      <c r="T1467" s="10" t="s">
        <v>84</v>
      </c>
      <c r="U1467" s="10"/>
      <c r="V1467" s="10"/>
      <c r="W1467" s="10"/>
      <c r="X1467" s="10"/>
      <c r="Y1467" s="10"/>
      <c r="Z1467" s="10"/>
      <c r="AA1467" s="10"/>
    </row>
    <row r="1468" spans="1:27" ht="12.5" hidden="1" x14ac:dyDescent="0.25">
      <c r="A1468" s="10" t="s">
        <v>29</v>
      </c>
      <c r="B1468" s="10" t="s">
        <v>1768</v>
      </c>
      <c r="C1468" s="10" t="s">
        <v>191</v>
      </c>
      <c r="D1468" s="11">
        <v>2024</v>
      </c>
      <c r="E1468" s="10" t="s">
        <v>257</v>
      </c>
      <c r="F1468" s="10" t="s">
        <v>125</v>
      </c>
      <c r="G1468" s="10" t="s">
        <v>84</v>
      </c>
      <c r="H1468" s="12">
        <v>5026</v>
      </c>
      <c r="I1468" s="11">
        <v>26</v>
      </c>
      <c r="J1468" s="11">
        <v>24</v>
      </c>
      <c r="K1468" s="11">
        <v>5500</v>
      </c>
      <c r="L1468" s="11">
        <v>5.1727568141123398E-3</v>
      </c>
      <c r="M1468" s="11">
        <f t="shared" si="5"/>
        <v>0.51730998806207718</v>
      </c>
      <c r="N1468" s="11">
        <v>0.92307692307692302</v>
      </c>
      <c r="O1468" s="11">
        <v>1.0942370183699199</v>
      </c>
      <c r="P1468" s="11">
        <v>0.12990196078431401</v>
      </c>
      <c r="Q1468" s="11">
        <v>7.0422535211267595E-2</v>
      </c>
      <c r="R1468" s="11">
        <v>0</v>
      </c>
      <c r="S1468" s="10" t="s">
        <v>84</v>
      </c>
      <c r="T1468" s="10" t="s">
        <v>84</v>
      </c>
      <c r="U1468" s="10"/>
      <c r="V1468" s="10"/>
      <c r="W1468" s="10"/>
      <c r="X1468" s="10"/>
      <c r="Y1468" s="10"/>
      <c r="Z1468" s="10"/>
      <c r="AA1468" s="10"/>
    </row>
    <row r="1469" spans="1:27" ht="12.5" hidden="1" x14ac:dyDescent="0.25">
      <c r="A1469" s="10" t="s">
        <v>12</v>
      </c>
      <c r="B1469" s="10" t="s">
        <v>1769</v>
      </c>
      <c r="C1469" s="10" t="s">
        <v>191</v>
      </c>
      <c r="D1469" s="11">
        <v>2024</v>
      </c>
      <c r="E1469" s="10" t="s">
        <v>124</v>
      </c>
      <c r="F1469" s="10" t="s">
        <v>125</v>
      </c>
      <c r="G1469" s="10" t="s">
        <v>84</v>
      </c>
      <c r="H1469" s="12">
        <v>387.75</v>
      </c>
      <c r="I1469" s="11">
        <v>2</v>
      </c>
      <c r="J1469" s="11">
        <v>0</v>
      </c>
      <c r="K1469" s="11">
        <v>85</v>
      </c>
      <c r="L1469" s="11">
        <v>5.1579626047711198E-3</v>
      </c>
      <c r="M1469" s="11">
        <f t="shared" si="5"/>
        <v>0.51579626047711158</v>
      </c>
      <c r="N1469" s="11">
        <v>0</v>
      </c>
      <c r="O1469" s="11">
        <v>0.219213410702772</v>
      </c>
      <c r="P1469" s="11">
        <v>0.128676470588235</v>
      </c>
      <c r="Q1469" s="11">
        <v>0.11111111111111099</v>
      </c>
      <c r="R1469" s="11">
        <v>0.116279069767442</v>
      </c>
      <c r="S1469" s="10" t="s">
        <v>84</v>
      </c>
      <c r="T1469" s="10" t="s">
        <v>84</v>
      </c>
      <c r="U1469" s="10"/>
      <c r="V1469" s="10"/>
      <c r="W1469" s="10"/>
      <c r="X1469" s="10"/>
      <c r="Y1469" s="10"/>
      <c r="Z1469" s="10"/>
      <c r="AA1469" s="10"/>
    </row>
    <row r="1470" spans="1:27" ht="12.5" x14ac:dyDescent="0.25">
      <c r="A1470" s="10" t="s">
        <v>12</v>
      </c>
      <c r="B1470" s="10" t="s">
        <v>1283</v>
      </c>
      <c r="C1470" s="10" t="s">
        <v>76</v>
      </c>
      <c r="D1470" s="11">
        <v>2024</v>
      </c>
      <c r="E1470" s="10" t="s">
        <v>81</v>
      </c>
      <c r="F1470" s="10" t="s">
        <v>83</v>
      </c>
      <c r="G1470" s="10" t="s">
        <v>84</v>
      </c>
      <c r="H1470" s="11">
        <v>5855</v>
      </c>
      <c r="I1470" s="11">
        <v>30</v>
      </c>
      <c r="J1470" s="11">
        <v>28</v>
      </c>
      <c r="K1470" s="11">
        <v>262</v>
      </c>
      <c r="L1470" s="11">
        <v>5.1237528643201802E-3</v>
      </c>
      <c r="M1470" s="11">
        <f t="shared" si="5"/>
        <v>0.51238257899231432</v>
      </c>
      <c r="N1470" s="11">
        <v>0.93333333333333302</v>
      </c>
      <c r="O1470" s="11">
        <v>4.4747441681729602E-2</v>
      </c>
      <c r="P1470" s="11">
        <v>5.4054054054054099E-2</v>
      </c>
      <c r="Q1470" s="11">
        <v>1.38888888888889E-2</v>
      </c>
      <c r="R1470" s="11">
        <v>8.1395348837209294E-2</v>
      </c>
      <c r="S1470" s="10" t="s">
        <v>84</v>
      </c>
      <c r="T1470" s="10" t="s">
        <v>84</v>
      </c>
      <c r="U1470" s="10"/>
      <c r="V1470" s="10"/>
      <c r="W1470" s="10"/>
      <c r="X1470" s="10"/>
      <c r="Y1470" s="10"/>
      <c r="Z1470" s="10"/>
      <c r="AA1470" s="10"/>
    </row>
    <row r="1471" spans="1:27" ht="12.5" hidden="1" x14ac:dyDescent="0.25">
      <c r="A1471" s="10" t="s">
        <v>10</v>
      </c>
      <c r="B1471" s="10" t="s">
        <v>1770</v>
      </c>
      <c r="C1471" s="10" t="s">
        <v>191</v>
      </c>
      <c r="D1471" s="11">
        <v>2024</v>
      </c>
      <c r="E1471" s="10" t="s">
        <v>124</v>
      </c>
      <c r="F1471" s="10" t="s">
        <v>125</v>
      </c>
      <c r="G1471" s="10" t="s">
        <v>84</v>
      </c>
      <c r="H1471" s="12">
        <v>3356</v>
      </c>
      <c r="I1471" s="11">
        <v>17</v>
      </c>
      <c r="J1471" s="11">
        <v>17</v>
      </c>
      <c r="K1471" s="11">
        <v>580</v>
      </c>
      <c r="L1471" s="11">
        <v>5.0651769087523297E-3</v>
      </c>
      <c r="M1471" s="11">
        <f t="shared" si="5"/>
        <v>0.50655542312276525</v>
      </c>
      <c r="N1471" s="11">
        <v>1</v>
      </c>
      <c r="O1471" s="11">
        <v>0.172811918063315</v>
      </c>
      <c r="P1471" s="11">
        <v>0.125</v>
      </c>
      <c r="Q1471" s="11">
        <v>6.8965517241379296E-2</v>
      </c>
      <c r="R1471" s="11">
        <v>0.114341085271318</v>
      </c>
      <c r="S1471" s="10" t="s">
        <v>84</v>
      </c>
      <c r="T1471" s="10" t="s">
        <v>84</v>
      </c>
      <c r="U1471" s="10"/>
      <c r="V1471" s="10"/>
      <c r="W1471" s="10"/>
      <c r="X1471" s="10"/>
      <c r="Y1471" s="10"/>
      <c r="Z1471" s="10"/>
      <c r="AA1471" s="10"/>
    </row>
    <row r="1472" spans="1:27" ht="12.5" hidden="1" x14ac:dyDescent="0.25">
      <c r="A1472" s="10" t="s">
        <v>55</v>
      </c>
      <c r="B1472" s="10" t="s">
        <v>1771</v>
      </c>
      <c r="C1472" s="10" t="s">
        <v>191</v>
      </c>
      <c r="D1472" s="11">
        <v>2024</v>
      </c>
      <c r="E1472" s="10" t="s">
        <v>124</v>
      </c>
      <c r="F1472" s="10" t="s">
        <v>125</v>
      </c>
      <c r="G1472" s="10" t="s">
        <v>84</v>
      </c>
      <c r="H1472" s="12">
        <v>1588</v>
      </c>
      <c r="I1472" s="11">
        <v>8</v>
      </c>
      <c r="J1472" s="11">
        <v>4</v>
      </c>
      <c r="K1472" s="11">
        <v>120</v>
      </c>
      <c r="L1472" s="11">
        <v>5.0383121654245799E-3</v>
      </c>
      <c r="M1472" s="11">
        <f t="shared" si="5"/>
        <v>0.50377833753148615</v>
      </c>
      <c r="N1472" s="11">
        <v>0.5</v>
      </c>
      <c r="O1472" s="11">
        <v>7.5574682481368699E-2</v>
      </c>
      <c r="P1472" s="11">
        <v>0.123774509803922</v>
      </c>
      <c r="Q1472" s="11">
        <v>7.4074074074074098E-2</v>
      </c>
      <c r="R1472" s="11">
        <v>0.112403100775194</v>
      </c>
      <c r="S1472" s="10" t="s">
        <v>84</v>
      </c>
      <c r="T1472" s="10" t="s">
        <v>84</v>
      </c>
      <c r="U1472" s="10"/>
      <c r="V1472" s="10"/>
      <c r="W1472" s="10"/>
      <c r="X1472" s="10"/>
      <c r="Y1472" s="10"/>
      <c r="Z1472" s="10"/>
      <c r="AA1472" s="10"/>
    </row>
    <row r="1473" spans="1:27" ht="12.5" x14ac:dyDescent="0.25">
      <c r="A1473" s="10" t="s">
        <v>6</v>
      </c>
      <c r="B1473" s="10" t="s">
        <v>1531</v>
      </c>
      <c r="C1473" s="10" t="s">
        <v>76</v>
      </c>
      <c r="D1473" s="11">
        <v>2024</v>
      </c>
      <c r="E1473" s="10" t="s">
        <v>257</v>
      </c>
      <c r="F1473" s="10" t="s">
        <v>83</v>
      </c>
      <c r="G1473" s="10" t="s">
        <v>84</v>
      </c>
      <c r="H1473" s="11">
        <v>8540</v>
      </c>
      <c r="I1473" s="11">
        <v>43</v>
      </c>
      <c r="J1473" s="11">
        <v>43</v>
      </c>
      <c r="K1473" s="11">
        <v>4372</v>
      </c>
      <c r="L1473" s="11">
        <v>5.03512880562061E-3</v>
      </c>
      <c r="M1473" s="11">
        <f t="shared" si="5"/>
        <v>0.50351288056206089</v>
      </c>
      <c r="N1473" s="11">
        <v>1</v>
      </c>
      <c r="O1473" s="11">
        <v>0.51194379391100697</v>
      </c>
      <c r="P1473" s="11">
        <v>5.3209459459459499E-2</v>
      </c>
      <c r="Q1473" s="11">
        <v>6.4516129032258104E-2</v>
      </c>
      <c r="R1473" s="11">
        <v>2.27272727272727E-2</v>
      </c>
      <c r="S1473" s="10" t="s">
        <v>84</v>
      </c>
      <c r="T1473" s="10" t="s">
        <v>84</v>
      </c>
      <c r="U1473" s="10"/>
      <c r="V1473" s="10"/>
      <c r="W1473" s="10"/>
      <c r="X1473" s="10"/>
      <c r="Y1473" s="10"/>
      <c r="Z1473" s="10"/>
      <c r="AA1473" s="10"/>
    </row>
    <row r="1474" spans="1:27" ht="12.5" x14ac:dyDescent="0.25">
      <c r="A1474" s="10" t="s">
        <v>53</v>
      </c>
      <c r="B1474" s="10" t="s">
        <v>1286</v>
      </c>
      <c r="C1474" s="10" t="s">
        <v>76</v>
      </c>
      <c r="D1474" s="11">
        <v>2024</v>
      </c>
      <c r="E1474" s="10" t="s">
        <v>81</v>
      </c>
      <c r="F1474" s="10" t="s">
        <v>83</v>
      </c>
      <c r="G1474" s="10" t="s">
        <v>84</v>
      </c>
      <c r="H1474" s="11">
        <v>15578</v>
      </c>
      <c r="I1474" s="11">
        <v>78</v>
      </c>
      <c r="J1474" s="11">
        <v>50</v>
      </c>
      <c r="K1474" s="11">
        <v>2126</v>
      </c>
      <c r="L1474" s="11">
        <v>5.0072219547424197E-3</v>
      </c>
      <c r="M1474" s="11">
        <f t="shared" si="5"/>
        <v>0.5007061240210553</v>
      </c>
      <c r="N1474" s="11">
        <v>0.64102564102564097</v>
      </c>
      <c r="O1474" s="11">
        <v>0.13647889584336401</v>
      </c>
      <c r="P1474" s="11">
        <v>5.2364864864864899E-2</v>
      </c>
      <c r="Q1474" s="11">
        <v>0.3</v>
      </c>
      <c r="R1474" s="11">
        <v>7.9457364341085301E-2</v>
      </c>
      <c r="S1474" s="10" t="s">
        <v>84</v>
      </c>
      <c r="T1474" s="10" t="s">
        <v>84</v>
      </c>
      <c r="U1474" s="10"/>
      <c r="V1474" s="10"/>
      <c r="W1474" s="10"/>
      <c r="X1474" s="10"/>
      <c r="Y1474" s="10"/>
      <c r="Z1474" s="10"/>
      <c r="AA1474" s="10"/>
    </row>
    <row r="1475" spans="1:27" ht="12.5" hidden="1" x14ac:dyDescent="0.25">
      <c r="A1475" s="10" t="s">
        <v>58</v>
      </c>
      <c r="B1475" s="10" t="s">
        <v>1772</v>
      </c>
      <c r="C1475" s="10" t="s">
        <v>191</v>
      </c>
      <c r="D1475" s="11">
        <v>2024</v>
      </c>
      <c r="E1475" s="10" t="s">
        <v>124</v>
      </c>
      <c r="F1475" s="10" t="s">
        <v>125</v>
      </c>
      <c r="G1475" s="10" t="s">
        <v>84</v>
      </c>
      <c r="H1475" s="12">
        <v>1001</v>
      </c>
      <c r="I1475" s="11">
        <v>5</v>
      </c>
      <c r="J1475" s="11">
        <v>5</v>
      </c>
      <c r="K1475" s="11">
        <v>21</v>
      </c>
      <c r="L1475" s="11">
        <v>4.99417346429166E-3</v>
      </c>
      <c r="M1475" s="11">
        <f t="shared" si="5"/>
        <v>0.49950049950049952</v>
      </c>
      <c r="N1475" s="11">
        <v>1</v>
      </c>
      <c r="O1475" s="11">
        <v>2.0975528550025001E-2</v>
      </c>
      <c r="P1475" s="11">
        <v>0.121323529411765</v>
      </c>
      <c r="Q1475" s="11">
        <v>3.77358490566038E-2</v>
      </c>
      <c r="R1475" s="11">
        <v>0.11046511627907001</v>
      </c>
      <c r="S1475" s="10" t="s">
        <v>84</v>
      </c>
      <c r="T1475" s="10" t="s">
        <v>84</v>
      </c>
      <c r="U1475" s="10"/>
      <c r="V1475" s="10"/>
      <c r="W1475" s="10"/>
      <c r="X1475" s="10"/>
      <c r="Y1475" s="10"/>
      <c r="Z1475" s="10"/>
      <c r="AA1475" s="10"/>
    </row>
    <row r="1476" spans="1:27" ht="12.5" hidden="1" x14ac:dyDescent="0.25">
      <c r="A1476" s="10" t="s">
        <v>77</v>
      </c>
      <c r="B1476" s="10" t="s">
        <v>1773</v>
      </c>
      <c r="C1476" s="10" t="s">
        <v>191</v>
      </c>
      <c r="D1476" s="11">
        <v>2024</v>
      </c>
      <c r="E1476" s="10" t="s">
        <v>124</v>
      </c>
      <c r="F1476" s="10" t="s">
        <v>125</v>
      </c>
      <c r="G1476" s="10" t="s">
        <v>84</v>
      </c>
      <c r="H1476" s="12">
        <v>1414</v>
      </c>
      <c r="I1476" s="11">
        <v>7</v>
      </c>
      <c r="J1476" s="11">
        <v>4</v>
      </c>
      <c r="K1476" s="11">
        <v>2448</v>
      </c>
      <c r="L1476" s="11">
        <v>4.95195425337499E-3</v>
      </c>
      <c r="M1476" s="11">
        <f t="shared" si="5"/>
        <v>0.49504950495049505</v>
      </c>
      <c r="N1476" s="11">
        <v>0.57142857142857095</v>
      </c>
      <c r="O1476" s="11">
        <v>1.7317691446088499</v>
      </c>
      <c r="P1476" s="11">
        <v>0.120098039215686</v>
      </c>
      <c r="Q1476" s="11">
        <v>0.15217391304347799</v>
      </c>
      <c r="R1476" s="11">
        <v>0.108527131782946</v>
      </c>
      <c r="S1476" s="10" t="s">
        <v>84</v>
      </c>
      <c r="T1476" s="10" t="s">
        <v>84</v>
      </c>
      <c r="U1476" s="10"/>
      <c r="V1476" s="10"/>
      <c r="W1476" s="10"/>
      <c r="X1476" s="10"/>
      <c r="Y1476" s="10"/>
      <c r="Z1476" s="10"/>
      <c r="AA1476" s="10"/>
    </row>
    <row r="1477" spans="1:27" ht="12.5" x14ac:dyDescent="0.25">
      <c r="A1477" s="10" t="s">
        <v>62</v>
      </c>
      <c r="B1477" s="10" t="s">
        <v>1287</v>
      </c>
      <c r="C1477" s="10" t="s">
        <v>76</v>
      </c>
      <c r="D1477" s="11">
        <v>2024</v>
      </c>
      <c r="E1477" s="10" t="s">
        <v>81</v>
      </c>
      <c r="F1477" s="10" t="s">
        <v>83</v>
      </c>
      <c r="G1477" s="10" t="s">
        <v>84</v>
      </c>
      <c r="H1477" s="11">
        <v>10836</v>
      </c>
      <c r="I1477" s="11">
        <v>53</v>
      </c>
      <c r="J1477" s="11">
        <v>34</v>
      </c>
      <c r="K1477" s="11">
        <v>4409</v>
      </c>
      <c r="L1477" s="11">
        <v>4.8909156624652997E-3</v>
      </c>
      <c r="M1477" s="11">
        <f t="shared" si="5"/>
        <v>0.48911037283130304</v>
      </c>
      <c r="N1477" s="11">
        <v>0.64150943396226401</v>
      </c>
      <c r="O1477" s="11">
        <v>0.40686881426055699</v>
      </c>
      <c r="P1477" s="11">
        <v>5.1520270270270299E-2</v>
      </c>
      <c r="Q1477" s="11">
        <v>5.5555555555555601E-2</v>
      </c>
      <c r="R1477" s="11">
        <v>7.7519379844961198E-2</v>
      </c>
      <c r="S1477" s="10" t="s">
        <v>84</v>
      </c>
      <c r="T1477" s="10" t="s">
        <v>84</v>
      </c>
      <c r="U1477" s="10"/>
      <c r="V1477" s="10"/>
      <c r="W1477" s="10"/>
      <c r="X1477" s="10"/>
      <c r="Y1477" s="10"/>
      <c r="Z1477" s="10"/>
      <c r="AA1477" s="10"/>
    </row>
    <row r="1478" spans="1:27" ht="12.5" x14ac:dyDescent="0.25">
      <c r="A1478" s="10" t="s">
        <v>34</v>
      </c>
      <c r="B1478" s="10" t="s">
        <v>1289</v>
      </c>
      <c r="C1478" s="10" t="s">
        <v>76</v>
      </c>
      <c r="D1478" s="11">
        <v>2024</v>
      </c>
      <c r="E1478" s="10" t="s">
        <v>81</v>
      </c>
      <c r="F1478" s="10" t="s">
        <v>83</v>
      </c>
      <c r="G1478" s="10" t="s">
        <v>84</v>
      </c>
      <c r="H1478" s="11">
        <v>9361</v>
      </c>
      <c r="I1478" s="11">
        <v>45</v>
      </c>
      <c r="J1478" s="11">
        <v>33</v>
      </c>
      <c r="K1478" s="11">
        <v>3585</v>
      </c>
      <c r="L1478" s="11">
        <v>4.8071787202222001E-3</v>
      </c>
      <c r="M1478" s="11">
        <f t="shared" si="5"/>
        <v>0.48071787202221983</v>
      </c>
      <c r="N1478" s="11">
        <v>0.73333333333333295</v>
      </c>
      <c r="O1478" s="11">
        <v>0.38297190471103498</v>
      </c>
      <c r="P1478" s="11">
        <v>5.0675675675675699E-2</v>
      </c>
      <c r="Q1478" s="11">
        <v>0.122448979591837</v>
      </c>
      <c r="R1478" s="11">
        <v>7.5581395348837205E-2</v>
      </c>
      <c r="S1478" s="10" t="s">
        <v>84</v>
      </c>
      <c r="T1478" s="10" t="s">
        <v>84</v>
      </c>
      <c r="U1478" s="10"/>
      <c r="V1478" s="10"/>
      <c r="W1478" s="10"/>
      <c r="X1478" s="10"/>
      <c r="Y1478" s="10"/>
      <c r="Z1478" s="10"/>
      <c r="AA1478" s="10"/>
    </row>
    <row r="1479" spans="1:27" ht="12.5" hidden="1" x14ac:dyDescent="0.25">
      <c r="A1479" s="10" t="s">
        <v>53</v>
      </c>
      <c r="B1479" s="10" t="s">
        <v>1774</v>
      </c>
      <c r="C1479" s="10" t="s">
        <v>191</v>
      </c>
      <c r="D1479" s="11">
        <v>2024</v>
      </c>
      <c r="E1479" s="10" t="s">
        <v>124</v>
      </c>
      <c r="F1479" s="10" t="s">
        <v>125</v>
      </c>
      <c r="G1479" s="10" t="s">
        <v>84</v>
      </c>
      <c r="H1479" s="12">
        <v>429.08333333333297</v>
      </c>
      <c r="I1479" s="11">
        <v>2</v>
      </c>
      <c r="J1479" s="11">
        <v>0</v>
      </c>
      <c r="K1479" s="11">
        <v>11</v>
      </c>
      <c r="L1479" s="11">
        <v>4.6610992425713703E-3</v>
      </c>
      <c r="M1479" s="11">
        <f t="shared" si="5"/>
        <v>0.46610992425713771</v>
      </c>
      <c r="N1479" s="11">
        <v>0</v>
      </c>
      <c r="O1479" s="11">
        <v>2.5636045834142598E-2</v>
      </c>
      <c r="P1479" s="11">
        <v>0.116421568627451</v>
      </c>
      <c r="Q1479" s="11">
        <v>0.45161290322580599</v>
      </c>
      <c r="R1479" s="11">
        <v>0.10658914728682201</v>
      </c>
      <c r="S1479" s="10" t="s">
        <v>84</v>
      </c>
      <c r="T1479" s="10" t="s">
        <v>84</v>
      </c>
      <c r="U1479" s="10"/>
      <c r="V1479" s="10"/>
      <c r="W1479" s="10"/>
      <c r="X1479" s="10"/>
      <c r="Y1479" s="10"/>
      <c r="Z1479" s="10"/>
      <c r="AA1479" s="10"/>
    </row>
    <row r="1480" spans="1:27" ht="12.5" hidden="1" x14ac:dyDescent="0.25">
      <c r="A1480" s="10" t="s">
        <v>103</v>
      </c>
      <c r="B1480" s="10" t="s">
        <v>1775</v>
      </c>
      <c r="C1480" s="10" t="s">
        <v>191</v>
      </c>
      <c r="D1480" s="11">
        <v>2024</v>
      </c>
      <c r="E1480" s="10" t="s">
        <v>124</v>
      </c>
      <c r="F1480" s="10" t="s">
        <v>83</v>
      </c>
      <c r="G1480" s="10" t="s">
        <v>84</v>
      </c>
      <c r="H1480" s="12">
        <v>23196</v>
      </c>
      <c r="I1480" s="11">
        <v>105</v>
      </c>
      <c r="J1480" s="11">
        <v>73</v>
      </c>
      <c r="K1480" s="11">
        <v>3805</v>
      </c>
      <c r="L1480" s="11">
        <v>4.5266750493982398E-3</v>
      </c>
      <c r="M1480" s="11">
        <f t="shared" si="5"/>
        <v>0.45266425245732028</v>
      </c>
      <c r="N1480" s="11">
        <v>0.69523809523809499</v>
      </c>
      <c r="O1480" s="11">
        <v>0.164038081552003</v>
      </c>
      <c r="P1480" s="11">
        <v>0.113970588235294</v>
      </c>
      <c r="Q1480" s="11">
        <v>0.5</v>
      </c>
      <c r="R1480" s="11">
        <v>0.104651162790698</v>
      </c>
      <c r="S1480" s="10" t="s">
        <v>84</v>
      </c>
      <c r="T1480" s="10" t="s">
        <v>84</v>
      </c>
      <c r="U1480" s="10"/>
      <c r="V1480" s="10"/>
      <c r="W1480" s="10"/>
      <c r="X1480" s="10"/>
      <c r="Y1480" s="10"/>
      <c r="Z1480" s="10"/>
      <c r="AA1480" s="10"/>
    </row>
    <row r="1481" spans="1:27" ht="12.5" x14ac:dyDescent="0.25">
      <c r="A1481" s="10" t="s">
        <v>53</v>
      </c>
      <c r="B1481" s="10" t="s">
        <v>1292</v>
      </c>
      <c r="C1481" s="10" t="s">
        <v>76</v>
      </c>
      <c r="D1481" s="11">
        <v>2024</v>
      </c>
      <c r="E1481" s="10" t="s">
        <v>81</v>
      </c>
      <c r="F1481" s="10" t="s">
        <v>83</v>
      </c>
      <c r="G1481" s="10" t="s">
        <v>84</v>
      </c>
      <c r="H1481" s="11">
        <v>5304</v>
      </c>
      <c r="I1481" s="11">
        <v>24</v>
      </c>
      <c r="J1481" s="11">
        <v>10</v>
      </c>
      <c r="K1481" s="11">
        <v>329</v>
      </c>
      <c r="L1481" s="11">
        <v>4.5252423675816696E-3</v>
      </c>
      <c r="M1481" s="11">
        <f t="shared" si="5"/>
        <v>0.45248868778280549</v>
      </c>
      <c r="N1481" s="11">
        <v>0.41666666666666702</v>
      </c>
      <c r="O1481" s="11">
        <v>6.2033530788932E-2</v>
      </c>
      <c r="P1481" s="11">
        <v>4.9831081081081099E-2</v>
      </c>
      <c r="Q1481" s="11">
        <v>0.27500000000000002</v>
      </c>
      <c r="R1481" s="11">
        <v>7.3643410852713198E-2</v>
      </c>
      <c r="S1481" s="10" t="s">
        <v>84</v>
      </c>
      <c r="T1481" s="10" t="s">
        <v>84</v>
      </c>
      <c r="U1481" s="10"/>
      <c r="V1481" s="10"/>
      <c r="W1481" s="10"/>
      <c r="X1481" s="10"/>
      <c r="Y1481" s="10"/>
      <c r="Z1481" s="10"/>
      <c r="AA1481" s="10"/>
    </row>
    <row r="1482" spans="1:27" ht="12.5" x14ac:dyDescent="0.25">
      <c r="A1482" s="10" t="s">
        <v>34</v>
      </c>
      <c r="B1482" s="10" t="s">
        <v>1295</v>
      </c>
      <c r="C1482" s="10" t="s">
        <v>76</v>
      </c>
      <c r="D1482" s="11">
        <v>2024</v>
      </c>
      <c r="E1482" s="10" t="s">
        <v>81</v>
      </c>
      <c r="F1482" s="10" t="s">
        <v>83</v>
      </c>
      <c r="G1482" s="10" t="s">
        <v>84</v>
      </c>
      <c r="H1482" s="11">
        <v>5310</v>
      </c>
      <c r="I1482" s="11">
        <v>24</v>
      </c>
      <c r="J1482" s="11">
        <v>17</v>
      </c>
      <c r="K1482" s="11">
        <v>790</v>
      </c>
      <c r="L1482" s="11">
        <v>4.5201286981087696E-3</v>
      </c>
      <c r="M1482" s="11">
        <f t="shared" si="5"/>
        <v>0.4519774011299435</v>
      </c>
      <c r="N1482" s="11">
        <v>0.70833333333333304</v>
      </c>
      <c r="O1482" s="11">
        <v>0.14878756964608</v>
      </c>
      <c r="P1482" s="11">
        <v>4.89864864864865E-2</v>
      </c>
      <c r="Q1482" s="11">
        <v>0.102040816326531</v>
      </c>
      <c r="R1482" s="11">
        <v>7.1705426356589094E-2</v>
      </c>
      <c r="S1482" s="10" t="s">
        <v>84</v>
      </c>
      <c r="T1482" s="10" t="s">
        <v>84</v>
      </c>
      <c r="U1482" s="10"/>
      <c r="V1482" s="10"/>
      <c r="W1482" s="10"/>
      <c r="X1482" s="10"/>
      <c r="Y1482" s="10"/>
      <c r="Z1482" s="10"/>
      <c r="AA1482" s="10"/>
    </row>
    <row r="1483" spans="1:27" ht="12.5" x14ac:dyDescent="0.25">
      <c r="A1483" s="10" t="s">
        <v>62</v>
      </c>
      <c r="B1483" s="10" t="s">
        <v>1297</v>
      </c>
      <c r="C1483" s="10" t="s">
        <v>76</v>
      </c>
      <c r="D1483" s="11">
        <v>2024</v>
      </c>
      <c r="E1483" s="10" t="s">
        <v>81</v>
      </c>
      <c r="F1483" s="10" t="s">
        <v>83</v>
      </c>
      <c r="G1483" s="10" t="s">
        <v>84</v>
      </c>
      <c r="H1483" s="11">
        <v>11308</v>
      </c>
      <c r="I1483" s="11">
        <v>51</v>
      </c>
      <c r="J1483" s="11">
        <v>32</v>
      </c>
      <c r="K1483" s="11">
        <v>7689</v>
      </c>
      <c r="L1483" s="11">
        <v>4.5100813583303897E-3</v>
      </c>
      <c r="M1483" s="11">
        <f t="shared" si="5"/>
        <v>0.45100813583303856</v>
      </c>
      <c r="N1483" s="11">
        <v>0.62745098039215697</v>
      </c>
      <c r="O1483" s="11">
        <v>0.67996108949416301</v>
      </c>
      <c r="P1483" s="11">
        <v>4.81418918918919E-2</v>
      </c>
      <c r="Q1483" s="11">
        <v>2.7777777777777801E-2</v>
      </c>
      <c r="R1483" s="11">
        <v>6.9767441860465101E-2</v>
      </c>
      <c r="S1483" s="10" t="s">
        <v>84</v>
      </c>
      <c r="T1483" s="10" t="s">
        <v>84</v>
      </c>
      <c r="U1483" s="10"/>
      <c r="V1483" s="10"/>
      <c r="W1483" s="10"/>
      <c r="X1483" s="10"/>
      <c r="Y1483" s="10"/>
      <c r="Z1483" s="10"/>
      <c r="AA1483" s="10"/>
    </row>
    <row r="1484" spans="1:27" ht="12.5" x14ac:dyDescent="0.25">
      <c r="A1484" s="10" t="s">
        <v>82</v>
      </c>
      <c r="B1484" s="10" t="s">
        <v>1299</v>
      </c>
      <c r="C1484" s="10" t="s">
        <v>76</v>
      </c>
      <c r="D1484" s="11">
        <v>2024</v>
      </c>
      <c r="E1484" s="10" t="s">
        <v>81</v>
      </c>
      <c r="F1484" s="10" t="s">
        <v>83</v>
      </c>
      <c r="G1484" s="10" t="s">
        <v>84</v>
      </c>
      <c r="H1484" s="11">
        <v>13609</v>
      </c>
      <c r="I1484" s="11">
        <v>61</v>
      </c>
      <c r="J1484" s="11">
        <v>45</v>
      </c>
      <c r="K1484" s="11">
        <v>2104</v>
      </c>
      <c r="L1484" s="11">
        <v>4.4823278712616604E-3</v>
      </c>
      <c r="M1484" s="11">
        <f t="shared" si="5"/>
        <v>0.44823278712616649</v>
      </c>
      <c r="N1484" s="11">
        <v>0.73770491803278704</v>
      </c>
      <c r="O1484" s="11">
        <v>0.15460357116614001</v>
      </c>
      <c r="P1484" s="11">
        <v>4.72972972972973E-2</v>
      </c>
      <c r="Q1484" s="11">
        <v>5.1724137931034503E-2</v>
      </c>
      <c r="R1484" s="11">
        <v>6.7829457364341095E-2</v>
      </c>
      <c r="S1484" s="10" t="s">
        <v>84</v>
      </c>
      <c r="T1484" s="10" t="s">
        <v>84</v>
      </c>
      <c r="U1484" s="10"/>
      <c r="V1484" s="10"/>
      <c r="W1484" s="10"/>
      <c r="X1484" s="10"/>
      <c r="Y1484" s="10"/>
      <c r="Z1484" s="10"/>
      <c r="AA1484" s="10"/>
    </row>
    <row r="1485" spans="1:27" ht="12.5" hidden="1" x14ac:dyDescent="0.25">
      <c r="A1485" s="10" t="s">
        <v>52</v>
      </c>
      <c r="B1485" s="10" t="s">
        <v>1776</v>
      </c>
      <c r="C1485" s="10" t="s">
        <v>191</v>
      </c>
      <c r="D1485" s="11">
        <v>2024</v>
      </c>
      <c r="E1485" s="10" t="s">
        <v>124</v>
      </c>
      <c r="F1485" s="10" t="s">
        <v>125</v>
      </c>
      <c r="G1485" s="10" t="s">
        <v>84</v>
      </c>
      <c r="H1485" s="12">
        <v>446.58333333333297</v>
      </c>
      <c r="I1485" s="11">
        <v>2</v>
      </c>
      <c r="J1485" s="11">
        <v>1</v>
      </c>
      <c r="K1485" s="11">
        <v>849</v>
      </c>
      <c r="L1485" s="11">
        <v>4.4784474715432003E-3</v>
      </c>
      <c r="M1485" s="11">
        <f t="shared" si="5"/>
        <v>0.44784474715432021</v>
      </c>
      <c r="N1485" s="11">
        <v>0.5</v>
      </c>
      <c r="O1485" s="11">
        <v>1.9011009516700901</v>
      </c>
      <c r="P1485" s="11">
        <v>0.111519607843137</v>
      </c>
      <c r="Q1485" s="11">
        <v>0.107142857142857</v>
      </c>
      <c r="R1485" s="11">
        <v>0.10271317829457401</v>
      </c>
      <c r="S1485" s="10" t="s">
        <v>84</v>
      </c>
      <c r="T1485" s="10" t="s">
        <v>84</v>
      </c>
      <c r="U1485" s="10"/>
      <c r="V1485" s="10"/>
      <c r="W1485" s="10"/>
      <c r="X1485" s="10"/>
      <c r="Y1485" s="10"/>
      <c r="Z1485" s="10"/>
      <c r="AA1485" s="10"/>
    </row>
    <row r="1486" spans="1:27" ht="12.5" x14ac:dyDescent="0.25">
      <c r="A1486" s="10" t="s">
        <v>109</v>
      </c>
      <c r="B1486" s="10" t="s">
        <v>1302</v>
      </c>
      <c r="C1486" s="10" t="s">
        <v>76</v>
      </c>
      <c r="D1486" s="11">
        <v>2024</v>
      </c>
      <c r="E1486" s="10" t="s">
        <v>81</v>
      </c>
      <c r="F1486" s="10" t="s">
        <v>83</v>
      </c>
      <c r="G1486" s="10" t="s">
        <v>84</v>
      </c>
      <c r="H1486" s="11">
        <v>5636</v>
      </c>
      <c r="I1486" s="11">
        <v>25</v>
      </c>
      <c r="J1486" s="11">
        <v>24</v>
      </c>
      <c r="K1486" s="11">
        <v>618</v>
      </c>
      <c r="L1486" s="11">
        <v>4.4354421396572896E-3</v>
      </c>
      <c r="M1486" s="11">
        <f t="shared" si="5"/>
        <v>0.44357700496806246</v>
      </c>
      <c r="N1486" s="11">
        <v>0.96</v>
      </c>
      <c r="O1486" s="11">
        <v>0.10964412969232799</v>
      </c>
      <c r="P1486" s="11">
        <v>4.64527027027027E-2</v>
      </c>
      <c r="Q1486" s="11">
        <v>5.5555555555555601E-2</v>
      </c>
      <c r="R1486" s="11">
        <v>6.5891472868217102E-2</v>
      </c>
      <c r="S1486" s="10" t="s">
        <v>84</v>
      </c>
      <c r="T1486" s="10" t="s">
        <v>84</v>
      </c>
      <c r="U1486" s="10"/>
      <c r="V1486" s="10"/>
      <c r="W1486" s="10"/>
      <c r="X1486" s="10"/>
      <c r="Y1486" s="10"/>
      <c r="Z1486" s="10"/>
      <c r="AA1486" s="10"/>
    </row>
    <row r="1487" spans="1:27" ht="12.5" x14ac:dyDescent="0.25">
      <c r="A1487" s="10" t="s">
        <v>6</v>
      </c>
      <c r="B1487" s="10" t="s">
        <v>1312</v>
      </c>
      <c r="C1487" s="10" t="s">
        <v>76</v>
      </c>
      <c r="D1487" s="11">
        <v>2024</v>
      </c>
      <c r="E1487" s="10" t="s">
        <v>124</v>
      </c>
      <c r="F1487" s="10" t="s">
        <v>125</v>
      </c>
      <c r="G1487" s="10" t="s">
        <v>84</v>
      </c>
      <c r="H1487" s="11">
        <v>700</v>
      </c>
      <c r="I1487" s="11">
        <v>3</v>
      </c>
      <c r="J1487" s="11">
        <v>3</v>
      </c>
      <c r="K1487" s="11">
        <v>525</v>
      </c>
      <c r="L1487" s="11">
        <v>4.2857142857142903E-3</v>
      </c>
      <c r="M1487" s="11">
        <f t="shared" si="5"/>
        <v>0.4285714285714286</v>
      </c>
      <c r="N1487" s="11">
        <v>1</v>
      </c>
      <c r="O1487" s="11">
        <v>0.75</v>
      </c>
      <c r="P1487" s="11">
        <v>4.56081081081081E-2</v>
      </c>
      <c r="Q1487" s="11">
        <v>3.2258064516128997E-2</v>
      </c>
      <c r="R1487" s="11">
        <v>2.4608501118568198E-2</v>
      </c>
      <c r="S1487" s="10" t="s">
        <v>84</v>
      </c>
      <c r="T1487" s="10" t="s">
        <v>84</v>
      </c>
      <c r="U1487" s="10"/>
      <c r="V1487" s="10"/>
      <c r="W1487" s="10"/>
      <c r="X1487" s="10"/>
      <c r="Y1487" s="10"/>
      <c r="Z1487" s="10"/>
      <c r="AA1487" s="10"/>
    </row>
    <row r="1488" spans="1:27" ht="12.5" hidden="1" x14ac:dyDescent="0.25">
      <c r="A1488" s="10" t="s">
        <v>16</v>
      </c>
      <c r="B1488" s="10" t="s">
        <v>1777</v>
      </c>
      <c r="C1488" s="10" t="s">
        <v>191</v>
      </c>
      <c r="D1488" s="11">
        <v>2024</v>
      </c>
      <c r="E1488" s="10" t="s">
        <v>124</v>
      </c>
      <c r="F1488" s="10" t="s">
        <v>125</v>
      </c>
      <c r="G1488" s="10" t="s">
        <v>84</v>
      </c>
      <c r="H1488" s="12">
        <v>4970</v>
      </c>
      <c r="I1488" s="11">
        <v>21</v>
      </c>
      <c r="J1488" s="11">
        <v>21</v>
      </c>
      <c r="K1488" s="11">
        <v>57</v>
      </c>
      <c r="L1488" s="11">
        <v>4.2254938126697703E-3</v>
      </c>
      <c r="M1488" s="11">
        <f t="shared" si="5"/>
        <v>0.42253521126760557</v>
      </c>
      <c r="N1488" s="11">
        <v>1</v>
      </c>
      <c r="O1488" s="11">
        <v>1.1469197491532201E-2</v>
      </c>
      <c r="P1488" s="11">
        <v>0.10906862745098</v>
      </c>
      <c r="Q1488" s="11">
        <v>0</v>
      </c>
      <c r="R1488" s="11">
        <v>0.10077519379845</v>
      </c>
      <c r="S1488" s="10" t="s">
        <v>84</v>
      </c>
      <c r="T1488" s="10" t="s">
        <v>84</v>
      </c>
      <c r="U1488" s="10"/>
      <c r="V1488" s="10"/>
      <c r="W1488" s="10"/>
      <c r="X1488" s="10"/>
      <c r="Y1488" s="10"/>
      <c r="Z1488" s="10"/>
      <c r="AA1488" s="10"/>
    </row>
    <row r="1489" spans="1:27" ht="12.5" hidden="1" x14ac:dyDescent="0.25">
      <c r="A1489" s="10" t="s">
        <v>62</v>
      </c>
      <c r="B1489" s="10" t="s">
        <v>1778</v>
      </c>
      <c r="C1489" s="10" t="s">
        <v>191</v>
      </c>
      <c r="D1489" s="11">
        <v>2024</v>
      </c>
      <c r="E1489" s="10" t="s">
        <v>81</v>
      </c>
      <c r="F1489" s="10" t="s">
        <v>125</v>
      </c>
      <c r="G1489" s="10" t="s">
        <v>84</v>
      </c>
      <c r="H1489" s="12">
        <v>9467</v>
      </c>
      <c r="I1489" s="11">
        <v>39</v>
      </c>
      <c r="J1489" s="11">
        <v>21</v>
      </c>
      <c r="K1489" s="11">
        <v>659</v>
      </c>
      <c r="L1489" s="11">
        <v>4.1195007305952196E-3</v>
      </c>
      <c r="M1489" s="11">
        <f t="shared" si="5"/>
        <v>0.41195732544628716</v>
      </c>
      <c r="N1489" s="11">
        <v>0.53846153846153799</v>
      </c>
      <c r="O1489" s="11">
        <v>6.9608999524673004E-2</v>
      </c>
      <c r="P1489" s="11">
        <v>0.105392156862745</v>
      </c>
      <c r="Q1489" s="11">
        <v>0.16</v>
      </c>
      <c r="R1489" s="11">
        <v>0.16666666666666699</v>
      </c>
      <c r="S1489" s="10" t="s">
        <v>84</v>
      </c>
      <c r="T1489" s="10" t="s">
        <v>84</v>
      </c>
      <c r="U1489" s="10"/>
      <c r="V1489" s="10"/>
      <c r="W1489" s="10"/>
      <c r="X1489" s="10"/>
      <c r="Y1489" s="10"/>
      <c r="Z1489" s="10"/>
      <c r="AA1489" s="10"/>
    </row>
    <row r="1490" spans="1:27" ht="12.5" hidden="1" x14ac:dyDescent="0.25">
      <c r="A1490" s="10" t="s">
        <v>34</v>
      </c>
      <c r="B1490" s="10" t="s">
        <v>1779</v>
      </c>
      <c r="C1490" s="10" t="s">
        <v>191</v>
      </c>
      <c r="D1490" s="11">
        <v>2024</v>
      </c>
      <c r="E1490" s="10" t="s">
        <v>124</v>
      </c>
      <c r="F1490" s="10" t="s">
        <v>125</v>
      </c>
      <c r="G1490" s="10" t="s">
        <v>84</v>
      </c>
      <c r="H1490" s="12">
        <v>245</v>
      </c>
      <c r="I1490" s="11">
        <v>1</v>
      </c>
      <c r="J1490" s="11">
        <v>0</v>
      </c>
      <c r="K1490" s="11">
        <v>1</v>
      </c>
      <c r="L1490" s="11">
        <v>4.0816326530612197E-3</v>
      </c>
      <c r="M1490" s="11">
        <f t="shared" si="5"/>
        <v>0.40816326530612246</v>
      </c>
      <c r="N1490" s="11">
        <v>0</v>
      </c>
      <c r="O1490" s="11">
        <v>4.0816326530612197E-3</v>
      </c>
      <c r="P1490" s="11">
        <v>0.104166666666667</v>
      </c>
      <c r="Q1490" s="11">
        <v>0.14285714285714299</v>
      </c>
      <c r="R1490" s="11">
        <v>9.8837209302325604E-2</v>
      </c>
      <c r="S1490" s="10" t="s">
        <v>84</v>
      </c>
      <c r="T1490" s="10" t="s">
        <v>84</v>
      </c>
      <c r="U1490" s="10"/>
      <c r="V1490" s="10"/>
      <c r="W1490" s="10"/>
      <c r="X1490" s="10"/>
      <c r="Y1490" s="10"/>
      <c r="Z1490" s="10"/>
      <c r="AA1490" s="10"/>
    </row>
    <row r="1491" spans="1:27" ht="12.5" x14ac:dyDescent="0.25">
      <c r="A1491" s="10" t="s">
        <v>82</v>
      </c>
      <c r="B1491" s="10" t="s">
        <v>1315</v>
      </c>
      <c r="C1491" s="10" t="s">
        <v>76</v>
      </c>
      <c r="D1491" s="11">
        <v>2024</v>
      </c>
      <c r="E1491" s="10" t="s">
        <v>124</v>
      </c>
      <c r="F1491" s="10" t="s">
        <v>83</v>
      </c>
      <c r="G1491" s="10" t="s">
        <v>84</v>
      </c>
      <c r="H1491" s="11">
        <v>984</v>
      </c>
      <c r="I1491" s="11">
        <v>4</v>
      </c>
      <c r="J1491" s="11">
        <v>4</v>
      </c>
      <c r="K1491" s="11">
        <v>205</v>
      </c>
      <c r="L1491" s="11">
        <v>4.0643522438611303E-3</v>
      </c>
      <c r="M1491" s="11">
        <f t="shared" si="5"/>
        <v>0.40650406504065045</v>
      </c>
      <c r="N1491" s="11">
        <v>1</v>
      </c>
      <c r="O1491" s="11">
        <v>0.208298052497883</v>
      </c>
      <c r="P1491" s="11">
        <v>4.3918918918918901E-2</v>
      </c>
      <c r="Q1491" s="11">
        <v>3.4482758620689703E-2</v>
      </c>
      <c r="R1491" s="11">
        <v>2.2371364653243801E-2</v>
      </c>
      <c r="S1491" s="10" t="s">
        <v>84</v>
      </c>
      <c r="T1491" s="10" t="s">
        <v>84</v>
      </c>
      <c r="U1491" s="10"/>
      <c r="V1491" s="10"/>
      <c r="W1491" s="10"/>
      <c r="X1491" s="10"/>
      <c r="Y1491" s="10"/>
      <c r="Z1491" s="10"/>
      <c r="AA1491" s="10"/>
    </row>
    <row r="1492" spans="1:27" ht="12.5" x14ac:dyDescent="0.25">
      <c r="A1492" s="10" t="s">
        <v>62</v>
      </c>
      <c r="B1492" s="10" t="s">
        <v>1304</v>
      </c>
      <c r="C1492" s="10" t="s">
        <v>76</v>
      </c>
      <c r="D1492" s="11">
        <v>2024</v>
      </c>
      <c r="E1492" s="10" t="s">
        <v>81</v>
      </c>
      <c r="F1492" s="10" t="s">
        <v>83</v>
      </c>
      <c r="G1492" s="10" t="s">
        <v>84</v>
      </c>
      <c r="H1492" s="11">
        <v>27918</v>
      </c>
      <c r="I1492" s="11">
        <v>111</v>
      </c>
      <c r="J1492" s="11">
        <v>89</v>
      </c>
      <c r="K1492" s="11">
        <v>479</v>
      </c>
      <c r="L1492" s="11">
        <v>3.9759295078443998E-3</v>
      </c>
      <c r="M1492" s="11">
        <f t="shared" si="5"/>
        <v>0.39759295078444012</v>
      </c>
      <c r="N1492" s="11">
        <v>0.80180180180180205</v>
      </c>
      <c r="O1492" s="11">
        <v>1.7157389497815E-2</v>
      </c>
      <c r="P1492" s="11">
        <v>4.3074324324324301E-2</v>
      </c>
      <c r="Q1492" s="11">
        <v>0</v>
      </c>
      <c r="R1492" s="11">
        <v>6.3953488372092998E-2</v>
      </c>
      <c r="S1492" s="10" t="s">
        <v>84</v>
      </c>
      <c r="T1492" s="10" t="s">
        <v>84</v>
      </c>
      <c r="U1492" s="10"/>
      <c r="V1492" s="10"/>
      <c r="W1492" s="10"/>
      <c r="X1492" s="10"/>
      <c r="Y1492" s="10"/>
      <c r="Z1492" s="10"/>
      <c r="AA1492" s="10"/>
    </row>
    <row r="1493" spans="1:27" ht="12.5" hidden="1" x14ac:dyDescent="0.25">
      <c r="A1493" s="10" t="s">
        <v>77</v>
      </c>
      <c r="B1493" s="10" t="s">
        <v>1780</v>
      </c>
      <c r="C1493" s="10" t="s">
        <v>191</v>
      </c>
      <c r="D1493" s="11">
        <v>2024</v>
      </c>
      <c r="E1493" s="10" t="s">
        <v>124</v>
      </c>
      <c r="F1493" s="10" t="s">
        <v>125</v>
      </c>
      <c r="G1493" s="10" t="s">
        <v>84</v>
      </c>
      <c r="H1493" s="12">
        <v>506.58333333333297</v>
      </c>
      <c r="I1493" s="11">
        <v>2</v>
      </c>
      <c r="J1493" s="11">
        <v>0</v>
      </c>
      <c r="K1493" s="11">
        <v>153</v>
      </c>
      <c r="L1493" s="11">
        <v>3.9480177660799502E-3</v>
      </c>
      <c r="M1493" s="11">
        <f t="shared" si="5"/>
        <v>0.39480177660799504</v>
      </c>
      <c r="N1493" s="11">
        <v>0</v>
      </c>
      <c r="O1493" s="11">
        <v>0.30202335910511602</v>
      </c>
      <c r="P1493" s="11">
        <v>0.10171568627451</v>
      </c>
      <c r="Q1493" s="11">
        <v>0.108695652173913</v>
      </c>
      <c r="R1493" s="11">
        <v>9.6899224806201598E-2</v>
      </c>
      <c r="S1493" s="10" t="s">
        <v>84</v>
      </c>
      <c r="T1493" s="10" t="s">
        <v>84</v>
      </c>
      <c r="U1493" s="10"/>
      <c r="V1493" s="10"/>
      <c r="W1493" s="10"/>
      <c r="X1493" s="10"/>
      <c r="Y1493" s="10"/>
      <c r="Z1493" s="10"/>
      <c r="AA1493" s="10"/>
    </row>
    <row r="1494" spans="1:27" ht="12.5" hidden="1" x14ac:dyDescent="0.25">
      <c r="A1494" s="10" t="s">
        <v>29</v>
      </c>
      <c r="B1494" s="10" t="s">
        <v>1781</v>
      </c>
      <c r="C1494" s="10" t="s">
        <v>191</v>
      </c>
      <c r="D1494" s="11">
        <v>2024</v>
      </c>
      <c r="E1494" s="10" t="s">
        <v>124</v>
      </c>
      <c r="F1494" s="10" t="s">
        <v>125</v>
      </c>
      <c r="G1494" s="10" t="s">
        <v>84</v>
      </c>
      <c r="H1494" s="12">
        <v>5921</v>
      </c>
      <c r="I1494" s="11">
        <v>23</v>
      </c>
      <c r="J1494" s="11">
        <v>15</v>
      </c>
      <c r="K1494" s="11">
        <v>4274</v>
      </c>
      <c r="L1494" s="11">
        <v>3.8842603017338398E-3</v>
      </c>
      <c r="M1494" s="11">
        <f t="shared" si="5"/>
        <v>0.3884478973146428</v>
      </c>
      <c r="N1494" s="11">
        <v>0.65217391304347805</v>
      </c>
      <c r="O1494" s="11">
        <v>0.72179689259175905</v>
      </c>
      <c r="P1494" s="11">
        <v>0.100490196078431</v>
      </c>
      <c r="Q1494" s="11">
        <v>5.63380281690141E-2</v>
      </c>
      <c r="R1494" s="11">
        <v>9.4961240310077494E-2</v>
      </c>
      <c r="S1494" s="10" t="s">
        <v>84</v>
      </c>
      <c r="T1494" s="10" t="s">
        <v>84</v>
      </c>
      <c r="U1494" s="10"/>
      <c r="V1494" s="10"/>
      <c r="W1494" s="10"/>
      <c r="X1494" s="10"/>
      <c r="Y1494" s="10"/>
      <c r="Z1494" s="10"/>
      <c r="AA1494" s="10"/>
    </row>
    <row r="1495" spans="1:27" ht="12.5" hidden="1" x14ac:dyDescent="0.25">
      <c r="A1495" s="10" t="s">
        <v>29</v>
      </c>
      <c r="B1495" s="10" t="s">
        <v>1782</v>
      </c>
      <c r="C1495" s="10" t="s">
        <v>191</v>
      </c>
      <c r="D1495" s="11">
        <v>2024</v>
      </c>
      <c r="E1495" s="10" t="s">
        <v>124</v>
      </c>
      <c r="F1495" s="10" t="s">
        <v>125</v>
      </c>
      <c r="G1495" s="10" t="s">
        <v>84</v>
      </c>
      <c r="H1495" s="12">
        <v>2875</v>
      </c>
      <c r="I1495" s="11">
        <v>11</v>
      </c>
      <c r="J1495" s="11">
        <v>7</v>
      </c>
      <c r="K1495" s="11">
        <v>22</v>
      </c>
      <c r="L1495" s="11">
        <v>3.8261978608075601E-3</v>
      </c>
      <c r="M1495" s="11">
        <f t="shared" si="5"/>
        <v>0.38260869565217392</v>
      </c>
      <c r="N1495" s="11">
        <v>0.63636363636363602</v>
      </c>
      <c r="O1495" s="11">
        <v>7.6523957216151203E-3</v>
      </c>
      <c r="P1495" s="11">
        <v>9.9264705882352894E-2</v>
      </c>
      <c r="Q1495" s="11">
        <v>4.2253521126760597E-2</v>
      </c>
      <c r="R1495" s="11">
        <v>9.3023255813953501E-2</v>
      </c>
      <c r="S1495" s="10" t="s">
        <v>84</v>
      </c>
      <c r="T1495" s="10" t="s">
        <v>84</v>
      </c>
      <c r="U1495" s="10"/>
      <c r="V1495" s="10"/>
      <c r="W1495" s="10"/>
      <c r="X1495" s="10"/>
      <c r="Y1495" s="10"/>
      <c r="Z1495" s="10"/>
      <c r="AA1495" s="10"/>
    </row>
    <row r="1496" spans="1:27" ht="12.5" x14ac:dyDescent="0.25">
      <c r="A1496" s="10" t="s">
        <v>49</v>
      </c>
      <c r="B1496" s="10" t="s">
        <v>1318</v>
      </c>
      <c r="C1496" s="10" t="s">
        <v>76</v>
      </c>
      <c r="D1496" s="11">
        <v>2024</v>
      </c>
      <c r="E1496" s="10" t="s">
        <v>124</v>
      </c>
      <c r="F1496" s="10" t="s">
        <v>83</v>
      </c>
      <c r="G1496" s="10" t="s">
        <v>84</v>
      </c>
      <c r="H1496" s="11">
        <v>1308</v>
      </c>
      <c r="I1496" s="11">
        <v>5</v>
      </c>
      <c r="J1496" s="11">
        <v>4</v>
      </c>
      <c r="K1496" s="11">
        <v>123</v>
      </c>
      <c r="L1496" s="11">
        <v>3.82360438439969E-3</v>
      </c>
      <c r="M1496" s="11">
        <f t="shared" si="5"/>
        <v>0.38226299694189603</v>
      </c>
      <c r="N1496" s="11">
        <v>0.8</v>
      </c>
      <c r="O1496" s="11">
        <v>9.4060667856232502E-2</v>
      </c>
      <c r="P1496" s="11">
        <v>4.2229729729729701E-2</v>
      </c>
      <c r="Q1496" s="11">
        <v>0</v>
      </c>
      <c r="R1496" s="11">
        <v>2.01342281879195E-2</v>
      </c>
      <c r="S1496" s="10" t="s">
        <v>84</v>
      </c>
      <c r="T1496" s="10" t="s">
        <v>84</v>
      </c>
      <c r="U1496" s="10"/>
      <c r="V1496" s="10"/>
      <c r="W1496" s="10"/>
      <c r="X1496" s="10"/>
      <c r="Y1496" s="10"/>
      <c r="Z1496" s="10"/>
      <c r="AA1496" s="10"/>
    </row>
    <row r="1497" spans="1:27" ht="12.5" hidden="1" x14ac:dyDescent="0.25">
      <c r="A1497" s="10" t="s">
        <v>53</v>
      </c>
      <c r="B1497" s="10" t="s">
        <v>1783</v>
      </c>
      <c r="C1497" s="10" t="s">
        <v>191</v>
      </c>
      <c r="D1497" s="11">
        <v>2024</v>
      </c>
      <c r="E1497" s="10" t="s">
        <v>124</v>
      </c>
      <c r="F1497" s="10" t="s">
        <v>125</v>
      </c>
      <c r="G1497" s="10" t="s">
        <v>84</v>
      </c>
      <c r="H1497" s="12">
        <v>528.41666666666697</v>
      </c>
      <c r="I1497" s="11">
        <v>2</v>
      </c>
      <c r="J1497" s="11">
        <v>2</v>
      </c>
      <c r="K1497" s="11">
        <v>25</v>
      </c>
      <c r="L1497" s="11">
        <v>3.7848919728749402E-3</v>
      </c>
      <c r="M1497" s="11">
        <f t="shared" si="5"/>
        <v>0.37848919728749386</v>
      </c>
      <c r="N1497" s="11">
        <v>1</v>
      </c>
      <c r="O1497" s="11">
        <v>4.7311149660936802E-2</v>
      </c>
      <c r="P1497" s="11">
        <v>9.8039215686274495E-2</v>
      </c>
      <c r="Q1497" s="11">
        <v>0.41935483870967699</v>
      </c>
      <c r="R1497" s="11">
        <v>9.1085271317829494E-2</v>
      </c>
      <c r="S1497" s="10" t="s">
        <v>84</v>
      </c>
      <c r="T1497" s="10" t="s">
        <v>84</v>
      </c>
      <c r="U1497" s="10"/>
      <c r="V1497" s="10"/>
      <c r="W1497" s="10"/>
      <c r="X1497" s="10"/>
      <c r="Y1497" s="10"/>
      <c r="Z1497" s="10"/>
      <c r="AA1497" s="10"/>
    </row>
    <row r="1498" spans="1:27" ht="12.5" x14ac:dyDescent="0.25">
      <c r="A1498" s="10" t="s">
        <v>109</v>
      </c>
      <c r="B1498" s="10" t="s">
        <v>1307</v>
      </c>
      <c r="C1498" s="10" t="s">
        <v>76</v>
      </c>
      <c r="D1498" s="11">
        <v>2024</v>
      </c>
      <c r="E1498" s="10" t="s">
        <v>81</v>
      </c>
      <c r="F1498" s="10" t="s">
        <v>83</v>
      </c>
      <c r="G1498" s="10" t="s">
        <v>84</v>
      </c>
      <c r="H1498" s="11">
        <v>6886</v>
      </c>
      <c r="I1498" s="11">
        <v>26</v>
      </c>
      <c r="J1498" s="11">
        <v>19</v>
      </c>
      <c r="K1498" s="11">
        <v>942</v>
      </c>
      <c r="L1498" s="11">
        <v>3.7757769387162399E-3</v>
      </c>
      <c r="M1498" s="11">
        <f t="shared" si="5"/>
        <v>0.3775776938716236</v>
      </c>
      <c r="N1498" s="11">
        <v>0.73076923076923095</v>
      </c>
      <c r="O1498" s="11">
        <v>0.13679930293348799</v>
      </c>
      <c r="P1498" s="11">
        <v>4.1385135135135101E-2</v>
      </c>
      <c r="Q1498" s="11">
        <v>0</v>
      </c>
      <c r="R1498" s="11">
        <v>6.2015503875968998E-2</v>
      </c>
      <c r="S1498" s="10" t="s">
        <v>84</v>
      </c>
      <c r="T1498" s="10" t="s">
        <v>84</v>
      </c>
      <c r="U1498" s="10"/>
      <c r="V1498" s="10"/>
      <c r="W1498" s="10"/>
      <c r="X1498" s="10"/>
      <c r="Y1498" s="10"/>
      <c r="Z1498" s="10"/>
      <c r="AA1498" s="10"/>
    </row>
    <row r="1499" spans="1:27" ht="12.5" hidden="1" x14ac:dyDescent="0.25">
      <c r="A1499" s="10" t="s">
        <v>12</v>
      </c>
      <c r="B1499" s="10" t="s">
        <v>1784</v>
      </c>
      <c r="C1499" s="10" t="s">
        <v>191</v>
      </c>
      <c r="D1499" s="11">
        <v>2024</v>
      </c>
      <c r="E1499" s="10" t="s">
        <v>81</v>
      </c>
      <c r="F1499" s="10" t="s">
        <v>125</v>
      </c>
      <c r="G1499" s="10" t="s">
        <v>1785</v>
      </c>
      <c r="H1499" s="12">
        <v>164783</v>
      </c>
      <c r="I1499" s="11">
        <v>602</v>
      </c>
      <c r="J1499" s="11">
        <v>245</v>
      </c>
      <c r="K1499" s="11">
        <v>4528</v>
      </c>
      <c r="L1499" s="11">
        <v>3.65329132520311E-3</v>
      </c>
      <c r="M1499" s="11">
        <f t="shared" si="5"/>
        <v>0.36532894776767022</v>
      </c>
      <c r="N1499" s="11">
        <v>0.40697674418604701</v>
      </c>
      <c r="O1499" s="11">
        <v>2.7478576612158901E-2</v>
      </c>
      <c r="P1499" s="11">
        <v>9.5588235294117599E-2</v>
      </c>
      <c r="Q1499" s="11">
        <v>9.5238095238095205E-2</v>
      </c>
      <c r="R1499" s="11">
        <v>0.125</v>
      </c>
      <c r="S1499" s="10" t="s">
        <v>84</v>
      </c>
      <c r="T1499" s="10" t="s">
        <v>84</v>
      </c>
      <c r="U1499" s="10"/>
      <c r="V1499" s="10"/>
      <c r="W1499" s="10"/>
      <c r="X1499" s="10"/>
      <c r="Y1499" s="10"/>
      <c r="Z1499" s="10"/>
      <c r="AA1499" s="10"/>
    </row>
    <row r="1500" spans="1:27" ht="12.5" x14ac:dyDescent="0.25">
      <c r="A1500" s="10" t="s">
        <v>110</v>
      </c>
      <c r="B1500" s="10" t="s">
        <v>1309</v>
      </c>
      <c r="C1500" s="10" t="s">
        <v>76</v>
      </c>
      <c r="D1500" s="11">
        <v>2024</v>
      </c>
      <c r="E1500" s="10" t="s">
        <v>81</v>
      </c>
      <c r="F1500" s="10" t="s">
        <v>83</v>
      </c>
      <c r="G1500" s="10" t="s">
        <v>84</v>
      </c>
      <c r="H1500" s="11">
        <v>4385</v>
      </c>
      <c r="I1500" s="11">
        <v>16</v>
      </c>
      <c r="J1500" s="11">
        <v>15</v>
      </c>
      <c r="K1500" s="11">
        <v>2071</v>
      </c>
      <c r="L1500" s="11">
        <v>3.64914948208686E-3</v>
      </c>
      <c r="M1500" s="11">
        <f t="shared" si="5"/>
        <v>0.36488027366020526</v>
      </c>
      <c r="N1500" s="11">
        <v>0.9375</v>
      </c>
      <c r="O1500" s="11">
        <v>0.47233678608761798</v>
      </c>
      <c r="P1500" s="11">
        <v>4.0540540540540501E-2</v>
      </c>
      <c r="Q1500" s="11">
        <v>6.0606060606060601E-2</v>
      </c>
      <c r="R1500" s="11">
        <v>6.0077519379844999E-2</v>
      </c>
      <c r="S1500" s="10" t="s">
        <v>84</v>
      </c>
      <c r="T1500" s="10" t="s">
        <v>84</v>
      </c>
      <c r="U1500" s="10"/>
      <c r="V1500" s="10"/>
      <c r="W1500" s="10"/>
      <c r="X1500" s="10"/>
      <c r="Y1500" s="10"/>
      <c r="Z1500" s="10"/>
      <c r="AA1500" s="10"/>
    </row>
    <row r="1501" spans="1:27" ht="12.5" x14ac:dyDescent="0.25">
      <c r="A1501" s="10" t="s">
        <v>36</v>
      </c>
      <c r="B1501" s="10" t="s">
        <v>1311</v>
      </c>
      <c r="C1501" s="10" t="s">
        <v>76</v>
      </c>
      <c r="D1501" s="11">
        <v>2024</v>
      </c>
      <c r="E1501" s="10" t="s">
        <v>81</v>
      </c>
      <c r="F1501" s="10" t="s">
        <v>83</v>
      </c>
      <c r="G1501" s="10" t="s">
        <v>84</v>
      </c>
      <c r="H1501" s="11">
        <v>179486</v>
      </c>
      <c r="I1501" s="11">
        <v>654</v>
      </c>
      <c r="J1501" s="11">
        <v>10840</v>
      </c>
      <c r="K1501" s="11">
        <v>104784</v>
      </c>
      <c r="L1501" s="11">
        <v>3.6437331550467E-3</v>
      </c>
      <c r="M1501" s="11">
        <f t="shared" si="5"/>
        <v>0.36437382302797988</v>
      </c>
      <c r="N1501" s="11">
        <v>16.574923547400601</v>
      </c>
      <c r="O1501" s="11">
        <v>0.58379959467647202</v>
      </c>
      <c r="P1501" s="11">
        <v>3.9695945945945901E-2</v>
      </c>
      <c r="Q1501" s="11">
        <v>0</v>
      </c>
      <c r="R1501" s="11">
        <v>5.8139534883720902E-2</v>
      </c>
      <c r="S1501" s="10" t="s">
        <v>84</v>
      </c>
      <c r="T1501" s="10" t="s">
        <v>84</v>
      </c>
      <c r="U1501" s="10"/>
      <c r="V1501" s="10"/>
      <c r="W1501" s="10"/>
      <c r="X1501" s="10"/>
      <c r="Y1501" s="10"/>
      <c r="Z1501" s="10"/>
      <c r="AA1501" s="10"/>
    </row>
    <row r="1502" spans="1:27" ht="12.5" x14ac:dyDescent="0.25">
      <c r="A1502" s="10" t="s">
        <v>34</v>
      </c>
      <c r="B1502" s="10" t="s">
        <v>1313</v>
      </c>
      <c r="C1502" s="10" t="s">
        <v>76</v>
      </c>
      <c r="D1502" s="11">
        <v>2024</v>
      </c>
      <c r="E1502" s="10" t="s">
        <v>81</v>
      </c>
      <c r="F1502" s="10" t="s">
        <v>83</v>
      </c>
      <c r="G1502" s="10" t="s">
        <v>84</v>
      </c>
      <c r="H1502" s="11">
        <v>16262</v>
      </c>
      <c r="I1502" s="11">
        <v>59</v>
      </c>
      <c r="J1502" s="11">
        <v>39</v>
      </c>
      <c r="K1502" s="11">
        <v>361</v>
      </c>
      <c r="L1502" s="11">
        <v>3.6281829875114699E-3</v>
      </c>
      <c r="M1502" s="11">
        <f t="shared" si="5"/>
        <v>0.36280900258270815</v>
      </c>
      <c r="N1502" s="11">
        <v>0.66101694915254205</v>
      </c>
      <c r="O1502" s="11">
        <v>2.2199560313417601E-2</v>
      </c>
      <c r="P1502" s="11">
        <v>3.8851351351351399E-2</v>
      </c>
      <c r="Q1502" s="11">
        <v>8.1632653061224497E-2</v>
      </c>
      <c r="R1502" s="11">
        <v>5.6201550387596902E-2</v>
      </c>
      <c r="S1502" s="10" t="s">
        <v>84</v>
      </c>
      <c r="T1502" s="10" t="s">
        <v>84</v>
      </c>
      <c r="U1502" s="10"/>
      <c r="V1502" s="10"/>
      <c r="W1502" s="10"/>
      <c r="X1502" s="10"/>
      <c r="Y1502" s="10"/>
      <c r="Z1502" s="10"/>
      <c r="AA1502" s="10"/>
    </row>
    <row r="1503" spans="1:27" ht="12.5" x14ac:dyDescent="0.25">
      <c r="A1503" s="10" t="s">
        <v>103</v>
      </c>
      <c r="B1503" s="10" t="s">
        <v>1321</v>
      </c>
      <c r="C1503" s="10" t="s">
        <v>76</v>
      </c>
      <c r="D1503" s="11">
        <v>2024</v>
      </c>
      <c r="E1503" s="10" t="s">
        <v>124</v>
      </c>
      <c r="F1503" s="10" t="s">
        <v>83</v>
      </c>
      <c r="G1503" s="10" t="s">
        <v>84</v>
      </c>
      <c r="H1503" s="11">
        <v>29459</v>
      </c>
      <c r="I1503" s="11">
        <v>105</v>
      </c>
      <c r="J1503" s="11">
        <v>73</v>
      </c>
      <c r="K1503" s="11">
        <v>3805</v>
      </c>
      <c r="L1503" s="11">
        <v>3.5642253608778201E-3</v>
      </c>
      <c r="M1503" s="11">
        <f t="shared" si="5"/>
        <v>0.35642757731083879</v>
      </c>
      <c r="N1503" s="11">
        <v>0.69523809523809499</v>
      </c>
      <c r="O1503" s="11">
        <v>0.12916073807752501</v>
      </c>
      <c r="P1503" s="11">
        <v>3.7162162162162199E-2</v>
      </c>
      <c r="Q1503" s="11">
        <v>4.3478260869565202E-2</v>
      </c>
      <c r="R1503" s="11">
        <v>1.7897091722595099E-2</v>
      </c>
      <c r="S1503" s="10" t="s">
        <v>84</v>
      </c>
      <c r="T1503" s="10" t="s">
        <v>84</v>
      </c>
      <c r="U1503" s="10"/>
      <c r="V1503" s="10"/>
      <c r="W1503" s="10"/>
      <c r="X1503" s="10"/>
      <c r="Y1503" s="10"/>
      <c r="Z1503" s="10"/>
      <c r="AA1503" s="10"/>
    </row>
    <row r="1504" spans="1:27" ht="12.5" hidden="1" x14ac:dyDescent="0.25">
      <c r="A1504" s="10" t="s">
        <v>53</v>
      </c>
      <c r="B1504" s="10" t="s">
        <v>1786</v>
      </c>
      <c r="C1504" s="10" t="s">
        <v>191</v>
      </c>
      <c r="D1504" s="11">
        <v>2024</v>
      </c>
      <c r="E1504" s="10" t="s">
        <v>124</v>
      </c>
      <c r="F1504" s="10" t="s">
        <v>125</v>
      </c>
      <c r="G1504" s="10" t="s">
        <v>84</v>
      </c>
      <c r="H1504" s="12">
        <v>569.5</v>
      </c>
      <c r="I1504" s="11">
        <v>2</v>
      </c>
      <c r="J1504" s="11">
        <v>1</v>
      </c>
      <c r="K1504" s="11">
        <v>158</v>
      </c>
      <c r="L1504" s="11">
        <v>3.51185250219491E-3</v>
      </c>
      <c r="M1504" s="11">
        <f t="shared" si="5"/>
        <v>0.35118525021949076</v>
      </c>
      <c r="N1504" s="11">
        <v>0.5</v>
      </c>
      <c r="O1504" s="11">
        <v>0.27743634767339798</v>
      </c>
      <c r="P1504" s="11">
        <v>9.43627450980392E-2</v>
      </c>
      <c r="Q1504" s="11">
        <v>0.38709677419354799</v>
      </c>
      <c r="R1504" s="11">
        <v>8.9147286821705404E-2</v>
      </c>
      <c r="S1504" s="10" t="s">
        <v>84</v>
      </c>
      <c r="T1504" s="10" t="s">
        <v>84</v>
      </c>
      <c r="U1504" s="10"/>
      <c r="V1504" s="10"/>
      <c r="W1504" s="10"/>
      <c r="X1504" s="10"/>
      <c r="Y1504" s="10"/>
      <c r="Z1504" s="10"/>
      <c r="AA1504" s="10"/>
    </row>
    <row r="1505" spans="1:27" ht="12.5" hidden="1" x14ac:dyDescent="0.25">
      <c r="A1505" s="10" t="s">
        <v>77</v>
      </c>
      <c r="B1505" s="10" t="s">
        <v>1787</v>
      </c>
      <c r="C1505" s="10" t="s">
        <v>191</v>
      </c>
      <c r="D1505" s="11">
        <v>2024</v>
      </c>
      <c r="E1505" s="10" t="s">
        <v>124</v>
      </c>
      <c r="F1505" s="10" t="s">
        <v>125</v>
      </c>
      <c r="G1505" s="10" t="s">
        <v>84</v>
      </c>
      <c r="H1505" s="12">
        <v>570</v>
      </c>
      <c r="I1505" s="11">
        <v>2</v>
      </c>
      <c r="J1505" s="11">
        <v>2</v>
      </c>
      <c r="K1505" s="11">
        <v>667</v>
      </c>
      <c r="L1505" s="11">
        <v>3.5087719298245602E-3</v>
      </c>
      <c r="M1505" s="11">
        <f t="shared" si="5"/>
        <v>0.35087719298245612</v>
      </c>
      <c r="N1505" s="11">
        <v>1</v>
      </c>
      <c r="O1505" s="11">
        <v>1.17017543859649</v>
      </c>
      <c r="P1505" s="11">
        <v>9.1911764705882401E-2</v>
      </c>
      <c r="Q1505" s="11">
        <v>6.5217391304347797E-2</v>
      </c>
      <c r="R1505" s="11">
        <v>8.5271317829457405E-2</v>
      </c>
      <c r="S1505" s="10" t="s">
        <v>84</v>
      </c>
      <c r="T1505" s="10" t="s">
        <v>84</v>
      </c>
      <c r="U1505" s="10"/>
      <c r="V1505" s="10"/>
      <c r="W1505" s="10"/>
      <c r="X1505" s="10"/>
      <c r="Y1505" s="10"/>
      <c r="Z1505" s="10"/>
      <c r="AA1505" s="10"/>
    </row>
    <row r="1506" spans="1:27" ht="12.5" hidden="1" x14ac:dyDescent="0.25">
      <c r="A1506" s="10" t="s">
        <v>77</v>
      </c>
      <c r="B1506" s="10" t="s">
        <v>1788</v>
      </c>
      <c r="C1506" s="10" t="s">
        <v>191</v>
      </c>
      <c r="D1506" s="11">
        <v>2024</v>
      </c>
      <c r="E1506" s="10" t="s">
        <v>124</v>
      </c>
      <c r="F1506" s="10" t="s">
        <v>125</v>
      </c>
      <c r="G1506" s="10" t="s">
        <v>84</v>
      </c>
      <c r="H1506" s="12">
        <v>570</v>
      </c>
      <c r="I1506" s="11">
        <v>2</v>
      </c>
      <c r="J1506" s="11">
        <v>2</v>
      </c>
      <c r="K1506" s="11">
        <v>667</v>
      </c>
      <c r="L1506" s="11">
        <v>3.5087719298245602E-3</v>
      </c>
      <c r="M1506" s="11">
        <f t="shared" si="5"/>
        <v>0.35087719298245612</v>
      </c>
      <c r="N1506" s="11">
        <v>1</v>
      </c>
      <c r="O1506" s="11">
        <v>1.17017543859649</v>
      </c>
      <c r="P1506" s="11">
        <v>9.1911764705882401E-2</v>
      </c>
      <c r="Q1506" s="11">
        <v>6.5217391304347797E-2</v>
      </c>
      <c r="R1506" s="11">
        <v>8.5271317829457405E-2</v>
      </c>
      <c r="S1506" s="10" t="s">
        <v>84</v>
      </c>
      <c r="T1506" s="10" t="s">
        <v>84</v>
      </c>
      <c r="U1506" s="10"/>
      <c r="V1506" s="10"/>
      <c r="W1506" s="10"/>
      <c r="X1506" s="10"/>
      <c r="Y1506" s="10"/>
      <c r="Z1506" s="10"/>
      <c r="AA1506" s="10"/>
    </row>
    <row r="1507" spans="1:27" ht="12.5" x14ac:dyDescent="0.25">
      <c r="A1507" s="10" t="s">
        <v>80</v>
      </c>
      <c r="B1507" s="10" t="s">
        <v>1314</v>
      </c>
      <c r="C1507" s="10" t="s">
        <v>76</v>
      </c>
      <c r="D1507" s="11">
        <v>2024</v>
      </c>
      <c r="E1507" s="10" t="s">
        <v>81</v>
      </c>
      <c r="F1507" s="10" t="s">
        <v>83</v>
      </c>
      <c r="G1507" s="10" t="s">
        <v>84</v>
      </c>
      <c r="H1507" s="11">
        <v>15118</v>
      </c>
      <c r="I1507" s="11">
        <v>53</v>
      </c>
      <c r="J1507" s="11">
        <v>53</v>
      </c>
      <c r="K1507" s="11">
        <v>5063</v>
      </c>
      <c r="L1507" s="11">
        <v>3.5056774335795399E-3</v>
      </c>
      <c r="M1507" s="11">
        <f t="shared" si="5"/>
        <v>0.35057547294615693</v>
      </c>
      <c r="N1507" s="11">
        <v>1</v>
      </c>
      <c r="O1507" s="11">
        <v>0.33489141219270202</v>
      </c>
      <c r="P1507" s="11">
        <v>3.6317567567567599E-2</v>
      </c>
      <c r="Q1507" s="11">
        <v>0.1</v>
      </c>
      <c r="R1507" s="11">
        <v>5.4263565891472902E-2</v>
      </c>
      <c r="S1507" s="10" t="s">
        <v>84</v>
      </c>
      <c r="T1507" s="10" t="s">
        <v>84</v>
      </c>
      <c r="U1507" s="10"/>
      <c r="V1507" s="10"/>
      <c r="W1507" s="10"/>
      <c r="X1507" s="10"/>
      <c r="Y1507" s="10"/>
      <c r="Z1507" s="10"/>
      <c r="AA1507" s="10"/>
    </row>
    <row r="1508" spans="1:27" ht="12.5" x14ac:dyDescent="0.25">
      <c r="A1508" s="10" t="s">
        <v>53</v>
      </c>
      <c r="B1508" s="10" t="s">
        <v>1317</v>
      </c>
      <c r="C1508" s="10" t="s">
        <v>76</v>
      </c>
      <c r="D1508" s="11">
        <v>2024</v>
      </c>
      <c r="E1508" s="10" t="s">
        <v>81</v>
      </c>
      <c r="F1508" s="10" t="s">
        <v>83</v>
      </c>
      <c r="G1508" s="10" t="s">
        <v>84</v>
      </c>
      <c r="H1508" s="11">
        <v>13188</v>
      </c>
      <c r="I1508" s="11">
        <v>46</v>
      </c>
      <c r="J1508" s="11">
        <v>38</v>
      </c>
      <c r="K1508" s="11">
        <v>234</v>
      </c>
      <c r="L1508" s="11">
        <v>3.48815165876777E-3</v>
      </c>
      <c r="M1508" s="11">
        <f t="shared" si="5"/>
        <v>0.34880194115862906</v>
      </c>
      <c r="N1508" s="11">
        <v>0.82608695652173902</v>
      </c>
      <c r="O1508" s="11">
        <v>1.77440758293839E-2</v>
      </c>
      <c r="P1508" s="11">
        <v>3.5472972972972999E-2</v>
      </c>
      <c r="Q1508" s="11">
        <v>0.25</v>
      </c>
      <c r="R1508" s="11">
        <v>5.2325581395348798E-2</v>
      </c>
      <c r="S1508" s="10" t="s">
        <v>84</v>
      </c>
      <c r="T1508" s="10" t="s">
        <v>84</v>
      </c>
      <c r="U1508" s="10"/>
      <c r="V1508" s="10"/>
      <c r="W1508" s="10"/>
      <c r="X1508" s="10"/>
      <c r="Y1508" s="10"/>
      <c r="Z1508" s="10"/>
      <c r="AA1508" s="10"/>
    </row>
    <row r="1509" spans="1:27" ht="12.5" hidden="1" x14ac:dyDescent="0.25">
      <c r="A1509" s="10" t="s">
        <v>52</v>
      </c>
      <c r="B1509" s="10" t="s">
        <v>1789</v>
      </c>
      <c r="C1509" s="10" t="s">
        <v>191</v>
      </c>
      <c r="D1509" s="11">
        <v>2024</v>
      </c>
      <c r="E1509" s="10" t="s">
        <v>124</v>
      </c>
      <c r="F1509" s="10" t="s">
        <v>125</v>
      </c>
      <c r="G1509" s="10" t="s">
        <v>84</v>
      </c>
      <c r="H1509" s="12">
        <v>586.16666666666697</v>
      </c>
      <c r="I1509" s="11">
        <v>2</v>
      </c>
      <c r="J1509" s="11">
        <v>1</v>
      </c>
      <c r="K1509" s="11">
        <v>100</v>
      </c>
      <c r="L1509" s="11">
        <v>3.4119988626670501E-3</v>
      </c>
      <c r="M1509" s="11">
        <f t="shared" si="5"/>
        <v>0.34119988626670439</v>
      </c>
      <c r="N1509" s="11">
        <v>0.5</v>
      </c>
      <c r="O1509" s="11">
        <v>0.170599943133352</v>
      </c>
      <c r="P1509" s="11">
        <v>8.9460784313725505E-2</v>
      </c>
      <c r="Q1509" s="11">
        <v>7.1428571428571397E-2</v>
      </c>
      <c r="R1509" s="11">
        <v>8.3333333333333301E-2</v>
      </c>
      <c r="S1509" s="10" t="s">
        <v>84</v>
      </c>
      <c r="T1509" s="10" t="s">
        <v>84</v>
      </c>
      <c r="U1509" s="10"/>
      <c r="V1509" s="10"/>
      <c r="W1509" s="10"/>
      <c r="X1509" s="10"/>
      <c r="Y1509" s="10"/>
      <c r="Z1509" s="10"/>
      <c r="AA1509" s="10"/>
    </row>
    <row r="1510" spans="1:27" ht="12.5" hidden="1" x14ac:dyDescent="0.25">
      <c r="A1510" s="10" t="s">
        <v>104</v>
      </c>
      <c r="B1510" s="10" t="s">
        <v>1790</v>
      </c>
      <c r="C1510" s="10" t="s">
        <v>191</v>
      </c>
      <c r="D1510" s="11">
        <v>2024</v>
      </c>
      <c r="E1510" s="10" t="s">
        <v>124</v>
      </c>
      <c r="F1510" s="10" t="s">
        <v>83</v>
      </c>
      <c r="G1510" s="10" t="s">
        <v>84</v>
      </c>
      <c r="H1510" s="12">
        <v>213714</v>
      </c>
      <c r="I1510" s="11">
        <v>718</v>
      </c>
      <c r="J1510" s="11">
        <v>159</v>
      </c>
      <c r="K1510" s="11">
        <v>43821</v>
      </c>
      <c r="L1510" s="11">
        <v>3.3596249198696699E-3</v>
      </c>
      <c r="M1510" s="11">
        <f t="shared" si="5"/>
        <v>0.33596301599333689</v>
      </c>
      <c r="N1510" s="11">
        <v>0.221448467966574</v>
      </c>
      <c r="O1510" s="11">
        <v>0.20504474040892601</v>
      </c>
      <c r="P1510" s="11">
        <v>8.7009803921568596E-2</v>
      </c>
      <c r="Q1510" s="11">
        <v>0.14285714285714299</v>
      </c>
      <c r="R1510" s="11">
        <v>8.1395348837209294E-2</v>
      </c>
      <c r="S1510" s="10" t="s">
        <v>84</v>
      </c>
      <c r="T1510" s="10" t="s">
        <v>84</v>
      </c>
      <c r="U1510" s="10"/>
      <c r="V1510" s="10"/>
      <c r="W1510" s="10"/>
      <c r="X1510" s="10"/>
      <c r="Y1510" s="10"/>
      <c r="Z1510" s="10"/>
      <c r="AA1510" s="10"/>
    </row>
    <row r="1511" spans="1:27" ht="12.5" x14ac:dyDescent="0.25">
      <c r="A1511" s="10" t="s">
        <v>71</v>
      </c>
      <c r="B1511" s="10" t="s">
        <v>1319</v>
      </c>
      <c r="C1511" s="10" t="s">
        <v>76</v>
      </c>
      <c r="D1511" s="11">
        <v>2024</v>
      </c>
      <c r="E1511" s="10" t="s">
        <v>81</v>
      </c>
      <c r="F1511" s="10" t="s">
        <v>83</v>
      </c>
      <c r="G1511" s="10" t="s">
        <v>84</v>
      </c>
      <c r="H1511" s="11">
        <v>30234</v>
      </c>
      <c r="I1511" s="11">
        <v>98</v>
      </c>
      <c r="J1511" s="11">
        <v>22</v>
      </c>
      <c r="K1511" s="11">
        <v>49199</v>
      </c>
      <c r="L1511" s="11">
        <v>3.2413838724614698E-3</v>
      </c>
      <c r="M1511" s="11">
        <f t="shared" si="5"/>
        <v>0.32413838724614674</v>
      </c>
      <c r="N1511" s="11">
        <v>0.22448979591836701</v>
      </c>
      <c r="O1511" s="11">
        <v>1.62727393001257</v>
      </c>
      <c r="P1511" s="11">
        <v>3.4628378378378399E-2</v>
      </c>
      <c r="Q1511" s="11">
        <v>0.33333333333333298</v>
      </c>
      <c r="R1511" s="11">
        <v>5.0387596899224799E-2</v>
      </c>
      <c r="S1511" s="10" t="s">
        <v>84</v>
      </c>
      <c r="T1511" s="10" t="s">
        <v>84</v>
      </c>
      <c r="U1511" s="10"/>
      <c r="V1511" s="10"/>
      <c r="W1511" s="10"/>
      <c r="X1511" s="10"/>
      <c r="Y1511" s="10"/>
      <c r="Z1511" s="10"/>
      <c r="AA1511" s="10"/>
    </row>
    <row r="1512" spans="1:27" ht="12.5" hidden="1" x14ac:dyDescent="0.25">
      <c r="A1512" s="10" t="s">
        <v>53</v>
      </c>
      <c r="B1512" s="10" t="s">
        <v>1791</v>
      </c>
      <c r="C1512" s="10" t="s">
        <v>191</v>
      </c>
      <c r="D1512" s="11">
        <v>2024</v>
      </c>
      <c r="E1512" s="10" t="s">
        <v>124</v>
      </c>
      <c r="F1512" s="10" t="s">
        <v>125</v>
      </c>
      <c r="G1512" s="10" t="s">
        <v>84</v>
      </c>
      <c r="H1512" s="12">
        <v>1237</v>
      </c>
      <c r="I1512" s="11">
        <v>4</v>
      </c>
      <c r="J1512" s="11">
        <v>3</v>
      </c>
      <c r="K1512" s="11">
        <v>5</v>
      </c>
      <c r="L1512" s="11">
        <v>3.233194126364E-3</v>
      </c>
      <c r="M1512" s="11">
        <f t="shared" si="5"/>
        <v>0.32336297493936944</v>
      </c>
      <c r="N1512" s="11">
        <v>0.75</v>
      </c>
      <c r="O1512" s="11">
        <v>4.0414926579550002E-3</v>
      </c>
      <c r="P1512" s="11">
        <v>8.2107843137254902E-2</v>
      </c>
      <c r="Q1512" s="11">
        <v>0.35483870967741898</v>
      </c>
      <c r="R1512" s="11">
        <v>7.9457364341085301E-2</v>
      </c>
      <c r="S1512" s="10" t="s">
        <v>84</v>
      </c>
      <c r="T1512" s="10" t="s">
        <v>84</v>
      </c>
      <c r="U1512" s="10"/>
      <c r="V1512" s="10"/>
      <c r="W1512" s="10"/>
      <c r="X1512" s="10"/>
      <c r="Y1512" s="10"/>
      <c r="Z1512" s="10"/>
      <c r="AA1512" s="10"/>
    </row>
    <row r="1513" spans="1:27" ht="12.5" hidden="1" x14ac:dyDescent="0.25">
      <c r="A1513" s="10" t="s">
        <v>77</v>
      </c>
      <c r="B1513" s="10" t="s">
        <v>1792</v>
      </c>
      <c r="C1513" s="10" t="s">
        <v>191</v>
      </c>
      <c r="D1513" s="11">
        <v>2024</v>
      </c>
      <c r="E1513" s="10" t="s">
        <v>124</v>
      </c>
      <c r="F1513" s="10" t="s">
        <v>125</v>
      </c>
      <c r="G1513" s="10" t="s">
        <v>84</v>
      </c>
      <c r="H1513" s="12">
        <v>2200</v>
      </c>
      <c r="I1513" s="11">
        <v>7</v>
      </c>
      <c r="J1513" s="11">
        <v>7</v>
      </c>
      <c r="K1513" s="11">
        <v>7</v>
      </c>
      <c r="L1513" s="11">
        <v>3.1818181818181802E-3</v>
      </c>
      <c r="M1513" s="11">
        <f t="shared" si="5"/>
        <v>0.31818181818181818</v>
      </c>
      <c r="N1513" s="11">
        <v>1</v>
      </c>
      <c r="O1513" s="11">
        <v>3.1818181818181802E-3</v>
      </c>
      <c r="P1513" s="11">
        <v>8.0882352941176502E-2</v>
      </c>
      <c r="Q1513" s="11">
        <v>4.3478260869565202E-2</v>
      </c>
      <c r="R1513" s="11">
        <v>7.7519379844961198E-2</v>
      </c>
      <c r="S1513" s="10" t="s">
        <v>84</v>
      </c>
      <c r="T1513" s="10" t="s">
        <v>84</v>
      </c>
      <c r="U1513" s="10"/>
      <c r="V1513" s="10"/>
      <c r="W1513" s="10"/>
      <c r="X1513" s="10"/>
      <c r="Y1513" s="10"/>
      <c r="Z1513" s="10"/>
      <c r="AA1513" s="10"/>
    </row>
    <row r="1514" spans="1:27" ht="12.5" hidden="1" x14ac:dyDescent="0.25">
      <c r="A1514" s="10" t="s">
        <v>53</v>
      </c>
      <c r="B1514" s="10" t="s">
        <v>1793</v>
      </c>
      <c r="C1514" s="10" t="s">
        <v>191</v>
      </c>
      <c r="D1514" s="11">
        <v>2024</v>
      </c>
      <c r="E1514" s="10" t="s">
        <v>124</v>
      </c>
      <c r="F1514" s="10" t="s">
        <v>125</v>
      </c>
      <c r="G1514" s="10" t="s">
        <v>84</v>
      </c>
      <c r="H1514" s="12">
        <v>659</v>
      </c>
      <c r="I1514" s="11">
        <v>2</v>
      </c>
      <c r="J1514" s="11">
        <v>0</v>
      </c>
      <c r="K1514" s="11">
        <v>51</v>
      </c>
      <c r="L1514" s="11">
        <v>3.0349013657056099E-3</v>
      </c>
      <c r="M1514" s="11">
        <f t="shared" si="5"/>
        <v>0.30349013657056145</v>
      </c>
      <c r="N1514" s="11">
        <v>0</v>
      </c>
      <c r="O1514" s="11">
        <v>7.7389984825493197E-2</v>
      </c>
      <c r="P1514" s="11">
        <v>7.8431372549019607E-2</v>
      </c>
      <c r="Q1514" s="11">
        <v>0.32258064516128998</v>
      </c>
      <c r="R1514" s="11">
        <v>7.5581395348837205E-2</v>
      </c>
      <c r="S1514" s="10" t="s">
        <v>84</v>
      </c>
      <c r="T1514" s="10" t="s">
        <v>84</v>
      </c>
      <c r="U1514" s="10"/>
      <c r="V1514" s="10"/>
      <c r="W1514" s="10"/>
      <c r="X1514" s="10"/>
      <c r="Y1514" s="10"/>
      <c r="Z1514" s="10"/>
      <c r="AA1514" s="10"/>
    </row>
    <row r="1515" spans="1:27" ht="12.5" hidden="1" x14ac:dyDescent="0.25">
      <c r="A1515" s="10" t="s">
        <v>14</v>
      </c>
      <c r="B1515" s="10" t="s">
        <v>1794</v>
      </c>
      <c r="C1515" s="10" t="s">
        <v>191</v>
      </c>
      <c r="D1515" s="11">
        <v>2024</v>
      </c>
      <c r="E1515" s="10" t="s">
        <v>124</v>
      </c>
      <c r="F1515" s="10" t="s">
        <v>125</v>
      </c>
      <c r="G1515" s="10" t="s">
        <v>84</v>
      </c>
      <c r="H1515" s="12">
        <v>6286</v>
      </c>
      <c r="I1515" s="11">
        <v>19</v>
      </c>
      <c r="J1515" s="11">
        <v>112</v>
      </c>
      <c r="K1515" s="11">
        <v>0</v>
      </c>
      <c r="L1515" s="11">
        <v>3.0224696758799001E-3</v>
      </c>
      <c r="M1515" s="11">
        <f t="shared" si="5"/>
        <v>0.30225898822780783</v>
      </c>
      <c r="N1515" s="11">
        <v>5.8947368421052602</v>
      </c>
      <c r="O1515" s="11">
        <v>0</v>
      </c>
      <c r="P1515" s="11">
        <v>7.7205882352941194E-2</v>
      </c>
      <c r="Q1515" s="11">
        <v>2.1276595744680899E-2</v>
      </c>
      <c r="R1515" s="11">
        <v>7.3643410852713198E-2</v>
      </c>
      <c r="S1515" s="10" t="s">
        <v>84</v>
      </c>
      <c r="T1515" s="10" t="s">
        <v>84</v>
      </c>
      <c r="U1515" s="10"/>
      <c r="V1515" s="10"/>
      <c r="W1515" s="10"/>
      <c r="X1515" s="10"/>
      <c r="Y1515" s="10"/>
      <c r="Z1515" s="10"/>
      <c r="AA1515" s="10"/>
    </row>
    <row r="1516" spans="1:27" ht="12.5" hidden="1" x14ac:dyDescent="0.25">
      <c r="A1516" s="10" t="s">
        <v>53</v>
      </c>
      <c r="B1516" s="10" t="s">
        <v>1795</v>
      </c>
      <c r="C1516" s="10" t="s">
        <v>191</v>
      </c>
      <c r="D1516" s="11">
        <v>2024</v>
      </c>
      <c r="E1516" s="10" t="s">
        <v>124</v>
      </c>
      <c r="F1516" s="10" t="s">
        <v>125</v>
      </c>
      <c r="G1516" s="10" t="s">
        <v>84</v>
      </c>
      <c r="H1516" s="12">
        <v>12756</v>
      </c>
      <c r="I1516" s="11">
        <v>38</v>
      </c>
      <c r="J1516" s="11">
        <v>12</v>
      </c>
      <c r="K1516" s="11">
        <v>13250</v>
      </c>
      <c r="L1516" s="11">
        <v>2.9789902790843502E-3</v>
      </c>
      <c r="M1516" s="11">
        <f t="shared" si="5"/>
        <v>0.29789902790843525</v>
      </c>
      <c r="N1516" s="11">
        <v>0.31578947368421001</v>
      </c>
      <c r="O1516" s="11">
        <v>1.0387268736280999</v>
      </c>
      <c r="P1516" s="11">
        <v>7.4754901960784298E-2</v>
      </c>
      <c r="Q1516" s="11">
        <v>0.29032258064516098</v>
      </c>
      <c r="R1516" s="11">
        <v>7.1705426356589094E-2</v>
      </c>
      <c r="S1516" s="10" t="s">
        <v>84</v>
      </c>
      <c r="T1516" s="10" t="s">
        <v>84</v>
      </c>
      <c r="U1516" s="10"/>
      <c r="V1516" s="10"/>
      <c r="W1516" s="10"/>
      <c r="X1516" s="10"/>
      <c r="Y1516" s="10"/>
      <c r="Z1516" s="10"/>
      <c r="AA1516" s="10"/>
    </row>
    <row r="1517" spans="1:27" ht="12.5" x14ac:dyDescent="0.25">
      <c r="A1517" s="10" t="s">
        <v>92</v>
      </c>
      <c r="B1517" s="10" t="s">
        <v>1324</v>
      </c>
      <c r="C1517" s="10" t="s">
        <v>76</v>
      </c>
      <c r="D1517" s="11">
        <v>2024</v>
      </c>
      <c r="E1517" s="10" t="s">
        <v>124</v>
      </c>
      <c r="F1517" s="10" t="s">
        <v>125</v>
      </c>
      <c r="G1517" s="10" t="s">
        <v>84</v>
      </c>
      <c r="H1517" s="11">
        <v>10470</v>
      </c>
      <c r="I1517" s="11">
        <v>31</v>
      </c>
      <c r="J1517" s="11">
        <v>30</v>
      </c>
      <c r="K1517" s="11">
        <v>1074</v>
      </c>
      <c r="L1517" s="11">
        <v>2.9608404966571201E-3</v>
      </c>
      <c r="M1517" s="11">
        <f t="shared" si="5"/>
        <v>0.29608404966571156</v>
      </c>
      <c r="N1517" s="11">
        <v>0.967741935483871</v>
      </c>
      <c r="O1517" s="11">
        <v>0.102578796561605</v>
      </c>
      <c r="P1517" s="11">
        <v>3.37837837837838E-2</v>
      </c>
      <c r="Q1517" s="11">
        <v>5.5555555555555601E-2</v>
      </c>
      <c r="R1517" s="11">
        <v>1.5659955257270701E-2</v>
      </c>
      <c r="S1517" s="10" t="s">
        <v>84</v>
      </c>
      <c r="T1517" s="10" t="s">
        <v>84</v>
      </c>
      <c r="U1517" s="10"/>
      <c r="V1517" s="10"/>
      <c r="W1517" s="10"/>
      <c r="X1517" s="10"/>
      <c r="Y1517" s="10"/>
      <c r="Z1517" s="10"/>
      <c r="AA1517" s="10"/>
    </row>
    <row r="1518" spans="1:27" ht="12.5" x14ac:dyDescent="0.25">
      <c r="A1518" s="10" t="s">
        <v>53</v>
      </c>
      <c r="B1518" s="10" t="s">
        <v>1322</v>
      </c>
      <c r="C1518" s="10" t="s">
        <v>76</v>
      </c>
      <c r="D1518" s="11">
        <v>2024</v>
      </c>
      <c r="E1518" s="10" t="s">
        <v>81</v>
      </c>
      <c r="F1518" s="10" t="s">
        <v>83</v>
      </c>
      <c r="G1518" s="10" t="s">
        <v>84</v>
      </c>
      <c r="H1518" s="11">
        <v>7349</v>
      </c>
      <c r="I1518" s="11">
        <v>21</v>
      </c>
      <c r="J1518" s="11">
        <v>14</v>
      </c>
      <c r="K1518" s="11">
        <v>159</v>
      </c>
      <c r="L1518" s="11">
        <v>2.85756404005125E-3</v>
      </c>
      <c r="M1518" s="11">
        <f t="shared" si="5"/>
        <v>0.28575316369574089</v>
      </c>
      <c r="N1518" s="11">
        <v>0.66666666666666696</v>
      </c>
      <c r="O1518" s="11">
        <v>2.1635842017530899E-2</v>
      </c>
      <c r="P1518" s="11">
        <v>3.20945945945946E-2</v>
      </c>
      <c r="Q1518" s="11">
        <v>0.22500000000000001</v>
      </c>
      <c r="R1518" s="11">
        <v>4.8449612403100799E-2</v>
      </c>
      <c r="S1518" s="10" t="s">
        <v>84</v>
      </c>
      <c r="T1518" s="10" t="s">
        <v>84</v>
      </c>
      <c r="U1518" s="10"/>
      <c r="V1518" s="10"/>
      <c r="W1518" s="10"/>
      <c r="X1518" s="10"/>
      <c r="Y1518" s="10"/>
      <c r="Z1518" s="10"/>
      <c r="AA1518" s="10"/>
    </row>
    <row r="1519" spans="1:27" ht="12.5" hidden="1" x14ac:dyDescent="0.25">
      <c r="A1519" s="10" t="s">
        <v>13</v>
      </c>
      <c r="B1519" s="10" t="s">
        <v>1796</v>
      </c>
      <c r="C1519" s="10" t="s">
        <v>191</v>
      </c>
      <c r="D1519" s="11">
        <v>2024</v>
      </c>
      <c r="E1519" s="10" t="s">
        <v>124</v>
      </c>
      <c r="F1519" s="10" t="s">
        <v>125</v>
      </c>
      <c r="G1519" s="10" t="s">
        <v>84</v>
      </c>
      <c r="H1519" s="12">
        <v>1403</v>
      </c>
      <c r="I1519" s="11">
        <v>4</v>
      </c>
      <c r="J1519" s="11">
        <v>2</v>
      </c>
      <c r="K1519" s="11">
        <v>4</v>
      </c>
      <c r="L1519" s="11">
        <v>2.8512028512028501E-3</v>
      </c>
      <c r="M1519" s="11">
        <f t="shared" si="5"/>
        <v>0.2851033499643621</v>
      </c>
      <c r="N1519" s="11">
        <v>0.5</v>
      </c>
      <c r="O1519" s="11">
        <v>2.8512028512028501E-3</v>
      </c>
      <c r="P1519" s="11">
        <v>7.1078431372549003E-2</v>
      </c>
      <c r="Q1519" s="11">
        <v>3.4482758620689703E-2</v>
      </c>
      <c r="R1519" s="11">
        <v>6.9767441860465101E-2</v>
      </c>
      <c r="S1519" s="10" t="s">
        <v>84</v>
      </c>
      <c r="T1519" s="10" t="s">
        <v>84</v>
      </c>
      <c r="U1519" s="10"/>
      <c r="V1519" s="10"/>
      <c r="W1519" s="10"/>
      <c r="X1519" s="10"/>
      <c r="Y1519" s="10"/>
      <c r="Z1519" s="10"/>
      <c r="AA1519" s="10"/>
    </row>
    <row r="1520" spans="1:27" ht="12.5" hidden="1" x14ac:dyDescent="0.25">
      <c r="A1520" s="10" t="s">
        <v>53</v>
      </c>
      <c r="B1520" s="10" t="s">
        <v>1797</v>
      </c>
      <c r="C1520" s="10" t="s">
        <v>191</v>
      </c>
      <c r="D1520" s="11">
        <v>2024</v>
      </c>
      <c r="E1520" s="10" t="s">
        <v>124</v>
      </c>
      <c r="F1520" s="10" t="s">
        <v>125</v>
      </c>
      <c r="G1520" s="10" t="s">
        <v>84</v>
      </c>
      <c r="H1520" s="12">
        <v>2258</v>
      </c>
      <c r="I1520" s="11">
        <v>6</v>
      </c>
      <c r="J1520" s="11">
        <v>3</v>
      </c>
      <c r="K1520" s="11">
        <v>3126</v>
      </c>
      <c r="L1520" s="11">
        <v>2.65702265849878E-3</v>
      </c>
      <c r="M1520" s="11">
        <f t="shared" si="5"/>
        <v>0.26572187776793621</v>
      </c>
      <c r="N1520" s="11">
        <v>0.5</v>
      </c>
      <c r="O1520" s="11">
        <v>1.38430880507787</v>
      </c>
      <c r="P1520" s="11">
        <v>6.8627450980392204E-2</v>
      </c>
      <c r="Q1520" s="11">
        <v>0.25806451612903197</v>
      </c>
      <c r="R1520" s="11">
        <v>6.7829457364341095E-2</v>
      </c>
      <c r="S1520" s="10" t="s">
        <v>84</v>
      </c>
      <c r="T1520" s="10" t="s">
        <v>84</v>
      </c>
      <c r="U1520" s="10"/>
      <c r="V1520" s="10"/>
      <c r="W1520" s="10"/>
      <c r="X1520" s="10"/>
      <c r="Y1520" s="10"/>
      <c r="Z1520" s="10"/>
      <c r="AA1520" s="10"/>
    </row>
    <row r="1521" spans="1:27" ht="12.5" hidden="1" x14ac:dyDescent="0.25">
      <c r="A1521" s="10" t="s">
        <v>42</v>
      </c>
      <c r="B1521" s="10" t="s">
        <v>1798</v>
      </c>
      <c r="C1521" s="10" t="s">
        <v>191</v>
      </c>
      <c r="D1521" s="11">
        <v>2024</v>
      </c>
      <c r="E1521" s="10" t="s">
        <v>124</v>
      </c>
      <c r="F1521" s="10" t="s">
        <v>125</v>
      </c>
      <c r="G1521" s="10" t="s">
        <v>84</v>
      </c>
      <c r="H1521" s="12">
        <v>754.33333333333303</v>
      </c>
      <c r="I1521" s="11">
        <v>2</v>
      </c>
      <c r="J1521" s="11">
        <v>1</v>
      </c>
      <c r="K1521" s="11">
        <v>1349</v>
      </c>
      <c r="L1521" s="11">
        <v>2.6513477684489599E-3</v>
      </c>
      <c r="M1521" s="11">
        <f t="shared" si="5"/>
        <v>0.26513477684489628</v>
      </c>
      <c r="N1521" s="11">
        <v>0.5</v>
      </c>
      <c r="O1521" s="11">
        <v>1.7883340698188199</v>
      </c>
      <c r="P1521" s="11">
        <v>6.7401960784313694E-2</v>
      </c>
      <c r="Q1521" s="11">
        <v>9.5238095238095205E-2</v>
      </c>
      <c r="R1521" s="11">
        <v>6.5891472868217102E-2</v>
      </c>
      <c r="S1521" s="10" t="s">
        <v>84</v>
      </c>
      <c r="T1521" s="10" t="s">
        <v>84</v>
      </c>
      <c r="U1521" s="10"/>
      <c r="V1521" s="10"/>
      <c r="W1521" s="10"/>
      <c r="X1521" s="10"/>
      <c r="Y1521" s="10"/>
      <c r="Z1521" s="10"/>
      <c r="AA1521" s="10"/>
    </row>
    <row r="1522" spans="1:27" ht="12.5" x14ac:dyDescent="0.25">
      <c r="A1522" s="10" t="s">
        <v>53</v>
      </c>
      <c r="B1522" s="10" t="s">
        <v>1326</v>
      </c>
      <c r="C1522" s="10" t="s">
        <v>76</v>
      </c>
      <c r="D1522" s="11">
        <v>2024</v>
      </c>
      <c r="E1522" s="10" t="s">
        <v>124</v>
      </c>
      <c r="F1522" s="10" t="s">
        <v>125</v>
      </c>
      <c r="G1522" s="10" t="s">
        <v>84</v>
      </c>
      <c r="H1522" s="11">
        <v>1156</v>
      </c>
      <c r="I1522" s="11">
        <v>3</v>
      </c>
      <c r="J1522" s="11">
        <v>2</v>
      </c>
      <c r="K1522" s="11">
        <v>240</v>
      </c>
      <c r="L1522" s="11">
        <v>2.5960914401096098E-3</v>
      </c>
      <c r="M1522" s="11">
        <f t="shared" si="5"/>
        <v>0.25951557093425603</v>
      </c>
      <c r="N1522" s="11">
        <v>0.66666666666666696</v>
      </c>
      <c r="O1522" s="11">
        <v>0.20768731520876901</v>
      </c>
      <c r="P1522" s="11">
        <v>2.95608108108108E-2</v>
      </c>
      <c r="Q1522" s="11">
        <v>0.2</v>
      </c>
      <c r="R1522" s="11">
        <v>1.34228187919463E-2</v>
      </c>
      <c r="S1522" s="10" t="s">
        <v>84</v>
      </c>
      <c r="T1522" s="10" t="s">
        <v>84</v>
      </c>
      <c r="U1522" s="10"/>
      <c r="V1522" s="10"/>
      <c r="W1522" s="10"/>
      <c r="X1522" s="10"/>
      <c r="Y1522" s="10"/>
      <c r="Z1522" s="10"/>
      <c r="AA1522" s="10"/>
    </row>
    <row r="1523" spans="1:27" ht="12.5" hidden="1" x14ac:dyDescent="0.25">
      <c r="A1523" s="10" t="s">
        <v>14</v>
      </c>
      <c r="B1523" s="10" t="s">
        <v>1799</v>
      </c>
      <c r="C1523" s="10" t="s">
        <v>191</v>
      </c>
      <c r="D1523" s="11">
        <v>2024</v>
      </c>
      <c r="E1523" s="10" t="s">
        <v>124</v>
      </c>
      <c r="F1523" s="10" t="s">
        <v>125</v>
      </c>
      <c r="G1523" s="10" t="s">
        <v>84</v>
      </c>
      <c r="H1523" s="12">
        <v>2315</v>
      </c>
      <c r="I1523" s="11">
        <v>6</v>
      </c>
      <c r="J1523" s="11">
        <v>2</v>
      </c>
      <c r="K1523" s="11">
        <v>16</v>
      </c>
      <c r="L1523" s="11">
        <v>2.5913262551736501E-3</v>
      </c>
      <c r="M1523" s="11">
        <f t="shared" si="5"/>
        <v>0.25917926565874733</v>
      </c>
      <c r="N1523" s="11">
        <v>0.33333333333333298</v>
      </c>
      <c r="O1523" s="11">
        <v>6.9102033471297496E-3</v>
      </c>
      <c r="P1523" s="11">
        <v>6.6176470588235295E-2</v>
      </c>
      <c r="Q1523" s="11">
        <v>0</v>
      </c>
      <c r="R1523" s="11">
        <v>6.3953488372092998E-2</v>
      </c>
      <c r="S1523" s="10" t="s">
        <v>84</v>
      </c>
      <c r="T1523" s="10" t="s">
        <v>84</v>
      </c>
      <c r="U1523" s="10"/>
      <c r="V1523" s="10"/>
      <c r="W1523" s="10"/>
      <c r="X1523" s="10"/>
      <c r="Y1523" s="10"/>
      <c r="Z1523" s="10"/>
      <c r="AA1523" s="10"/>
    </row>
    <row r="1524" spans="1:27" ht="12.5" hidden="1" x14ac:dyDescent="0.25">
      <c r="A1524" s="10" t="s">
        <v>53</v>
      </c>
      <c r="B1524" s="10" t="s">
        <v>1800</v>
      </c>
      <c r="C1524" s="10" t="s">
        <v>191</v>
      </c>
      <c r="D1524" s="11">
        <v>2024</v>
      </c>
      <c r="E1524" s="10" t="s">
        <v>124</v>
      </c>
      <c r="F1524" s="10" t="s">
        <v>125</v>
      </c>
      <c r="G1524" s="10" t="s">
        <v>84</v>
      </c>
      <c r="H1524" s="12">
        <v>786.66666666666697</v>
      </c>
      <c r="I1524" s="11">
        <v>2</v>
      </c>
      <c r="J1524" s="11">
        <v>1</v>
      </c>
      <c r="K1524" s="11">
        <v>734</v>
      </c>
      <c r="L1524" s="11">
        <v>2.5423728813559299E-3</v>
      </c>
      <c r="M1524" s="11">
        <f t="shared" si="5"/>
        <v>0.2542372881355931</v>
      </c>
      <c r="N1524" s="11">
        <v>0.5</v>
      </c>
      <c r="O1524" s="11">
        <v>0.93305084745762701</v>
      </c>
      <c r="P1524" s="11">
        <v>6.4950980392156896E-2</v>
      </c>
      <c r="Q1524" s="11">
        <v>0.225806451612903</v>
      </c>
      <c r="R1524" s="11">
        <v>6.2015503875968998E-2</v>
      </c>
      <c r="S1524" s="10" t="s">
        <v>84</v>
      </c>
      <c r="T1524" s="10" t="s">
        <v>84</v>
      </c>
      <c r="U1524" s="10"/>
      <c r="V1524" s="10"/>
      <c r="W1524" s="10"/>
      <c r="X1524" s="10"/>
      <c r="Y1524" s="10"/>
      <c r="Z1524" s="10"/>
      <c r="AA1524" s="10"/>
    </row>
    <row r="1525" spans="1:27" ht="12.5" x14ac:dyDescent="0.25">
      <c r="A1525" s="10" t="s">
        <v>72</v>
      </c>
      <c r="B1525" s="10" t="s">
        <v>1325</v>
      </c>
      <c r="C1525" s="10" t="s">
        <v>76</v>
      </c>
      <c r="D1525" s="11">
        <v>2024</v>
      </c>
      <c r="E1525" s="10" t="s">
        <v>81</v>
      </c>
      <c r="F1525" s="10" t="s">
        <v>83</v>
      </c>
      <c r="G1525" s="10" t="s">
        <v>84</v>
      </c>
      <c r="H1525" s="11">
        <v>1195</v>
      </c>
      <c r="I1525" s="11">
        <v>3</v>
      </c>
      <c r="J1525" s="11">
        <v>3</v>
      </c>
      <c r="K1525" s="11">
        <v>771</v>
      </c>
      <c r="L1525" s="11">
        <v>2.5111607142857101E-3</v>
      </c>
      <c r="M1525" s="11">
        <f t="shared" si="5"/>
        <v>0.2510460251046025</v>
      </c>
      <c r="N1525" s="11">
        <v>1</v>
      </c>
      <c r="O1525" s="11">
        <v>0.64536830357142805</v>
      </c>
      <c r="P1525" s="11">
        <v>2.87162162162162E-2</v>
      </c>
      <c r="Q1525" s="11">
        <v>0</v>
      </c>
      <c r="R1525" s="11">
        <v>4.6511627906976702E-2</v>
      </c>
      <c r="S1525" s="10" t="s">
        <v>84</v>
      </c>
      <c r="T1525" s="10" t="s">
        <v>84</v>
      </c>
      <c r="U1525" s="10"/>
      <c r="V1525" s="10"/>
      <c r="W1525" s="10"/>
      <c r="X1525" s="10"/>
      <c r="Y1525" s="10"/>
      <c r="Z1525" s="10"/>
      <c r="AA1525" s="10"/>
    </row>
    <row r="1526" spans="1:27" ht="12.5" x14ac:dyDescent="0.25">
      <c r="A1526" s="10" t="s">
        <v>91</v>
      </c>
      <c r="B1526" s="10" t="s">
        <v>1327</v>
      </c>
      <c r="C1526" s="10" t="s">
        <v>76</v>
      </c>
      <c r="D1526" s="11">
        <v>2024</v>
      </c>
      <c r="E1526" s="10" t="s">
        <v>81</v>
      </c>
      <c r="F1526" s="10" t="s">
        <v>83</v>
      </c>
      <c r="G1526" s="10" t="s">
        <v>84</v>
      </c>
      <c r="H1526" s="11">
        <v>1607</v>
      </c>
      <c r="I1526" s="11">
        <v>4</v>
      </c>
      <c r="J1526" s="11">
        <v>4</v>
      </c>
      <c r="K1526" s="11">
        <v>123</v>
      </c>
      <c r="L1526" s="11">
        <v>2.4898848428260198E-3</v>
      </c>
      <c r="M1526" s="11">
        <f t="shared" si="5"/>
        <v>0.24891101431238333</v>
      </c>
      <c r="N1526" s="11">
        <v>1</v>
      </c>
      <c r="O1526" s="11">
        <v>7.6563958916900099E-2</v>
      </c>
      <c r="P1526" s="11">
        <v>2.7871621621621601E-2</v>
      </c>
      <c r="Q1526" s="11">
        <v>0</v>
      </c>
      <c r="R1526" s="11">
        <v>4.4573643410852702E-2</v>
      </c>
      <c r="S1526" s="10" t="s">
        <v>84</v>
      </c>
      <c r="T1526" s="10" t="s">
        <v>84</v>
      </c>
      <c r="U1526" s="10"/>
      <c r="V1526" s="10"/>
      <c r="W1526" s="10"/>
      <c r="X1526" s="10"/>
      <c r="Y1526" s="10"/>
      <c r="Z1526" s="10"/>
      <c r="AA1526" s="10"/>
    </row>
    <row r="1527" spans="1:27" ht="12.5" x14ac:dyDescent="0.25">
      <c r="A1527" s="10" t="s">
        <v>80</v>
      </c>
      <c r="B1527" s="10" t="s">
        <v>1328</v>
      </c>
      <c r="C1527" s="10" t="s">
        <v>76</v>
      </c>
      <c r="D1527" s="11">
        <v>2024</v>
      </c>
      <c r="E1527" s="10" t="s">
        <v>81</v>
      </c>
      <c r="F1527" s="10" t="s">
        <v>83</v>
      </c>
      <c r="G1527" s="10" t="s">
        <v>84</v>
      </c>
      <c r="H1527" s="11">
        <v>1610</v>
      </c>
      <c r="I1527" s="11">
        <v>4</v>
      </c>
      <c r="J1527" s="11">
        <v>1</v>
      </c>
      <c r="K1527" s="11">
        <v>1166</v>
      </c>
      <c r="L1527" s="11">
        <v>2.4847292680401701E-3</v>
      </c>
      <c r="M1527" s="11">
        <f t="shared" si="5"/>
        <v>0.2484472049689441</v>
      </c>
      <c r="N1527" s="11">
        <v>0.25</v>
      </c>
      <c r="O1527" s="11">
        <v>0.72429858163370997</v>
      </c>
      <c r="P1527" s="11">
        <v>2.7027027027027001E-2</v>
      </c>
      <c r="Q1527" s="11">
        <v>0</v>
      </c>
      <c r="R1527" s="11">
        <v>4.2635658914728702E-2</v>
      </c>
      <c r="S1527" s="10" t="s">
        <v>84</v>
      </c>
      <c r="T1527" s="10" t="s">
        <v>84</v>
      </c>
      <c r="U1527" s="10"/>
      <c r="V1527" s="10"/>
      <c r="W1527" s="10"/>
      <c r="X1527" s="10"/>
      <c r="Y1527" s="10"/>
      <c r="Z1527" s="10"/>
      <c r="AA1527" s="10"/>
    </row>
    <row r="1528" spans="1:27" ht="12.5" hidden="1" x14ac:dyDescent="0.25">
      <c r="A1528" s="10" t="s">
        <v>53</v>
      </c>
      <c r="B1528" s="10" t="s">
        <v>1801</v>
      </c>
      <c r="C1528" s="10" t="s">
        <v>191</v>
      </c>
      <c r="D1528" s="11">
        <v>2024</v>
      </c>
      <c r="E1528" s="10" t="s">
        <v>124</v>
      </c>
      <c r="F1528" s="10" t="s">
        <v>125</v>
      </c>
      <c r="G1528" s="10" t="s">
        <v>84</v>
      </c>
      <c r="H1528" s="12">
        <v>1273</v>
      </c>
      <c r="I1528" s="11">
        <v>3</v>
      </c>
      <c r="J1528" s="11">
        <v>3</v>
      </c>
      <c r="K1528" s="11">
        <v>190</v>
      </c>
      <c r="L1528" s="11">
        <v>2.3575638506876202E-3</v>
      </c>
      <c r="M1528" s="11">
        <f t="shared" si="5"/>
        <v>0.2356637863315004</v>
      </c>
      <c r="N1528" s="11">
        <v>1</v>
      </c>
      <c r="O1528" s="11">
        <v>0.14931237721021601</v>
      </c>
      <c r="P1528" s="11">
        <v>6.25E-2</v>
      </c>
      <c r="Q1528" s="11">
        <v>0.19354838709677399</v>
      </c>
      <c r="R1528" s="11">
        <v>6.0077519379844999E-2</v>
      </c>
      <c r="S1528" s="10" t="s">
        <v>84</v>
      </c>
      <c r="T1528" s="10" t="s">
        <v>84</v>
      </c>
      <c r="U1528" s="10"/>
      <c r="V1528" s="10"/>
      <c r="W1528" s="10"/>
      <c r="X1528" s="10"/>
      <c r="Y1528" s="10"/>
      <c r="Z1528" s="10"/>
      <c r="AA1528" s="10"/>
    </row>
    <row r="1529" spans="1:27" ht="12.5" hidden="1" x14ac:dyDescent="0.25">
      <c r="A1529" s="10" t="s">
        <v>34</v>
      </c>
      <c r="B1529" s="10" t="s">
        <v>1802</v>
      </c>
      <c r="C1529" s="10" t="s">
        <v>191</v>
      </c>
      <c r="D1529" s="11">
        <v>2024</v>
      </c>
      <c r="E1529" s="10" t="s">
        <v>81</v>
      </c>
      <c r="F1529" s="10" t="s">
        <v>125</v>
      </c>
      <c r="G1529" s="10" t="s">
        <v>84</v>
      </c>
      <c r="H1529" s="12">
        <v>433.16666666666703</v>
      </c>
      <c r="I1529" s="11">
        <v>1</v>
      </c>
      <c r="J1529" s="11">
        <v>1</v>
      </c>
      <c r="K1529" s="11">
        <v>4</v>
      </c>
      <c r="L1529" s="11">
        <v>2.3085802231627502E-3</v>
      </c>
      <c r="M1529" s="11">
        <f t="shared" si="5"/>
        <v>0.23085802231627528</v>
      </c>
      <c r="N1529" s="11">
        <v>1</v>
      </c>
      <c r="O1529" s="11">
        <v>9.2343208926510198E-3</v>
      </c>
      <c r="P1529" s="11">
        <v>6.1274509803921601E-2</v>
      </c>
      <c r="Q1529" s="11">
        <v>0.107142857142857</v>
      </c>
      <c r="R1529" s="11">
        <v>8.3333333333333301E-2</v>
      </c>
      <c r="S1529" s="10" t="s">
        <v>84</v>
      </c>
      <c r="T1529" s="10" t="s">
        <v>84</v>
      </c>
      <c r="U1529" s="10"/>
      <c r="V1529" s="10"/>
      <c r="W1529" s="10"/>
      <c r="X1529" s="10"/>
      <c r="Y1529" s="10"/>
      <c r="Z1529" s="10"/>
      <c r="AA1529" s="10"/>
    </row>
    <row r="1530" spans="1:27" ht="12.5" hidden="1" x14ac:dyDescent="0.25">
      <c r="A1530" s="10" t="s">
        <v>6</v>
      </c>
      <c r="B1530" s="10" t="s">
        <v>1803</v>
      </c>
      <c r="C1530" s="10" t="s">
        <v>191</v>
      </c>
      <c r="D1530" s="11">
        <v>2024</v>
      </c>
      <c r="E1530" s="10" t="s">
        <v>124</v>
      </c>
      <c r="F1530" s="10" t="s">
        <v>125</v>
      </c>
      <c r="G1530" s="10" t="s">
        <v>84</v>
      </c>
      <c r="H1530" s="12">
        <v>867.66666666666697</v>
      </c>
      <c r="I1530" s="11">
        <v>2</v>
      </c>
      <c r="J1530" s="11">
        <v>1</v>
      </c>
      <c r="K1530" s="11">
        <v>45</v>
      </c>
      <c r="L1530" s="11">
        <v>2.3050326546292699E-3</v>
      </c>
      <c r="M1530" s="11">
        <f t="shared" si="5"/>
        <v>0.23050326546292729</v>
      </c>
      <c r="N1530" s="11">
        <v>0.5</v>
      </c>
      <c r="O1530" s="11">
        <v>5.18632347291587E-2</v>
      </c>
      <c r="P1530" s="11">
        <v>6.0049019607843097E-2</v>
      </c>
      <c r="Q1530" s="11">
        <v>0</v>
      </c>
      <c r="R1530" s="11">
        <v>5.8139534883720902E-2</v>
      </c>
      <c r="S1530" s="10" t="s">
        <v>84</v>
      </c>
      <c r="T1530" s="10" t="s">
        <v>84</v>
      </c>
      <c r="U1530" s="10"/>
      <c r="V1530" s="10"/>
      <c r="W1530" s="10"/>
      <c r="X1530" s="10"/>
      <c r="Y1530" s="10"/>
      <c r="Z1530" s="10"/>
      <c r="AA1530" s="10"/>
    </row>
    <row r="1531" spans="1:27" ht="12.5" hidden="1" x14ac:dyDescent="0.25">
      <c r="A1531" s="10" t="s">
        <v>34</v>
      </c>
      <c r="B1531" s="10" t="s">
        <v>1804</v>
      </c>
      <c r="C1531" s="10" t="s">
        <v>191</v>
      </c>
      <c r="D1531" s="11">
        <v>2024</v>
      </c>
      <c r="E1531" s="10" t="s">
        <v>124</v>
      </c>
      <c r="F1531" s="10" t="s">
        <v>125</v>
      </c>
      <c r="G1531" s="10" t="s">
        <v>84</v>
      </c>
      <c r="H1531" s="12">
        <v>6522</v>
      </c>
      <c r="I1531" s="11">
        <v>15</v>
      </c>
      <c r="J1531" s="11">
        <v>15</v>
      </c>
      <c r="K1531" s="11">
        <v>7152</v>
      </c>
      <c r="L1531" s="11">
        <v>2.2999080036798501E-3</v>
      </c>
      <c r="M1531" s="11">
        <f t="shared" si="5"/>
        <v>0.22999080036798528</v>
      </c>
      <c r="N1531" s="11">
        <v>1</v>
      </c>
      <c r="O1531" s="11">
        <v>1.09659613615455</v>
      </c>
      <c r="P1531" s="11">
        <v>5.8823529411764698E-2</v>
      </c>
      <c r="Q1531" s="11">
        <v>7.1428571428571397E-2</v>
      </c>
      <c r="R1531" s="11">
        <v>5.6201550387596902E-2</v>
      </c>
      <c r="S1531" s="10" t="s">
        <v>84</v>
      </c>
      <c r="T1531" s="10" t="s">
        <v>84</v>
      </c>
      <c r="U1531" s="10"/>
      <c r="V1531" s="10"/>
      <c r="W1531" s="10"/>
      <c r="X1531" s="10"/>
      <c r="Y1531" s="10"/>
      <c r="Z1531" s="10"/>
      <c r="AA1531" s="10"/>
    </row>
    <row r="1532" spans="1:27" ht="12.5" x14ac:dyDescent="0.25">
      <c r="A1532" s="10" t="s">
        <v>34</v>
      </c>
      <c r="B1532" s="10" t="s">
        <v>1330</v>
      </c>
      <c r="C1532" s="10" t="s">
        <v>76</v>
      </c>
      <c r="D1532" s="11">
        <v>2024</v>
      </c>
      <c r="E1532" s="10" t="s">
        <v>81</v>
      </c>
      <c r="F1532" s="10" t="s">
        <v>83</v>
      </c>
      <c r="G1532" s="10" t="s">
        <v>84</v>
      </c>
      <c r="H1532" s="11">
        <v>26092</v>
      </c>
      <c r="I1532" s="11">
        <v>60</v>
      </c>
      <c r="J1532" s="11">
        <v>45</v>
      </c>
      <c r="K1532" s="11">
        <v>21304</v>
      </c>
      <c r="L1532" s="11">
        <v>2.29954073061519E-3</v>
      </c>
      <c r="M1532" s="11">
        <f t="shared" ref="M1532:M1572" si="6">(I1532/H1532)*100</f>
        <v>0.22995554192856049</v>
      </c>
      <c r="N1532" s="11">
        <v>0.75</v>
      </c>
      <c r="O1532" s="11">
        <v>0.81649026208376696</v>
      </c>
      <c r="P1532" s="11">
        <v>2.6182432432432401E-2</v>
      </c>
      <c r="Q1532" s="11">
        <v>6.1224489795918401E-2</v>
      </c>
      <c r="R1532" s="11">
        <v>4.0697674418604703E-2</v>
      </c>
      <c r="S1532" s="10" t="s">
        <v>84</v>
      </c>
      <c r="T1532" s="10" t="s">
        <v>84</v>
      </c>
      <c r="U1532" s="10"/>
      <c r="V1532" s="10"/>
      <c r="W1532" s="10"/>
      <c r="X1532" s="10"/>
      <c r="Y1532" s="10"/>
      <c r="Z1532" s="10"/>
      <c r="AA1532" s="10"/>
    </row>
    <row r="1533" spans="1:27" ht="12.5" x14ac:dyDescent="0.25">
      <c r="A1533" s="10" t="s">
        <v>53</v>
      </c>
      <c r="B1533" s="10" t="s">
        <v>1329</v>
      </c>
      <c r="C1533" s="10" t="s">
        <v>76</v>
      </c>
      <c r="D1533" s="11">
        <v>2024</v>
      </c>
      <c r="E1533" s="10" t="s">
        <v>124</v>
      </c>
      <c r="F1533" s="10" t="s">
        <v>125</v>
      </c>
      <c r="G1533" s="10" t="s">
        <v>84</v>
      </c>
      <c r="H1533" s="11">
        <v>890</v>
      </c>
      <c r="I1533" s="11">
        <v>2</v>
      </c>
      <c r="J1533" s="11">
        <v>1</v>
      </c>
      <c r="K1533" s="11">
        <v>516</v>
      </c>
      <c r="L1533" s="11">
        <v>2.2467702677401199E-3</v>
      </c>
      <c r="M1533" s="11">
        <f t="shared" si="6"/>
        <v>0.22471910112359553</v>
      </c>
      <c r="N1533" s="11">
        <v>0.5</v>
      </c>
      <c r="O1533" s="11">
        <v>0.57966672907695205</v>
      </c>
      <c r="P1533" s="11">
        <v>2.5337837837837801E-2</v>
      </c>
      <c r="Q1533" s="11">
        <v>0.17499999999999999</v>
      </c>
      <c r="R1533" s="11">
        <v>1.11856823266219E-2</v>
      </c>
      <c r="S1533" s="10" t="s">
        <v>84</v>
      </c>
      <c r="T1533" s="10" t="s">
        <v>84</v>
      </c>
      <c r="U1533" s="10"/>
      <c r="V1533" s="10"/>
      <c r="W1533" s="10"/>
      <c r="X1533" s="10"/>
      <c r="Y1533" s="10"/>
      <c r="Z1533" s="10"/>
      <c r="AA1533" s="10"/>
    </row>
    <row r="1534" spans="1:27" ht="12.5" hidden="1" x14ac:dyDescent="0.25">
      <c r="A1534" s="10" t="s">
        <v>53</v>
      </c>
      <c r="B1534" s="10" t="s">
        <v>1805</v>
      </c>
      <c r="C1534" s="10" t="s">
        <v>191</v>
      </c>
      <c r="D1534" s="11">
        <v>2024</v>
      </c>
      <c r="E1534" s="10" t="s">
        <v>124</v>
      </c>
      <c r="F1534" s="10" t="s">
        <v>125</v>
      </c>
      <c r="G1534" s="10" t="s">
        <v>84</v>
      </c>
      <c r="H1534" s="12">
        <v>2262</v>
      </c>
      <c r="I1534" s="11">
        <v>5</v>
      </c>
      <c r="J1534" s="11">
        <v>5</v>
      </c>
      <c r="K1534" s="11">
        <v>206</v>
      </c>
      <c r="L1534" s="11">
        <v>2.2104332449160002E-3</v>
      </c>
      <c r="M1534" s="11">
        <f t="shared" si="6"/>
        <v>0.22104332449160036</v>
      </c>
      <c r="N1534" s="11">
        <v>1</v>
      </c>
      <c r="O1534" s="11">
        <v>9.1069849690539301E-2</v>
      </c>
      <c r="P1534" s="11">
        <v>5.7598039215686299E-2</v>
      </c>
      <c r="Q1534" s="11">
        <v>0.16129032258064499</v>
      </c>
      <c r="R1534" s="11">
        <v>5.4263565891472902E-2</v>
      </c>
      <c r="S1534" s="10" t="s">
        <v>84</v>
      </c>
      <c r="T1534" s="10" t="s">
        <v>84</v>
      </c>
      <c r="U1534" s="10"/>
      <c r="V1534" s="10"/>
      <c r="W1534" s="10"/>
      <c r="X1534" s="10"/>
      <c r="Y1534" s="10"/>
      <c r="Z1534" s="10"/>
      <c r="AA1534" s="10"/>
    </row>
    <row r="1535" spans="1:27" ht="12.5" hidden="1" x14ac:dyDescent="0.25">
      <c r="A1535" s="10" t="s">
        <v>62</v>
      </c>
      <c r="B1535" s="10" t="s">
        <v>969</v>
      </c>
      <c r="C1535" s="10" t="s">
        <v>191</v>
      </c>
      <c r="D1535" s="11">
        <v>2024</v>
      </c>
      <c r="E1535" s="10" t="s">
        <v>81</v>
      </c>
      <c r="F1535" s="10" t="s">
        <v>83</v>
      </c>
      <c r="G1535" s="10" t="s">
        <v>84</v>
      </c>
      <c r="H1535" s="12">
        <v>1429</v>
      </c>
      <c r="I1535" s="11">
        <v>3</v>
      </c>
      <c r="J1535" s="11">
        <v>2</v>
      </c>
      <c r="K1535" s="11">
        <v>35</v>
      </c>
      <c r="L1535" s="11">
        <v>2.0993701889433199E-3</v>
      </c>
      <c r="M1535" s="11">
        <f t="shared" si="6"/>
        <v>0.2099370188943317</v>
      </c>
      <c r="N1535" s="11">
        <v>0.66666666666666696</v>
      </c>
      <c r="O1535" s="11">
        <v>2.4492652204338699E-2</v>
      </c>
      <c r="P1535" s="11">
        <v>5.6372549019607802E-2</v>
      </c>
      <c r="Q1535" s="11">
        <v>0.04</v>
      </c>
      <c r="R1535" s="11">
        <v>4.1666666666666699E-2</v>
      </c>
      <c r="S1535" s="10" t="s">
        <v>84</v>
      </c>
      <c r="T1535" s="10" t="s">
        <v>84</v>
      </c>
      <c r="U1535" s="10"/>
      <c r="V1535" s="10"/>
      <c r="W1535" s="10"/>
      <c r="X1535" s="10"/>
      <c r="Y1535" s="10"/>
      <c r="Z1535" s="10"/>
      <c r="AA1535" s="10"/>
    </row>
    <row r="1536" spans="1:27" ht="12.5" x14ac:dyDescent="0.25">
      <c r="A1536" s="10" t="s">
        <v>34</v>
      </c>
      <c r="B1536" s="10" t="s">
        <v>1333</v>
      </c>
      <c r="C1536" s="10" t="s">
        <v>76</v>
      </c>
      <c r="D1536" s="11">
        <v>2024</v>
      </c>
      <c r="E1536" s="10" t="s">
        <v>81</v>
      </c>
      <c r="F1536" s="10" t="s">
        <v>83</v>
      </c>
      <c r="G1536" s="10" t="s">
        <v>84</v>
      </c>
      <c r="H1536" s="11">
        <v>15317</v>
      </c>
      <c r="I1536" s="11">
        <v>32</v>
      </c>
      <c r="J1536" s="11">
        <v>17</v>
      </c>
      <c r="K1536" s="11">
        <v>2346</v>
      </c>
      <c r="L1536" s="11">
        <v>2.0891933211100999E-3</v>
      </c>
      <c r="M1536" s="11">
        <f t="shared" si="6"/>
        <v>0.2089181954690866</v>
      </c>
      <c r="N1536" s="11">
        <v>0.53125</v>
      </c>
      <c r="O1536" s="11">
        <v>0.15316398535388401</v>
      </c>
      <c r="P1536" s="11">
        <v>2.3648648648648601E-2</v>
      </c>
      <c r="Q1536" s="11">
        <v>4.08163265306122E-2</v>
      </c>
      <c r="R1536" s="11">
        <v>3.8759689922480599E-2</v>
      </c>
      <c r="S1536" s="10" t="s">
        <v>84</v>
      </c>
      <c r="T1536" s="10" t="s">
        <v>84</v>
      </c>
      <c r="U1536" s="10"/>
      <c r="V1536" s="10"/>
      <c r="W1536" s="10"/>
      <c r="X1536" s="10"/>
      <c r="Y1536" s="10"/>
      <c r="Z1536" s="10"/>
      <c r="AA1536" s="10"/>
    </row>
    <row r="1537" spans="1:27" ht="12.5" x14ac:dyDescent="0.25">
      <c r="A1537" s="10" t="s">
        <v>115</v>
      </c>
      <c r="B1537" s="10" t="s">
        <v>1314</v>
      </c>
      <c r="C1537" s="10" t="s">
        <v>76</v>
      </c>
      <c r="D1537" s="11">
        <v>2024</v>
      </c>
      <c r="E1537" s="10" t="s">
        <v>81</v>
      </c>
      <c r="F1537" s="10" t="s">
        <v>83</v>
      </c>
      <c r="G1537" s="10" t="s">
        <v>84</v>
      </c>
      <c r="H1537" s="11">
        <v>1469</v>
      </c>
      <c r="I1537" s="11">
        <v>3</v>
      </c>
      <c r="J1537" s="11">
        <v>3</v>
      </c>
      <c r="K1537" s="11">
        <v>547</v>
      </c>
      <c r="L1537" s="11">
        <v>2.0417422867513601E-3</v>
      </c>
      <c r="M1537" s="11">
        <f t="shared" si="6"/>
        <v>0.20422055820285909</v>
      </c>
      <c r="N1537" s="11">
        <v>1</v>
      </c>
      <c r="O1537" s="11">
        <v>0.372277676950998</v>
      </c>
      <c r="P1537" s="11">
        <v>2.2804054054054099E-2</v>
      </c>
      <c r="Q1537" s="11">
        <v>0.33333333333333298</v>
      </c>
      <c r="R1537" s="11">
        <v>3.6821705426356599E-2</v>
      </c>
      <c r="S1537" s="10" t="s">
        <v>84</v>
      </c>
      <c r="T1537" s="10" t="s">
        <v>84</v>
      </c>
      <c r="U1537" s="10"/>
      <c r="V1537" s="10"/>
      <c r="W1537" s="10"/>
      <c r="X1537" s="10"/>
      <c r="Y1537" s="10"/>
      <c r="Z1537" s="10"/>
      <c r="AA1537" s="10"/>
    </row>
    <row r="1538" spans="1:27" ht="12.5" hidden="1" x14ac:dyDescent="0.25">
      <c r="A1538" s="10" t="s">
        <v>77</v>
      </c>
      <c r="B1538" s="10" t="s">
        <v>1093</v>
      </c>
      <c r="C1538" s="10" t="s">
        <v>191</v>
      </c>
      <c r="D1538" s="11">
        <v>2024</v>
      </c>
      <c r="E1538" s="10" t="s">
        <v>81</v>
      </c>
      <c r="F1538" s="10" t="s">
        <v>83</v>
      </c>
      <c r="G1538" s="10" t="s">
        <v>84</v>
      </c>
      <c r="H1538" s="12">
        <v>8331</v>
      </c>
      <c r="I1538" s="11">
        <v>17</v>
      </c>
      <c r="J1538" s="11">
        <v>7</v>
      </c>
      <c r="K1538" s="11">
        <v>17</v>
      </c>
      <c r="L1538" s="11">
        <v>2.0405305379398598E-3</v>
      </c>
      <c r="M1538" s="11">
        <f t="shared" si="6"/>
        <v>0.20405713599807945</v>
      </c>
      <c r="N1538" s="11">
        <v>0.41176470588235298</v>
      </c>
      <c r="O1538" s="11">
        <v>2.0405305379398598E-3</v>
      </c>
      <c r="P1538" s="11">
        <v>5.3921568627450997E-2</v>
      </c>
      <c r="Q1538" s="11">
        <v>2.1739130434782601E-2</v>
      </c>
      <c r="R1538" s="11">
        <v>0</v>
      </c>
      <c r="S1538" s="10" t="s">
        <v>84</v>
      </c>
      <c r="T1538" s="10" t="s">
        <v>84</v>
      </c>
      <c r="U1538" s="10"/>
      <c r="V1538" s="10"/>
      <c r="W1538" s="10"/>
      <c r="X1538" s="10"/>
      <c r="Y1538" s="10"/>
      <c r="Z1538" s="10"/>
      <c r="AA1538" s="10"/>
    </row>
    <row r="1539" spans="1:27" ht="12.5" hidden="1" x14ac:dyDescent="0.25">
      <c r="A1539" s="10" t="s">
        <v>53</v>
      </c>
      <c r="B1539" s="10" t="s">
        <v>1806</v>
      </c>
      <c r="C1539" s="10" t="s">
        <v>191</v>
      </c>
      <c r="D1539" s="11">
        <v>2024</v>
      </c>
      <c r="E1539" s="10" t="s">
        <v>124</v>
      </c>
      <c r="F1539" s="10" t="s">
        <v>125</v>
      </c>
      <c r="G1539" s="10" t="s">
        <v>84</v>
      </c>
      <c r="H1539" s="12">
        <v>498.83333333333297</v>
      </c>
      <c r="I1539" s="11">
        <v>1</v>
      </c>
      <c r="J1539" s="11">
        <v>0</v>
      </c>
      <c r="K1539" s="11">
        <v>23</v>
      </c>
      <c r="L1539" s="11">
        <v>2.0046775810223902E-3</v>
      </c>
      <c r="M1539" s="11">
        <f t="shared" si="6"/>
        <v>0.20046775810223871</v>
      </c>
      <c r="N1539" s="11">
        <v>0</v>
      </c>
      <c r="O1539" s="11">
        <v>4.6107584363514899E-2</v>
      </c>
      <c r="P1539" s="11">
        <v>5.2696078431372501E-2</v>
      </c>
      <c r="Q1539" s="11">
        <v>0.12903225806451599</v>
      </c>
      <c r="R1539" s="11">
        <v>5.2325581395348798E-2</v>
      </c>
      <c r="S1539" s="10" t="s">
        <v>84</v>
      </c>
      <c r="T1539" s="10" t="s">
        <v>84</v>
      </c>
      <c r="U1539" s="10"/>
      <c r="V1539" s="10"/>
      <c r="W1539" s="10"/>
      <c r="X1539" s="10"/>
      <c r="Y1539" s="10"/>
      <c r="Z1539" s="10"/>
      <c r="AA1539" s="10"/>
    </row>
    <row r="1540" spans="1:27" ht="12.5" hidden="1" x14ac:dyDescent="0.25">
      <c r="A1540" s="10" t="s">
        <v>109</v>
      </c>
      <c r="B1540" s="10" t="s">
        <v>721</v>
      </c>
      <c r="C1540" s="10" t="s">
        <v>191</v>
      </c>
      <c r="D1540" s="11">
        <v>2024</v>
      </c>
      <c r="E1540" s="10" t="s">
        <v>124</v>
      </c>
      <c r="F1540" s="10" t="s">
        <v>83</v>
      </c>
      <c r="G1540" s="10" t="s">
        <v>84</v>
      </c>
      <c r="H1540" s="12">
        <v>9117</v>
      </c>
      <c r="I1540" s="11">
        <v>18</v>
      </c>
      <c r="J1540" s="11">
        <v>11</v>
      </c>
      <c r="K1540" s="11">
        <v>130</v>
      </c>
      <c r="L1540" s="11">
        <v>1.9742975705171598E-3</v>
      </c>
      <c r="M1540" s="11">
        <f t="shared" si="6"/>
        <v>0.19743336623889435</v>
      </c>
      <c r="N1540" s="11">
        <v>0.61111111111111105</v>
      </c>
      <c r="O1540" s="11">
        <v>1.4258815787068399E-2</v>
      </c>
      <c r="P1540" s="11">
        <v>5.1470588235294101E-2</v>
      </c>
      <c r="Q1540" s="11">
        <v>0</v>
      </c>
      <c r="R1540" s="11">
        <v>5.0387596899224799E-2</v>
      </c>
      <c r="S1540" s="10" t="s">
        <v>84</v>
      </c>
      <c r="T1540" s="10" t="s">
        <v>84</v>
      </c>
      <c r="U1540" s="10"/>
      <c r="V1540" s="10"/>
      <c r="W1540" s="10"/>
      <c r="X1540" s="10"/>
      <c r="Y1540" s="10"/>
      <c r="Z1540" s="10"/>
      <c r="AA1540" s="10"/>
    </row>
    <row r="1541" spans="1:27" ht="12.5" x14ac:dyDescent="0.25">
      <c r="A1541" s="10" t="s">
        <v>82</v>
      </c>
      <c r="B1541" s="10" t="s">
        <v>1331</v>
      </c>
      <c r="C1541" s="10" t="s">
        <v>76</v>
      </c>
      <c r="D1541" s="11">
        <v>2024</v>
      </c>
      <c r="E1541" s="10" t="s">
        <v>124</v>
      </c>
      <c r="F1541" s="10" t="s">
        <v>83</v>
      </c>
      <c r="G1541" s="10" t="s">
        <v>84</v>
      </c>
      <c r="H1541" s="11">
        <v>1052</v>
      </c>
      <c r="I1541" s="11">
        <v>2</v>
      </c>
      <c r="J1541" s="11">
        <v>2</v>
      </c>
      <c r="K1541" s="11">
        <v>440</v>
      </c>
      <c r="L1541" s="11">
        <v>1.9014419267944899E-3</v>
      </c>
      <c r="M1541" s="11">
        <f t="shared" si="6"/>
        <v>0.19011406844106463</v>
      </c>
      <c r="N1541" s="11">
        <v>1</v>
      </c>
      <c r="O1541" s="11">
        <v>0.41831722389478698</v>
      </c>
      <c r="P1541" s="11">
        <v>2.1959459459459499E-2</v>
      </c>
      <c r="Q1541" s="11">
        <v>0</v>
      </c>
      <c r="R1541" s="11">
        <v>8.9485458612975407E-3</v>
      </c>
      <c r="S1541" s="10" t="s">
        <v>84</v>
      </c>
      <c r="T1541" s="10" t="s">
        <v>84</v>
      </c>
      <c r="U1541" s="10"/>
      <c r="V1541" s="10"/>
      <c r="W1541" s="10"/>
      <c r="X1541" s="10"/>
      <c r="Y1541" s="10"/>
      <c r="Z1541" s="10"/>
      <c r="AA1541" s="10"/>
    </row>
    <row r="1542" spans="1:27" ht="12.5" hidden="1" x14ac:dyDescent="0.25">
      <c r="A1542" s="10" t="s">
        <v>29</v>
      </c>
      <c r="B1542" s="10" t="s">
        <v>1807</v>
      </c>
      <c r="C1542" s="10" t="s">
        <v>191</v>
      </c>
      <c r="D1542" s="11">
        <v>2024</v>
      </c>
      <c r="E1542" s="10" t="s">
        <v>124</v>
      </c>
      <c r="F1542" s="10" t="s">
        <v>125</v>
      </c>
      <c r="G1542" s="10" t="s">
        <v>84</v>
      </c>
      <c r="H1542" s="12">
        <v>1579</v>
      </c>
      <c r="I1542" s="11">
        <v>3</v>
      </c>
      <c r="J1542" s="11">
        <v>3</v>
      </c>
      <c r="K1542" s="11">
        <v>0</v>
      </c>
      <c r="L1542" s="11">
        <v>1.89953566905867E-3</v>
      </c>
      <c r="M1542" s="11">
        <f t="shared" si="6"/>
        <v>0.18999366687777072</v>
      </c>
      <c r="N1542" s="11">
        <v>1</v>
      </c>
      <c r="O1542" s="11">
        <v>0</v>
      </c>
      <c r="P1542" s="11">
        <v>5.0245098039215702E-2</v>
      </c>
      <c r="Q1542" s="11">
        <v>2.8169014084507001E-2</v>
      </c>
      <c r="R1542" s="11">
        <v>4.8449612403100799E-2</v>
      </c>
      <c r="S1542" s="10" t="s">
        <v>84</v>
      </c>
      <c r="T1542" s="10" t="s">
        <v>84</v>
      </c>
      <c r="U1542" s="10"/>
      <c r="V1542" s="10"/>
      <c r="W1542" s="10"/>
      <c r="X1542" s="10"/>
      <c r="Y1542" s="10"/>
      <c r="Z1542" s="10"/>
      <c r="AA1542" s="10"/>
    </row>
    <row r="1543" spans="1:27" ht="12.5" hidden="1" x14ac:dyDescent="0.25">
      <c r="A1543" s="10" t="s">
        <v>52</v>
      </c>
      <c r="B1543" s="10" t="s">
        <v>1808</v>
      </c>
      <c r="C1543" s="10" t="s">
        <v>191</v>
      </c>
      <c r="D1543" s="11">
        <v>2024</v>
      </c>
      <c r="E1543" s="10" t="s">
        <v>124</v>
      </c>
      <c r="F1543" s="10" t="s">
        <v>125</v>
      </c>
      <c r="G1543" s="10" t="s">
        <v>84</v>
      </c>
      <c r="H1543" s="12">
        <v>3184</v>
      </c>
      <c r="I1543" s="11">
        <v>6</v>
      </c>
      <c r="J1543" s="11">
        <v>6</v>
      </c>
      <c r="K1543" s="11">
        <v>356</v>
      </c>
      <c r="L1543" s="11">
        <v>1.8847180775875599E-3</v>
      </c>
      <c r="M1543" s="11">
        <f t="shared" si="6"/>
        <v>0.18844221105527637</v>
      </c>
      <c r="N1543" s="11">
        <v>1</v>
      </c>
      <c r="O1543" s="11">
        <v>0.111826605936862</v>
      </c>
      <c r="P1543" s="11">
        <v>4.9019607843137303E-2</v>
      </c>
      <c r="Q1543" s="11">
        <v>3.5714285714285698E-2</v>
      </c>
      <c r="R1543" s="11">
        <v>4.6511627906976702E-2</v>
      </c>
      <c r="S1543" s="10" t="s">
        <v>84</v>
      </c>
      <c r="T1543" s="10" t="s">
        <v>84</v>
      </c>
      <c r="U1543" s="10"/>
      <c r="V1543" s="10"/>
      <c r="W1543" s="10"/>
      <c r="X1543" s="10"/>
      <c r="Y1543" s="10"/>
      <c r="Z1543" s="10"/>
      <c r="AA1543" s="10"/>
    </row>
    <row r="1544" spans="1:27" ht="12.5" x14ac:dyDescent="0.25">
      <c r="A1544" s="10" t="s">
        <v>110</v>
      </c>
      <c r="B1544" s="10" t="s">
        <v>1542</v>
      </c>
      <c r="C1544" s="10" t="s">
        <v>76</v>
      </c>
      <c r="D1544" s="11">
        <v>2024</v>
      </c>
      <c r="E1544" s="10" t="s">
        <v>257</v>
      </c>
      <c r="F1544" s="10" t="s">
        <v>83</v>
      </c>
      <c r="G1544" s="10" t="s">
        <v>84</v>
      </c>
      <c r="H1544" s="11">
        <v>11918</v>
      </c>
      <c r="I1544" s="11">
        <v>22</v>
      </c>
      <c r="J1544" s="11">
        <v>18</v>
      </c>
      <c r="K1544" s="11">
        <v>10823</v>
      </c>
      <c r="L1544" s="11">
        <v>1.8459989371521299E-3</v>
      </c>
      <c r="M1544" s="11">
        <f t="shared" si="6"/>
        <v>0.18459473065950663</v>
      </c>
      <c r="N1544" s="11">
        <v>0.81818181818181801</v>
      </c>
      <c r="O1544" s="11">
        <v>0.90814756803624896</v>
      </c>
      <c r="P1544" s="11">
        <v>2.1114864864864899E-2</v>
      </c>
      <c r="Q1544" s="11">
        <v>3.03030303030303E-2</v>
      </c>
      <c r="R1544" s="11">
        <v>0</v>
      </c>
      <c r="S1544" s="10" t="s">
        <v>84</v>
      </c>
      <c r="T1544" s="10" t="s">
        <v>84</v>
      </c>
      <c r="U1544" s="10"/>
      <c r="V1544" s="10"/>
      <c r="W1544" s="10"/>
      <c r="X1544" s="10"/>
      <c r="Y1544" s="10"/>
      <c r="Z1544" s="10"/>
      <c r="AA1544" s="10"/>
    </row>
    <row r="1545" spans="1:27" ht="12.5" hidden="1" x14ac:dyDescent="0.25">
      <c r="A1545" s="10" t="s">
        <v>53</v>
      </c>
      <c r="B1545" s="10" t="s">
        <v>1326</v>
      </c>
      <c r="C1545" s="10" t="s">
        <v>191</v>
      </c>
      <c r="D1545" s="11">
        <v>2024</v>
      </c>
      <c r="E1545" s="10" t="s">
        <v>124</v>
      </c>
      <c r="F1545" s="10" t="s">
        <v>125</v>
      </c>
      <c r="G1545" s="10" t="s">
        <v>84</v>
      </c>
      <c r="H1545" s="12">
        <v>1110</v>
      </c>
      <c r="I1545" s="11">
        <v>2</v>
      </c>
      <c r="J1545" s="11">
        <v>2</v>
      </c>
      <c r="K1545" s="11">
        <v>212</v>
      </c>
      <c r="L1545" s="11">
        <v>1.80220770443794E-3</v>
      </c>
      <c r="M1545" s="11">
        <f t="shared" si="6"/>
        <v>0.18018018018018017</v>
      </c>
      <c r="N1545" s="11">
        <v>1</v>
      </c>
      <c r="O1545" s="11">
        <v>0.191034016670421</v>
      </c>
      <c r="P1545" s="11">
        <v>4.7794117647058799E-2</v>
      </c>
      <c r="Q1545" s="11">
        <v>9.6774193548387094E-2</v>
      </c>
      <c r="R1545" s="11">
        <v>4.4573643410852702E-2</v>
      </c>
      <c r="S1545" s="10" t="s">
        <v>84</v>
      </c>
      <c r="T1545" s="10" t="s">
        <v>84</v>
      </c>
      <c r="U1545" s="10"/>
      <c r="V1545" s="10"/>
      <c r="W1545" s="10"/>
      <c r="X1545" s="10"/>
      <c r="Y1545" s="10"/>
      <c r="Z1545" s="10"/>
      <c r="AA1545" s="10"/>
    </row>
    <row r="1546" spans="1:27" ht="12.5" x14ac:dyDescent="0.25">
      <c r="A1546" s="10" t="s">
        <v>34</v>
      </c>
      <c r="B1546" s="10" t="s">
        <v>1336</v>
      </c>
      <c r="C1546" s="10" t="s">
        <v>76</v>
      </c>
      <c r="D1546" s="11">
        <v>2024</v>
      </c>
      <c r="E1546" s="10" t="s">
        <v>81</v>
      </c>
      <c r="F1546" s="10" t="s">
        <v>83</v>
      </c>
      <c r="G1546" s="10" t="s">
        <v>84</v>
      </c>
      <c r="H1546" s="11">
        <v>30062</v>
      </c>
      <c r="I1546" s="11">
        <v>54</v>
      </c>
      <c r="J1546" s="11">
        <v>31</v>
      </c>
      <c r="K1546" s="11">
        <v>7863</v>
      </c>
      <c r="L1546" s="11">
        <v>1.79630758995398E-3</v>
      </c>
      <c r="M1546" s="11">
        <f t="shared" si="6"/>
        <v>0.17962876721442353</v>
      </c>
      <c r="N1546" s="11">
        <v>0.57407407407407396</v>
      </c>
      <c r="O1546" s="11">
        <v>0.26156234407052198</v>
      </c>
      <c r="P1546" s="11">
        <v>2.0270270270270299E-2</v>
      </c>
      <c r="Q1546" s="11">
        <v>2.04081632653061E-2</v>
      </c>
      <c r="R1546" s="11">
        <v>3.4883720930232599E-2</v>
      </c>
      <c r="S1546" s="10" t="s">
        <v>84</v>
      </c>
      <c r="T1546" s="10" t="s">
        <v>84</v>
      </c>
      <c r="U1546" s="10"/>
      <c r="V1546" s="10"/>
      <c r="W1546" s="10"/>
      <c r="X1546" s="10"/>
      <c r="Y1546" s="10"/>
      <c r="Z1546" s="10"/>
      <c r="AA1546" s="10"/>
    </row>
    <row r="1547" spans="1:27" ht="12.5" x14ac:dyDescent="0.25">
      <c r="A1547" s="10" t="s">
        <v>53</v>
      </c>
      <c r="B1547" s="10" t="s">
        <v>1338</v>
      </c>
      <c r="C1547" s="10" t="s">
        <v>76</v>
      </c>
      <c r="D1547" s="11">
        <v>2024</v>
      </c>
      <c r="E1547" s="10" t="s">
        <v>81</v>
      </c>
      <c r="F1547" s="10" t="s">
        <v>83</v>
      </c>
      <c r="G1547" s="10" t="s">
        <v>84</v>
      </c>
      <c r="H1547" s="11">
        <v>11739</v>
      </c>
      <c r="I1547" s="11">
        <v>21</v>
      </c>
      <c r="J1547" s="11">
        <v>15</v>
      </c>
      <c r="K1547" s="11">
        <v>320</v>
      </c>
      <c r="L1547" s="11">
        <v>1.7889722638308101E-3</v>
      </c>
      <c r="M1547" s="11">
        <f t="shared" si="6"/>
        <v>0.17889087656529518</v>
      </c>
      <c r="N1547" s="11">
        <v>0.71428571428571397</v>
      </c>
      <c r="O1547" s="11">
        <v>2.72605297345648E-2</v>
      </c>
      <c r="P1547" s="11">
        <v>1.9425675675675699E-2</v>
      </c>
      <c r="Q1547" s="11">
        <v>0.15</v>
      </c>
      <c r="R1547" s="11">
        <v>3.2945736434108502E-2</v>
      </c>
      <c r="S1547" s="10" t="s">
        <v>84</v>
      </c>
      <c r="T1547" s="10" t="s">
        <v>84</v>
      </c>
      <c r="U1547" s="10"/>
      <c r="V1547" s="10"/>
      <c r="W1547" s="10"/>
      <c r="X1547" s="10"/>
      <c r="Y1547" s="10"/>
      <c r="Z1547" s="10"/>
      <c r="AA1547" s="10"/>
    </row>
    <row r="1548" spans="1:27" ht="12.5" hidden="1" x14ac:dyDescent="0.25">
      <c r="A1548" s="10" t="s">
        <v>10</v>
      </c>
      <c r="B1548" s="10" t="s">
        <v>1809</v>
      </c>
      <c r="C1548" s="10" t="s">
        <v>191</v>
      </c>
      <c r="D1548" s="11">
        <v>2024</v>
      </c>
      <c r="E1548" s="10" t="s">
        <v>124</v>
      </c>
      <c r="F1548" s="10" t="s">
        <v>125</v>
      </c>
      <c r="G1548" s="10" t="s">
        <v>84</v>
      </c>
      <c r="H1548" s="12">
        <v>583.83333333333303</v>
      </c>
      <c r="I1548" s="11">
        <v>1</v>
      </c>
      <c r="J1548" s="11">
        <v>1</v>
      </c>
      <c r="K1548" s="11">
        <v>0</v>
      </c>
      <c r="L1548" s="11">
        <v>1.7128175849271999E-3</v>
      </c>
      <c r="M1548" s="11">
        <f t="shared" si="6"/>
        <v>0.17128175849272062</v>
      </c>
      <c r="N1548" s="11">
        <v>1</v>
      </c>
      <c r="O1548" s="11">
        <v>0</v>
      </c>
      <c r="P1548" s="11">
        <v>4.65686274509804E-2</v>
      </c>
      <c r="Q1548" s="11">
        <v>3.4482758620689703E-2</v>
      </c>
      <c r="R1548" s="11">
        <v>4.2635658914728702E-2</v>
      </c>
      <c r="S1548" s="10" t="s">
        <v>84</v>
      </c>
      <c r="T1548" s="10" t="s">
        <v>84</v>
      </c>
      <c r="U1548" s="10"/>
      <c r="V1548" s="10"/>
      <c r="W1548" s="10"/>
      <c r="X1548" s="10"/>
      <c r="Y1548" s="10"/>
      <c r="Z1548" s="10"/>
      <c r="AA1548" s="10"/>
    </row>
    <row r="1549" spans="1:27" ht="12.5" hidden="1" x14ac:dyDescent="0.25">
      <c r="A1549" s="10" t="s">
        <v>53</v>
      </c>
      <c r="B1549" s="10" t="s">
        <v>1810</v>
      </c>
      <c r="C1549" s="10" t="s">
        <v>191</v>
      </c>
      <c r="D1549" s="11">
        <v>2024</v>
      </c>
      <c r="E1549" s="10" t="s">
        <v>124</v>
      </c>
      <c r="F1549" s="10" t="s">
        <v>125</v>
      </c>
      <c r="G1549" s="10" t="s">
        <v>84</v>
      </c>
      <c r="H1549" s="12">
        <v>626.91666666666697</v>
      </c>
      <c r="I1549" s="11">
        <v>1</v>
      </c>
      <c r="J1549" s="11">
        <v>1</v>
      </c>
      <c r="K1549" s="11">
        <v>2</v>
      </c>
      <c r="L1549" s="11">
        <v>1.59510833444105E-3</v>
      </c>
      <c r="M1549" s="11">
        <f t="shared" si="6"/>
        <v>0.15951083344410466</v>
      </c>
      <c r="N1549" s="11">
        <v>1</v>
      </c>
      <c r="O1549" s="11">
        <v>3.1902166688820999E-3</v>
      </c>
      <c r="P1549" s="11">
        <v>4.4117647058823498E-2</v>
      </c>
      <c r="Q1549" s="11">
        <v>6.4516129032258104E-2</v>
      </c>
      <c r="R1549" s="11">
        <v>4.0697674418604703E-2</v>
      </c>
      <c r="S1549" s="10" t="s">
        <v>84</v>
      </c>
      <c r="T1549" s="10" t="s">
        <v>84</v>
      </c>
      <c r="U1549" s="10"/>
      <c r="V1549" s="10"/>
      <c r="W1549" s="10"/>
      <c r="X1549" s="10"/>
      <c r="Y1549" s="10"/>
      <c r="Z1549" s="10"/>
      <c r="AA1549" s="10"/>
    </row>
    <row r="1550" spans="1:27" ht="12.5" x14ac:dyDescent="0.25">
      <c r="A1550" s="10" t="s">
        <v>104</v>
      </c>
      <c r="B1550" s="10" t="s">
        <v>1341</v>
      </c>
      <c r="C1550" s="10" t="s">
        <v>76</v>
      </c>
      <c r="D1550" s="11">
        <v>2024</v>
      </c>
      <c r="E1550" s="10" t="s">
        <v>81</v>
      </c>
      <c r="F1550" s="10" t="s">
        <v>83</v>
      </c>
      <c r="G1550" s="10" t="s">
        <v>84</v>
      </c>
      <c r="H1550" s="11">
        <v>18957</v>
      </c>
      <c r="I1550" s="11">
        <v>30</v>
      </c>
      <c r="J1550" s="11">
        <v>32</v>
      </c>
      <c r="K1550" s="11">
        <v>304</v>
      </c>
      <c r="L1550" s="11">
        <v>1.5825567082820499E-3</v>
      </c>
      <c r="M1550" s="11">
        <f t="shared" si="6"/>
        <v>0.1582528881152081</v>
      </c>
      <c r="N1550" s="11">
        <v>1.06666666666667</v>
      </c>
      <c r="O1550" s="11">
        <v>1.60365746439247E-2</v>
      </c>
      <c r="P1550" s="11">
        <v>1.8581081081081099E-2</v>
      </c>
      <c r="Q1550" s="11">
        <v>3.4482758620689703E-2</v>
      </c>
      <c r="R1550" s="11">
        <v>3.1007751937984499E-2</v>
      </c>
      <c r="S1550" s="10" t="s">
        <v>84</v>
      </c>
      <c r="T1550" s="10" t="s">
        <v>84</v>
      </c>
      <c r="U1550" s="10"/>
      <c r="V1550" s="10"/>
      <c r="W1550" s="10"/>
      <c r="X1550" s="10"/>
      <c r="Y1550" s="10"/>
      <c r="Z1550" s="10"/>
      <c r="AA1550" s="10"/>
    </row>
    <row r="1551" spans="1:27" ht="12.5" x14ac:dyDescent="0.25">
      <c r="A1551" s="10" t="s">
        <v>86</v>
      </c>
      <c r="B1551" s="10" t="s">
        <v>1342</v>
      </c>
      <c r="C1551" s="10" t="s">
        <v>76</v>
      </c>
      <c r="D1551" s="11">
        <v>2024</v>
      </c>
      <c r="E1551" s="10" t="s">
        <v>81</v>
      </c>
      <c r="F1551" s="10" t="s">
        <v>83</v>
      </c>
      <c r="G1551" s="10" t="s">
        <v>84</v>
      </c>
      <c r="H1551" s="11">
        <v>21551</v>
      </c>
      <c r="I1551" s="11">
        <v>34</v>
      </c>
      <c r="J1551" s="11">
        <v>24</v>
      </c>
      <c r="K1551" s="11">
        <v>30175</v>
      </c>
      <c r="L1551" s="11">
        <v>1.57768961277001E-3</v>
      </c>
      <c r="M1551" s="11">
        <f t="shared" si="6"/>
        <v>0.15776530091411073</v>
      </c>
      <c r="N1551" s="11">
        <v>0.70588235294117696</v>
      </c>
      <c r="O1551" s="11">
        <v>1.4001995313333799</v>
      </c>
      <c r="P1551" s="11">
        <v>1.77364864864865E-2</v>
      </c>
      <c r="Q1551" s="11">
        <v>0</v>
      </c>
      <c r="R1551" s="11">
        <v>2.9069767441860499E-2</v>
      </c>
      <c r="S1551" s="10" t="s">
        <v>84</v>
      </c>
      <c r="T1551" s="10" t="s">
        <v>84</v>
      </c>
      <c r="U1551" s="10"/>
      <c r="V1551" s="10"/>
      <c r="W1551" s="10"/>
      <c r="X1551" s="10"/>
      <c r="Y1551" s="10"/>
      <c r="Z1551" s="10"/>
      <c r="AA1551" s="10"/>
    </row>
    <row r="1552" spans="1:27" ht="12.5" hidden="1" x14ac:dyDescent="0.25">
      <c r="A1552" s="10" t="s">
        <v>29</v>
      </c>
      <c r="B1552" s="10" t="s">
        <v>1811</v>
      </c>
      <c r="C1552" s="10" t="s">
        <v>191</v>
      </c>
      <c r="D1552" s="11">
        <v>2024</v>
      </c>
      <c r="E1552" s="10" t="s">
        <v>124</v>
      </c>
      <c r="F1552" s="10" t="s">
        <v>125</v>
      </c>
      <c r="G1552" s="10" t="s">
        <v>84</v>
      </c>
      <c r="H1552" s="12">
        <v>5714</v>
      </c>
      <c r="I1552" s="11">
        <v>9</v>
      </c>
      <c r="J1552" s="11">
        <v>7</v>
      </c>
      <c r="K1552" s="11">
        <v>42</v>
      </c>
      <c r="L1552" s="11">
        <v>1.5750098438115201E-3</v>
      </c>
      <c r="M1552" s="11">
        <f t="shared" si="6"/>
        <v>0.1575078753937697</v>
      </c>
      <c r="N1552" s="11">
        <v>0.77777777777777801</v>
      </c>
      <c r="O1552" s="11">
        <v>7.3500459377871096E-3</v>
      </c>
      <c r="P1552" s="11">
        <v>4.2892156862745098E-2</v>
      </c>
      <c r="Q1552" s="11">
        <v>1.4084507042253501E-2</v>
      </c>
      <c r="R1552" s="11">
        <v>3.8759689922480599E-2</v>
      </c>
      <c r="S1552" s="10" t="s">
        <v>84</v>
      </c>
      <c r="T1552" s="10" t="s">
        <v>84</v>
      </c>
      <c r="U1552" s="10"/>
      <c r="V1552" s="10"/>
      <c r="W1552" s="10"/>
      <c r="X1552" s="10"/>
      <c r="Y1552" s="10"/>
      <c r="Z1552" s="10"/>
      <c r="AA1552" s="10"/>
    </row>
    <row r="1553" spans="1:27" ht="12.5" hidden="1" x14ac:dyDescent="0.25">
      <c r="A1553" s="10" t="s">
        <v>42</v>
      </c>
      <c r="B1553" s="10" t="s">
        <v>1812</v>
      </c>
      <c r="C1553" s="10" t="s">
        <v>191</v>
      </c>
      <c r="D1553" s="11">
        <v>2024</v>
      </c>
      <c r="E1553" s="10" t="s">
        <v>124</v>
      </c>
      <c r="F1553" s="10" t="s">
        <v>125</v>
      </c>
      <c r="G1553" s="10" t="s">
        <v>84</v>
      </c>
      <c r="H1553" s="12">
        <v>3815</v>
      </c>
      <c r="I1553" s="11">
        <v>6</v>
      </c>
      <c r="J1553" s="11">
        <v>6</v>
      </c>
      <c r="K1553" s="11">
        <v>7011</v>
      </c>
      <c r="L1553" s="11">
        <v>1.5725674347493699E-3</v>
      </c>
      <c r="M1553" s="11">
        <f t="shared" si="6"/>
        <v>0.15727391874180865</v>
      </c>
      <c r="N1553" s="11">
        <v>1</v>
      </c>
      <c r="O1553" s="11">
        <v>1.83754504750464</v>
      </c>
      <c r="P1553" s="11">
        <v>4.1666666666666699E-2</v>
      </c>
      <c r="Q1553" s="11">
        <v>4.7619047619047603E-2</v>
      </c>
      <c r="R1553" s="11">
        <v>3.6821705426356599E-2</v>
      </c>
      <c r="S1553" s="10" t="s">
        <v>84</v>
      </c>
      <c r="T1553" s="10" t="s">
        <v>84</v>
      </c>
      <c r="U1553" s="10"/>
      <c r="V1553" s="10"/>
      <c r="W1553" s="10"/>
      <c r="X1553" s="10"/>
      <c r="Y1553" s="10"/>
      <c r="Z1553" s="10"/>
      <c r="AA1553" s="10"/>
    </row>
    <row r="1554" spans="1:27" ht="12.5" hidden="1" x14ac:dyDescent="0.25">
      <c r="A1554" s="10" t="s">
        <v>55</v>
      </c>
      <c r="B1554" s="10" t="s">
        <v>1813</v>
      </c>
      <c r="C1554" s="10" t="s">
        <v>191</v>
      </c>
      <c r="D1554" s="11">
        <v>2024</v>
      </c>
      <c r="E1554" s="10" t="s">
        <v>124</v>
      </c>
      <c r="F1554" s="10" t="s">
        <v>125</v>
      </c>
      <c r="G1554" s="10" t="s">
        <v>84</v>
      </c>
      <c r="H1554" s="12">
        <v>1378</v>
      </c>
      <c r="I1554" s="11">
        <v>2</v>
      </c>
      <c r="J1554" s="11">
        <v>0</v>
      </c>
      <c r="K1554" s="11">
        <v>21</v>
      </c>
      <c r="L1554" s="11">
        <v>1.45137880986938E-3</v>
      </c>
      <c r="M1554" s="11">
        <f t="shared" si="6"/>
        <v>0.14513788098693758</v>
      </c>
      <c r="N1554" s="11">
        <v>0</v>
      </c>
      <c r="O1554" s="11">
        <v>1.5239477503628401E-2</v>
      </c>
      <c r="P1554" s="11">
        <v>3.9215686274509803E-2</v>
      </c>
      <c r="Q1554" s="11">
        <v>3.7037037037037E-2</v>
      </c>
      <c r="R1554" s="11">
        <v>3.4883720930232599E-2</v>
      </c>
      <c r="S1554" s="10" t="s">
        <v>84</v>
      </c>
      <c r="T1554" s="10" t="s">
        <v>84</v>
      </c>
      <c r="U1554" s="10"/>
      <c r="V1554" s="10"/>
      <c r="W1554" s="10"/>
      <c r="X1554" s="10"/>
      <c r="Y1554" s="10"/>
      <c r="Z1554" s="10"/>
      <c r="AA1554" s="10"/>
    </row>
    <row r="1555" spans="1:27" ht="12.5" x14ac:dyDescent="0.25">
      <c r="A1555" s="10" t="s">
        <v>10</v>
      </c>
      <c r="B1555" s="10" t="s">
        <v>1343</v>
      </c>
      <c r="C1555" s="10" t="s">
        <v>76</v>
      </c>
      <c r="D1555" s="11">
        <v>2024</v>
      </c>
      <c r="E1555" s="10" t="s">
        <v>81</v>
      </c>
      <c r="F1555" s="10" t="s">
        <v>83</v>
      </c>
      <c r="G1555" s="10" t="s">
        <v>84</v>
      </c>
      <c r="H1555" s="11">
        <v>18961</v>
      </c>
      <c r="I1555" s="11">
        <v>27</v>
      </c>
      <c r="J1555" s="11">
        <v>5</v>
      </c>
      <c r="K1555" s="11">
        <v>19062</v>
      </c>
      <c r="L1555" s="11">
        <v>1.4239755287168399E-3</v>
      </c>
      <c r="M1555" s="11">
        <f t="shared" si="6"/>
        <v>0.14239755287168399</v>
      </c>
      <c r="N1555" s="11">
        <v>0.18518518518518501</v>
      </c>
      <c r="O1555" s="11">
        <v>1.0053267232740899</v>
      </c>
      <c r="P1555" s="11">
        <v>1.68918918918919E-2</v>
      </c>
      <c r="Q1555" s="11">
        <v>0</v>
      </c>
      <c r="R1555" s="11">
        <v>2.7131782945736399E-2</v>
      </c>
      <c r="S1555" s="10" t="s">
        <v>84</v>
      </c>
      <c r="T1555" s="10" t="s">
        <v>84</v>
      </c>
      <c r="U1555" s="10"/>
      <c r="V1555" s="10"/>
      <c r="W1555" s="10"/>
      <c r="X1555" s="10"/>
      <c r="Y1555" s="10"/>
      <c r="Z1555" s="10"/>
      <c r="AA1555" s="10"/>
    </row>
    <row r="1556" spans="1:27" ht="12.5" hidden="1" x14ac:dyDescent="0.25">
      <c r="A1556" s="10" t="s">
        <v>12</v>
      </c>
      <c r="B1556" s="10" t="s">
        <v>1814</v>
      </c>
      <c r="C1556" s="10" t="s">
        <v>191</v>
      </c>
      <c r="D1556" s="11">
        <v>2024</v>
      </c>
      <c r="E1556" s="10" t="s">
        <v>124</v>
      </c>
      <c r="F1556" s="10" t="s">
        <v>125</v>
      </c>
      <c r="G1556" s="10" t="s">
        <v>84</v>
      </c>
      <c r="H1556" s="12">
        <v>703.66666666666697</v>
      </c>
      <c r="I1556" s="11">
        <v>1</v>
      </c>
      <c r="J1556" s="11">
        <v>1</v>
      </c>
      <c r="K1556" s="11">
        <v>0</v>
      </c>
      <c r="L1556" s="11">
        <v>1.4211274277593599E-3</v>
      </c>
      <c r="M1556" s="11">
        <f t="shared" si="6"/>
        <v>0.14211274277593552</v>
      </c>
      <c r="N1556" s="11">
        <v>1</v>
      </c>
      <c r="O1556" s="11">
        <v>0</v>
      </c>
      <c r="P1556" s="11">
        <v>3.7990196078431397E-2</v>
      </c>
      <c r="Q1556" s="11">
        <v>6.3492063492063502E-2</v>
      </c>
      <c r="R1556" s="11">
        <v>3.2945736434108502E-2</v>
      </c>
      <c r="S1556" s="10" t="s">
        <v>84</v>
      </c>
      <c r="T1556" s="10" t="s">
        <v>84</v>
      </c>
      <c r="U1556" s="10"/>
      <c r="V1556" s="10"/>
      <c r="W1556" s="10"/>
      <c r="X1556" s="10"/>
      <c r="Y1556" s="10"/>
      <c r="Z1556" s="10"/>
      <c r="AA1556" s="10"/>
    </row>
    <row r="1557" spans="1:27" ht="12.5" x14ac:dyDescent="0.25">
      <c r="A1557" s="10" t="s">
        <v>12</v>
      </c>
      <c r="B1557" s="10" t="s">
        <v>1344</v>
      </c>
      <c r="C1557" s="10" t="s">
        <v>76</v>
      </c>
      <c r="D1557" s="11">
        <v>2024</v>
      </c>
      <c r="E1557" s="10" t="s">
        <v>81</v>
      </c>
      <c r="F1557" s="10" t="s">
        <v>83</v>
      </c>
      <c r="G1557" s="10" t="s">
        <v>84</v>
      </c>
      <c r="H1557" s="11">
        <v>3063</v>
      </c>
      <c r="I1557" s="11">
        <v>4</v>
      </c>
      <c r="J1557" s="11">
        <v>2</v>
      </c>
      <c r="K1557" s="11">
        <v>2061</v>
      </c>
      <c r="L1557" s="11">
        <v>1.3060158354420001E-3</v>
      </c>
      <c r="M1557" s="11">
        <f t="shared" si="6"/>
        <v>0.13059092393078681</v>
      </c>
      <c r="N1557" s="11">
        <v>0.5</v>
      </c>
      <c r="O1557" s="11">
        <v>0.67292465921149303</v>
      </c>
      <c r="P1557" s="11">
        <v>1.60472972972973E-2</v>
      </c>
      <c r="Q1557" s="11">
        <v>0</v>
      </c>
      <c r="R1557" s="11">
        <v>2.5193798449612399E-2</v>
      </c>
      <c r="S1557" s="10" t="s">
        <v>84</v>
      </c>
      <c r="T1557" s="10" t="s">
        <v>84</v>
      </c>
      <c r="U1557" s="10"/>
      <c r="V1557" s="10"/>
      <c r="W1557" s="10"/>
      <c r="X1557" s="10"/>
      <c r="Y1557" s="10"/>
      <c r="Z1557" s="10"/>
      <c r="AA1557" s="10"/>
    </row>
    <row r="1558" spans="1:27" ht="12.5" x14ac:dyDescent="0.25">
      <c r="A1558" s="10" t="s">
        <v>6</v>
      </c>
      <c r="B1558" s="10" t="s">
        <v>1345</v>
      </c>
      <c r="C1558" s="10" t="s">
        <v>76</v>
      </c>
      <c r="D1558" s="11">
        <v>2024</v>
      </c>
      <c r="E1558" s="10" t="s">
        <v>81</v>
      </c>
      <c r="F1558" s="10" t="s">
        <v>83</v>
      </c>
      <c r="G1558" s="10" t="s">
        <v>84</v>
      </c>
      <c r="H1558" s="11">
        <v>2389</v>
      </c>
      <c r="I1558" s="11">
        <v>3</v>
      </c>
      <c r="J1558" s="11">
        <v>0</v>
      </c>
      <c r="K1558" s="11">
        <v>1133</v>
      </c>
      <c r="L1558" s="11">
        <v>1.2559307842589999E-3</v>
      </c>
      <c r="M1558" s="11">
        <f t="shared" si="6"/>
        <v>0.12557555462536626</v>
      </c>
      <c r="N1558" s="11">
        <v>0</v>
      </c>
      <c r="O1558" s="11">
        <v>0.47432319285514901</v>
      </c>
      <c r="P1558" s="11">
        <v>1.52027027027027E-2</v>
      </c>
      <c r="Q1558" s="11">
        <v>0</v>
      </c>
      <c r="R1558" s="11">
        <v>2.32558139534884E-2</v>
      </c>
      <c r="S1558" s="10" t="s">
        <v>84</v>
      </c>
      <c r="T1558" s="10" t="s">
        <v>84</v>
      </c>
      <c r="U1558" s="10"/>
      <c r="V1558" s="10"/>
      <c r="W1558" s="10"/>
      <c r="X1558" s="10"/>
      <c r="Y1558" s="10"/>
      <c r="Z1558" s="10"/>
      <c r="AA1558" s="10"/>
    </row>
    <row r="1559" spans="1:27" ht="12.5" x14ac:dyDescent="0.25">
      <c r="A1559" s="10" t="s">
        <v>53</v>
      </c>
      <c r="B1559" s="10" t="s">
        <v>1346</v>
      </c>
      <c r="C1559" s="10" t="s">
        <v>76</v>
      </c>
      <c r="D1559" s="11">
        <v>2024</v>
      </c>
      <c r="E1559" s="10" t="s">
        <v>81</v>
      </c>
      <c r="F1559" s="10" t="s">
        <v>125</v>
      </c>
      <c r="G1559" s="10" t="s">
        <v>84</v>
      </c>
      <c r="H1559" s="11">
        <v>1721</v>
      </c>
      <c r="I1559" s="11">
        <v>2</v>
      </c>
      <c r="J1559" s="11">
        <v>1</v>
      </c>
      <c r="K1559" s="11">
        <v>13</v>
      </c>
      <c r="L1559" s="11">
        <v>1.16217132342259E-3</v>
      </c>
      <c r="M1559" s="11">
        <f t="shared" si="6"/>
        <v>0.11621150493898895</v>
      </c>
      <c r="N1559" s="11">
        <v>0.5</v>
      </c>
      <c r="O1559" s="11">
        <v>7.5541136022468603E-3</v>
      </c>
      <c r="P1559" s="11">
        <v>1.43581081081081E-2</v>
      </c>
      <c r="Q1559" s="11">
        <v>0.125</v>
      </c>
      <c r="R1559" s="11">
        <v>2.1317829457364299E-2</v>
      </c>
      <c r="S1559" s="10" t="s">
        <v>84</v>
      </c>
      <c r="T1559" s="10" t="s">
        <v>84</v>
      </c>
      <c r="U1559" s="10"/>
      <c r="V1559" s="10"/>
      <c r="W1559" s="10"/>
      <c r="X1559" s="10"/>
      <c r="Y1559" s="10"/>
      <c r="Z1559" s="10"/>
      <c r="AA1559" s="10"/>
    </row>
    <row r="1560" spans="1:27" ht="12.5" x14ac:dyDescent="0.25">
      <c r="A1560" s="10" t="s">
        <v>104</v>
      </c>
      <c r="B1560" s="10" t="s">
        <v>1347</v>
      </c>
      <c r="C1560" s="10" t="s">
        <v>76</v>
      </c>
      <c r="D1560" s="11">
        <v>2024</v>
      </c>
      <c r="E1560" s="10" t="s">
        <v>81</v>
      </c>
      <c r="F1560" s="10" t="s">
        <v>83</v>
      </c>
      <c r="G1560" s="10" t="s">
        <v>84</v>
      </c>
      <c r="H1560" s="11">
        <v>2632</v>
      </c>
      <c r="I1560" s="11">
        <v>3</v>
      </c>
      <c r="J1560" s="11">
        <v>2</v>
      </c>
      <c r="K1560" s="11">
        <v>68</v>
      </c>
      <c r="L1560" s="11">
        <v>1.1397815418711401E-3</v>
      </c>
      <c r="M1560" s="11">
        <f t="shared" si="6"/>
        <v>0.11398176291793312</v>
      </c>
      <c r="N1560" s="11">
        <v>0.66666666666666696</v>
      </c>
      <c r="O1560" s="11">
        <v>2.5835048282412499E-2</v>
      </c>
      <c r="P1560" s="11">
        <v>1.35135135135135E-2</v>
      </c>
      <c r="Q1560" s="11">
        <v>0</v>
      </c>
      <c r="R1560" s="11">
        <v>1.9379844961240299E-2</v>
      </c>
      <c r="S1560" s="10" t="s">
        <v>84</v>
      </c>
      <c r="T1560" s="10" t="s">
        <v>84</v>
      </c>
      <c r="U1560" s="10"/>
      <c r="V1560" s="10"/>
      <c r="W1560" s="10"/>
      <c r="X1560" s="10"/>
      <c r="Y1560" s="10"/>
      <c r="Z1560" s="10"/>
      <c r="AA1560" s="10"/>
    </row>
    <row r="1561" spans="1:27" ht="12.5" x14ac:dyDescent="0.25">
      <c r="A1561" s="10" t="s">
        <v>53</v>
      </c>
      <c r="B1561" s="10" t="s">
        <v>1313</v>
      </c>
      <c r="C1561" s="10" t="s">
        <v>76</v>
      </c>
      <c r="D1561" s="11">
        <v>2024</v>
      </c>
      <c r="E1561" s="10" t="s">
        <v>81</v>
      </c>
      <c r="F1561" s="10" t="s">
        <v>83</v>
      </c>
      <c r="G1561" s="10" t="s">
        <v>84</v>
      </c>
      <c r="H1561" s="11">
        <v>7239</v>
      </c>
      <c r="I1561" s="11">
        <v>8</v>
      </c>
      <c r="J1561" s="11">
        <v>7</v>
      </c>
      <c r="K1561" s="11">
        <v>32</v>
      </c>
      <c r="L1561" s="11">
        <v>1.10517590716522E-3</v>
      </c>
      <c r="M1561" s="11">
        <f t="shared" si="6"/>
        <v>0.11051250172675785</v>
      </c>
      <c r="N1561" s="11">
        <v>0.875</v>
      </c>
      <c r="O1561" s="11">
        <v>4.4207036286609E-3</v>
      </c>
      <c r="P1561" s="11">
        <v>1.2668918918918901E-2</v>
      </c>
      <c r="Q1561" s="11">
        <v>0.1</v>
      </c>
      <c r="R1561" s="11">
        <v>1.74418604651163E-2</v>
      </c>
      <c r="S1561" s="10" t="s">
        <v>84</v>
      </c>
      <c r="T1561" s="10" t="s">
        <v>84</v>
      </c>
      <c r="U1561" s="10"/>
      <c r="V1561" s="10"/>
      <c r="W1561" s="10"/>
      <c r="X1561" s="10"/>
      <c r="Y1561" s="10"/>
      <c r="Z1561" s="10"/>
      <c r="AA1561" s="10"/>
    </row>
    <row r="1562" spans="1:27" ht="12.5" hidden="1" x14ac:dyDescent="0.25">
      <c r="A1562" s="10" t="s">
        <v>42</v>
      </c>
      <c r="B1562" s="10" t="s">
        <v>1815</v>
      </c>
      <c r="C1562" s="10" t="s">
        <v>191</v>
      </c>
      <c r="D1562" s="11">
        <v>2024</v>
      </c>
      <c r="E1562" s="10" t="s">
        <v>124</v>
      </c>
      <c r="F1562" s="10" t="s">
        <v>125</v>
      </c>
      <c r="G1562" s="10" t="s">
        <v>84</v>
      </c>
      <c r="H1562" s="12">
        <v>2789</v>
      </c>
      <c r="I1562" s="11">
        <v>3</v>
      </c>
      <c r="J1562" s="11">
        <v>3</v>
      </c>
      <c r="K1562" s="11">
        <v>11</v>
      </c>
      <c r="L1562" s="11">
        <v>1.07581507934136E-3</v>
      </c>
      <c r="M1562" s="11">
        <f t="shared" si="6"/>
        <v>0.10756543564001435</v>
      </c>
      <c r="N1562" s="11">
        <v>1</v>
      </c>
      <c r="O1562" s="11">
        <v>3.9446552909183303E-3</v>
      </c>
      <c r="P1562" s="11">
        <v>3.18627450980392E-2</v>
      </c>
      <c r="Q1562" s="11">
        <v>0</v>
      </c>
      <c r="R1562" s="11">
        <v>3.1007751937984499E-2</v>
      </c>
      <c r="S1562" s="10" t="s">
        <v>84</v>
      </c>
      <c r="T1562" s="10" t="s">
        <v>84</v>
      </c>
      <c r="U1562" s="10"/>
      <c r="V1562" s="10"/>
      <c r="W1562" s="10"/>
      <c r="X1562" s="10"/>
      <c r="Y1562" s="10"/>
      <c r="Z1562" s="10"/>
      <c r="AA1562" s="10"/>
    </row>
    <row r="1563" spans="1:27" ht="12.5" x14ac:dyDescent="0.25">
      <c r="A1563" s="10" t="s">
        <v>115</v>
      </c>
      <c r="B1563" s="10" t="s">
        <v>1348</v>
      </c>
      <c r="C1563" s="10" t="s">
        <v>76</v>
      </c>
      <c r="D1563" s="11">
        <v>2024</v>
      </c>
      <c r="E1563" s="10" t="s">
        <v>81</v>
      </c>
      <c r="F1563" s="10" t="s">
        <v>83</v>
      </c>
      <c r="G1563" s="10" t="s">
        <v>84</v>
      </c>
      <c r="H1563" s="11">
        <v>7000</v>
      </c>
      <c r="I1563" s="11">
        <v>5</v>
      </c>
      <c r="J1563" s="11">
        <v>1</v>
      </c>
      <c r="K1563" s="11">
        <v>173</v>
      </c>
      <c r="L1563" s="11">
        <v>7.1433673833845297E-4</v>
      </c>
      <c r="M1563" s="11">
        <f t="shared" si="6"/>
        <v>7.1428571428571425E-2</v>
      </c>
      <c r="N1563" s="11">
        <v>0.2</v>
      </c>
      <c r="O1563" s="11">
        <v>2.4716051146510501E-2</v>
      </c>
      <c r="P1563" s="11">
        <v>1.1824324324324301E-2</v>
      </c>
      <c r="Q1563" s="11">
        <v>0.22222222222222199</v>
      </c>
      <c r="R1563" s="11">
        <v>1.5503875968992199E-2</v>
      </c>
      <c r="S1563" s="10" t="s">
        <v>84</v>
      </c>
      <c r="T1563" s="10" t="s">
        <v>84</v>
      </c>
      <c r="U1563" s="10"/>
      <c r="V1563" s="10"/>
      <c r="W1563" s="10"/>
      <c r="X1563" s="10"/>
      <c r="Y1563" s="10"/>
      <c r="Z1563" s="10"/>
      <c r="AA1563" s="10"/>
    </row>
    <row r="1564" spans="1:27" ht="12.5" hidden="1" x14ac:dyDescent="0.25">
      <c r="A1564" s="10" t="s">
        <v>98</v>
      </c>
      <c r="B1564" s="10" t="s">
        <v>1141</v>
      </c>
      <c r="C1564" s="10" t="s">
        <v>191</v>
      </c>
      <c r="D1564" s="11">
        <v>2024</v>
      </c>
      <c r="E1564" s="10" t="s">
        <v>124</v>
      </c>
      <c r="F1564" s="10" t="s">
        <v>83</v>
      </c>
      <c r="G1564" s="10" t="s">
        <v>84</v>
      </c>
      <c r="H1564" s="12">
        <v>4214</v>
      </c>
      <c r="I1564" s="11">
        <v>3</v>
      </c>
      <c r="J1564" s="11">
        <v>2</v>
      </c>
      <c r="K1564" s="11">
        <v>499</v>
      </c>
      <c r="L1564" s="11">
        <v>7.11926750647656E-4</v>
      </c>
      <c r="M1564" s="11">
        <f t="shared" si="6"/>
        <v>7.1191267204556236E-2</v>
      </c>
      <c r="N1564" s="11">
        <v>0.66666666666666696</v>
      </c>
      <c r="O1564" s="11">
        <v>0.118417149524393</v>
      </c>
      <c r="P1564" s="11">
        <v>2.9411764705882401E-2</v>
      </c>
      <c r="Q1564" s="11">
        <v>0.16666666666666699</v>
      </c>
      <c r="R1564" s="11">
        <v>2.9069767441860499E-2</v>
      </c>
      <c r="S1564" s="10" t="s">
        <v>84</v>
      </c>
      <c r="T1564" s="10" t="s">
        <v>84</v>
      </c>
      <c r="U1564" s="10"/>
      <c r="V1564" s="10"/>
      <c r="W1564" s="10"/>
      <c r="X1564" s="10"/>
      <c r="Y1564" s="10"/>
      <c r="Z1564" s="10"/>
      <c r="AA1564" s="10"/>
    </row>
    <row r="1565" spans="1:27" ht="12.5" x14ac:dyDescent="0.25">
      <c r="A1565" s="10" t="s">
        <v>103</v>
      </c>
      <c r="B1565" s="10" t="s">
        <v>1334</v>
      </c>
      <c r="C1565" s="10" t="s">
        <v>76</v>
      </c>
      <c r="D1565" s="11">
        <v>2024</v>
      </c>
      <c r="E1565" s="10" t="s">
        <v>124</v>
      </c>
      <c r="F1565" s="10" t="s">
        <v>83</v>
      </c>
      <c r="G1565" s="10" t="s">
        <v>84</v>
      </c>
      <c r="H1565" s="11">
        <v>1440138</v>
      </c>
      <c r="I1565" s="11">
        <v>940</v>
      </c>
      <c r="J1565" s="11">
        <v>769</v>
      </c>
      <c r="K1565" s="11">
        <v>9030</v>
      </c>
      <c r="L1565" s="11">
        <v>6.5271530144047599E-4</v>
      </c>
      <c r="M1565" s="11">
        <f t="shared" si="6"/>
        <v>6.5271522590196224E-2</v>
      </c>
      <c r="N1565" s="11">
        <v>0.81808510638297904</v>
      </c>
      <c r="O1565" s="11">
        <v>6.2702331617101002E-3</v>
      </c>
      <c r="P1565" s="11">
        <v>1.0979729729729701E-2</v>
      </c>
      <c r="Q1565" s="11">
        <v>0</v>
      </c>
      <c r="R1565" s="11">
        <v>6.7114093959731499E-3</v>
      </c>
      <c r="S1565" s="10" t="s">
        <v>84</v>
      </c>
      <c r="T1565" s="10" t="s">
        <v>84</v>
      </c>
      <c r="U1565" s="10"/>
      <c r="V1565" s="10"/>
      <c r="W1565" s="10"/>
      <c r="X1565" s="10"/>
      <c r="Y1565" s="10"/>
      <c r="Z1565" s="10"/>
      <c r="AA1565" s="10"/>
    </row>
    <row r="1566" spans="1:27" ht="12.5" x14ac:dyDescent="0.25">
      <c r="A1566" s="10" t="s">
        <v>53</v>
      </c>
      <c r="B1566" s="10" t="s">
        <v>1349</v>
      </c>
      <c r="C1566" s="10" t="s">
        <v>76</v>
      </c>
      <c r="D1566" s="11">
        <v>2024</v>
      </c>
      <c r="E1566" s="10" t="s">
        <v>81</v>
      </c>
      <c r="F1566" s="10" t="s">
        <v>125</v>
      </c>
      <c r="G1566" s="10" t="s">
        <v>84</v>
      </c>
      <c r="H1566" s="11">
        <v>1647</v>
      </c>
      <c r="I1566" s="11">
        <v>1</v>
      </c>
      <c r="J1566" s="11">
        <v>1</v>
      </c>
      <c r="K1566" s="11">
        <v>3</v>
      </c>
      <c r="L1566" s="11">
        <v>6.0731818411862998E-4</v>
      </c>
      <c r="M1566" s="11">
        <f t="shared" si="6"/>
        <v>6.0716454159077116E-2</v>
      </c>
      <c r="N1566" s="11">
        <v>1</v>
      </c>
      <c r="O1566" s="11">
        <v>1.82195455235589E-3</v>
      </c>
      <c r="P1566" s="11">
        <v>1.0135135135135099E-2</v>
      </c>
      <c r="Q1566" s="11">
        <v>7.4999999999999997E-2</v>
      </c>
      <c r="R1566" s="11">
        <v>1.35658914728682E-2</v>
      </c>
      <c r="S1566" s="10" t="s">
        <v>84</v>
      </c>
      <c r="T1566" s="10" t="s">
        <v>84</v>
      </c>
      <c r="U1566" s="10"/>
      <c r="V1566" s="10"/>
      <c r="W1566" s="10"/>
      <c r="X1566" s="10"/>
      <c r="Y1566" s="10"/>
      <c r="Z1566" s="10"/>
      <c r="AA1566" s="10"/>
    </row>
    <row r="1567" spans="1:27" ht="12.5" hidden="1" x14ac:dyDescent="0.25">
      <c r="A1567" s="10" t="s">
        <v>92</v>
      </c>
      <c r="B1567" s="10" t="s">
        <v>1816</v>
      </c>
      <c r="C1567" s="10" t="s">
        <v>191</v>
      </c>
      <c r="D1567" s="11">
        <v>2024</v>
      </c>
      <c r="E1567" s="10" t="s">
        <v>124</v>
      </c>
      <c r="F1567" s="10" t="s">
        <v>125</v>
      </c>
      <c r="G1567" s="10" t="s">
        <v>84</v>
      </c>
      <c r="H1567" s="12">
        <v>5366</v>
      </c>
      <c r="I1567" s="11">
        <v>3</v>
      </c>
      <c r="J1567" s="11">
        <v>3</v>
      </c>
      <c r="K1567" s="11">
        <v>0</v>
      </c>
      <c r="L1567" s="11">
        <v>5.5904093421951697E-4</v>
      </c>
      <c r="M1567" s="11">
        <f t="shared" si="6"/>
        <v>5.590756615728662E-2</v>
      </c>
      <c r="N1567" s="11">
        <v>1</v>
      </c>
      <c r="O1567" s="11">
        <v>0</v>
      </c>
      <c r="P1567" s="11">
        <v>2.6960784313725498E-2</v>
      </c>
      <c r="Q1567" s="11">
        <v>0.125</v>
      </c>
      <c r="R1567" s="11">
        <v>2.7131782945736399E-2</v>
      </c>
      <c r="S1567" s="10" t="s">
        <v>84</v>
      </c>
      <c r="T1567" s="10" t="s">
        <v>84</v>
      </c>
      <c r="U1567" s="10"/>
      <c r="V1567" s="10"/>
      <c r="W1567" s="10"/>
      <c r="X1567" s="10"/>
      <c r="Y1567" s="10"/>
      <c r="Z1567" s="10"/>
      <c r="AA1567" s="10"/>
    </row>
    <row r="1568" spans="1:27" ht="12.5" hidden="1" x14ac:dyDescent="0.25">
      <c r="A1568" s="10" t="s">
        <v>12</v>
      </c>
      <c r="B1568" s="10" t="s">
        <v>1817</v>
      </c>
      <c r="C1568" s="10" t="s">
        <v>191</v>
      </c>
      <c r="D1568" s="11">
        <v>2024</v>
      </c>
      <c r="E1568" s="10" t="s">
        <v>124</v>
      </c>
      <c r="F1568" s="10" t="s">
        <v>83</v>
      </c>
      <c r="G1568" s="10" t="s">
        <v>84</v>
      </c>
      <c r="H1568" s="12">
        <v>371655</v>
      </c>
      <c r="I1568" s="11">
        <v>168</v>
      </c>
      <c r="J1568" s="11">
        <v>112</v>
      </c>
      <c r="K1568" s="11">
        <v>0</v>
      </c>
      <c r="L1568" s="11">
        <v>4.5203172114665399E-4</v>
      </c>
      <c r="M1568" s="11">
        <f t="shared" si="6"/>
        <v>4.5203212656899548E-2</v>
      </c>
      <c r="N1568" s="11">
        <v>0.66666666666666696</v>
      </c>
      <c r="O1568" s="11">
        <v>0</v>
      </c>
      <c r="P1568" s="11">
        <v>2.5735294117647099E-2</v>
      </c>
      <c r="Q1568" s="11">
        <v>4.7619047619047603E-2</v>
      </c>
      <c r="R1568" s="11">
        <v>2.5193798449612399E-2</v>
      </c>
      <c r="S1568" s="10" t="s">
        <v>84</v>
      </c>
      <c r="T1568" s="10" t="s">
        <v>84</v>
      </c>
      <c r="U1568" s="10"/>
      <c r="V1568" s="10"/>
      <c r="W1568" s="10"/>
      <c r="X1568" s="10"/>
      <c r="Y1568" s="10"/>
      <c r="Z1568" s="10"/>
      <c r="AA1568" s="10"/>
    </row>
    <row r="1569" spans="1:27" ht="12.5" x14ac:dyDescent="0.25">
      <c r="A1569" s="10" t="s">
        <v>112</v>
      </c>
      <c r="B1569" s="10" t="s">
        <v>1328</v>
      </c>
      <c r="C1569" s="10" t="s">
        <v>76</v>
      </c>
      <c r="D1569" s="11">
        <v>2024</v>
      </c>
      <c r="E1569" s="10" t="s">
        <v>81</v>
      </c>
      <c r="F1569" s="10" t="s">
        <v>83</v>
      </c>
      <c r="G1569" s="10" t="s">
        <v>84</v>
      </c>
      <c r="H1569" s="11">
        <v>22584</v>
      </c>
      <c r="I1569" s="11">
        <v>9</v>
      </c>
      <c r="J1569" s="11">
        <v>7</v>
      </c>
      <c r="K1569" s="11">
        <v>18073</v>
      </c>
      <c r="L1569" s="11">
        <v>3.9851516202593298E-4</v>
      </c>
      <c r="M1569" s="11">
        <f t="shared" si="6"/>
        <v>3.9851222104144525E-2</v>
      </c>
      <c r="N1569" s="11">
        <v>0.77777777777777801</v>
      </c>
      <c r="O1569" s="11">
        <v>0.80026272481052096</v>
      </c>
      <c r="P1569" s="11">
        <v>9.2905405405405393E-3</v>
      </c>
      <c r="Q1569" s="11">
        <v>0</v>
      </c>
      <c r="R1569" s="11">
        <v>1.16279069767442E-2</v>
      </c>
      <c r="S1569" s="10" t="s">
        <v>84</v>
      </c>
      <c r="T1569" s="10" t="s">
        <v>84</v>
      </c>
      <c r="U1569" s="10"/>
      <c r="V1569" s="10"/>
      <c r="W1569" s="10"/>
      <c r="X1569" s="10"/>
      <c r="Y1569" s="10"/>
      <c r="Z1569" s="10"/>
      <c r="AA1569" s="10"/>
    </row>
    <row r="1570" spans="1:27" ht="12.5" x14ac:dyDescent="0.25">
      <c r="A1570" s="10" t="s">
        <v>53</v>
      </c>
      <c r="B1570" s="10" t="s">
        <v>1351</v>
      </c>
      <c r="C1570" s="10" t="s">
        <v>76</v>
      </c>
      <c r="D1570" s="11">
        <v>2024</v>
      </c>
      <c r="E1570" s="10" t="s">
        <v>81</v>
      </c>
      <c r="F1570" s="10" t="s">
        <v>83</v>
      </c>
      <c r="G1570" s="10" t="s">
        <v>84</v>
      </c>
      <c r="H1570" s="11">
        <v>6830</v>
      </c>
      <c r="I1570" s="11">
        <v>2</v>
      </c>
      <c r="J1570" s="11">
        <v>2</v>
      </c>
      <c r="K1570" s="11">
        <v>122</v>
      </c>
      <c r="L1570" s="11">
        <v>2.9281505069360598E-4</v>
      </c>
      <c r="M1570" s="11">
        <f t="shared" si="6"/>
        <v>2.9282576866764276E-2</v>
      </c>
      <c r="N1570" s="11">
        <v>1</v>
      </c>
      <c r="O1570" s="11">
        <v>1.7861718092309901E-2</v>
      </c>
      <c r="P1570" s="11">
        <v>8.4459459459459499E-3</v>
      </c>
      <c r="Q1570" s="11">
        <v>0.05</v>
      </c>
      <c r="R1570" s="11">
        <v>9.6899224806201497E-3</v>
      </c>
      <c r="S1570" s="10" t="s">
        <v>84</v>
      </c>
      <c r="T1570" s="10" t="s">
        <v>84</v>
      </c>
      <c r="U1570" s="10"/>
      <c r="V1570" s="10"/>
      <c r="W1570" s="10"/>
      <c r="X1570" s="10"/>
      <c r="Y1570" s="10"/>
      <c r="Z1570" s="10"/>
      <c r="AA1570" s="10"/>
    </row>
    <row r="1571" spans="1:27" ht="12.5" hidden="1" x14ac:dyDescent="0.25">
      <c r="A1571" s="10" t="s">
        <v>92</v>
      </c>
      <c r="B1571" s="10" t="s">
        <v>1818</v>
      </c>
      <c r="C1571" s="10" t="s">
        <v>191</v>
      </c>
      <c r="D1571" s="11">
        <v>2024</v>
      </c>
      <c r="E1571" s="10" t="s">
        <v>124</v>
      </c>
      <c r="F1571" s="10" t="s">
        <v>125</v>
      </c>
      <c r="G1571" s="10" t="s">
        <v>84</v>
      </c>
      <c r="H1571" s="12">
        <v>10199</v>
      </c>
      <c r="I1571" s="11">
        <v>2</v>
      </c>
      <c r="J1571" s="11">
        <v>0</v>
      </c>
      <c r="K1571" s="11">
        <v>7</v>
      </c>
      <c r="L1571" s="11">
        <v>1.9609445216112401E-4</v>
      </c>
      <c r="M1571" s="11">
        <f t="shared" si="6"/>
        <v>1.9609765663300322E-2</v>
      </c>
      <c r="N1571" s="11">
        <v>0</v>
      </c>
      <c r="O1571" s="11">
        <v>6.86330582563935E-4</v>
      </c>
      <c r="P1571" s="11">
        <v>2.0833333333333301E-2</v>
      </c>
      <c r="Q1571" s="11">
        <v>0</v>
      </c>
      <c r="R1571" s="11">
        <v>2.32558139534884E-2</v>
      </c>
      <c r="S1571" s="10" t="s">
        <v>84</v>
      </c>
      <c r="T1571" s="10" t="s">
        <v>84</v>
      </c>
      <c r="U1571" s="10"/>
      <c r="V1571" s="10"/>
      <c r="W1571" s="10"/>
      <c r="X1571" s="10"/>
      <c r="Y1571" s="10"/>
      <c r="Z1571" s="10"/>
      <c r="AA1571" s="10"/>
    </row>
    <row r="1572" spans="1:27" ht="12.5" hidden="1" x14ac:dyDescent="0.25">
      <c r="A1572" s="10" t="s">
        <v>12</v>
      </c>
      <c r="B1572" s="10" t="s">
        <v>1819</v>
      </c>
      <c r="C1572" s="10" t="s">
        <v>191</v>
      </c>
      <c r="D1572" s="11">
        <v>2024</v>
      </c>
      <c r="E1572" s="10" t="s">
        <v>124</v>
      </c>
      <c r="F1572" s="10" t="s">
        <v>125</v>
      </c>
      <c r="G1572" s="10" t="s">
        <v>84</v>
      </c>
      <c r="H1572" s="12">
        <v>706.08333333333303</v>
      </c>
      <c r="I1572" s="11">
        <v>0</v>
      </c>
      <c r="J1572" s="11">
        <v>1</v>
      </c>
      <c r="K1572" s="11">
        <v>0</v>
      </c>
      <c r="L1572" s="11">
        <v>0</v>
      </c>
      <c r="M1572" s="11">
        <f t="shared" si="6"/>
        <v>0</v>
      </c>
      <c r="N1572" s="10" t="s">
        <v>84</v>
      </c>
      <c r="O1572" s="11">
        <v>0</v>
      </c>
      <c r="P1572" s="11">
        <v>0</v>
      </c>
      <c r="Q1572" s="11">
        <v>0</v>
      </c>
      <c r="R1572" s="11">
        <v>0</v>
      </c>
      <c r="S1572" s="10" t="s">
        <v>84</v>
      </c>
      <c r="T1572" s="10" t="s">
        <v>84</v>
      </c>
      <c r="U1572" s="10"/>
      <c r="V1572" s="10"/>
      <c r="W1572" s="10"/>
      <c r="X1572" s="10"/>
      <c r="Y1572" s="10"/>
      <c r="Z1572" s="10"/>
      <c r="AA1572" s="10"/>
    </row>
    <row r="1573" spans="1:27" ht="12.5" x14ac:dyDescent="0.25">
      <c r="A1573" s="10"/>
      <c r="B1573" s="10"/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  <c r="AA1573" s="10"/>
    </row>
    <row r="1574" spans="1:27" ht="12.5" x14ac:dyDescent="0.25">
      <c r="A1574" s="10"/>
      <c r="B1574" s="10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  <c r="AA1574" s="10"/>
    </row>
  </sheetData>
  <autoFilter ref="A1:AA1572" xr:uid="{00000000-0009-0000-0000-000003000000}">
    <filterColumn colId="2">
      <filters>
        <filter val="electric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574"/>
  <sheetViews>
    <sheetView workbookViewId="0"/>
  </sheetViews>
  <sheetFormatPr defaultColWidth="12.6328125" defaultRowHeight="15.75" customHeight="1" x14ac:dyDescent="0.25"/>
  <cols>
    <col min="2" max="2" width="42.6328125" customWidth="1"/>
  </cols>
  <sheetData>
    <row r="1" spans="1:27" ht="15.75" customHeight="1" x14ac:dyDescent="0.25">
      <c r="A1" s="2" t="s">
        <v>23</v>
      </c>
      <c r="B1" s="2" t="s">
        <v>28</v>
      </c>
      <c r="C1" s="2" t="s">
        <v>30</v>
      </c>
      <c r="D1" s="2" t="s">
        <v>31</v>
      </c>
      <c r="E1" s="2" t="s">
        <v>33</v>
      </c>
      <c r="F1" s="2" t="s">
        <v>35</v>
      </c>
      <c r="G1" s="2" t="s">
        <v>38</v>
      </c>
      <c r="H1" s="13" t="s">
        <v>41</v>
      </c>
      <c r="I1" s="2" t="s">
        <v>44</v>
      </c>
      <c r="J1" s="2" t="s">
        <v>46</v>
      </c>
      <c r="K1" s="2" t="s">
        <v>50</v>
      </c>
      <c r="L1" s="2" t="s">
        <v>51</v>
      </c>
      <c r="M1" s="2" t="s">
        <v>54</v>
      </c>
      <c r="N1" s="2" t="s">
        <v>56</v>
      </c>
      <c r="O1" s="2" t="s">
        <v>57</v>
      </c>
      <c r="P1" s="2" t="s">
        <v>59</v>
      </c>
      <c r="Q1" s="2" t="s">
        <v>60</v>
      </c>
      <c r="R1" s="2" t="s">
        <v>61</v>
      </c>
      <c r="S1" s="2" t="s">
        <v>63</v>
      </c>
      <c r="T1" s="2" t="s">
        <v>64</v>
      </c>
      <c r="U1" s="10"/>
      <c r="V1" s="10"/>
      <c r="W1" s="10"/>
      <c r="X1" s="10"/>
      <c r="Y1" s="10"/>
      <c r="Z1" s="10"/>
      <c r="AA1" s="10"/>
    </row>
    <row r="2" spans="1:27" ht="15.75" customHeight="1" x14ac:dyDescent="0.25">
      <c r="A2" s="2" t="s">
        <v>36</v>
      </c>
      <c r="B2" s="2" t="s">
        <v>121</v>
      </c>
      <c r="C2" s="2" t="s">
        <v>76</v>
      </c>
      <c r="D2" s="2">
        <v>2024</v>
      </c>
      <c r="E2" s="2" t="s">
        <v>124</v>
      </c>
      <c r="F2" s="2" t="s">
        <v>125</v>
      </c>
      <c r="G2" s="2" t="s">
        <v>84</v>
      </c>
      <c r="H2" s="13">
        <v>2481.4166666666702</v>
      </c>
      <c r="I2" s="2">
        <v>1921</v>
      </c>
      <c r="J2" s="2">
        <v>451</v>
      </c>
      <c r="K2" s="2">
        <v>1933</v>
      </c>
      <c r="L2" s="2">
        <v>0.77415454881284196</v>
      </c>
      <c r="M2" s="2">
        <v>77.415454881284106</v>
      </c>
      <c r="N2" s="2">
        <v>0.23477355543987499</v>
      </c>
      <c r="O2" s="2">
        <v>0.77899049602041803</v>
      </c>
      <c r="P2" s="2">
        <v>0.99493243243243201</v>
      </c>
      <c r="Q2" s="2">
        <v>1</v>
      </c>
      <c r="R2" s="2">
        <v>0.99776286353467603</v>
      </c>
      <c r="S2" s="2" t="s">
        <v>84</v>
      </c>
      <c r="T2" s="2" t="s">
        <v>84</v>
      </c>
      <c r="U2" s="10"/>
      <c r="V2" s="10"/>
      <c r="W2" s="10"/>
      <c r="X2" s="10"/>
      <c r="Y2" s="10"/>
      <c r="Z2" s="10"/>
      <c r="AA2" s="10"/>
    </row>
    <row r="3" spans="1:27" ht="15.75" customHeight="1" x14ac:dyDescent="0.25">
      <c r="A3" s="2" t="s">
        <v>14</v>
      </c>
      <c r="B3" s="2" t="s">
        <v>132</v>
      </c>
      <c r="C3" s="2" t="s">
        <v>76</v>
      </c>
      <c r="D3" s="2">
        <v>2024</v>
      </c>
      <c r="E3" s="2" t="s">
        <v>124</v>
      </c>
      <c r="F3" s="2" t="s">
        <v>125</v>
      </c>
      <c r="G3" s="2" t="s">
        <v>84</v>
      </c>
      <c r="H3" s="13">
        <v>5124.9166666666697</v>
      </c>
      <c r="I3" s="2">
        <v>3907</v>
      </c>
      <c r="J3" s="2">
        <v>3881</v>
      </c>
      <c r="K3" s="2">
        <v>23192</v>
      </c>
      <c r="L3" s="2">
        <v>0.76235385941234801</v>
      </c>
      <c r="M3" s="2">
        <v>76.235385941234767</v>
      </c>
      <c r="N3" s="2">
        <v>0.99334527770668002</v>
      </c>
      <c r="O3" s="2">
        <v>4.5253418754776504</v>
      </c>
      <c r="P3" s="2">
        <v>0.99324324324324298</v>
      </c>
      <c r="Q3" s="2">
        <v>1</v>
      </c>
      <c r="R3" s="2">
        <v>0.99552572706935105</v>
      </c>
      <c r="S3" s="2" t="s">
        <v>84</v>
      </c>
      <c r="T3" s="2" t="s">
        <v>84</v>
      </c>
      <c r="U3" s="10"/>
      <c r="V3" s="10"/>
      <c r="W3" s="10"/>
      <c r="X3" s="10"/>
      <c r="Y3" s="10"/>
      <c r="Z3" s="10"/>
      <c r="AA3" s="10"/>
    </row>
    <row r="4" spans="1:27" ht="15.75" customHeight="1" x14ac:dyDescent="0.25">
      <c r="A4" s="2" t="s">
        <v>32</v>
      </c>
      <c r="B4" s="2" t="s">
        <v>139</v>
      </c>
      <c r="C4" s="2" t="s">
        <v>76</v>
      </c>
      <c r="D4" s="2">
        <v>2024</v>
      </c>
      <c r="E4" s="2" t="s">
        <v>124</v>
      </c>
      <c r="F4" s="2" t="s">
        <v>83</v>
      </c>
      <c r="G4" s="2" t="s">
        <v>84</v>
      </c>
      <c r="H4" s="13">
        <v>20616.25</v>
      </c>
      <c r="I4" s="2">
        <v>15709</v>
      </c>
      <c r="J4" s="2">
        <v>14136</v>
      </c>
      <c r="K4" s="2">
        <v>86716</v>
      </c>
      <c r="L4" s="2">
        <v>0.76197174558903802</v>
      </c>
      <c r="M4" s="2">
        <v>76.197174558903782</v>
      </c>
      <c r="N4" s="2">
        <v>0.899866318670826</v>
      </c>
      <c r="O4" s="2">
        <v>4.2061965682410696</v>
      </c>
      <c r="P4" s="2">
        <v>0.99239864864864902</v>
      </c>
      <c r="Q4" s="2">
        <v>1</v>
      </c>
      <c r="R4" s="2">
        <v>0.99328859060402697</v>
      </c>
      <c r="S4" s="2" t="s">
        <v>84</v>
      </c>
      <c r="T4" s="2" t="s">
        <v>84</v>
      </c>
      <c r="U4" s="10"/>
      <c r="V4" s="10"/>
      <c r="W4" s="10"/>
      <c r="X4" s="10"/>
      <c r="Y4" s="10"/>
      <c r="Z4" s="10"/>
      <c r="AA4" s="10"/>
    </row>
    <row r="5" spans="1:27" ht="15.75" customHeight="1" x14ac:dyDescent="0.25">
      <c r="A5" s="10" t="s">
        <v>16</v>
      </c>
      <c r="B5" s="10" t="s">
        <v>150</v>
      </c>
      <c r="C5" s="10" t="s">
        <v>76</v>
      </c>
      <c r="D5" s="11">
        <v>2024</v>
      </c>
      <c r="E5" s="10" t="s">
        <v>124</v>
      </c>
      <c r="F5" s="10" t="s">
        <v>83</v>
      </c>
      <c r="G5" s="10" t="s">
        <v>84</v>
      </c>
      <c r="H5" s="12">
        <v>46885.166666666701</v>
      </c>
      <c r="I5" s="11">
        <v>33849</v>
      </c>
      <c r="J5" s="11">
        <v>32663</v>
      </c>
      <c r="K5" s="11">
        <v>57328</v>
      </c>
      <c r="L5" s="11">
        <v>0.72195541589201995</v>
      </c>
      <c r="M5" s="11">
        <v>72.195541589201937</v>
      </c>
      <c r="N5" s="11">
        <v>0.96496203728322805</v>
      </c>
      <c r="O5" s="11">
        <v>1.2227321363188799</v>
      </c>
      <c r="P5" s="11">
        <v>0.99070945945945899</v>
      </c>
      <c r="Q5" s="11">
        <v>1</v>
      </c>
      <c r="R5" s="11">
        <v>0.99105145413870199</v>
      </c>
      <c r="S5" s="10" t="s">
        <v>84</v>
      </c>
      <c r="T5" s="10" t="s">
        <v>84</v>
      </c>
      <c r="U5" s="10"/>
      <c r="V5" s="10"/>
      <c r="W5" s="10"/>
      <c r="X5" s="10"/>
      <c r="Y5" s="10"/>
      <c r="Z5" s="10"/>
      <c r="AA5" s="10"/>
    </row>
    <row r="6" spans="1:27" ht="15.75" customHeight="1" x14ac:dyDescent="0.25">
      <c r="A6" s="10" t="s">
        <v>32</v>
      </c>
      <c r="B6" s="10" t="s">
        <v>157</v>
      </c>
      <c r="C6" s="10" t="s">
        <v>76</v>
      </c>
      <c r="D6" s="11">
        <v>2024</v>
      </c>
      <c r="E6" s="10" t="s">
        <v>124</v>
      </c>
      <c r="F6" s="10" t="s">
        <v>125</v>
      </c>
      <c r="G6" s="10" t="s">
        <v>84</v>
      </c>
      <c r="H6" s="12">
        <v>4501.6666666666697</v>
      </c>
      <c r="I6" s="11">
        <v>3181</v>
      </c>
      <c r="J6" s="11">
        <v>3162</v>
      </c>
      <c r="K6" s="11">
        <v>16183</v>
      </c>
      <c r="L6" s="11">
        <v>0.70662717512032602</v>
      </c>
      <c r="M6" s="11">
        <v>70.662717512032529</v>
      </c>
      <c r="N6" s="11">
        <v>0.99402703552341998</v>
      </c>
      <c r="O6" s="11">
        <v>3.59489078119215</v>
      </c>
      <c r="P6" s="11">
        <v>0.98986486486486502</v>
      </c>
      <c r="Q6" s="11">
        <v>0.96551724137931005</v>
      </c>
      <c r="R6" s="11">
        <v>0.98881431767337802</v>
      </c>
      <c r="S6" s="10" t="s">
        <v>84</v>
      </c>
      <c r="T6" s="10" t="s">
        <v>84</v>
      </c>
      <c r="U6" s="10"/>
      <c r="V6" s="10"/>
      <c r="W6" s="10"/>
      <c r="X6" s="10"/>
      <c r="Y6" s="10"/>
      <c r="Z6" s="10"/>
      <c r="AA6" s="10"/>
    </row>
    <row r="7" spans="1:27" ht="15.75" customHeight="1" x14ac:dyDescent="0.25">
      <c r="A7" s="10" t="s">
        <v>36</v>
      </c>
      <c r="B7" s="10" t="s">
        <v>169</v>
      </c>
      <c r="C7" s="10" t="s">
        <v>76</v>
      </c>
      <c r="D7" s="11">
        <v>2024</v>
      </c>
      <c r="E7" s="10" t="s">
        <v>124</v>
      </c>
      <c r="F7" s="10" t="s">
        <v>83</v>
      </c>
      <c r="G7" s="10" t="s">
        <v>84</v>
      </c>
      <c r="H7" s="12">
        <v>10368.583333333299</v>
      </c>
      <c r="I7" s="11">
        <v>7056</v>
      </c>
      <c r="J7" s="11">
        <v>6937</v>
      </c>
      <c r="K7" s="11">
        <v>39002</v>
      </c>
      <c r="L7" s="11">
        <v>0.68051726770773902</v>
      </c>
      <c r="M7" s="11">
        <v>68.05172677077411</v>
      </c>
      <c r="N7" s="11">
        <v>0.98313492063492103</v>
      </c>
      <c r="O7" s="11">
        <v>3.7615553394468901</v>
      </c>
      <c r="P7" s="11">
        <v>0.98817567567567599</v>
      </c>
      <c r="Q7" s="11">
        <v>0.97872340425531901</v>
      </c>
      <c r="R7" s="11">
        <v>0.98657718120805404</v>
      </c>
      <c r="S7" s="10" t="s">
        <v>84</v>
      </c>
      <c r="T7" s="10" t="s">
        <v>84</v>
      </c>
      <c r="U7" s="10"/>
      <c r="V7" s="10"/>
      <c r="W7" s="10"/>
      <c r="X7" s="10"/>
      <c r="Y7" s="10"/>
      <c r="Z7" s="10"/>
      <c r="AA7" s="10"/>
    </row>
    <row r="8" spans="1:27" ht="15.75" customHeight="1" x14ac:dyDescent="0.25">
      <c r="A8" s="10" t="s">
        <v>36</v>
      </c>
      <c r="B8" s="10" t="s">
        <v>174</v>
      </c>
      <c r="C8" s="10" t="s">
        <v>76</v>
      </c>
      <c r="D8" s="11">
        <v>2024</v>
      </c>
      <c r="E8" s="10" t="s">
        <v>124</v>
      </c>
      <c r="F8" s="10" t="s">
        <v>83</v>
      </c>
      <c r="G8" s="10" t="s">
        <v>84</v>
      </c>
      <c r="H8" s="12">
        <v>8558.8333333333303</v>
      </c>
      <c r="I8" s="11">
        <v>5696</v>
      </c>
      <c r="J8" s="11">
        <v>5696</v>
      </c>
      <c r="K8" s="11">
        <v>34437</v>
      </c>
      <c r="L8" s="11">
        <v>0.66551126516464498</v>
      </c>
      <c r="M8" s="11">
        <v>66.551126516464493</v>
      </c>
      <c r="N8" s="11">
        <v>1</v>
      </c>
      <c r="O8" s="11">
        <v>4.0235624014176397</v>
      </c>
      <c r="P8" s="11">
        <v>0.98733108108108103</v>
      </c>
      <c r="Q8" s="11">
        <v>0.95744680851063801</v>
      </c>
      <c r="R8" s="11">
        <v>0.98434004474272896</v>
      </c>
      <c r="S8" s="10" t="s">
        <v>84</v>
      </c>
      <c r="T8" s="10" t="s">
        <v>84</v>
      </c>
      <c r="U8" s="10"/>
      <c r="V8" s="10"/>
      <c r="W8" s="10"/>
      <c r="X8" s="10"/>
      <c r="Y8" s="10"/>
      <c r="Z8" s="10"/>
      <c r="AA8" s="10"/>
    </row>
    <row r="9" spans="1:27" ht="15.75" customHeight="1" x14ac:dyDescent="0.25">
      <c r="A9" s="10" t="s">
        <v>82</v>
      </c>
      <c r="B9" s="10" t="s">
        <v>177</v>
      </c>
      <c r="C9" s="10" t="s">
        <v>76</v>
      </c>
      <c r="D9" s="11">
        <v>2024</v>
      </c>
      <c r="E9" s="10" t="s">
        <v>124</v>
      </c>
      <c r="F9" s="10" t="s">
        <v>83</v>
      </c>
      <c r="G9" s="10" t="s">
        <v>84</v>
      </c>
      <c r="H9" s="12">
        <v>193.083333333333</v>
      </c>
      <c r="I9" s="11">
        <v>126</v>
      </c>
      <c r="J9" s="11">
        <v>100</v>
      </c>
      <c r="K9" s="11">
        <v>774</v>
      </c>
      <c r="L9" s="11">
        <v>0.65256797583081605</v>
      </c>
      <c r="M9" s="11">
        <v>65.256797583081678</v>
      </c>
      <c r="N9" s="11">
        <v>0.79365079365079405</v>
      </c>
      <c r="O9" s="11">
        <v>4.00863185153215</v>
      </c>
      <c r="P9" s="11">
        <v>0.98648648648648696</v>
      </c>
      <c r="Q9" s="11">
        <v>1</v>
      </c>
      <c r="R9" s="11">
        <v>0.98210290827740498</v>
      </c>
      <c r="S9" s="10" t="s">
        <v>84</v>
      </c>
      <c r="T9" s="10" t="s">
        <v>84</v>
      </c>
      <c r="U9" s="10"/>
      <c r="V9" s="10"/>
      <c r="W9" s="10"/>
      <c r="X9" s="10"/>
      <c r="Y9" s="10"/>
      <c r="Z9" s="10"/>
      <c r="AA9" s="10"/>
    </row>
    <row r="10" spans="1:27" ht="15.75" customHeight="1" x14ac:dyDescent="0.25">
      <c r="A10" s="10" t="s">
        <v>65</v>
      </c>
      <c r="B10" s="10" t="s">
        <v>184</v>
      </c>
      <c r="C10" s="10" t="s">
        <v>76</v>
      </c>
      <c r="D10" s="11">
        <v>2024</v>
      </c>
      <c r="E10" s="10" t="s">
        <v>124</v>
      </c>
      <c r="F10" s="10" t="s">
        <v>83</v>
      </c>
      <c r="G10" s="10" t="s">
        <v>84</v>
      </c>
      <c r="H10" s="12">
        <v>39004.583333333299</v>
      </c>
      <c r="I10" s="11">
        <v>23312</v>
      </c>
      <c r="J10" s="11">
        <v>3520</v>
      </c>
      <c r="K10" s="11">
        <v>59847</v>
      </c>
      <c r="L10" s="11">
        <v>0.59767335035412505</v>
      </c>
      <c r="M10" s="11">
        <v>59.767335035412557</v>
      </c>
      <c r="N10" s="11">
        <v>0.15099519560741201</v>
      </c>
      <c r="O10" s="11">
        <v>1.5343581416713801</v>
      </c>
      <c r="P10" s="11">
        <v>0.985641891891892</v>
      </c>
      <c r="Q10" s="11">
        <v>1</v>
      </c>
      <c r="R10" s="11">
        <v>0.97986577181208101</v>
      </c>
      <c r="S10" s="10" t="s">
        <v>84</v>
      </c>
      <c r="T10" s="10" t="s">
        <v>84</v>
      </c>
      <c r="U10" s="10"/>
      <c r="V10" s="10"/>
      <c r="W10" s="10"/>
      <c r="X10" s="10"/>
      <c r="Y10" s="10"/>
      <c r="Z10" s="10"/>
      <c r="AA10" s="10"/>
    </row>
    <row r="11" spans="1:27" ht="15.75" customHeight="1" x14ac:dyDescent="0.25">
      <c r="A11" s="10" t="s">
        <v>13</v>
      </c>
      <c r="B11" s="10" t="s">
        <v>195</v>
      </c>
      <c r="C11" s="10" t="s">
        <v>76</v>
      </c>
      <c r="D11" s="11">
        <v>2024</v>
      </c>
      <c r="E11" s="10" t="s">
        <v>124</v>
      </c>
      <c r="F11" s="10" t="s">
        <v>83</v>
      </c>
      <c r="G11" s="10" t="s">
        <v>84</v>
      </c>
      <c r="H11" s="12">
        <v>9981.5</v>
      </c>
      <c r="I11" s="11">
        <v>5727</v>
      </c>
      <c r="J11" s="11">
        <v>5176</v>
      </c>
      <c r="K11" s="11">
        <v>31509</v>
      </c>
      <c r="L11" s="11">
        <v>0.57376145869859196</v>
      </c>
      <c r="M11" s="11">
        <v>57.376145869859243</v>
      </c>
      <c r="N11" s="11">
        <v>0.90378906932076097</v>
      </c>
      <c r="O11" s="11">
        <v>3.1567399689425399</v>
      </c>
      <c r="P11" s="11">
        <v>0.98395270270270296</v>
      </c>
      <c r="Q11" s="11">
        <v>0.90476190476190499</v>
      </c>
      <c r="R11" s="11">
        <v>0.97762863534675604</v>
      </c>
      <c r="S11" s="10" t="s">
        <v>84</v>
      </c>
      <c r="T11" s="10" t="s">
        <v>84</v>
      </c>
      <c r="U11" s="10"/>
      <c r="V11" s="10"/>
      <c r="W11" s="10"/>
      <c r="X11" s="10"/>
      <c r="Y11" s="10"/>
      <c r="Z11" s="10"/>
      <c r="AA11" s="10"/>
    </row>
    <row r="12" spans="1:27" ht="15.75" customHeight="1" x14ac:dyDescent="0.25">
      <c r="A12" s="10" t="s">
        <v>32</v>
      </c>
      <c r="B12" s="10" t="s">
        <v>201</v>
      </c>
      <c r="C12" s="10" t="s">
        <v>76</v>
      </c>
      <c r="D12" s="11">
        <v>2024</v>
      </c>
      <c r="E12" s="10" t="s">
        <v>124</v>
      </c>
      <c r="F12" s="10" t="s">
        <v>83</v>
      </c>
      <c r="G12" s="10" t="s">
        <v>84</v>
      </c>
      <c r="H12" s="12">
        <v>6313.75</v>
      </c>
      <c r="I12" s="11">
        <v>3608</v>
      </c>
      <c r="J12" s="11">
        <v>3424</v>
      </c>
      <c r="K12" s="11">
        <v>18189</v>
      </c>
      <c r="L12" s="11">
        <v>0.57145119778261699</v>
      </c>
      <c r="M12" s="11">
        <v>57.14511977826173</v>
      </c>
      <c r="N12" s="11">
        <v>0.94900221729489997</v>
      </c>
      <c r="O12" s="11">
        <v>2.8808552761829298</v>
      </c>
      <c r="P12" s="11">
        <v>0.983108108108108</v>
      </c>
      <c r="Q12" s="11">
        <v>0.931034482758621</v>
      </c>
      <c r="R12" s="11">
        <v>0.97539149888143195</v>
      </c>
      <c r="S12" s="10" t="s">
        <v>84</v>
      </c>
      <c r="T12" s="10" t="s">
        <v>84</v>
      </c>
      <c r="U12" s="10"/>
      <c r="V12" s="10"/>
      <c r="W12" s="10"/>
      <c r="X12" s="10"/>
      <c r="Y12" s="10"/>
      <c r="Z12" s="10"/>
      <c r="AA12" s="10"/>
    </row>
    <row r="13" spans="1:27" ht="15.75" customHeight="1" x14ac:dyDescent="0.25">
      <c r="A13" s="10" t="s">
        <v>14</v>
      </c>
      <c r="B13" s="10" t="s">
        <v>213</v>
      </c>
      <c r="C13" s="10" t="s">
        <v>76</v>
      </c>
      <c r="D13" s="11">
        <v>2024</v>
      </c>
      <c r="E13" s="10" t="s">
        <v>124</v>
      </c>
      <c r="F13" s="10" t="s">
        <v>83</v>
      </c>
      <c r="G13" s="10" t="s">
        <v>84</v>
      </c>
      <c r="H13" s="12">
        <v>198345.33333333299</v>
      </c>
      <c r="I13" s="11">
        <v>107061</v>
      </c>
      <c r="J13" s="11">
        <v>48610</v>
      </c>
      <c r="K13" s="11">
        <v>430307</v>
      </c>
      <c r="L13" s="11">
        <v>0.53977070294906504</v>
      </c>
      <c r="M13" s="11">
        <v>53.977070294906618</v>
      </c>
      <c r="N13" s="11">
        <v>0.45404022006146</v>
      </c>
      <c r="O13" s="11">
        <v>2.1694838631612199</v>
      </c>
      <c r="P13" s="11">
        <v>0.98057432432432401</v>
      </c>
      <c r="Q13" s="11">
        <v>0.96428571428571397</v>
      </c>
      <c r="R13" s="11">
        <v>0.97315436241610698</v>
      </c>
      <c r="S13" s="10" t="s">
        <v>84</v>
      </c>
      <c r="T13" s="10" t="s">
        <v>84</v>
      </c>
      <c r="U13" s="10"/>
      <c r="V13" s="10"/>
      <c r="W13" s="10"/>
      <c r="X13" s="10"/>
      <c r="Y13" s="10"/>
      <c r="Z13" s="10"/>
      <c r="AA13" s="10"/>
    </row>
    <row r="14" spans="1:27" ht="15.75" customHeight="1" x14ac:dyDescent="0.25">
      <c r="A14" s="10" t="s">
        <v>29</v>
      </c>
      <c r="B14" s="10" t="s">
        <v>227</v>
      </c>
      <c r="C14" s="10" t="s">
        <v>76</v>
      </c>
      <c r="D14" s="11">
        <v>2024</v>
      </c>
      <c r="E14" s="10" t="s">
        <v>124</v>
      </c>
      <c r="F14" s="10" t="s">
        <v>83</v>
      </c>
      <c r="G14" s="10" t="s">
        <v>84</v>
      </c>
      <c r="H14" s="12">
        <v>380286.16666666698</v>
      </c>
      <c r="I14" s="11">
        <v>182151</v>
      </c>
      <c r="J14" s="11">
        <v>167370</v>
      </c>
      <c r="K14" s="11">
        <v>1107634</v>
      </c>
      <c r="L14" s="11">
        <v>0.47898402825591402</v>
      </c>
      <c r="M14" s="11">
        <v>47.89840282559139</v>
      </c>
      <c r="N14" s="11">
        <v>0.91885303951117503</v>
      </c>
      <c r="O14" s="11">
        <v>2.9126328988213701</v>
      </c>
      <c r="P14" s="11">
        <v>0.97888513513513498</v>
      </c>
      <c r="Q14" s="11">
        <v>1</v>
      </c>
      <c r="R14" s="11">
        <v>0.970917225950783</v>
      </c>
      <c r="S14" s="10" t="s">
        <v>84</v>
      </c>
      <c r="T14" s="10" t="s">
        <v>84</v>
      </c>
      <c r="U14" s="10"/>
      <c r="V14" s="10"/>
      <c r="W14" s="10"/>
      <c r="X14" s="10"/>
      <c r="Y14" s="10"/>
      <c r="Z14" s="10"/>
      <c r="AA14" s="10"/>
    </row>
    <row r="15" spans="1:27" ht="15.75" customHeight="1" x14ac:dyDescent="0.25">
      <c r="A15" s="10" t="s">
        <v>103</v>
      </c>
      <c r="B15" s="10" t="s">
        <v>231</v>
      </c>
      <c r="C15" s="10" t="s">
        <v>76</v>
      </c>
      <c r="D15" s="11">
        <v>2024</v>
      </c>
      <c r="E15" s="10" t="s">
        <v>124</v>
      </c>
      <c r="F15" s="10" t="s">
        <v>83</v>
      </c>
      <c r="G15" s="10" t="s">
        <v>84</v>
      </c>
      <c r="H15" s="12">
        <v>7394.75</v>
      </c>
      <c r="I15" s="11">
        <v>3532</v>
      </c>
      <c r="J15" s="11">
        <v>3518</v>
      </c>
      <c r="K15" s="11">
        <v>9491</v>
      </c>
      <c r="L15" s="11">
        <v>0.47763616078974902</v>
      </c>
      <c r="M15" s="11">
        <v>47.763616078974948</v>
      </c>
      <c r="N15" s="11">
        <v>0.99603624009059999</v>
      </c>
      <c r="O15" s="11">
        <v>1.2834781432773299</v>
      </c>
      <c r="P15" s="11">
        <v>0.97804054054054101</v>
      </c>
      <c r="Q15" s="11">
        <v>1</v>
      </c>
      <c r="R15" s="11">
        <v>0.96868008948545903</v>
      </c>
      <c r="S15" s="10" t="s">
        <v>84</v>
      </c>
      <c r="T15" s="10" t="s">
        <v>84</v>
      </c>
      <c r="U15" s="10"/>
      <c r="V15" s="10"/>
      <c r="W15" s="10"/>
      <c r="X15" s="10"/>
      <c r="Y15" s="10"/>
      <c r="Z15" s="10"/>
      <c r="AA15" s="10"/>
    </row>
    <row r="16" spans="1:27" ht="12.5" x14ac:dyDescent="0.25">
      <c r="A16" s="10" t="s">
        <v>36</v>
      </c>
      <c r="B16" s="10" t="s">
        <v>234</v>
      </c>
      <c r="C16" s="10" t="s">
        <v>76</v>
      </c>
      <c r="D16" s="11">
        <v>2024</v>
      </c>
      <c r="E16" s="10" t="s">
        <v>124</v>
      </c>
      <c r="F16" s="10" t="s">
        <v>83</v>
      </c>
      <c r="G16" s="10" t="s">
        <v>84</v>
      </c>
      <c r="H16" s="12">
        <v>14443.166666666701</v>
      </c>
      <c r="I16" s="11">
        <v>6887</v>
      </c>
      <c r="J16" s="11">
        <v>6733</v>
      </c>
      <c r="K16" s="11">
        <v>21472</v>
      </c>
      <c r="L16" s="11">
        <v>0.47683448920481403</v>
      </c>
      <c r="M16" s="11">
        <v>47.683448920481311</v>
      </c>
      <c r="N16" s="11">
        <v>0.977639030056628</v>
      </c>
      <c r="O16" s="11">
        <v>1.4866545886751501</v>
      </c>
      <c r="P16" s="11">
        <v>0.97719594594594605</v>
      </c>
      <c r="Q16" s="11">
        <v>0.93617021276595702</v>
      </c>
      <c r="R16" s="11">
        <v>0.96644295302013405</v>
      </c>
      <c r="S16" s="10" t="s">
        <v>84</v>
      </c>
      <c r="T16" s="10" t="s">
        <v>84</v>
      </c>
      <c r="U16" s="10"/>
      <c r="V16" s="10"/>
      <c r="W16" s="10"/>
      <c r="X16" s="10"/>
      <c r="Y16" s="10"/>
      <c r="Z16" s="10"/>
      <c r="AA16" s="10"/>
    </row>
    <row r="17" spans="1:27" ht="12.5" x14ac:dyDescent="0.25">
      <c r="A17" s="10" t="s">
        <v>55</v>
      </c>
      <c r="B17" s="10" t="s">
        <v>238</v>
      </c>
      <c r="C17" s="10" t="s">
        <v>76</v>
      </c>
      <c r="D17" s="11">
        <v>2024</v>
      </c>
      <c r="E17" s="10" t="s">
        <v>124</v>
      </c>
      <c r="F17" s="10" t="s">
        <v>83</v>
      </c>
      <c r="G17" s="10" t="s">
        <v>84</v>
      </c>
      <c r="H17" s="12">
        <v>58382.916666666701</v>
      </c>
      <c r="I17" s="11">
        <v>27716</v>
      </c>
      <c r="J17" s="11">
        <v>30165</v>
      </c>
      <c r="K17" s="11">
        <v>280773</v>
      </c>
      <c r="L17" s="11">
        <v>0.47472790984805802</v>
      </c>
      <c r="M17" s="11">
        <v>47.472790984805748</v>
      </c>
      <c r="N17" s="11">
        <v>1.08836051378265</v>
      </c>
      <c r="O17" s="11">
        <v>4.8091636394778696</v>
      </c>
      <c r="P17" s="11">
        <v>0.97635135135135098</v>
      </c>
      <c r="Q17" s="11">
        <v>1</v>
      </c>
      <c r="R17" s="11">
        <v>0.96420581655480997</v>
      </c>
      <c r="S17" s="10" t="s">
        <v>84</v>
      </c>
      <c r="T17" s="10" t="s">
        <v>84</v>
      </c>
      <c r="U17" s="10"/>
      <c r="V17" s="10"/>
      <c r="W17" s="10"/>
      <c r="X17" s="10"/>
      <c r="Y17" s="10"/>
      <c r="Z17" s="10"/>
      <c r="AA17" s="10"/>
    </row>
    <row r="18" spans="1:27" ht="12.5" x14ac:dyDescent="0.25">
      <c r="A18" s="10" t="s">
        <v>29</v>
      </c>
      <c r="B18" s="10" t="s">
        <v>242</v>
      </c>
      <c r="C18" s="10" t="s">
        <v>76</v>
      </c>
      <c r="D18" s="11">
        <v>2024</v>
      </c>
      <c r="E18" s="10" t="s">
        <v>124</v>
      </c>
      <c r="F18" s="10" t="s">
        <v>83</v>
      </c>
      <c r="G18" s="10" t="s">
        <v>84</v>
      </c>
      <c r="H18" s="12">
        <v>1834.4166666666699</v>
      </c>
      <c r="I18" s="11">
        <v>845</v>
      </c>
      <c r="J18" s="11">
        <v>768</v>
      </c>
      <c r="K18" s="11">
        <v>3193</v>
      </c>
      <c r="L18" s="11">
        <v>0.46063689637941202</v>
      </c>
      <c r="M18" s="11">
        <v>46.063689637941138</v>
      </c>
      <c r="N18" s="11">
        <v>0.90887573964497004</v>
      </c>
      <c r="O18" s="11">
        <v>1.7406078226502499</v>
      </c>
      <c r="P18" s="11">
        <v>0.97550675675675702</v>
      </c>
      <c r="Q18" s="11">
        <v>0.97959183673469397</v>
      </c>
      <c r="R18" s="11">
        <v>0.961968680089485</v>
      </c>
      <c r="S18" s="10" t="s">
        <v>84</v>
      </c>
      <c r="T18" s="10" t="s">
        <v>84</v>
      </c>
      <c r="U18" s="10"/>
      <c r="V18" s="10"/>
      <c r="W18" s="10"/>
      <c r="X18" s="10"/>
      <c r="Y18" s="10"/>
      <c r="Z18" s="10"/>
      <c r="AA18" s="10"/>
    </row>
    <row r="19" spans="1:27" ht="12.5" x14ac:dyDescent="0.25">
      <c r="A19" s="10" t="s">
        <v>86</v>
      </c>
      <c r="B19" s="10" t="s">
        <v>262</v>
      </c>
      <c r="C19" s="10" t="s">
        <v>76</v>
      </c>
      <c r="D19" s="11">
        <v>2024</v>
      </c>
      <c r="E19" s="10" t="s">
        <v>124</v>
      </c>
      <c r="F19" s="10" t="s">
        <v>83</v>
      </c>
      <c r="G19" s="10" t="s">
        <v>84</v>
      </c>
      <c r="H19" s="12">
        <v>11973.416666666701</v>
      </c>
      <c r="I19" s="11">
        <v>5391</v>
      </c>
      <c r="J19" s="11">
        <v>5209</v>
      </c>
      <c r="K19" s="11">
        <v>44200</v>
      </c>
      <c r="L19" s="11">
        <v>0.45024742311091898</v>
      </c>
      <c r="M19" s="11">
        <v>45.024742311091806</v>
      </c>
      <c r="N19" s="11">
        <v>0.96624002967909495</v>
      </c>
      <c r="O19" s="11">
        <v>3.69151105574154</v>
      </c>
      <c r="P19" s="11">
        <v>0.97381756756756799</v>
      </c>
      <c r="Q19" s="11">
        <v>0.95652173913043503</v>
      </c>
      <c r="R19" s="11">
        <v>0.95973154362416102</v>
      </c>
      <c r="S19" s="10" t="s">
        <v>84</v>
      </c>
      <c r="T19" s="10" t="s">
        <v>84</v>
      </c>
      <c r="U19" s="10"/>
      <c r="V19" s="10"/>
      <c r="W19" s="10"/>
      <c r="X19" s="10"/>
      <c r="Y19" s="10"/>
      <c r="Z19" s="10"/>
      <c r="AA19" s="10"/>
    </row>
    <row r="20" spans="1:27" ht="12.5" x14ac:dyDescent="0.25">
      <c r="A20" s="10" t="s">
        <v>29</v>
      </c>
      <c r="B20" s="10" t="s">
        <v>169</v>
      </c>
      <c r="C20" s="10" t="s">
        <v>76</v>
      </c>
      <c r="D20" s="11">
        <v>2024</v>
      </c>
      <c r="E20" s="10" t="s">
        <v>124</v>
      </c>
      <c r="F20" s="10" t="s">
        <v>83</v>
      </c>
      <c r="G20" s="10" t="s">
        <v>84</v>
      </c>
      <c r="H20" s="12">
        <v>163693.16666666701</v>
      </c>
      <c r="I20" s="11">
        <v>73540</v>
      </c>
      <c r="J20" s="11">
        <v>72063</v>
      </c>
      <c r="K20" s="11">
        <v>326710</v>
      </c>
      <c r="L20" s="11">
        <v>0.44925516133334797</v>
      </c>
      <c r="M20" s="11">
        <v>44.925516133334732</v>
      </c>
      <c r="N20" s="11">
        <v>0.97991569214033203</v>
      </c>
      <c r="O20" s="11">
        <v>1.9958682860921699</v>
      </c>
      <c r="P20" s="11">
        <v>0.97297297297297303</v>
      </c>
      <c r="Q20" s="11">
        <v>0.95918367346938804</v>
      </c>
      <c r="R20" s="11">
        <v>0.95749440715883705</v>
      </c>
      <c r="S20" s="10" t="s">
        <v>84</v>
      </c>
      <c r="T20" s="10" t="s">
        <v>84</v>
      </c>
      <c r="U20" s="10"/>
      <c r="V20" s="10"/>
      <c r="W20" s="10"/>
      <c r="X20" s="10"/>
      <c r="Y20" s="10"/>
      <c r="Z20" s="10"/>
      <c r="AA20" s="10"/>
    </row>
    <row r="21" spans="1:27" ht="12.5" x14ac:dyDescent="0.25">
      <c r="A21" s="10" t="s">
        <v>13</v>
      </c>
      <c r="B21" s="10" t="s">
        <v>281</v>
      </c>
      <c r="C21" s="10" t="s">
        <v>76</v>
      </c>
      <c r="D21" s="11">
        <v>2024</v>
      </c>
      <c r="E21" s="10" t="s">
        <v>124</v>
      </c>
      <c r="F21" s="10" t="s">
        <v>125</v>
      </c>
      <c r="G21" s="10" t="s">
        <v>84</v>
      </c>
      <c r="H21" s="12">
        <v>4217.25</v>
      </c>
      <c r="I21" s="11">
        <v>1840</v>
      </c>
      <c r="J21" s="11">
        <v>1242</v>
      </c>
      <c r="K21" s="11">
        <v>2271</v>
      </c>
      <c r="L21" s="11">
        <v>0.43630327820261999</v>
      </c>
      <c r="M21" s="11">
        <v>43.630327820262025</v>
      </c>
      <c r="N21" s="11">
        <v>0.67500000000000004</v>
      </c>
      <c r="O21" s="11">
        <v>0.53850257869464702</v>
      </c>
      <c r="P21" s="11">
        <v>0.97212837837837796</v>
      </c>
      <c r="Q21" s="11">
        <v>0.85714285714285698</v>
      </c>
      <c r="R21" s="11">
        <v>0.95525727069351196</v>
      </c>
      <c r="S21" s="10" t="s">
        <v>84</v>
      </c>
      <c r="T21" s="10" t="s">
        <v>84</v>
      </c>
      <c r="U21" s="10"/>
      <c r="V21" s="10"/>
      <c r="W21" s="10"/>
      <c r="X21" s="10"/>
      <c r="Y21" s="10"/>
      <c r="Z21" s="10"/>
      <c r="AA21" s="10"/>
    </row>
    <row r="22" spans="1:27" ht="12.5" x14ac:dyDescent="0.25">
      <c r="A22" s="10" t="s">
        <v>52</v>
      </c>
      <c r="B22" s="10" t="s">
        <v>286</v>
      </c>
      <c r="C22" s="10" t="s">
        <v>76</v>
      </c>
      <c r="D22" s="11">
        <v>2024</v>
      </c>
      <c r="E22" s="10" t="s">
        <v>124</v>
      </c>
      <c r="F22" s="10" t="s">
        <v>125</v>
      </c>
      <c r="G22" s="10" t="s">
        <v>84</v>
      </c>
      <c r="H22" s="12">
        <v>2406.4166666666702</v>
      </c>
      <c r="I22" s="11">
        <v>1037</v>
      </c>
      <c r="J22" s="11">
        <v>990</v>
      </c>
      <c r="K22" s="11">
        <v>4529</v>
      </c>
      <c r="L22" s="11">
        <v>0.43093119091318399</v>
      </c>
      <c r="M22" s="11">
        <v>43.093119091318286</v>
      </c>
      <c r="N22" s="11">
        <v>0.95467695274831199</v>
      </c>
      <c r="O22" s="11">
        <v>1.88205145963916</v>
      </c>
      <c r="P22" s="11">
        <v>0.97128378378378399</v>
      </c>
      <c r="Q22" s="11">
        <v>0.97872340425531901</v>
      </c>
      <c r="R22" s="11">
        <v>0.95302013422818799</v>
      </c>
      <c r="S22" s="10" t="s">
        <v>84</v>
      </c>
      <c r="T22" s="10" t="s">
        <v>84</v>
      </c>
      <c r="U22" s="10"/>
      <c r="V22" s="10"/>
      <c r="W22" s="10"/>
      <c r="X22" s="10"/>
      <c r="Y22" s="10"/>
      <c r="Z22" s="10"/>
      <c r="AA22" s="10"/>
    </row>
    <row r="23" spans="1:27" ht="12.5" x14ac:dyDescent="0.25">
      <c r="A23" s="10" t="s">
        <v>86</v>
      </c>
      <c r="B23" s="10" t="s">
        <v>290</v>
      </c>
      <c r="C23" s="10" t="s">
        <v>76</v>
      </c>
      <c r="D23" s="11">
        <v>2024</v>
      </c>
      <c r="E23" s="10" t="s">
        <v>124</v>
      </c>
      <c r="F23" s="10" t="s">
        <v>83</v>
      </c>
      <c r="G23" s="10" t="s">
        <v>84</v>
      </c>
      <c r="H23" s="12">
        <v>75986.75</v>
      </c>
      <c r="I23" s="11">
        <v>31585</v>
      </c>
      <c r="J23" s="11">
        <v>27688</v>
      </c>
      <c r="K23" s="11">
        <v>40428</v>
      </c>
      <c r="L23" s="11">
        <v>0.415664573099915</v>
      </c>
      <c r="M23" s="11">
        <v>41.566457309991542</v>
      </c>
      <c r="N23" s="11">
        <v>0.87661864809244905</v>
      </c>
      <c r="O23" s="11">
        <v>0.53204012541660195</v>
      </c>
      <c r="P23" s="11">
        <v>0.96959459459459496</v>
      </c>
      <c r="Q23" s="11">
        <v>0.934782608695652</v>
      </c>
      <c r="R23" s="11">
        <v>0.95078299776286401</v>
      </c>
      <c r="S23" s="10" t="s">
        <v>84</v>
      </c>
      <c r="T23" s="10" t="s">
        <v>84</v>
      </c>
      <c r="U23" s="10"/>
      <c r="V23" s="10"/>
      <c r="W23" s="10"/>
      <c r="X23" s="10"/>
      <c r="Y23" s="10"/>
      <c r="Z23" s="10"/>
      <c r="AA23" s="10"/>
    </row>
    <row r="24" spans="1:27" ht="12.5" x14ac:dyDescent="0.25">
      <c r="A24" s="10" t="s">
        <v>26</v>
      </c>
      <c r="B24" s="10" t="s">
        <v>295</v>
      </c>
      <c r="C24" s="10" t="s">
        <v>76</v>
      </c>
      <c r="D24" s="11">
        <v>2024</v>
      </c>
      <c r="E24" s="10" t="s">
        <v>124</v>
      </c>
      <c r="F24" s="10" t="s">
        <v>83</v>
      </c>
      <c r="G24" s="10" t="s">
        <v>84</v>
      </c>
      <c r="H24" s="12">
        <v>35586.916666666701</v>
      </c>
      <c r="I24" s="11">
        <v>14584</v>
      </c>
      <c r="J24" s="11">
        <v>14171</v>
      </c>
      <c r="K24" s="11">
        <v>0</v>
      </c>
      <c r="L24" s="11">
        <v>0.40981353165840401</v>
      </c>
      <c r="M24" s="11">
        <v>40.981353165840403</v>
      </c>
      <c r="N24" s="11">
        <v>0.97168129456939101</v>
      </c>
      <c r="O24" s="11">
        <v>0</v>
      </c>
      <c r="P24" s="11">
        <v>0.96875</v>
      </c>
      <c r="Q24" s="11">
        <v>0.96153846153846201</v>
      </c>
      <c r="R24" s="11">
        <v>0.94854586129753904</v>
      </c>
      <c r="S24" s="10" t="s">
        <v>84</v>
      </c>
      <c r="T24" s="10" t="s">
        <v>84</v>
      </c>
      <c r="U24" s="10"/>
      <c r="V24" s="10"/>
      <c r="W24" s="10"/>
      <c r="X24" s="10"/>
      <c r="Y24" s="10"/>
      <c r="Z24" s="10"/>
      <c r="AA24" s="10"/>
    </row>
    <row r="25" spans="1:27" ht="12.5" x14ac:dyDescent="0.25">
      <c r="A25" s="10" t="s">
        <v>36</v>
      </c>
      <c r="B25" s="10" t="s">
        <v>302</v>
      </c>
      <c r="C25" s="10" t="s">
        <v>76</v>
      </c>
      <c r="D25" s="11">
        <v>2024</v>
      </c>
      <c r="E25" s="10" t="s">
        <v>124</v>
      </c>
      <c r="F25" s="10" t="s">
        <v>83</v>
      </c>
      <c r="G25" s="10" t="s">
        <v>84</v>
      </c>
      <c r="H25" s="12">
        <v>13593.75</v>
      </c>
      <c r="I25" s="11">
        <v>5484</v>
      </c>
      <c r="J25" s="11">
        <v>3716</v>
      </c>
      <c r="K25" s="11">
        <v>44426</v>
      </c>
      <c r="L25" s="11">
        <v>0.40342068965517203</v>
      </c>
      <c r="M25" s="11">
        <v>40.342068965517242</v>
      </c>
      <c r="N25" s="11">
        <v>0.67760758570386603</v>
      </c>
      <c r="O25" s="11">
        <v>3.2681195402298902</v>
      </c>
      <c r="P25" s="11">
        <v>0.96790540540540504</v>
      </c>
      <c r="Q25" s="11">
        <v>0.91489361702127703</v>
      </c>
      <c r="R25" s="11">
        <v>0.94630872483221495</v>
      </c>
      <c r="S25" s="10" t="s">
        <v>84</v>
      </c>
      <c r="T25" s="10" t="s">
        <v>84</v>
      </c>
      <c r="U25" s="10"/>
      <c r="V25" s="10"/>
      <c r="W25" s="10"/>
      <c r="X25" s="10"/>
      <c r="Y25" s="10"/>
      <c r="Z25" s="10"/>
      <c r="AA25" s="10"/>
    </row>
    <row r="26" spans="1:27" ht="12.5" x14ac:dyDescent="0.25">
      <c r="A26" s="10" t="s">
        <v>13</v>
      </c>
      <c r="B26" s="10" t="s">
        <v>307</v>
      </c>
      <c r="C26" s="10" t="s">
        <v>76</v>
      </c>
      <c r="D26" s="11">
        <v>2024</v>
      </c>
      <c r="E26" s="10" t="s">
        <v>124</v>
      </c>
      <c r="F26" s="10" t="s">
        <v>83</v>
      </c>
      <c r="G26" s="10" t="s">
        <v>84</v>
      </c>
      <c r="H26" s="12">
        <v>21483.75</v>
      </c>
      <c r="I26" s="11">
        <v>8609</v>
      </c>
      <c r="J26" s="11">
        <v>7979</v>
      </c>
      <c r="K26" s="11">
        <v>0</v>
      </c>
      <c r="L26" s="11">
        <v>0.40072147553383403</v>
      </c>
      <c r="M26" s="11">
        <v>40.072147553383367</v>
      </c>
      <c r="N26" s="11">
        <v>0.92682076896271304</v>
      </c>
      <c r="O26" s="11">
        <v>0</v>
      </c>
      <c r="P26" s="11">
        <v>0.96706081081081097</v>
      </c>
      <c r="Q26" s="11">
        <v>0.80952380952380998</v>
      </c>
      <c r="R26" s="11">
        <v>0.94407158836688998</v>
      </c>
      <c r="S26" s="10" t="s">
        <v>84</v>
      </c>
      <c r="T26" s="10" t="s">
        <v>84</v>
      </c>
      <c r="U26" s="10"/>
      <c r="V26" s="10"/>
      <c r="W26" s="10"/>
      <c r="X26" s="10"/>
      <c r="Y26" s="10"/>
      <c r="Z26" s="10"/>
      <c r="AA26" s="10"/>
    </row>
    <row r="27" spans="1:27" ht="12.5" x14ac:dyDescent="0.25">
      <c r="A27" s="10" t="s">
        <v>26</v>
      </c>
      <c r="B27" s="10" t="s">
        <v>313</v>
      </c>
      <c r="C27" s="10" t="s">
        <v>76</v>
      </c>
      <c r="D27" s="11">
        <v>2024</v>
      </c>
      <c r="E27" s="10" t="s">
        <v>124</v>
      </c>
      <c r="F27" s="10" t="s">
        <v>83</v>
      </c>
      <c r="G27" s="10" t="s">
        <v>84</v>
      </c>
      <c r="H27" s="12">
        <v>10198.5</v>
      </c>
      <c r="I27" s="11">
        <v>3750</v>
      </c>
      <c r="J27" s="11">
        <v>3520</v>
      </c>
      <c r="K27" s="11">
        <v>2618</v>
      </c>
      <c r="L27" s="11">
        <v>0.36770113251948799</v>
      </c>
      <c r="M27" s="11">
        <v>36.770113251948814</v>
      </c>
      <c r="N27" s="11">
        <v>0.93866666666666698</v>
      </c>
      <c r="O27" s="11">
        <v>0.25670441731627203</v>
      </c>
      <c r="P27" s="11">
        <v>0.96452702702702697</v>
      </c>
      <c r="Q27" s="11">
        <v>0.92307692307692302</v>
      </c>
      <c r="R27" s="11">
        <v>0.94183445190156601</v>
      </c>
      <c r="S27" s="10" t="s">
        <v>84</v>
      </c>
      <c r="T27" s="10" t="s">
        <v>84</v>
      </c>
      <c r="U27" s="10"/>
      <c r="V27" s="10"/>
      <c r="W27" s="10"/>
      <c r="X27" s="10"/>
      <c r="Y27" s="10"/>
      <c r="Z27" s="10"/>
      <c r="AA27" s="10"/>
    </row>
    <row r="28" spans="1:27" ht="12.5" x14ac:dyDescent="0.25">
      <c r="A28" s="10" t="s">
        <v>36</v>
      </c>
      <c r="B28" s="10" t="s">
        <v>318</v>
      </c>
      <c r="C28" s="10" t="s">
        <v>76</v>
      </c>
      <c r="D28" s="11">
        <v>2024</v>
      </c>
      <c r="E28" s="10" t="s">
        <v>124</v>
      </c>
      <c r="F28" s="10" t="s">
        <v>83</v>
      </c>
      <c r="G28" s="10" t="s">
        <v>84</v>
      </c>
      <c r="H28" s="12">
        <v>19410.833333333299</v>
      </c>
      <c r="I28" s="11">
        <v>7103</v>
      </c>
      <c r="J28" s="11">
        <v>6889</v>
      </c>
      <c r="K28" s="11">
        <v>20503</v>
      </c>
      <c r="L28" s="11">
        <v>0.36592967844416802</v>
      </c>
      <c r="M28" s="11">
        <v>36.59296784441684</v>
      </c>
      <c r="N28" s="11">
        <v>0.96987188511896405</v>
      </c>
      <c r="O28" s="11">
        <v>1.05626583093633</v>
      </c>
      <c r="P28" s="11">
        <v>0.96368243243243201</v>
      </c>
      <c r="Q28" s="11">
        <v>0.89361702127659604</v>
      </c>
      <c r="R28" s="11">
        <v>0.93959731543624203</v>
      </c>
      <c r="S28" s="10" t="s">
        <v>84</v>
      </c>
      <c r="T28" s="10" t="s">
        <v>84</v>
      </c>
      <c r="U28" s="10"/>
      <c r="V28" s="10"/>
      <c r="W28" s="10"/>
      <c r="X28" s="10"/>
      <c r="Y28" s="10"/>
      <c r="Z28" s="10"/>
      <c r="AA28" s="10"/>
    </row>
    <row r="29" spans="1:27" ht="12.5" x14ac:dyDescent="0.25">
      <c r="A29" s="10" t="s">
        <v>16</v>
      </c>
      <c r="B29" s="10" t="s">
        <v>321</v>
      </c>
      <c r="C29" s="10" t="s">
        <v>76</v>
      </c>
      <c r="D29" s="11">
        <v>2024</v>
      </c>
      <c r="E29" s="10" t="s">
        <v>124</v>
      </c>
      <c r="F29" s="10" t="s">
        <v>83</v>
      </c>
      <c r="G29" s="10" t="s">
        <v>84</v>
      </c>
      <c r="H29" s="12">
        <v>11196.166666666701</v>
      </c>
      <c r="I29" s="11">
        <v>4001</v>
      </c>
      <c r="J29" s="11">
        <v>3695</v>
      </c>
      <c r="K29" s="11">
        <v>4080</v>
      </c>
      <c r="L29" s="11">
        <v>0.357354451672447</v>
      </c>
      <c r="M29" s="11">
        <v>35.735445167244634</v>
      </c>
      <c r="N29" s="11">
        <v>0.92351912021994498</v>
      </c>
      <c r="O29" s="11">
        <v>0.36441043809637202</v>
      </c>
      <c r="P29" s="11">
        <v>0.96283783783783805</v>
      </c>
      <c r="Q29" s="11">
        <v>0.96666666666666701</v>
      </c>
      <c r="R29" s="11">
        <v>0.93736017897091695</v>
      </c>
      <c r="S29" s="10" t="s">
        <v>84</v>
      </c>
      <c r="T29" s="10" t="s">
        <v>84</v>
      </c>
      <c r="U29" s="10"/>
      <c r="V29" s="10"/>
      <c r="W29" s="10"/>
      <c r="X29" s="10"/>
      <c r="Y29" s="10"/>
      <c r="Z29" s="10"/>
      <c r="AA29" s="10"/>
    </row>
    <row r="30" spans="1:27" ht="12.5" x14ac:dyDescent="0.25">
      <c r="A30" s="10" t="s">
        <v>86</v>
      </c>
      <c r="B30" s="10" t="s">
        <v>328</v>
      </c>
      <c r="C30" s="10" t="s">
        <v>76</v>
      </c>
      <c r="D30" s="11">
        <v>2024</v>
      </c>
      <c r="E30" s="10" t="s">
        <v>124</v>
      </c>
      <c r="F30" s="10" t="s">
        <v>83</v>
      </c>
      <c r="G30" s="10" t="s">
        <v>84</v>
      </c>
      <c r="H30" s="12">
        <v>27007.75</v>
      </c>
      <c r="I30" s="11">
        <v>9598</v>
      </c>
      <c r="J30" s="11">
        <v>9420</v>
      </c>
      <c r="K30" s="11">
        <v>144990</v>
      </c>
      <c r="L30" s="11">
        <v>0.35537947441012302</v>
      </c>
      <c r="M30" s="11">
        <v>35.5379474410123</v>
      </c>
      <c r="N30" s="11">
        <v>0.98145446968118399</v>
      </c>
      <c r="O30" s="11">
        <v>5.3684590534198504</v>
      </c>
      <c r="P30" s="11">
        <v>0.96114864864864902</v>
      </c>
      <c r="Q30" s="11">
        <v>0.91304347826086996</v>
      </c>
      <c r="R30" s="11">
        <v>0.93512304250559297</v>
      </c>
      <c r="S30" s="10" t="s">
        <v>84</v>
      </c>
      <c r="T30" s="10" t="s">
        <v>84</v>
      </c>
      <c r="U30" s="10"/>
      <c r="V30" s="10"/>
      <c r="W30" s="10"/>
      <c r="X30" s="10"/>
      <c r="Y30" s="10"/>
      <c r="Z30" s="10"/>
      <c r="AA30" s="10"/>
    </row>
    <row r="31" spans="1:27" ht="12.5" x14ac:dyDescent="0.25">
      <c r="A31" s="10" t="s">
        <v>104</v>
      </c>
      <c r="B31" s="10" t="s">
        <v>332</v>
      </c>
      <c r="C31" s="10" t="s">
        <v>76</v>
      </c>
      <c r="D31" s="11">
        <v>2024</v>
      </c>
      <c r="E31" s="10" t="s">
        <v>124</v>
      </c>
      <c r="F31" s="10" t="s">
        <v>83</v>
      </c>
      <c r="G31" s="10" t="s">
        <v>84</v>
      </c>
      <c r="H31" s="12">
        <v>16969.916666666701</v>
      </c>
      <c r="I31" s="11">
        <v>5906</v>
      </c>
      <c r="J31" s="11">
        <v>5690</v>
      </c>
      <c r="K31" s="11">
        <v>29103</v>
      </c>
      <c r="L31" s="11">
        <v>0.34802763714219798</v>
      </c>
      <c r="M31" s="11">
        <v>34.802763714219701</v>
      </c>
      <c r="N31" s="11">
        <v>0.963427023366068</v>
      </c>
      <c r="O31" s="11">
        <v>1.71497601147128</v>
      </c>
      <c r="P31" s="11">
        <v>0.96030405405405395</v>
      </c>
      <c r="Q31" s="11">
        <v>1</v>
      </c>
      <c r="R31" s="11">
        <v>0.932885906040268</v>
      </c>
      <c r="S31" s="10" t="s">
        <v>84</v>
      </c>
      <c r="T31" s="10" t="s">
        <v>84</v>
      </c>
      <c r="U31" s="10"/>
      <c r="V31" s="10"/>
      <c r="W31" s="10"/>
      <c r="X31" s="10"/>
      <c r="Y31" s="10"/>
      <c r="Z31" s="10"/>
      <c r="AA31" s="10"/>
    </row>
    <row r="32" spans="1:27" ht="12.5" x14ac:dyDescent="0.25">
      <c r="A32" s="10" t="s">
        <v>40</v>
      </c>
      <c r="B32" s="10" t="s">
        <v>337</v>
      </c>
      <c r="C32" s="10" t="s">
        <v>76</v>
      </c>
      <c r="D32" s="11">
        <v>2024</v>
      </c>
      <c r="E32" s="10" t="s">
        <v>124</v>
      </c>
      <c r="F32" s="10" t="s">
        <v>83</v>
      </c>
      <c r="G32" s="10" t="s">
        <v>84</v>
      </c>
      <c r="H32" s="12">
        <v>9071.4166666666697</v>
      </c>
      <c r="I32" s="11">
        <v>3089</v>
      </c>
      <c r="J32" s="11">
        <v>3069</v>
      </c>
      <c r="K32" s="11">
        <v>0</v>
      </c>
      <c r="L32" s="11">
        <v>0.34052013191618402</v>
      </c>
      <c r="M32" s="11">
        <v>34.05201319161835</v>
      </c>
      <c r="N32" s="11">
        <v>0.993525412754937</v>
      </c>
      <c r="O32" s="11">
        <v>0</v>
      </c>
      <c r="P32" s="11">
        <v>0.95608108108108103</v>
      </c>
      <c r="Q32" s="11">
        <v>1</v>
      </c>
      <c r="R32" s="11">
        <v>0.93064876957494402</v>
      </c>
      <c r="S32" s="10" t="s">
        <v>84</v>
      </c>
      <c r="T32" s="10" t="s">
        <v>84</v>
      </c>
      <c r="U32" s="10"/>
      <c r="V32" s="10"/>
      <c r="W32" s="10"/>
      <c r="X32" s="10"/>
      <c r="Y32" s="10"/>
      <c r="Z32" s="10"/>
      <c r="AA32" s="10"/>
    </row>
    <row r="33" spans="1:27" ht="12.5" x14ac:dyDescent="0.25">
      <c r="A33" s="10" t="s">
        <v>16</v>
      </c>
      <c r="B33" s="10" t="s">
        <v>342</v>
      </c>
      <c r="C33" s="10" t="s">
        <v>76</v>
      </c>
      <c r="D33" s="11">
        <v>2024</v>
      </c>
      <c r="E33" s="10" t="s">
        <v>124</v>
      </c>
      <c r="F33" s="10" t="s">
        <v>83</v>
      </c>
      <c r="G33" s="10" t="s">
        <v>84</v>
      </c>
      <c r="H33" s="12">
        <v>80031.5</v>
      </c>
      <c r="I33" s="11">
        <v>26907</v>
      </c>
      <c r="J33" s="11">
        <v>25619</v>
      </c>
      <c r="K33" s="11">
        <v>232113</v>
      </c>
      <c r="L33" s="11">
        <v>0.33620511923430202</v>
      </c>
      <c r="M33" s="11">
        <v>33.620511923430151</v>
      </c>
      <c r="N33" s="11">
        <v>0.95213141561675396</v>
      </c>
      <c r="O33" s="11">
        <v>2.9002705184833499</v>
      </c>
      <c r="P33" s="11">
        <v>0.95523648648648696</v>
      </c>
      <c r="Q33" s="11">
        <v>0.93333333333333302</v>
      </c>
      <c r="R33" s="11">
        <v>0.92841163310962005</v>
      </c>
      <c r="S33" s="10" t="s">
        <v>84</v>
      </c>
      <c r="T33" s="10" t="s">
        <v>84</v>
      </c>
      <c r="U33" s="10"/>
      <c r="V33" s="10"/>
      <c r="W33" s="10"/>
      <c r="X33" s="10"/>
      <c r="Y33" s="10"/>
      <c r="Z33" s="10"/>
      <c r="AA33" s="10"/>
    </row>
    <row r="34" spans="1:27" ht="12.5" x14ac:dyDescent="0.25">
      <c r="A34" s="10" t="s">
        <v>10</v>
      </c>
      <c r="B34" s="10" t="s">
        <v>345</v>
      </c>
      <c r="C34" s="10" t="s">
        <v>76</v>
      </c>
      <c r="D34" s="11">
        <v>2024</v>
      </c>
      <c r="E34" s="10" t="s">
        <v>124</v>
      </c>
      <c r="F34" s="10" t="s">
        <v>125</v>
      </c>
      <c r="G34" s="10" t="s">
        <v>84</v>
      </c>
      <c r="H34" s="12">
        <v>378.16666666666703</v>
      </c>
      <c r="I34" s="11">
        <v>126</v>
      </c>
      <c r="J34" s="11">
        <v>83</v>
      </c>
      <c r="K34" s="11">
        <v>142</v>
      </c>
      <c r="L34" s="11">
        <v>0.333186425738211</v>
      </c>
      <c r="M34" s="11">
        <v>33.31864257382103</v>
      </c>
      <c r="N34" s="11">
        <v>0.65873015873015905</v>
      </c>
      <c r="O34" s="11">
        <v>0.37549581313353902</v>
      </c>
      <c r="P34" s="11">
        <v>0.954391891891892</v>
      </c>
      <c r="Q34" s="11">
        <v>0.9</v>
      </c>
      <c r="R34" s="11">
        <v>0.92617449664429496</v>
      </c>
      <c r="S34" s="10" t="s">
        <v>84</v>
      </c>
      <c r="T34" s="10" t="s">
        <v>84</v>
      </c>
      <c r="U34" s="10"/>
      <c r="V34" s="10"/>
      <c r="W34" s="10"/>
      <c r="X34" s="10"/>
      <c r="Y34" s="10"/>
      <c r="Z34" s="10"/>
      <c r="AA34" s="10"/>
    </row>
    <row r="35" spans="1:27" ht="12.5" x14ac:dyDescent="0.25">
      <c r="A35" s="10" t="s">
        <v>55</v>
      </c>
      <c r="B35" s="10" t="s">
        <v>350</v>
      </c>
      <c r="C35" s="10" t="s">
        <v>76</v>
      </c>
      <c r="D35" s="11">
        <v>2024</v>
      </c>
      <c r="E35" s="10" t="s">
        <v>124</v>
      </c>
      <c r="F35" s="10" t="s">
        <v>83</v>
      </c>
      <c r="G35" s="10" t="s">
        <v>84</v>
      </c>
      <c r="H35" s="12">
        <v>10422.166666666701</v>
      </c>
      <c r="I35" s="11">
        <v>3314</v>
      </c>
      <c r="J35" s="11">
        <v>3118</v>
      </c>
      <c r="K35" s="11">
        <v>24340</v>
      </c>
      <c r="L35" s="11">
        <v>0.31797610861465098</v>
      </c>
      <c r="M35" s="11">
        <v>31.797610861465042</v>
      </c>
      <c r="N35" s="11">
        <v>0.94085697042848504</v>
      </c>
      <c r="O35" s="11">
        <v>2.33540690515408</v>
      </c>
      <c r="P35" s="11">
        <v>0.951858108108108</v>
      </c>
      <c r="Q35" s="11">
        <v>0.95454545454545503</v>
      </c>
      <c r="R35" s="11">
        <v>0.92393736017897099</v>
      </c>
      <c r="S35" s="10" t="s">
        <v>84</v>
      </c>
      <c r="T35" s="10" t="s">
        <v>84</v>
      </c>
      <c r="U35" s="10"/>
      <c r="V35" s="10"/>
      <c r="W35" s="10"/>
      <c r="X35" s="10"/>
      <c r="Y35" s="10"/>
      <c r="Z35" s="10"/>
      <c r="AA35" s="10"/>
    </row>
    <row r="36" spans="1:27" ht="12.5" x14ac:dyDescent="0.25">
      <c r="A36" s="10" t="s">
        <v>14</v>
      </c>
      <c r="B36" s="10" t="s">
        <v>354</v>
      </c>
      <c r="C36" s="10" t="s">
        <v>76</v>
      </c>
      <c r="D36" s="11">
        <v>2024</v>
      </c>
      <c r="E36" s="10" t="s">
        <v>124</v>
      </c>
      <c r="F36" s="10" t="s">
        <v>83</v>
      </c>
      <c r="G36" s="10" t="s">
        <v>84</v>
      </c>
      <c r="H36" s="12">
        <v>26722.333333333299</v>
      </c>
      <c r="I36" s="11">
        <v>8497</v>
      </c>
      <c r="J36" s="11">
        <v>7466</v>
      </c>
      <c r="K36" s="11">
        <v>63695</v>
      </c>
      <c r="L36" s="11">
        <v>0.31797372983896099</v>
      </c>
      <c r="M36" s="11">
        <v>31.797372983896153</v>
      </c>
      <c r="N36" s="11">
        <v>0.87866305754972296</v>
      </c>
      <c r="O36" s="11">
        <v>2.3835867626330001</v>
      </c>
      <c r="P36" s="11">
        <v>0.95101351351351304</v>
      </c>
      <c r="Q36" s="11">
        <v>0.92857142857142905</v>
      </c>
      <c r="R36" s="11">
        <v>0.92170022371364702</v>
      </c>
      <c r="S36" s="10" t="s">
        <v>84</v>
      </c>
      <c r="T36" s="10" t="s">
        <v>84</v>
      </c>
      <c r="U36" s="10"/>
      <c r="V36" s="10"/>
      <c r="W36" s="10"/>
      <c r="X36" s="10"/>
      <c r="Y36" s="10"/>
      <c r="Z36" s="10"/>
      <c r="AA36" s="10"/>
    </row>
    <row r="37" spans="1:27" ht="12.5" x14ac:dyDescent="0.25">
      <c r="A37" s="10" t="s">
        <v>86</v>
      </c>
      <c r="B37" s="10" t="s">
        <v>358</v>
      </c>
      <c r="C37" s="10" t="s">
        <v>76</v>
      </c>
      <c r="D37" s="11">
        <v>2024</v>
      </c>
      <c r="E37" s="10" t="s">
        <v>124</v>
      </c>
      <c r="F37" s="10" t="s">
        <v>83</v>
      </c>
      <c r="G37" s="10" t="s">
        <v>84</v>
      </c>
      <c r="H37" s="12">
        <v>32076.5</v>
      </c>
      <c r="I37" s="11">
        <v>10078</v>
      </c>
      <c r="J37" s="11">
        <v>7379</v>
      </c>
      <c r="K37" s="11">
        <v>86405</v>
      </c>
      <c r="L37" s="11">
        <v>0.31418639814194199</v>
      </c>
      <c r="M37" s="11">
        <v>31.418639814194194</v>
      </c>
      <c r="N37" s="11">
        <v>0.73218892637428101</v>
      </c>
      <c r="O37" s="11">
        <v>2.6937165837918702</v>
      </c>
      <c r="P37" s="11">
        <v>0.95016891891891897</v>
      </c>
      <c r="Q37" s="11">
        <v>0.89130434782608703</v>
      </c>
      <c r="R37" s="11">
        <v>0.91946308724832204</v>
      </c>
      <c r="S37" s="10" t="s">
        <v>84</v>
      </c>
      <c r="T37" s="10" t="s">
        <v>84</v>
      </c>
      <c r="U37" s="10"/>
      <c r="V37" s="10"/>
      <c r="W37" s="10"/>
      <c r="X37" s="10"/>
      <c r="Y37" s="10"/>
      <c r="Z37" s="10"/>
      <c r="AA37" s="10"/>
    </row>
    <row r="38" spans="1:27" ht="12.5" x14ac:dyDescent="0.25">
      <c r="A38" s="10" t="s">
        <v>49</v>
      </c>
      <c r="B38" s="10" t="s">
        <v>362</v>
      </c>
      <c r="C38" s="10" t="s">
        <v>76</v>
      </c>
      <c r="D38" s="11">
        <v>2024</v>
      </c>
      <c r="E38" s="10" t="s">
        <v>124</v>
      </c>
      <c r="F38" s="10" t="s">
        <v>83</v>
      </c>
      <c r="G38" s="10" t="s">
        <v>84</v>
      </c>
      <c r="H38" s="12">
        <v>87404.416666666701</v>
      </c>
      <c r="I38" s="11">
        <v>27372</v>
      </c>
      <c r="J38" s="11">
        <v>24199</v>
      </c>
      <c r="K38" s="11">
        <v>111873</v>
      </c>
      <c r="L38" s="11">
        <v>0.313164952572</v>
      </c>
      <c r="M38" s="11">
        <v>31.316495257199996</v>
      </c>
      <c r="N38" s="11">
        <v>0.88407862048809005</v>
      </c>
      <c r="O38" s="11">
        <v>1.27994676089023</v>
      </c>
      <c r="P38" s="11">
        <v>0.94932432432432401</v>
      </c>
      <c r="Q38" s="11">
        <v>0.96153846153846201</v>
      </c>
      <c r="R38" s="11">
        <v>0.91722595078299796</v>
      </c>
      <c r="S38" s="10" t="s">
        <v>84</v>
      </c>
      <c r="T38" s="10" t="s">
        <v>84</v>
      </c>
      <c r="U38" s="10"/>
      <c r="V38" s="10"/>
      <c r="W38" s="10"/>
      <c r="X38" s="10"/>
      <c r="Y38" s="10"/>
      <c r="Z38" s="10"/>
      <c r="AA38" s="10"/>
    </row>
    <row r="39" spans="1:27" ht="12.5" x14ac:dyDescent="0.25">
      <c r="A39" s="10" t="s">
        <v>16</v>
      </c>
      <c r="B39" s="10" t="s">
        <v>366</v>
      </c>
      <c r="C39" s="10" t="s">
        <v>76</v>
      </c>
      <c r="D39" s="11">
        <v>2024</v>
      </c>
      <c r="E39" s="10" t="s">
        <v>124</v>
      </c>
      <c r="F39" s="10" t="s">
        <v>83</v>
      </c>
      <c r="G39" s="10" t="s">
        <v>84</v>
      </c>
      <c r="H39" s="12">
        <v>24308.583333333299</v>
      </c>
      <c r="I39" s="11">
        <v>7592</v>
      </c>
      <c r="J39" s="11">
        <v>6233</v>
      </c>
      <c r="K39" s="11">
        <v>89573</v>
      </c>
      <c r="L39" s="11">
        <v>0.31231766557080298</v>
      </c>
      <c r="M39" s="11">
        <v>31.231766557080359</v>
      </c>
      <c r="N39" s="11">
        <v>0.82099578503688098</v>
      </c>
      <c r="O39" s="11">
        <v>3.6848301183052601</v>
      </c>
      <c r="P39" s="11">
        <v>0.94847972972973005</v>
      </c>
      <c r="Q39" s="11">
        <v>0.9</v>
      </c>
      <c r="R39" s="11">
        <v>0.91498881431767298</v>
      </c>
      <c r="S39" s="10" t="s">
        <v>84</v>
      </c>
      <c r="T39" s="10" t="s">
        <v>84</v>
      </c>
      <c r="U39" s="10"/>
      <c r="V39" s="10"/>
      <c r="W39" s="10"/>
      <c r="X39" s="10"/>
      <c r="Y39" s="10"/>
      <c r="Z39" s="10"/>
      <c r="AA39" s="10"/>
    </row>
    <row r="40" spans="1:27" ht="12.5" x14ac:dyDescent="0.25">
      <c r="A40" s="10" t="s">
        <v>26</v>
      </c>
      <c r="B40" s="10" t="s">
        <v>370</v>
      </c>
      <c r="C40" s="10" t="s">
        <v>76</v>
      </c>
      <c r="D40" s="11">
        <v>2024</v>
      </c>
      <c r="E40" s="10" t="s">
        <v>124</v>
      </c>
      <c r="F40" s="10" t="s">
        <v>83</v>
      </c>
      <c r="G40" s="10" t="s">
        <v>84</v>
      </c>
      <c r="H40" s="12">
        <v>9786.8333333333303</v>
      </c>
      <c r="I40" s="11">
        <v>3038</v>
      </c>
      <c r="J40" s="11">
        <v>601</v>
      </c>
      <c r="K40" s="11">
        <v>21153</v>
      </c>
      <c r="L40" s="11">
        <v>0.31041705693022897</v>
      </c>
      <c r="M40" s="11">
        <v>31.041705693022948</v>
      </c>
      <c r="N40" s="11">
        <v>0.197827518104016</v>
      </c>
      <c r="O40" s="11">
        <v>2.1613732736159101</v>
      </c>
      <c r="P40" s="11">
        <v>0.94763513513513498</v>
      </c>
      <c r="Q40" s="11">
        <v>0.88461538461538503</v>
      </c>
      <c r="R40" s="11">
        <v>0.91275167785234901</v>
      </c>
      <c r="S40" s="10" t="s">
        <v>84</v>
      </c>
      <c r="T40" s="10" t="s">
        <v>84</v>
      </c>
      <c r="U40" s="10"/>
      <c r="V40" s="10"/>
      <c r="W40" s="10"/>
      <c r="X40" s="10"/>
      <c r="Y40" s="10"/>
      <c r="Z40" s="10"/>
      <c r="AA40" s="10"/>
    </row>
    <row r="41" spans="1:27" ht="12.5" x14ac:dyDescent="0.25">
      <c r="A41" s="10" t="s">
        <v>16</v>
      </c>
      <c r="B41" s="10" t="s">
        <v>372</v>
      </c>
      <c r="C41" s="10" t="s">
        <v>76</v>
      </c>
      <c r="D41" s="11">
        <v>2024</v>
      </c>
      <c r="E41" s="10" t="s">
        <v>124</v>
      </c>
      <c r="F41" s="10" t="s">
        <v>83</v>
      </c>
      <c r="G41" s="10" t="s">
        <v>84</v>
      </c>
      <c r="H41" s="12">
        <v>108476.16666666701</v>
      </c>
      <c r="I41" s="11">
        <v>33605</v>
      </c>
      <c r="J41" s="11">
        <v>32622</v>
      </c>
      <c r="K41" s="11">
        <v>64033</v>
      </c>
      <c r="L41" s="11">
        <v>0.30979155175407203</v>
      </c>
      <c r="M41" s="11">
        <v>30.979155175407097</v>
      </c>
      <c r="N41" s="11">
        <v>0.97074840053563505</v>
      </c>
      <c r="O41" s="11">
        <v>0.59029556415618201</v>
      </c>
      <c r="P41" s="11">
        <v>0.94679054054054101</v>
      </c>
      <c r="Q41" s="11">
        <v>0.86666666666666703</v>
      </c>
      <c r="R41" s="11">
        <v>0.91051454138702503</v>
      </c>
      <c r="S41" s="10" t="s">
        <v>84</v>
      </c>
      <c r="T41" s="10" t="s">
        <v>84</v>
      </c>
      <c r="U41" s="10"/>
      <c r="V41" s="10"/>
      <c r="W41" s="10"/>
      <c r="X41" s="10"/>
      <c r="Y41" s="10"/>
      <c r="Z41" s="10"/>
      <c r="AA41" s="10"/>
    </row>
    <row r="42" spans="1:27" ht="12.5" x14ac:dyDescent="0.25">
      <c r="A42" s="10" t="s">
        <v>29</v>
      </c>
      <c r="B42" s="10" t="s">
        <v>375</v>
      </c>
      <c r="C42" s="10" t="s">
        <v>76</v>
      </c>
      <c r="D42" s="11">
        <v>2024</v>
      </c>
      <c r="E42" s="10" t="s">
        <v>124</v>
      </c>
      <c r="F42" s="10" t="s">
        <v>83</v>
      </c>
      <c r="G42" s="10" t="s">
        <v>84</v>
      </c>
      <c r="H42" s="12">
        <v>31148.833333333299</v>
      </c>
      <c r="I42" s="11">
        <v>9518</v>
      </c>
      <c r="J42" s="11">
        <v>6736</v>
      </c>
      <c r="K42" s="11">
        <v>9847</v>
      </c>
      <c r="L42" s="11">
        <v>0.30556521646075602</v>
      </c>
      <c r="M42" s="11">
        <v>30.556521646075595</v>
      </c>
      <c r="N42" s="11">
        <v>0.707711704139525</v>
      </c>
      <c r="O42" s="11">
        <v>0.31612740980132997</v>
      </c>
      <c r="P42" s="11">
        <v>0.94594594594594605</v>
      </c>
      <c r="Q42" s="11">
        <v>0.91836734693877597</v>
      </c>
      <c r="R42" s="11">
        <v>0.90827740492169995</v>
      </c>
      <c r="S42" s="10" t="s">
        <v>84</v>
      </c>
      <c r="T42" s="10" t="s">
        <v>84</v>
      </c>
      <c r="U42" s="10"/>
      <c r="V42" s="10"/>
      <c r="W42" s="10"/>
      <c r="X42" s="10"/>
      <c r="Y42" s="10"/>
      <c r="Z42" s="10"/>
      <c r="AA42" s="10"/>
    </row>
    <row r="43" spans="1:27" ht="12.5" x14ac:dyDescent="0.25">
      <c r="A43" s="10" t="s">
        <v>29</v>
      </c>
      <c r="B43" s="10" t="s">
        <v>382</v>
      </c>
      <c r="C43" s="10" t="s">
        <v>76</v>
      </c>
      <c r="D43" s="11">
        <v>2024</v>
      </c>
      <c r="E43" s="10" t="s">
        <v>124</v>
      </c>
      <c r="F43" s="10" t="s">
        <v>83</v>
      </c>
      <c r="G43" s="10" t="s">
        <v>84</v>
      </c>
      <c r="H43" s="12">
        <v>7558.9166666666697</v>
      </c>
      <c r="I43" s="11">
        <v>2277</v>
      </c>
      <c r="J43" s="11">
        <v>1590</v>
      </c>
      <c r="K43" s="11">
        <v>0</v>
      </c>
      <c r="L43" s="11">
        <v>0.30123364238702599</v>
      </c>
      <c r="M43" s="11">
        <v>30.123364238702621</v>
      </c>
      <c r="N43" s="11">
        <v>0.69828722002635002</v>
      </c>
      <c r="O43" s="11">
        <v>0</v>
      </c>
      <c r="P43" s="11">
        <v>0.94425675675675702</v>
      </c>
      <c r="Q43" s="11">
        <v>0.89795918367346905</v>
      </c>
      <c r="R43" s="11">
        <v>0.90604026845637597</v>
      </c>
      <c r="S43" s="10" t="s">
        <v>84</v>
      </c>
      <c r="T43" s="10" t="s">
        <v>84</v>
      </c>
      <c r="U43" s="10"/>
      <c r="V43" s="10"/>
      <c r="W43" s="10"/>
      <c r="X43" s="10"/>
      <c r="Y43" s="10"/>
      <c r="Z43" s="10"/>
      <c r="AA43" s="10"/>
    </row>
    <row r="44" spans="1:27" ht="12.5" x14ac:dyDescent="0.25">
      <c r="A44" s="10" t="s">
        <v>32</v>
      </c>
      <c r="B44" s="10" t="s">
        <v>385</v>
      </c>
      <c r="C44" s="10" t="s">
        <v>76</v>
      </c>
      <c r="D44" s="11">
        <v>2024</v>
      </c>
      <c r="E44" s="10" t="s">
        <v>124</v>
      </c>
      <c r="F44" s="10" t="s">
        <v>125</v>
      </c>
      <c r="G44" s="10" t="s">
        <v>84</v>
      </c>
      <c r="H44" s="12">
        <v>1440.0833333333301</v>
      </c>
      <c r="I44" s="11">
        <v>431</v>
      </c>
      <c r="J44" s="11">
        <v>409</v>
      </c>
      <c r="K44" s="11">
        <v>5373</v>
      </c>
      <c r="L44" s="11">
        <v>0.29928823563451201</v>
      </c>
      <c r="M44" s="11">
        <v>29.928823563451257</v>
      </c>
      <c r="N44" s="11">
        <v>0.94895591647331801</v>
      </c>
      <c r="O44" s="11">
        <v>3.7310340836757101</v>
      </c>
      <c r="P44" s="11">
        <v>0.94341216216216195</v>
      </c>
      <c r="Q44" s="11">
        <v>0.86206896551724099</v>
      </c>
      <c r="R44" s="11">
        <v>0.903803131991051</v>
      </c>
      <c r="S44" s="10" t="s">
        <v>84</v>
      </c>
      <c r="T44" s="10" t="s">
        <v>84</v>
      </c>
      <c r="U44" s="10"/>
      <c r="V44" s="10"/>
      <c r="W44" s="10"/>
      <c r="X44" s="10"/>
      <c r="Y44" s="10"/>
      <c r="Z44" s="10"/>
      <c r="AA44" s="10"/>
    </row>
    <row r="45" spans="1:27" ht="12.5" x14ac:dyDescent="0.25">
      <c r="A45" s="10" t="s">
        <v>12</v>
      </c>
      <c r="B45" s="10" t="s">
        <v>389</v>
      </c>
      <c r="C45" s="10" t="s">
        <v>76</v>
      </c>
      <c r="D45" s="11">
        <v>2024</v>
      </c>
      <c r="E45" s="10" t="s">
        <v>124</v>
      </c>
      <c r="F45" s="10" t="s">
        <v>83</v>
      </c>
      <c r="G45" s="10" t="s">
        <v>84</v>
      </c>
      <c r="H45" s="12">
        <v>17123.083333333299</v>
      </c>
      <c r="I45" s="11">
        <v>5104</v>
      </c>
      <c r="J45" s="11">
        <v>3391</v>
      </c>
      <c r="K45" s="11">
        <v>38188</v>
      </c>
      <c r="L45" s="11">
        <v>0.298077157054074</v>
      </c>
      <c r="M45" s="11">
        <v>29.807715705407478</v>
      </c>
      <c r="N45" s="11">
        <v>0.66438087774294696</v>
      </c>
      <c r="O45" s="11">
        <v>2.2302058137893801</v>
      </c>
      <c r="P45" s="11">
        <v>0.94172297297297303</v>
      </c>
      <c r="Q45" s="11">
        <v>0.97222222222222199</v>
      </c>
      <c r="R45" s="11">
        <v>0.90156599552572703</v>
      </c>
      <c r="S45" s="10" t="s">
        <v>84</v>
      </c>
      <c r="T45" s="10" t="s">
        <v>84</v>
      </c>
      <c r="U45" s="10"/>
      <c r="V45" s="10"/>
      <c r="W45" s="10"/>
      <c r="X45" s="10"/>
      <c r="Y45" s="10"/>
      <c r="Z45" s="10"/>
      <c r="AA45" s="10"/>
    </row>
    <row r="46" spans="1:27" ht="12.5" x14ac:dyDescent="0.25">
      <c r="A46" s="10" t="s">
        <v>36</v>
      </c>
      <c r="B46" s="10" t="s">
        <v>392</v>
      </c>
      <c r="C46" s="10" t="s">
        <v>76</v>
      </c>
      <c r="D46" s="11">
        <v>2024</v>
      </c>
      <c r="E46" s="10" t="s">
        <v>124</v>
      </c>
      <c r="F46" s="10" t="s">
        <v>83</v>
      </c>
      <c r="G46" s="10" t="s">
        <v>84</v>
      </c>
      <c r="H46" s="12">
        <v>5794.3333333333303</v>
      </c>
      <c r="I46" s="11">
        <v>1716</v>
      </c>
      <c r="J46" s="11">
        <v>1689</v>
      </c>
      <c r="K46" s="11">
        <v>1716</v>
      </c>
      <c r="L46" s="11">
        <v>0.29615141229937297</v>
      </c>
      <c r="M46" s="11">
        <v>29.615141229937308</v>
      </c>
      <c r="N46" s="11">
        <v>0.98426573426573405</v>
      </c>
      <c r="O46" s="11">
        <v>0.29615141229937297</v>
      </c>
      <c r="P46" s="11">
        <v>0.94087837837837796</v>
      </c>
      <c r="Q46" s="11">
        <v>0.85106382978723405</v>
      </c>
      <c r="R46" s="11">
        <v>0.89932885906040305</v>
      </c>
      <c r="S46" s="10" t="s">
        <v>84</v>
      </c>
      <c r="T46" s="10" t="s">
        <v>84</v>
      </c>
      <c r="U46" s="10"/>
      <c r="V46" s="10"/>
      <c r="W46" s="10"/>
      <c r="X46" s="10"/>
      <c r="Y46" s="10"/>
      <c r="Z46" s="10"/>
      <c r="AA46" s="10"/>
    </row>
    <row r="47" spans="1:27" ht="12.5" x14ac:dyDescent="0.25">
      <c r="A47" s="10" t="s">
        <v>32</v>
      </c>
      <c r="B47" s="10" t="s">
        <v>394</v>
      </c>
      <c r="C47" s="10" t="s">
        <v>76</v>
      </c>
      <c r="D47" s="11">
        <v>2024</v>
      </c>
      <c r="E47" s="10" t="s">
        <v>124</v>
      </c>
      <c r="F47" s="10" t="s">
        <v>83</v>
      </c>
      <c r="G47" s="10" t="s">
        <v>84</v>
      </c>
      <c r="H47" s="12">
        <v>34699.333333333299</v>
      </c>
      <c r="I47" s="11">
        <v>10249</v>
      </c>
      <c r="J47" s="11">
        <v>10181</v>
      </c>
      <c r="K47" s="11">
        <v>55321</v>
      </c>
      <c r="L47" s="11">
        <v>0.29536590520471101</v>
      </c>
      <c r="M47" s="11">
        <v>29.536590520471123</v>
      </c>
      <c r="N47" s="11">
        <v>0.99336520636159598</v>
      </c>
      <c r="O47" s="11">
        <v>1.5942957597648399</v>
      </c>
      <c r="P47" s="11">
        <v>0.94003378378378399</v>
      </c>
      <c r="Q47" s="11">
        <v>0.82758620689655205</v>
      </c>
      <c r="R47" s="11">
        <v>0.89709172259507797</v>
      </c>
      <c r="S47" s="10" t="s">
        <v>84</v>
      </c>
      <c r="T47" s="10" t="s">
        <v>84</v>
      </c>
      <c r="U47" s="10"/>
      <c r="V47" s="10"/>
      <c r="W47" s="10"/>
      <c r="X47" s="10"/>
      <c r="Y47" s="10"/>
      <c r="Z47" s="10"/>
      <c r="AA47" s="10"/>
    </row>
    <row r="48" spans="1:27" ht="12.5" x14ac:dyDescent="0.25">
      <c r="A48" s="10" t="s">
        <v>12</v>
      </c>
      <c r="B48" s="10" t="s">
        <v>396</v>
      </c>
      <c r="C48" s="10" t="s">
        <v>76</v>
      </c>
      <c r="D48" s="11">
        <v>2024</v>
      </c>
      <c r="E48" s="10" t="s">
        <v>124</v>
      </c>
      <c r="F48" s="10" t="s">
        <v>83</v>
      </c>
      <c r="G48" s="10" t="s">
        <v>84</v>
      </c>
      <c r="H48" s="12">
        <v>90179</v>
      </c>
      <c r="I48" s="11">
        <v>26140</v>
      </c>
      <c r="J48" s="11">
        <v>21762</v>
      </c>
      <c r="K48" s="11">
        <v>122026</v>
      </c>
      <c r="L48" s="11">
        <v>0.28986792934053401</v>
      </c>
      <c r="M48" s="11">
        <v>28.986792934053383</v>
      </c>
      <c r="N48" s="11">
        <v>0.83251721499617404</v>
      </c>
      <c r="O48" s="11">
        <v>1.3531531731334301</v>
      </c>
      <c r="P48" s="11">
        <v>0.93834459459459496</v>
      </c>
      <c r="Q48" s="11">
        <v>0.95833333333333304</v>
      </c>
      <c r="R48" s="11">
        <v>0.89485458612975399</v>
      </c>
      <c r="S48" s="10" t="s">
        <v>84</v>
      </c>
      <c r="T48" s="10" t="s">
        <v>84</v>
      </c>
      <c r="U48" s="10"/>
      <c r="V48" s="10"/>
      <c r="W48" s="10"/>
      <c r="X48" s="10"/>
      <c r="Y48" s="10"/>
      <c r="Z48" s="10"/>
      <c r="AA48" s="10"/>
    </row>
    <row r="49" spans="1:27" ht="12.5" x14ac:dyDescent="0.25">
      <c r="A49" s="10" t="s">
        <v>12</v>
      </c>
      <c r="B49" s="10" t="s">
        <v>398</v>
      </c>
      <c r="C49" s="10" t="s">
        <v>76</v>
      </c>
      <c r="D49" s="11">
        <v>2024</v>
      </c>
      <c r="E49" s="10" t="s">
        <v>124</v>
      </c>
      <c r="F49" s="10" t="s">
        <v>125</v>
      </c>
      <c r="G49" s="10" t="s">
        <v>84</v>
      </c>
      <c r="H49" s="12">
        <v>1282.3333333333301</v>
      </c>
      <c r="I49" s="11">
        <v>370</v>
      </c>
      <c r="J49" s="11">
        <v>370</v>
      </c>
      <c r="K49" s="11">
        <v>2365</v>
      </c>
      <c r="L49" s="11">
        <v>0.28853652196516799</v>
      </c>
      <c r="M49" s="11">
        <v>28.853652196516837</v>
      </c>
      <c r="N49" s="11">
        <v>1</v>
      </c>
      <c r="O49" s="11">
        <v>1.8442942552638399</v>
      </c>
      <c r="P49" s="11">
        <v>0.9375</v>
      </c>
      <c r="Q49" s="11">
        <v>0.94444444444444398</v>
      </c>
      <c r="R49" s="11">
        <v>0.89261744966443002</v>
      </c>
      <c r="S49" s="10" t="s">
        <v>84</v>
      </c>
      <c r="T49" s="10" t="s">
        <v>84</v>
      </c>
      <c r="U49" s="10"/>
      <c r="V49" s="10"/>
      <c r="W49" s="10"/>
      <c r="X49" s="10"/>
      <c r="Y49" s="10"/>
      <c r="Z49" s="10"/>
      <c r="AA49" s="10"/>
    </row>
    <row r="50" spans="1:27" ht="12.5" x14ac:dyDescent="0.25">
      <c r="A50" s="10" t="s">
        <v>86</v>
      </c>
      <c r="B50" s="10" t="s">
        <v>399</v>
      </c>
      <c r="C50" s="10" t="s">
        <v>76</v>
      </c>
      <c r="D50" s="11">
        <v>2024</v>
      </c>
      <c r="E50" s="10" t="s">
        <v>124</v>
      </c>
      <c r="F50" s="10" t="s">
        <v>83</v>
      </c>
      <c r="G50" s="10" t="s">
        <v>84</v>
      </c>
      <c r="H50" s="12">
        <v>9901.6666666666697</v>
      </c>
      <c r="I50" s="11">
        <v>2806</v>
      </c>
      <c r="J50" s="11">
        <v>2386</v>
      </c>
      <c r="K50" s="11">
        <v>40502</v>
      </c>
      <c r="L50" s="11">
        <v>0.28338663524659202</v>
      </c>
      <c r="M50" s="11">
        <v>28.33866352465914</v>
      </c>
      <c r="N50" s="11">
        <v>0.85032074126871005</v>
      </c>
      <c r="O50" s="11">
        <v>4.0904224877966699</v>
      </c>
      <c r="P50" s="11">
        <v>0.93581081081081097</v>
      </c>
      <c r="Q50" s="11">
        <v>0.84782608695652195</v>
      </c>
      <c r="R50" s="11">
        <v>0.89038031319910504</v>
      </c>
      <c r="S50" s="10" t="s">
        <v>84</v>
      </c>
      <c r="T50" s="10" t="s">
        <v>84</v>
      </c>
      <c r="U50" s="10"/>
      <c r="V50" s="10"/>
      <c r="W50" s="10"/>
      <c r="X50" s="10"/>
      <c r="Y50" s="10"/>
      <c r="Z50" s="10"/>
      <c r="AA50" s="10"/>
    </row>
    <row r="51" spans="1:27" ht="12.5" x14ac:dyDescent="0.25">
      <c r="A51" s="10" t="s">
        <v>16</v>
      </c>
      <c r="B51" s="10" t="s">
        <v>401</v>
      </c>
      <c r="C51" s="10" t="s">
        <v>76</v>
      </c>
      <c r="D51" s="11">
        <v>2024</v>
      </c>
      <c r="E51" s="10" t="s">
        <v>124</v>
      </c>
      <c r="F51" s="10" t="s">
        <v>83</v>
      </c>
      <c r="G51" s="10" t="s">
        <v>84</v>
      </c>
      <c r="H51" s="12">
        <v>24498.083333333299</v>
      </c>
      <c r="I51" s="11">
        <v>6929</v>
      </c>
      <c r="J51" s="11">
        <v>5632</v>
      </c>
      <c r="K51" s="11">
        <v>42366</v>
      </c>
      <c r="L51" s="11">
        <v>0.28283845334839097</v>
      </c>
      <c r="M51" s="11">
        <v>28.283845334839157</v>
      </c>
      <c r="N51" s="11">
        <v>0.81281570212151799</v>
      </c>
      <c r="O51" s="11">
        <v>1.72935977984672</v>
      </c>
      <c r="P51" s="11">
        <v>0.93496621621621601</v>
      </c>
      <c r="Q51" s="11">
        <v>0.83333333333333304</v>
      </c>
      <c r="R51" s="11">
        <v>0.88814317673378096</v>
      </c>
      <c r="S51" s="10" t="s">
        <v>84</v>
      </c>
      <c r="T51" s="10" t="s">
        <v>84</v>
      </c>
      <c r="U51" s="10"/>
      <c r="V51" s="10"/>
      <c r="W51" s="10"/>
      <c r="X51" s="10"/>
      <c r="Y51" s="10"/>
      <c r="Z51" s="10"/>
      <c r="AA51" s="10"/>
    </row>
    <row r="52" spans="1:27" ht="12.5" x14ac:dyDescent="0.25">
      <c r="A52" s="10" t="s">
        <v>86</v>
      </c>
      <c r="B52" s="10" t="s">
        <v>403</v>
      </c>
      <c r="C52" s="10" t="s">
        <v>76</v>
      </c>
      <c r="D52" s="11">
        <v>2024</v>
      </c>
      <c r="E52" s="10" t="s">
        <v>124</v>
      </c>
      <c r="F52" s="10" t="s">
        <v>83</v>
      </c>
      <c r="G52" s="10" t="s">
        <v>84</v>
      </c>
      <c r="H52" s="12">
        <v>38789.25</v>
      </c>
      <c r="I52" s="11">
        <v>10903</v>
      </c>
      <c r="J52" s="11">
        <v>8809</v>
      </c>
      <c r="K52" s="11">
        <v>198304</v>
      </c>
      <c r="L52" s="11">
        <v>0.28108303202562601</v>
      </c>
      <c r="M52" s="11">
        <v>28.108303202562567</v>
      </c>
      <c r="N52" s="11">
        <v>0.80794276804549203</v>
      </c>
      <c r="O52" s="11">
        <v>5.1123442706419997</v>
      </c>
      <c r="P52" s="11">
        <v>0.93412162162162204</v>
      </c>
      <c r="Q52" s="11">
        <v>0.82608695652173902</v>
      </c>
      <c r="R52" s="11">
        <v>0.88590604026845599</v>
      </c>
      <c r="S52" s="10" t="s">
        <v>84</v>
      </c>
      <c r="T52" s="10" t="s">
        <v>84</v>
      </c>
      <c r="U52" s="10"/>
      <c r="V52" s="10"/>
      <c r="W52" s="10"/>
      <c r="X52" s="10"/>
      <c r="Y52" s="10"/>
      <c r="Z52" s="10"/>
      <c r="AA52" s="10"/>
    </row>
    <row r="53" spans="1:27" ht="12.5" x14ac:dyDescent="0.25">
      <c r="A53" s="10" t="s">
        <v>86</v>
      </c>
      <c r="B53" s="10" t="s">
        <v>404</v>
      </c>
      <c r="C53" s="10" t="s">
        <v>76</v>
      </c>
      <c r="D53" s="11">
        <v>2024</v>
      </c>
      <c r="E53" s="10" t="s">
        <v>124</v>
      </c>
      <c r="F53" s="10" t="s">
        <v>83</v>
      </c>
      <c r="G53" s="10" t="s">
        <v>84</v>
      </c>
      <c r="H53" s="12">
        <v>10542.166666666701</v>
      </c>
      <c r="I53" s="11">
        <v>2959</v>
      </c>
      <c r="J53" s="11">
        <v>2705</v>
      </c>
      <c r="K53" s="11">
        <v>0</v>
      </c>
      <c r="L53" s="11">
        <v>0.280682339177588</v>
      </c>
      <c r="M53" s="11">
        <v>28.06823391775875</v>
      </c>
      <c r="N53" s="11">
        <v>0.91416018925312603</v>
      </c>
      <c r="O53" s="11">
        <v>0</v>
      </c>
      <c r="P53" s="11">
        <v>0.93243243243243201</v>
      </c>
      <c r="Q53" s="11">
        <v>0.80434782608695699</v>
      </c>
      <c r="R53" s="11">
        <v>0.88366890380313201</v>
      </c>
      <c r="S53" s="10" t="s">
        <v>84</v>
      </c>
      <c r="T53" s="10" t="s">
        <v>84</v>
      </c>
      <c r="U53" s="10"/>
      <c r="V53" s="10"/>
      <c r="W53" s="10"/>
      <c r="X53" s="10"/>
      <c r="Y53" s="10"/>
      <c r="Z53" s="10"/>
      <c r="AA53" s="10"/>
    </row>
    <row r="54" spans="1:27" ht="12.5" x14ac:dyDescent="0.25">
      <c r="A54" s="10" t="s">
        <v>14</v>
      </c>
      <c r="B54" s="10" t="s">
        <v>406</v>
      </c>
      <c r="C54" s="10" t="s">
        <v>76</v>
      </c>
      <c r="D54" s="11">
        <v>2024</v>
      </c>
      <c r="E54" s="10" t="s">
        <v>124</v>
      </c>
      <c r="F54" s="10" t="s">
        <v>83</v>
      </c>
      <c r="G54" s="10" t="s">
        <v>84</v>
      </c>
      <c r="H54" s="12">
        <v>7858.4166666666697</v>
      </c>
      <c r="I54" s="11">
        <v>2155</v>
      </c>
      <c r="J54" s="11">
        <v>1922</v>
      </c>
      <c r="K54" s="11">
        <v>20249</v>
      </c>
      <c r="L54" s="11">
        <v>0.27422826905335002</v>
      </c>
      <c r="M54" s="11">
        <v>27.422826905335036</v>
      </c>
      <c r="N54" s="11">
        <v>0.89187935034802801</v>
      </c>
      <c r="O54" s="11">
        <v>2.5767277123254302</v>
      </c>
      <c r="P54" s="11">
        <v>0.92736486486486502</v>
      </c>
      <c r="Q54" s="11">
        <v>0.89285714285714302</v>
      </c>
      <c r="R54" s="11">
        <v>0.88143176733780804</v>
      </c>
      <c r="S54" s="10" t="s">
        <v>84</v>
      </c>
      <c r="T54" s="10" t="s">
        <v>84</v>
      </c>
      <c r="U54" s="10"/>
      <c r="V54" s="10"/>
      <c r="W54" s="10"/>
      <c r="X54" s="10"/>
      <c r="Y54" s="10"/>
      <c r="Z54" s="10"/>
      <c r="AA54" s="10"/>
    </row>
    <row r="55" spans="1:27" ht="12.5" x14ac:dyDescent="0.25">
      <c r="A55" s="10" t="s">
        <v>52</v>
      </c>
      <c r="B55" s="10" t="s">
        <v>407</v>
      </c>
      <c r="C55" s="10" t="s">
        <v>76</v>
      </c>
      <c r="D55" s="11">
        <v>2024</v>
      </c>
      <c r="E55" s="10" t="s">
        <v>124</v>
      </c>
      <c r="F55" s="10" t="s">
        <v>83</v>
      </c>
      <c r="G55" s="10" t="s">
        <v>84</v>
      </c>
      <c r="H55" s="12">
        <v>8718.3333333333303</v>
      </c>
      <c r="I55" s="11">
        <v>2386</v>
      </c>
      <c r="J55" s="11">
        <v>2207</v>
      </c>
      <c r="K55" s="11">
        <v>16024</v>
      </c>
      <c r="L55" s="11">
        <v>0.27367616134582301</v>
      </c>
      <c r="M55" s="11">
        <v>27.367616134582306</v>
      </c>
      <c r="N55" s="11">
        <v>0.92497904442581702</v>
      </c>
      <c r="O55" s="11">
        <v>1.8379659720894701</v>
      </c>
      <c r="P55" s="11">
        <v>0.92652027027026995</v>
      </c>
      <c r="Q55" s="11">
        <v>0.91489361702127703</v>
      </c>
      <c r="R55" s="11">
        <v>0.87919463087248295</v>
      </c>
      <c r="S55" s="10" t="s">
        <v>84</v>
      </c>
      <c r="T55" s="10" t="s">
        <v>84</v>
      </c>
      <c r="U55" s="10"/>
      <c r="V55" s="10"/>
      <c r="W55" s="10"/>
      <c r="X55" s="10"/>
      <c r="Y55" s="10"/>
      <c r="Z55" s="10"/>
      <c r="AA55" s="10"/>
    </row>
    <row r="56" spans="1:27" ht="12.5" x14ac:dyDescent="0.25">
      <c r="A56" s="10" t="s">
        <v>86</v>
      </c>
      <c r="B56" s="10" t="s">
        <v>409</v>
      </c>
      <c r="C56" s="10" t="s">
        <v>76</v>
      </c>
      <c r="D56" s="11">
        <v>2024</v>
      </c>
      <c r="E56" s="10" t="s">
        <v>124</v>
      </c>
      <c r="F56" s="10" t="s">
        <v>83</v>
      </c>
      <c r="G56" s="10" t="s">
        <v>84</v>
      </c>
      <c r="H56" s="12">
        <v>10720.166666666701</v>
      </c>
      <c r="I56" s="11">
        <v>2929</v>
      </c>
      <c r="J56" s="11">
        <v>2767</v>
      </c>
      <c r="K56" s="11">
        <v>18898</v>
      </c>
      <c r="L56" s="11">
        <v>0.27322336406461301</v>
      </c>
      <c r="M56" s="11">
        <v>27.322336406461257</v>
      </c>
      <c r="N56" s="11">
        <v>0.94469102082622103</v>
      </c>
      <c r="O56" s="11">
        <v>1.76284572690101</v>
      </c>
      <c r="P56" s="11">
        <v>0.92567567567567599</v>
      </c>
      <c r="Q56" s="11">
        <v>0.78260869565217395</v>
      </c>
      <c r="R56" s="11">
        <v>0.87695749440715898</v>
      </c>
      <c r="S56" s="10" t="s">
        <v>84</v>
      </c>
      <c r="T56" s="10" t="s">
        <v>84</v>
      </c>
      <c r="U56" s="10"/>
      <c r="V56" s="10"/>
      <c r="W56" s="10"/>
      <c r="X56" s="10"/>
      <c r="Y56" s="10"/>
      <c r="Z56" s="10"/>
      <c r="AA56" s="10"/>
    </row>
    <row r="57" spans="1:27" ht="12.5" x14ac:dyDescent="0.25">
      <c r="A57" s="10" t="s">
        <v>14</v>
      </c>
      <c r="B57" s="10" t="s">
        <v>411</v>
      </c>
      <c r="C57" s="10" t="s">
        <v>76</v>
      </c>
      <c r="D57" s="11">
        <v>2024</v>
      </c>
      <c r="E57" s="10" t="s">
        <v>124</v>
      </c>
      <c r="F57" s="10" t="s">
        <v>125</v>
      </c>
      <c r="G57" s="10" t="s">
        <v>84</v>
      </c>
      <c r="H57" s="12">
        <v>1806.4166666666699</v>
      </c>
      <c r="I57" s="11">
        <v>483</v>
      </c>
      <c r="J57" s="11">
        <v>336</v>
      </c>
      <c r="K57" s="11">
        <v>0</v>
      </c>
      <c r="L57" s="11">
        <v>0.26738017253309998</v>
      </c>
      <c r="M57" s="11">
        <v>26.738017253309909</v>
      </c>
      <c r="N57" s="11">
        <v>0.69565217391304301</v>
      </c>
      <c r="O57" s="11">
        <v>0</v>
      </c>
      <c r="P57" s="11">
        <v>0.92398648648648696</v>
      </c>
      <c r="Q57" s="11">
        <v>0.85714285714285698</v>
      </c>
      <c r="R57" s="11">
        <v>0.874720357941834</v>
      </c>
      <c r="S57" s="10" t="s">
        <v>84</v>
      </c>
      <c r="T57" s="10" t="s">
        <v>84</v>
      </c>
      <c r="U57" s="10"/>
      <c r="V57" s="10"/>
      <c r="W57" s="10"/>
      <c r="X57" s="10"/>
      <c r="Y57" s="10"/>
      <c r="Z57" s="10"/>
      <c r="AA57" s="10"/>
    </row>
    <row r="58" spans="1:27" ht="12.5" x14ac:dyDescent="0.25">
      <c r="A58" s="10" t="s">
        <v>36</v>
      </c>
      <c r="B58" s="10" t="s">
        <v>413</v>
      </c>
      <c r="C58" s="10" t="s">
        <v>76</v>
      </c>
      <c r="D58" s="11">
        <v>2024</v>
      </c>
      <c r="E58" s="10" t="s">
        <v>124</v>
      </c>
      <c r="F58" s="10" t="s">
        <v>83</v>
      </c>
      <c r="G58" s="10" t="s">
        <v>84</v>
      </c>
      <c r="H58" s="12">
        <v>1725.8333333333301</v>
      </c>
      <c r="I58" s="11">
        <v>445</v>
      </c>
      <c r="J58" s="11">
        <v>292</v>
      </c>
      <c r="K58" s="11">
        <v>0</v>
      </c>
      <c r="L58" s="11">
        <v>0.25784645098985998</v>
      </c>
      <c r="M58" s="11">
        <v>25.784645098986047</v>
      </c>
      <c r="N58" s="11">
        <v>0.65617977528089899</v>
      </c>
      <c r="O58" s="11">
        <v>0</v>
      </c>
      <c r="P58" s="11">
        <v>0.923141891891892</v>
      </c>
      <c r="Q58" s="11">
        <v>0.80851063829787195</v>
      </c>
      <c r="R58" s="11">
        <v>0.87248322147651003</v>
      </c>
      <c r="S58" s="10" t="s">
        <v>84</v>
      </c>
      <c r="T58" s="10" t="s">
        <v>84</v>
      </c>
      <c r="U58" s="10"/>
      <c r="V58" s="10"/>
      <c r="W58" s="10"/>
      <c r="X58" s="10"/>
      <c r="Y58" s="10"/>
      <c r="Z58" s="10"/>
      <c r="AA58" s="10"/>
    </row>
    <row r="59" spans="1:27" ht="12.5" x14ac:dyDescent="0.25">
      <c r="A59" s="10" t="s">
        <v>29</v>
      </c>
      <c r="B59" s="10" t="s">
        <v>415</v>
      </c>
      <c r="C59" s="10" t="s">
        <v>76</v>
      </c>
      <c r="D59" s="11">
        <v>2024</v>
      </c>
      <c r="E59" s="10" t="s">
        <v>124</v>
      </c>
      <c r="F59" s="10" t="s">
        <v>83</v>
      </c>
      <c r="G59" s="10" t="s">
        <v>84</v>
      </c>
      <c r="H59" s="12">
        <v>38094.916666666701</v>
      </c>
      <c r="I59" s="11">
        <v>9774</v>
      </c>
      <c r="J59" s="11">
        <v>8583</v>
      </c>
      <c r="K59" s="11">
        <v>125356</v>
      </c>
      <c r="L59" s="11">
        <v>0.25656966480654703</v>
      </c>
      <c r="M59" s="11">
        <v>25.65696648065466</v>
      </c>
      <c r="N59" s="11">
        <v>0.87814610190300801</v>
      </c>
      <c r="O59" s="11">
        <v>3.29062276462958</v>
      </c>
      <c r="P59" s="11">
        <v>0.92145270270270296</v>
      </c>
      <c r="Q59" s="11">
        <v>0.85714285714285698</v>
      </c>
      <c r="R59" s="11">
        <v>0.87024608501118605</v>
      </c>
      <c r="S59" s="10" t="s">
        <v>84</v>
      </c>
      <c r="T59" s="10" t="s">
        <v>84</v>
      </c>
      <c r="U59" s="10"/>
      <c r="V59" s="10"/>
      <c r="W59" s="10"/>
      <c r="X59" s="10"/>
      <c r="Y59" s="10"/>
      <c r="Z59" s="10"/>
      <c r="AA59" s="10"/>
    </row>
    <row r="60" spans="1:27" ht="12.5" x14ac:dyDescent="0.25">
      <c r="A60" s="10" t="s">
        <v>55</v>
      </c>
      <c r="B60" s="10" t="s">
        <v>417</v>
      </c>
      <c r="C60" s="10" t="s">
        <v>76</v>
      </c>
      <c r="D60" s="11">
        <v>2024</v>
      </c>
      <c r="E60" s="10" t="s">
        <v>124</v>
      </c>
      <c r="F60" s="10" t="s">
        <v>83</v>
      </c>
      <c r="G60" s="10" t="s">
        <v>84</v>
      </c>
      <c r="H60" s="12">
        <v>6335.4166666666697</v>
      </c>
      <c r="I60" s="11">
        <v>1564</v>
      </c>
      <c r="J60" s="11">
        <v>1390</v>
      </c>
      <c r="K60" s="11">
        <v>20407</v>
      </c>
      <c r="L60" s="11">
        <v>0.24686616244656401</v>
      </c>
      <c r="M60" s="11">
        <v>24.686616244656349</v>
      </c>
      <c r="N60" s="11">
        <v>0.88874680306905396</v>
      </c>
      <c r="O60" s="11">
        <v>3.2210983229200898</v>
      </c>
      <c r="P60" s="11">
        <v>0.91891891891891897</v>
      </c>
      <c r="Q60" s="11">
        <v>0.90909090909090895</v>
      </c>
      <c r="R60" s="11">
        <v>0.86800894854586097</v>
      </c>
      <c r="S60" s="10" t="s">
        <v>84</v>
      </c>
      <c r="T60" s="10" t="s">
        <v>84</v>
      </c>
      <c r="U60" s="10"/>
      <c r="V60" s="10"/>
      <c r="W60" s="10"/>
      <c r="X60" s="10"/>
      <c r="Y60" s="10"/>
      <c r="Z60" s="10"/>
      <c r="AA60" s="10"/>
    </row>
    <row r="61" spans="1:27" ht="12.5" x14ac:dyDescent="0.25">
      <c r="A61" s="10" t="s">
        <v>14</v>
      </c>
      <c r="B61" s="10" t="s">
        <v>419</v>
      </c>
      <c r="C61" s="10" t="s">
        <v>76</v>
      </c>
      <c r="D61" s="11">
        <v>2024</v>
      </c>
      <c r="E61" s="10" t="s">
        <v>124</v>
      </c>
      <c r="F61" s="10" t="s">
        <v>83</v>
      </c>
      <c r="G61" s="10" t="s">
        <v>84</v>
      </c>
      <c r="H61" s="12">
        <v>13318.5</v>
      </c>
      <c r="I61" s="11">
        <v>3272</v>
      </c>
      <c r="J61" s="11">
        <v>2959</v>
      </c>
      <c r="K61" s="11">
        <v>13914</v>
      </c>
      <c r="L61" s="11">
        <v>0.24567331155911001</v>
      </c>
      <c r="M61" s="11">
        <v>24.567331155910953</v>
      </c>
      <c r="N61" s="11">
        <v>0.90433985330073396</v>
      </c>
      <c r="O61" s="11">
        <v>1.04471224236964</v>
      </c>
      <c r="P61" s="11">
        <v>0.91807432432432401</v>
      </c>
      <c r="Q61" s="11">
        <v>0.82142857142857095</v>
      </c>
      <c r="R61" s="11">
        <v>0.865771812080537</v>
      </c>
      <c r="S61" s="10" t="s">
        <v>84</v>
      </c>
      <c r="T61" s="10" t="s">
        <v>84</v>
      </c>
      <c r="U61" s="10"/>
      <c r="V61" s="10"/>
      <c r="W61" s="10"/>
      <c r="X61" s="10"/>
      <c r="Y61" s="10"/>
      <c r="Z61" s="10"/>
      <c r="AA61" s="10"/>
    </row>
    <row r="62" spans="1:27" ht="12.5" x14ac:dyDescent="0.25">
      <c r="A62" s="10" t="s">
        <v>86</v>
      </c>
      <c r="B62" s="10" t="s">
        <v>420</v>
      </c>
      <c r="C62" s="10" t="s">
        <v>76</v>
      </c>
      <c r="D62" s="11">
        <v>2024</v>
      </c>
      <c r="E62" s="10" t="s">
        <v>124</v>
      </c>
      <c r="F62" s="10" t="s">
        <v>83</v>
      </c>
      <c r="G62" s="10" t="s">
        <v>84</v>
      </c>
      <c r="H62" s="12">
        <v>65822.833333333299</v>
      </c>
      <c r="I62" s="11">
        <v>16066</v>
      </c>
      <c r="J62" s="11">
        <v>14952</v>
      </c>
      <c r="K62" s="11">
        <v>174933</v>
      </c>
      <c r="L62" s="11">
        <v>0.244079435454262</v>
      </c>
      <c r="M62" s="11">
        <v>24.407943545426246</v>
      </c>
      <c r="N62" s="11">
        <v>0.93066102327897404</v>
      </c>
      <c r="O62" s="11">
        <v>2.6576340023851901</v>
      </c>
      <c r="P62" s="11">
        <v>0.91722972972973005</v>
      </c>
      <c r="Q62" s="11">
        <v>0.76086956521739102</v>
      </c>
      <c r="R62" s="11">
        <v>0.86353467561521302</v>
      </c>
      <c r="S62" s="10" t="s">
        <v>84</v>
      </c>
      <c r="T62" s="10" t="s">
        <v>84</v>
      </c>
      <c r="U62" s="10"/>
      <c r="V62" s="10"/>
      <c r="W62" s="10"/>
      <c r="X62" s="10"/>
      <c r="Y62" s="10"/>
      <c r="Z62" s="10"/>
      <c r="AA62" s="10"/>
    </row>
    <row r="63" spans="1:27" ht="12.5" x14ac:dyDescent="0.25">
      <c r="A63" s="10" t="s">
        <v>86</v>
      </c>
      <c r="B63" s="10" t="s">
        <v>422</v>
      </c>
      <c r="C63" s="10" t="s">
        <v>76</v>
      </c>
      <c r="D63" s="11">
        <v>2024</v>
      </c>
      <c r="E63" s="10" t="s">
        <v>124</v>
      </c>
      <c r="F63" s="10" t="s">
        <v>83</v>
      </c>
      <c r="G63" s="10" t="s">
        <v>84</v>
      </c>
      <c r="H63" s="12">
        <v>25666.5</v>
      </c>
      <c r="I63" s="11">
        <v>6260</v>
      </c>
      <c r="J63" s="11">
        <v>5475</v>
      </c>
      <c r="K63" s="11">
        <v>5493</v>
      </c>
      <c r="L63" s="11">
        <v>0.243897687647322</v>
      </c>
      <c r="M63" s="11">
        <v>24.389768764732239</v>
      </c>
      <c r="N63" s="11">
        <v>0.87460063897763596</v>
      </c>
      <c r="O63" s="11">
        <v>0.21401437671673201</v>
      </c>
      <c r="P63" s="11">
        <v>0.91638513513513498</v>
      </c>
      <c r="Q63" s="11">
        <v>0.73913043478260898</v>
      </c>
      <c r="R63" s="11">
        <v>0.86129753914988805</v>
      </c>
      <c r="S63" s="10" t="s">
        <v>84</v>
      </c>
      <c r="T63" s="10" t="s">
        <v>84</v>
      </c>
      <c r="U63" s="10"/>
      <c r="V63" s="10"/>
      <c r="W63" s="10"/>
      <c r="X63" s="10"/>
      <c r="Y63" s="10"/>
      <c r="Z63" s="10"/>
      <c r="AA63" s="10"/>
    </row>
    <row r="64" spans="1:27" ht="12.5" x14ac:dyDescent="0.25">
      <c r="A64" s="10" t="s">
        <v>6</v>
      </c>
      <c r="B64" s="10" t="s">
        <v>424</v>
      </c>
      <c r="C64" s="10" t="s">
        <v>76</v>
      </c>
      <c r="D64" s="11">
        <v>2024</v>
      </c>
      <c r="E64" s="10" t="s">
        <v>124</v>
      </c>
      <c r="F64" s="10" t="s">
        <v>83</v>
      </c>
      <c r="G64" s="10" t="s">
        <v>84</v>
      </c>
      <c r="H64" s="12">
        <v>6325.9166666666697</v>
      </c>
      <c r="I64" s="11">
        <v>1508</v>
      </c>
      <c r="J64" s="11">
        <v>1549</v>
      </c>
      <c r="K64" s="11">
        <v>20691</v>
      </c>
      <c r="L64" s="11">
        <v>0.238384423864789</v>
      </c>
      <c r="M64" s="11">
        <v>23.838442386478892</v>
      </c>
      <c r="N64" s="11">
        <v>1.0271883289124699</v>
      </c>
      <c r="O64" s="11">
        <v>3.27083031444718</v>
      </c>
      <c r="P64" s="11">
        <v>0.91554054054054101</v>
      </c>
      <c r="Q64" s="11">
        <v>0.967741935483871</v>
      </c>
      <c r="R64" s="11">
        <v>0.85906040268456396</v>
      </c>
      <c r="S64" s="10" t="s">
        <v>84</v>
      </c>
      <c r="T64" s="10" t="s">
        <v>84</v>
      </c>
      <c r="U64" s="10"/>
      <c r="V64" s="10"/>
      <c r="W64" s="10"/>
      <c r="X64" s="10"/>
      <c r="Y64" s="10"/>
      <c r="Z64" s="10"/>
      <c r="AA64" s="10"/>
    </row>
    <row r="65" spans="1:27" ht="12.5" x14ac:dyDescent="0.25">
      <c r="A65" s="10" t="s">
        <v>29</v>
      </c>
      <c r="B65" s="10" t="s">
        <v>426</v>
      </c>
      <c r="C65" s="10" t="s">
        <v>76</v>
      </c>
      <c r="D65" s="11">
        <v>2024</v>
      </c>
      <c r="E65" s="10" t="s">
        <v>124</v>
      </c>
      <c r="F65" s="10" t="s">
        <v>83</v>
      </c>
      <c r="G65" s="10" t="s">
        <v>84</v>
      </c>
      <c r="H65" s="12">
        <v>12742.25</v>
      </c>
      <c r="I65" s="11">
        <v>3013</v>
      </c>
      <c r="J65" s="11">
        <v>2707</v>
      </c>
      <c r="K65" s="11">
        <v>4588</v>
      </c>
      <c r="L65" s="11">
        <v>0.236457454531186</v>
      </c>
      <c r="M65" s="11">
        <v>23.645745453118565</v>
      </c>
      <c r="N65" s="11">
        <v>0.89844009293063398</v>
      </c>
      <c r="O65" s="11">
        <v>0.36006199846965797</v>
      </c>
      <c r="P65" s="11">
        <v>0.91300675675675702</v>
      </c>
      <c r="Q65" s="11">
        <v>0.83673469387755095</v>
      </c>
      <c r="R65" s="11">
        <v>0.85682326621923899</v>
      </c>
      <c r="S65" s="10" t="s">
        <v>84</v>
      </c>
      <c r="T65" s="10" t="s">
        <v>84</v>
      </c>
      <c r="U65" s="10"/>
      <c r="V65" s="10"/>
      <c r="W65" s="10"/>
      <c r="X65" s="10"/>
      <c r="Y65" s="10"/>
      <c r="Z65" s="10"/>
      <c r="AA65" s="10"/>
    </row>
    <row r="66" spans="1:27" ht="12.5" x14ac:dyDescent="0.25">
      <c r="A66" s="10" t="s">
        <v>29</v>
      </c>
      <c r="B66" s="10" t="s">
        <v>427</v>
      </c>
      <c r="C66" s="10" t="s">
        <v>76</v>
      </c>
      <c r="D66" s="11">
        <v>2024</v>
      </c>
      <c r="E66" s="10" t="s">
        <v>124</v>
      </c>
      <c r="F66" s="10" t="s">
        <v>83</v>
      </c>
      <c r="G66" s="10" t="s">
        <v>84</v>
      </c>
      <c r="H66" s="12">
        <v>29046</v>
      </c>
      <c r="I66" s="11">
        <v>6855</v>
      </c>
      <c r="J66" s="11">
        <v>4173</v>
      </c>
      <c r="K66" s="11">
        <v>60486</v>
      </c>
      <c r="L66" s="11">
        <v>0.23600495765337701</v>
      </c>
      <c r="M66" s="11">
        <v>23.60049576533774</v>
      </c>
      <c r="N66" s="11">
        <v>0.60875273522975903</v>
      </c>
      <c r="O66" s="11">
        <v>2.0824209873993</v>
      </c>
      <c r="P66" s="11">
        <v>0.91216216216216195</v>
      </c>
      <c r="Q66" s="11">
        <v>0.81632653061224503</v>
      </c>
      <c r="R66" s="11">
        <v>0.85458612975391501</v>
      </c>
      <c r="S66" s="10" t="s">
        <v>84</v>
      </c>
      <c r="T66" s="10" t="s">
        <v>84</v>
      </c>
      <c r="U66" s="10"/>
      <c r="V66" s="10"/>
      <c r="W66" s="10"/>
      <c r="X66" s="10"/>
      <c r="Y66" s="10"/>
      <c r="Z66" s="10"/>
      <c r="AA66" s="10"/>
    </row>
    <row r="67" spans="1:27" ht="12.5" x14ac:dyDescent="0.25">
      <c r="A67" s="10" t="s">
        <v>86</v>
      </c>
      <c r="B67" s="10" t="s">
        <v>429</v>
      </c>
      <c r="C67" s="10" t="s">
        <v>76</v>
      </c>
      <c r="D67" s="11">
        <v>2024</v>
      </c>
      <c r="E67" s="10" t="s">
        <v>124</v>
      </c>
      <c r="F67" s="10" t="s">
        <v>83</v>
      </c>
      <c r="G67" s="10" t="s">
        <v>84</v>
      </c>
      <c r="H67" s="12">
        <v>7050.9166666666697</v>
      </c>
      <c r="I67" s="11">
        <v>1654</v>
      </c>
      <c r="J67" s="11">
        <v>1610</v>
      </c>
      <c r="K67" s="11">
        <v>1654</v>
      </c>
      <c r="L67" s="11">
        <v>0.234579428206734</v>
      </c>
      <c r="M67" s="11">
        <v>23.457942820673424</v>
      </c>
      <c r="N67" s="11">
        <v>0.97339782345828296</v>
      </c>
      <c r="O67" s="11">
        <v>0.234579428206734</v>
      </c>
      <c r="P67" s="11">
        <v>0.90962837837837796</v>
      </c>
      <c r="Q67" s="11">
        <v>0.71739130434782605</v>
      </c>
      <c r="R67" s="11">
        <v>0.85234899328859104</v>
      </c>
      <c r="S67" s="10" t="s">
        <v>84</v>
      </c>
      <c r="T67" s="10" t="s">
        <v>84</v>
      </c>
      <c r="U67" s="10"/>
      <c r="V67" s="10"/>
      <c r="W67" s="10"/>
      <c r="X67" s="10"/>
      <c r="Y67" s="10"/>
      <c r="Z67" s="10"/>
      <c r="AA67" s="10"/>
    </row>
    <row r="68" spans="1:27" ht="12.5" x14ac:dyDescent="0.25">
      <c r="A68" s="10" t="s">
        <v>32</v>
      </c>
      <c r="B68" s="10" t="s">
        <v>431</v>
      </c>
      <c r="C68" s="10" t="s">
        <v>76</v>
      </c>
      <c r="D68" s="11">
        <v>2024</v>
      </c>
      <c r="E68" s="10" t="s">
        <v>124</v>
      </c>
      <c r="F68" s="10" t="s">
        <v>83</v>
      </c>
      <c r="G68" s="10" t="s">
        <v>84</v>
      </c>
      <c r="H68" s="12">
        <v>17128.25</v>
      </c>
      <c r="I68" s="11">
        <v>3875</v>
      </c>
      <c r="J68" s="11">
        <v>3579</v>
      </c>
      <c r="K68" s="11">
        <v>31070</v>
      </c>
      <c r="L68" s="11">
        <v>0.22623443726008199</v>
      </c>
      <c r="M68" s="11">
        <v>22.623443726008201</v>
      </c>
      <c r="N68" s="11">
        <v>0.92361290322580603</v>
      </c>
      <c r="O68" s="11">
        <v>1.81396231372148</v>
      </c>
      <c r="P68" s="11">
        <v>0.90456081081081097</v>
      </c>
      <c r="Q68" s="11">
        <v>0.79310344827586199</v>
      </c>
      <c r="R68" s="11">
        <v>0.85011185682326595</v>
      </c>
      <c r="S68" s="10" t="s">
        <v>84</v>
      </c>
      <c r="T68" s="10" t="s">
        <v>84</v>
      </c>
      <c r="U68" s="10"/>
      <c r="V68" s="10"/>
      <c r="W68" s="10"/>
      <c r="X68" s="10"/>
      <c r="Y68" s="10"/>
      <c r="Z68" s="10"/>
      <c r="AA68" s="10"/>
    </row>
    <row r="69" spans="1:27" ht="12.5" x14ac:dyDescent="0.25">
      <c r="A69" s="10" t="s">
        <v>52</v>
      </c>
      <c r="B69" s="10" t="s">
        <v>434</v>
      </c>
      <c r="C69" s="10" t="s">
        <v>76</v>
      </c>
      <c r="D69" s="11">
        <v>2024</v>
      </c>
      <c r="E69" s="10" t="s">
        <v>124</v>
      </c>
      <c r="F69" s="10" t="s">
        <v>83</v>
      </c>
      <c r="G69" s="10" t="s">
        <v>84</v>
      </c>
      <c r="H69" s="12">
        <v>9930.75</v>
      </c>
      <c r="I69" s="11">
        <v>2241</v>
      </c>
      <c r="J69" s="11">
        <v>1922</v>
      </c>
      <c r="K69" s="11">
        <v>25641</v>
      </c>
      <c r="L69" s="11">
        <v>0.225662714296503</v>
      </c>
      <c r="M69" s="11">
        <v>22.566271429650328</v>
      </c>
      <c r="N69" s="11">
        <v>0.85765283355644795</v>
      </c>
      <c r="O69" s="11">
        <v>2.5819802129748499</v>
      </c>
      <c r="P69" s="11">
        <v>0.90371621621621601</v>
      </c>
      <c r="Q69" s="11">
        <v>0.89361702127659604</v>
      </c>
      <c r="R69" s="11">
        <v>0.84787472035794198</v>
      </c>
      <c r="S69" s="10" t="s">
        <v>84</v>
      </c>
      <c r="T69" s="10" t="s">
        <v>84</v>
      </c>
      <c r="U69" s="10"/>
      <c r="V69" s="10"/>
      <c r="W69" s="10"/>
      <c r="X69" s="10"/>
      <c r="Y69" s="10"/>
      <c r="Z69" s="10"/>
      <c r="AA69" s="10"/>
    </row>
    <row r="70" spans="1:27" ht="12.5" x14ac:dyDescent="0.25">
      <c r="A70" s="10" t="s">
        <v>32</v>
      </c>
      <c r="B70" s="10" t="s">
        <v>436</v>
      </c>
      <c r="C70" s="10" t="s">
        <v>76</v>
      </c>
      <c r="D70" s="11">
        <v>2024</v>
      </c>
      <c r="E70" s="10" t="s">
        <v>124</v>
      </c>
      <c r="F70" s="10" t="s">
        <v>83</v>
      </c>
      <c r="G70" s="10" t="s">
        <v>84</v>
      </c>
      <c r="H70" s="12">
        <v>22412.416666666701</v>
      </c>
      <c r="I70" s="11">
        <v>5009</v>
      </c>
      <c r="J70" s="11">
        <v>4484</v>
      </c>
      <c r="K70" s="11">
        <v>10845</v>
      </c>
      <c r="L70" s="11">
        <v>0.22349218625092501</v>
      </c>
      <c r="M70" s="11">
        <v>22.349218625092458</v>
      </c>
      <c r="N70" s="11">
        <v>0.89518866041126</v>
      </c>
      <c r="O70" s="11">
        <v>0.48388356156743501</v>
      </c>
      <c r="P70" s="11">
        <v>0.90287162162162204</v>
      </c>
      <c r="Q70" s="11">
        <v>0.75862068965517204</v>
      </c>
      <c r="R70" s="11">
        <v>0.84563758389261701</v>
      </c>
      <c r="S70" s="10" t="s">
        <v>84</v>
      </c>
      <c r="T70" s="10" t="s">
        <v>84</v>
      </c>
      <c r="U70" s="10"/>
      <c r="V70" s="10"/>
      <c r="W70" s="10"/>
      <c r="X70" s="10"/>
      <c r="Y70" s="10"/>
      <c r="Z70" s="10"/>
      <c r="AA70" s="10"/>
    </row>
    <row r="71" spans="1:27" ht="12.5" x14ac:dyDescent="0.25">
      <c r="A71" s="10" t="s">
        <v>52</v>
      </c>
      <c r="B71" s="10" t="s">
        <v>438</v>
      </c>
      <c r="C71" s="10" t="s">
        <v>76</v>
      </c>
      <c r="D71" s="11">
        <v>2024</v>
      </c>
      <c r="E71" s="10" t="s">
        <v>124</v>
      </c>
      <c r="F71" s="10" t="s">
        <v>83</v>
      </c>
      <c r="G71" s="10" t="s">
        <v>84</v>
      </c>
      <c r="H71" s="12">
        <v>8797.5</v>
      </c>
      <c r="I71" s="11">
        <v>1936</v>
      </c>
      <c r="J71" s="11">
        <v>1751</v>
      </c>
      <c r="K71" s="11">
        <v>19762</v>
      </c>
      <c r="L71" s="11">
        <v>0.22006251776072699</v>
      </c>
      <c r="M71" s="11">
        <v>22.006251776072748</v>
      </c>
      <c r="N71" s="11">
        <v>0.90444214876033102</v>
      </c>
      <c r="O71" s="11">
        <v>2.2463199772662699</v>
      </c>
      <c r="P71" s="11">
        <v>0.90118243243243201</v>
      </c>
      <c r="Q71" s="11">
        <v>0.87234042553191504</v>
      </c>
      <c r="R71" s="11">
        <v>0.84340044742729303</v>
      </c>
      <c r="S71" s="10" t="s">
        <v>84</v>
      </c>
      <c r="T71" s="10" t="s">
        <v>84</v>
      </c>
      <c r="U71" s="10"/>
      <c r="V71" s="10"/>
      <c r="W71" s="10"/>
      <c r="X71" s="10"/>
      <c r="Y71" s="10"/>
      <c r="Z71" s="10"/>
      <c r="AA71" s="10"/>
    </row>
    <row r="72" spans="1:27" ht="12.5" x14ac:dyDescent="0.25">
      <c r="A72" s="10" t="s">
        <v>26</v>
      </c>
      <c r="B72" s="10" t="s">
        <v>439</v>
      </c>
      <c r="C72" s="10" t="s">
        <v>76</v>
      </c>
      <c r="D72" s="11">
        <v>2024</v>
      </c>
      <c r="E72" s="10" t="s">
        <v>124</v>
      </c>
      <c r="F72" s="10" t="s">
        <v>83</v>
      </c>
      <c r="G72" s="10" t="s">
        <v>84</v>
      </c>
      <c r="H72" s="12">
        <v>3812.4166666666702</v>
      </c>
      <c r="I72" s="11">
        <v>833</v>
      </c>
      <c r="J72" s="11">
        <v>669</v>
      </c>
      <c r="K72" s="11">
        <v>7166</v>
      </c>
      <c r="L72" s="11">
        <v>0.21849657916019999</v>
      </c>
      <c r="M72" s="11">
        <v>21.84965791602</v>
      </c>
      <c r="N72" s="11">
        <v>0.80312124849940003</v>
      </c>
      <c r="O72" s="11">
        <v>1.8796476425714199</v>
      </c>
      <c r="P72" s="11">
        <v>0.89780405405405395</v>
      </c>
      <c r="Q72" s="11">
        <v>0.80769230769230804</v>
      </c>
      <c r="R72" s="11">
        <v>0.84116331096196895</v>
      </c>
      <c r="S72" s="10" t="s">
        <v>84</v>
      </c>
      <c r="T72" s="10" t="s">
        <v>84</v>
      </c>
      <c r="U72" s="10"/>
      <c r="V72" s="10"/>
      <c r="W72" s="10"/>
      <c r="X72" s="10"/>
      <c r="Y72" s="10"/>
      <c r="Z72" s="10"/>
      <c r="AA72" s="10"/>
    </row>
    <row r="73" spans="1:27" ht="12.5" x14ac:dyDescent="0.25">
      <c r="A73" s="10" t="s">
        <v>110</v>
      </c>
      <c r="B73" s="10" t="s">
        <v>441</v>
      </c>
      <c r="C73" s="10" t="s">
        <v>76</v>
      </c>
      <c r="D73" s="11">
        <v>2024</v>
      </c>
      <c r="E73" s="10" t="s">
        <v>124</v>
      </c>
      <c r="F73" s="10" t="s">
        <v>83</v>
      </c>
      <c r="G73" s="10" t="s">
        <v>84</v>
      </c>
      <c r="H73" s="12">
        <v>175581.5</v>
      </c>
      <c r="I73" s="11">
        <v>37882</v>
      </c>
      <c r="J73" s="11">
        <v>37640</v>
      </c>
      <c r="K73" s="11">
        <v>156975</v>
      </c>
      <c r="L73" s="11">
        <v>0.215751659485766</v>
      </c>
      <c r="M73" s="11">
        <v>21.575165948576586</v>
      </c>
      <c r="N73" s="11">
        <v>0.993611741724302</v>
      </c>
      <c r="O73" s="11">
        <v>0.89402926845937603</v>
      </c>
      <c r="P73" s="11">
        <v>0.89695945945945899</v>
      </c>
      <c r="Q73" s="11">
        <v>0.96969696969696995</v>
      </c>
      <c r="R73" s="11">
        <v>0.83892617449664397</v>
      </c>
      <c r="S73" s="10" t="s">
        <v>84</v>
      </c>
      <c r="T73" s="10" t="s">
        <v>84</v>
      </c>
      <c r="U73" s="10"/>
      <c r="V73" s="10"/>
      <c r="W73" s="10"/>
      <c r="X73" s="10"/>
      <c r="Y73" s="10"/>
      <c r="Z73" s="10"/>
      <c r="AA73" s="10"/>
    </row>
    <row r="74" spans="1:27" ht="12.5" x14ac:dyDescent="0.25">
      <c r="A74" s="10" t="s">
        <v>86</v>
      </c>
      <c r="B74" s="10" t="s">
        <v>444</v>
      </c>
      <c r="C74" s="10" t="s">
        <v>76</v>
      </c>
      <c r="D74" s="11">
        <v>2024</v>
      </c>
      <c r="E74" s="10" t="s">
        <v>124</v>
      </c>
      <c r="F74" s="10" t="s">
        <v>83</v>
      </c>
      <c r="G74" s="10" t="s">
        <v>84</v>
      </c>
      <c r="H74" s="12">
        <v>13492.416666666701</v>
      </c>
      <c r="I74" s="11">
        <v>2906</v>
      </c>
      <c r="J74" s="11">
        <v>6833</v>
      </c>
      <c r="K74" s="11">
        <v>19872</v>
      </c>
      <c r="L74" s="11">
        <v>0.215380244458307</v>
      </c>
      <c r="M74" s="11">
        <v>21.538024445830629</v>
      </c>
      <c r="N74" s="11">
        <v>2.3513420509291101</v>
      </c>
      <c r="O74" s="11">
        <v>1.47282732893168</v>
      </c>
      <c r="P74" s="11">
        <v>0.89527027027026995</v>
      </c>
      <c r="Q74" s="11">
        <v>0.69565217391304301</v>
      </c>
      <c r="R74" s="11">
        <v>0.83668903803132</v>
      </c>
      <c r="S74" s="10" t="s">
        <v>84</v>
      </c>
      <c r="T74" s="10" t="s">
        <v>84</v>
      </c>
      <c r="U74" s="10"/>
      <c r="V74" s="10"/>
      <c r="W74" s="10"/>
      <c r="X74" s="10"/>
      <c r="Y74" s="10"/>
      <c r="Z74" s="10"/>
      <c r="AA74" s="10"/>
    </row>
    <row r="75" spans="1:27" ht="12.5" x14ac:dyDescent="0.25">
      <c r="A75" s="10" t="s">
        <v>36</v>
      </c>
      <c r="B75" s="10" t="s">
        <v>446</v>
      </c>
      <c r="C75" s="10" t="s">
        <v>76</v>
      </c>
      <c r="D75" s="11">
        <v>2024</v>
      </c>
      <c r="E75" s="10" t="s">
        <v>124</v>
      </c>
      <c r="F75" s="10" t="s">
        <v>83</v>
      </c>
      <c r="G75" s="10" t="s">
        <v>84</v>
      </c>
      <c r="H75" s="12">
        <v>8932.8333333333303</v>
      </c>
      <c r="I75" s="11">
        <v>1922</v>
      </c>
      <c r="J75" s="11">
        <v>1197</v>
      </c>
      <c r="K75" s="11">
        <v>13185</v>
      </c>
      <c r="L75" s="11">
        <v>0.215161296341213</v>
      </c>
      <c r="M75" s="11">
        <v>21.51612963412132</v>
      </c>
      <c r="N75" s="11">
        <v>0.62278876170655595</v>
      </c>
      <c r="O75" s="11">
        <v>1.4760154486258601</v>
      </c>
      <c r="P75" s="11">
        <v>0.89442567567567599</v>
      </c>
      <c r="Q75" s="11">
        <v>0.78723404255319196</v>
      </c>
      <c r="R75" s="11">
        <v>0.83445190156599602</v>
      </c>
      <c r="S75" s="10" t="s">
        <v>84</v>
      </c>
      <c r="T75" s="10" t="s">
        <v>84</v>
      </c>
      <c r="U75" s="10"/>
      <c r="V75" s="10"/>
      <c r="W75" s="10"/>
      <c r="X75" s="10"/>
      <c r="Y75" s="10"/>
      <c r="Z75" s="10"/>
      <c r="AA75" s="10"/>
    </row>
    <row r="76" spans="1:27" ht="12.5" x14ac:dyDescent="0.25">
      <c r="A76" s="10" t="s">
        <v>25</v>
      </c>
      <c r="B76" s="10" t="s">
        <v>448</v>
      </c>
      <c r="C76" s="10" t="s">
        <v>76</v>
      </c>
      <c r="D76" s="11">
        <v>2024</v>
      </c>
      <c r="E76" s="10" t="s">
        <v>124</v>
      </c>
      <c r="F76" s="10" t="s">
        <v>83</v>
      </c>
      <c r="G76" s="10" t="s">
        <v>84</v>
      </c>
      <c r="H76" s="12">
        <v>13621.166666666701</v>
      </c>
      <c r="I76" s="11">
        <v>2897</v>
      </c>
      <c r="J76" s="11">
        <v>2647</v>
      </c>
      <c r="K76" s="11">
        <v>25850</v>
      </c>
      <c r="L76" s="11">
        <v>0.21268369082433</v>
      </c>
      <c r="M76" s="11">
        <v>21.268369082432926</v>
      </c>
      <c r="N76" s="11">
        <v>0.913703831549879</v>
      </c>
      <c r="O76" s="11">
        <v>1.8977816388708799</v>
      </c>
      <c r="P76" s="11">
        <v>0.89358108108108103</v>
      </c>
      <c r="Q76" s="11">
        <v>1</v>
      </c>
      <c r="R76" s="11">
        <v>0.83221476510067105</v>
      </c>
      <c r="S76" s="10" t="s">
        <v>84</v>
      </c>
      <c r="T76" s="10" t="s">
        <v>84</v>
      </c>
      <c r="U76" s="10"/>
      <c r="V76" s="10"/>
      <c r="W76" s="10"/>
      <c r="X76" s="10"/>
      <c r="Y76" s="10"/>
      <c r="Z76" s="10"/>
      <c r="AA76" s="10"/>
    </row>
    <row r="77" spans="1:27" ht="12.5" x14ac:dyDescent="0.25">
      <c r="A77" s="10" t="s">
        <v>10</v>
      </c>
      <c r="B77" s="10" t="s">
        <v>450</v>
      </c>
      <c r="C77" s="10" t="s">
        <v>76</v>
      </c>
      <c r="D77" s="11">
        <v>2024</v>
      </c>
      <c r="E77" s="10" t="s">
        <v>124</v>
      </c>
      <c r="F77" s="10" t="s">
        <v>83</v>
      </c>
      <c r="G77" s="10" t="s">
        <v>84</v>
      </c>
      <c r="H77" s="12">
        <v>15573.833333333299</v>
      </c>
      <c r="I77" s="11">
        <v>3302</v>
      </c>
      <c r="J77" s="11">
        <v>815</v>
      </c>
      <c r="K77" s="11">
        <v>15515</v>
      </c>
      <c r="L77" s="11">
        <v>0.212022302366148</v>
      </c>
      <c r="M77" s="11">
        <v>21.202230236614881</v>
      </c>
      <c r="N77" s="11">
        <v>0.24682010902483301</v>
      </c>
      <c r="O77" s="11">
        <v>0.99622229594512202</v>
      </c>
      <c r="P77" s="11">
        <v>0.89273648648648696</v>
      </c>
      <c r="Q77" s="11">
        <v>0.8</v>
      </c>
      <c r="R77" s="11">
        <v>0.82997762863534696</v>
      </c>
      <c r="S77" s="10" t="s">
        <v>84</v>
      </c>
      <c r="T77" s="10" t="s">
        <v>84</v>
      </c>
      <c r="U77" s="10"/>
      <c r="V77" s="10"/>
      <c r="W77" s="10"/>
      <c r="X77" s="10"/>
      <c r="Y77" s="10"/>
      <c r="Z77" s="10"/>
      <c r="AA77" s="10"/>
    </row>
    <row r="78" spans="1:27" ht="12.5" x14ac:dyDescent="0.25">
      <c r="A78" s="10" t="s">
        <v>14</v>
      </c>
      <c r="B78" s="10" t="s">
        <v>453</v>
      </c>
      <c r="C78" s="10" t="s">
        <v>76</v>
      </c>
      <c r="D78" s="11">
        <v>2024</v>
      </c>
      <c r="E78" s="10" t="s">
        <v>124</v>
      </c>
      <c r="F78" s="10" t="s">
        <v>83</v>
      </c>
      <c r="G78" s="10" t="s">
        <v>84</v>
      </c>
      <c r="H78" s="12">
        <v>15635</v>
      </c>
      <c r="I78" s="11">
        <v>3133</v>
      </c>
      <c r="J78" s="11">
        <v>2700</v>
      </c>
      <c r="K78" s="11">
        <v>42679</v>
      </c>
      <c r="L78" s="11">
        <v>0.200383754397186</v>
      </c>
      <c r="M78" s="11">
        <v>20.038375439718582</v>
      </c>
      <c r="N78" s="11">
        <v>0.86179380785189896</v>
      </c>
      <c r="O78" s="11">
        <v>2.7297089862488</v>
      </c>
      <c r="P78" s="11">
        <v>0.88597972972973005</v>
      </c>
      <c r="Q78" s="11">
        <v>0.75</v>
      </c>
      <c r="R78" s="11">
        <v>0.82774049217002199</v>
      </c>
      <c r="S78" s="10" t="s">
        <v>84</v>
      </c>
      <c r="T78" s="10" t="s">
        <v>84</v>
      </c>
      <c r="U78" s="10"/>
      <c r="V78" s="10"/>
      <c r="W78" s="10"/>
      <c r="X78" s="10"/>
      <c r="Y78" s="10"/>
      <c r="Z78" s="10"/>
      <c r="AA78" s="10"/>
    </row>
    <row r="79" spans="1:27" ht="12.5" x14ac:dyDescent="0.25">
      <c r="A79" s="10" t="s">
        <v>26</v>
      </c>
      <c r="B79" s="10" t="s">
        <v>455</v>
      </c>
      <c r="C79" s="10" t="s">
        <v>76</v>
      </c>
      <c r="D79" s="11">
        <v>2024</v>
      </c>
      <c r="E79" s="10" t="s">
        <v>124</v>
      </c>
      <c r="F79" s="10" t="s">
        <v>83</v>
      </c>
      <c r="G79" s="10" t="s">
        <v>84</v>
      </c>
      <c r="H79" s="12">
        <v>5619.5</v>
      </c>
      <c r="I79" s="11">
        <v>1109</v>
      </c>
      <c r="J79" s="11">
        <v>1022</v>
      </c>
      <c r="K79" s="11">
        <v>18162</v>
      </c>
      <c r="L79" s="11">
        <v>0.19734851855147301</v>
      </c>
      <c r="M79" s="11">
        <v>19.734851855147255</v>
      </c>
      <c r="N79" s="11">
        <v>0.92155094679891802</v>
      </c>
      <c r="O79" s="11">
        <v>3.2319601388023802</v>
      </c>
      <c r="P79" s="11">
        <v>0.88429054054054101</v>
      </c>
      <c r="Q79" s="11">
        <v>0.76923076923076905</v>
      </c>
      <c r="R79" s="11">
        <v>0.82550335570469802</v>
      </c>
      <c r="S79" s="10" t="s">
        <v>84</v>
      </c>
      <c r="T79" s="10" t="s">
        <v>84</v>
      </c>
      <c r="U79" s="10"/>
      <c r="V79" s="10"/>
      <c r="W79" s="10"/>
      <c r="X79" s="10"/>
      <c r="Y79" s="10"/>
      <c r="Z79" s="10"/>
      <c r="AA79" s="10"/>
    </row>
    <row r="80" spans="1:27" ht="12.5" x14ac:dyDescent="0.25">
      <c r="A80" s="10" t="s">
        <v>32</v>
      </c>
      <c r="B80" s="10" t="s">
        <v>457</v>
      </c>
      <c r="C80" s="10" t="s">
        <v>76</v>
      </c>
      <c r="D80" s="11">
        <v>2024</v>
      </c>
      <c r="E80" s="10" t="s">
        <v>124</v>
      </c>
      <c r="F80" s="10" t="s">
        <v>83</v>
      </c>
      <c r="G80" s="10" t="s">
        <v>84</v>
      </c>
      <c r="H80" s="12">
        <v>11949.666666666701</v>
      </c>
      <c r="I80" s="11">
        <v>2340</v>
      </c>
      <c r="J80" s="11">
        <v>1523</v>
      </c>
      <c r="K80" s="11">
        <v>10217</v>
      </c>
      <c r="L80" s="11">
        <v>0.19582136182320301</v>
      </c>
      <c r="M80" s="11">
        <v>19.58213618232023</v>
      </c>
      <c r="N80" s="11">
        <v>0.65085470085470098</v>
      </c>
      <c r="O80" s="11">
        <v>0.85500292895199304</v>
      </c>
      <c r="P80" s="11">
        <v>0.88260135135135098</v>
      </c>
      <c r="Q80" s="11">
        <v>0.72413793103448298</v>
      </c>
      <c r="R80" s="11">
        <v>0.82326621923937404</v>
      </c>
      <c r="S80" s="10" t="s">
        <v>84</v>
      </c>
      <c r="T80" s="10" t="s">
        <v>84</v>
      </c>
      <c r="U80" s="10"/>
      <c r="V80" s="10"/>
      <c r="W80" s="10"/>
      <c r="X80" s="10"/>
      <c r="Y80" s="10"/>
      <c r="Z80" s="10"/>
      <c r="AA80" s="10"/>
    </row>
    <row r="81" spans="1:27" ht="12.5" x14ac:dyDescent="0.25">
      <c r="A81" s="10" t="s">
        <v>14</v>
      </c>
      <c r="B81" s="10" t="s">
        <v>459</v>
      </c>
      <c r="C81" s="10" t="s">
        <v>76</v>
      </c>
      <c r="D81" s="11">
        <v>2024</v>
      </c>
      <c r="E81" s="10" t="s">
        <v>124</v>
      </c>
      <c r="F81" s="10" t="s">
        <v>125</v>
      </c>
      <c r="G81" s="10" t="s">
        <v>84</v>
      </c>
      <c r="H81" s="12">
        <v>2950</v>
      </c>
      <c r="I81" s="11">
        <v>576</v>
      </c>
      <c r="J81" s="11">
        <v>536</v>
      </c>
      <c r="K81" s="11">
        <v>1678</v>
      </c>
      <c r="L81" s="11">
        <v>0.19525423728813601</v>
      </c>
      <c r="M81" s="11">
        <v>19.525423728813561</v>
      </c>
      <c r="N81" s="11">
        <v>0.93055555555555602</v>
      </c>
      <c r="O81" s="11">
        <v>0.56881355932203403</v>
      </c>
      <c r="P81" s="11">
        <v>0.88175675675675702</v>
      </c>
      <c r="Q81" s="11">
        <v>0.71428571428571397</v>
      </c>
      <c r="R81" s="11">
        <v>0.82102908277404896</v>
      </c>
      <c r="S81" s="10" t="s">
        <v>84</v>
      </c>
      <c r="T81" s="10" t="s">
        <v>84</v>
      </c>
      <c r="U81" s="10"/>
      <c r="V81" s="10"/>
      <c r="W81" s="10"/>
      <c r="X81" s="10"/>
      <c r="Y81" s="10"/>
      <c r="Z81" s="10"/>
      <c r="AA81" s="10"/>
    </row>
    <row r="82" spans="1:27" ht="12.5" x14ac:dyDescent="0.25">
      <c r="A82" s="10" t="s">
        <v>29</v>
      </c>
      <c r="B82" s="10" t="s">
        <v>461</v>
      </c>
      <c r="C82" s="10" t="s">
        <v>76</v>
      </c>
      <c r="D82" s="11">
        <v>2024</v>
      </c>
      <c r="E82" s="10" t="s">
        <v>124</v>
      </c>
      <c r="F82" s="10" t="s">
        <v>83</v>
      </c>
      <c r="G82" s="10" t="s">
        <v>84</v>
      </c>
      <c r="H82" s="12">
        <v>15194.416666666701</v>
      </c>
      <c r="I82" s="11">
        <v>2963</v>
      </c>
      <c r="J82" s="11">
        <v>2636</v>
      </c>
      <c r="K82" s="11">
        <v>30847</v>
      </c>
      <c r="L82" s="11">
        <v>0.19500584096131801</v>
      </c>
      <c r="M82" s="11">
        <v>19.50058409613176</v>
      </c>
      <c r="N82" s="11">
        <v>0.889638879514006</v>
      </c>
      <c r="O82" s="11">
        <v>2.0301536200249002</v>
      </c>
      <c r="P82" s="11">
        <v>0.88091216216216195</v>
      </c>
      <c r="Q82" s="11">
        <v>0.75510204081632604</v>
      </c>
      <c r="R82" s="11">
        <v>0.81879194630872498</v>
      </c>
      <c r="S82" s="10" t="s">
        <v>84</v>
      </c>
      <c r="T82" s="10" t="s">
        <v>84</v>
      </c>
      <c r="U82" s="10"/>
      <c r="V82" s="10"/>
      <c r="W82" s="10"/>
      <c r="X82" s="10"/>
      <c r="Y82" s="10"/>
      <c r="Z82" s="10"/>
      <c r="AA82" s="10"/>
    </row>
    <row r="83" spans="1:27" ht="12.5" x14ac:dyDescent="0.25">
      <c r="A83" s="10" t="s">
        <v>19</v>
      </c>
      <c r="B83" s="10" t="s">
        <v>463</v>
      </c>
      <c r="C83" s="10" t="s">
        <v>76</v>
      </c>
      <c r="D83" s="11">
        <v>2024</v>
      </c>
      <c r="E83" s="10" t="s">
        <v>124</v>
      </c>
      <c r="F83" s="10" t="s">
        <v>83</v>
      </c>
      <c r="G83" s="10" t="s">
        <v>84</v>
      </c>
      <c r="H83" s="12">
        <v>8919.3333333333303</v>
      </c>
      <c r="I83" s="11">
        <v>1733</v>
      </c>
      <c r="J83" s="11">
        <v>1432</v>
      </c>
      <c r="K83" s="11">
        <v>20476</v>
      </c>
      <c r="L83" s="11">
        <v>0.194297032663129</v>
      </c>
      <c r="M83" s="11">
        <v>19.429703266312885</v>
      </c>
      <c r="N83" s="11">
        <v>0.82631275245239499</v>
      </c>
      <c r="O83" s="11">
        <v>2.2956872710964902</v>
      </c>
      <c r="P83" s="11">
        <v>0.87753378378378399</v>
      </c>
      <c r="Q83" s="11">
        <v>0.83333333333333304</v>
      </c>
      <c r="R83" s="11">
        <v>0.81655480984340001</v>
      </c>
      <c r="S83" s="10" t="s">
        <v>84</v>
      </c>
      <c r="T83" s="10" t="s">
        <v>84</v>
      </c>
      <c r="U83" s="10"/>
      <c r="V83" s="10"/>
      <c r="W83" s="10"/>
      <c r="X83" s="10"/>
      <c r="Y83" s="10"/>
      <c r="Z83" s="10"/>
      <c r="AA83" s="10"/>
    </row>
    <row r="84" spans="1:27" ht="12.5" x14ac:dyDescent="0.25">
      <c r="A84" s="10" t="s">
        <v>12</v>
      </c>
      <c r="B84" s="10" t="s">
        <v>465</v>
      </c>
      <c r="C84" s="10" t="s">
        <v>76</v>
      </c>
      <c r="D84" s="11">
        <v>2024</v>
      </c>
      <c r="E84" s="10" t="s">
        <v>124</v>
      </c>
      <c r="F84" s="10" t="s">
        <v>83</v>
      </c>
      <c r="G84" s="10" t="s">
        <v>84</v>
      </c>
      <c r="H84" s="12">
        <v>22832</v>
      </c>
      <c r="I84" s="11">
        <v>4421</v>
      </c>
      <c r="J84" s="11">
        <v>3648</v>
      </c>
      <c r="K84" s="11">
        <v>43778</v>
      </c>
      <c r="L84" s="11">
        <v>0.19363174491941099</v>
      </c>
      <c r="M84" s="11">
        <v>19.363174491941134</v>
      </c>
      <c r="N84" s="11">
        <v>0.82515268038905198</v>
      </c>
      <c r="O84" s="11">
        <v>1.91739663629993</v>
      </c>
      <c r="P84" s="11">
        <v>0.87584459459459496</v>
      </c>
      <c r="Q84" s="11">
        <v>0.86111111111111105</v>
      </c>
      <c r="R84" s="11">
        <v>0.81431767337807603</v>
      </c>
      <c r="S84" s="10" t="s">
        <v>84</v>
      </c>
      <c r="T84" s="10" t="s">
        <v>84</v>
      </c>
      <c r="U84" s="10"/>
      <c r="V84" s="10"/>
      <c r="W84" s="10"/>
      <c r="X84" s="10"/>
      <c r="Y84" s="10"/>
      <c r="Z84" s="10"/>
      <c r="AA84" s="10"/>
    </row>
    <row r="85" spans="1:27" ht="12.5" x14ac:dyDescent="0.25">
      <c r="A85" s="10" t="s">
        <v>77</v>
      </c>
      <c r="B85" s="10" t="s">
        <v>468</v>
      </c>
      <c r="C85" s="10" t="s">
        <v>76</v>
      </c>
      <c r="D85" s="11">
        <v>2024</v>
      </c>
      <c r="E85" s="10" t="s">
        <v>124</v>
      </c>
      <c r="F85" s="10" t="s">
        <v>125</v>
      </c>
      <c r="G85" s="10" t="s">
        <v>84</v>
      </c>
      <c r="H85" s="12">
        <v>1756</v>
      </c>
      <c r="I85" s="11">
        <v>338</v>
      </c>
      <c r="J85" s="11">
        <v>338</v>
      </c>
      <c r="K85" s="11">
        <v>1787</v>
      </c>
      <c r="L85" s="11">
        <v>0.19248291571754</v>
      </c>
      <c r="M85" s="11">
        <v>19.248291571753988</v>
      </c>
      <c r="N85" s="11">
        <v>1</v>
      </c>
      <c r="O85" s="11">
        <v>1.0176537585421399</v>
      </c>
      <c r="P85" s="11">
        <v>0.875</v>
      </c>
      <c r="Q85" s="11">
        <v>1</v>
      </c>
      <c r="R85" s="11">
        <v>0.81208053691275195</v>
      </c>
      <c r="S85" s="10" t="s">
        <v>84</v>
      </c>
      <c r="T85" s="10" t="s">
        <v>84</v>
      </c>
      <c r="U85" s="10"/>
      <c r="V85" s="10"/>
      <c r="W85" s="10"/>
      <c r="X85" s="10"/>
      <c r="Y85" s="10"/>
      <c r="Z85" s="10"/>
      <c r="AA85" s="10"/>
    </row>
    <row r="86" spans="1:27" ht="12.5" x14ac:dyDescent="0.25">
      <c r="A86" s="10" t="s">
        <v>52</v>
      </c>
      <c r="B86" s="10" t="s">
        <v>470</v>
      </c>
      <c r="C86" s="10" t="s">
        <v>76</v>
      </c>
      <c r="D86" s="11">
        <v>2024</v>
      </c>
      <c r="E86" s="10" t="s">
        <v>124</v>
      </c>
      <c r="F86" s="10" t="s">
        <v>83</v>
      </c>
      <c r="G86" s="10" t="s">
        <v>84</v>
      </c>
      <c r="H86" s="12">
        <v>53806</v>
      </c>
      <c r="I86" s="11">
        <v>10295</v>
      </c>
      <c r="J86" s="11">
        <v>6921</v>
      </c>
      <c r="K86" s="11">
        <v>97731</v>
      </c>
      <c r="L86" s="11">
        <v>0.19133553878749601</v>
      </c>
      <c r="M86" s="11">
        <v>19.133553878749581</v>
      </c>
      <c r="N86" s="11">
        <v>0.67226809130646004</v>
      </c>
      <c r="O86" s="11">
        <v>1.8163587703973501</v>
      </c>
      <c r="P86" s="11">
        <v>0.87331081081081097</v>
      </c>
      <c r="Q86" s="11">
        <v>0.82978723404255295</v>
      </c>
      <c r="R86" s="11">
        <v>0.80984340044742698</v>
      </c>
      <c r="S86" s="10" t="s">
        <v>84</v>
      </c>
      <c r="T86" s="10" t="s">
        <v>84</v>
      </c>
      <c r="U86" s="10"/>
      <c r="V86" s="10"/>
      <c r="W86" s="10"/>
      <c r="X86" s="10"/>
      <c r="Y86" s="10"/>
      <c r="Z86" s="10"/>
      <c r="AA86" s="10"/>
    </row>
    <row r="87" spans="1:27" ht="12.5" x14ac:dyDescent="0.25">
      <c r="A87" s="10" t="s">
        <v>52</v>
      </c>
      <c r="B87" s="10" t="s">
        <v>472</v>
      </c>
      <c r="C87" s="10" t="s">
        <v>76</v>
      </c>
      <c r="D87" s="11">
        <v>2024</v>
      </c>
      <c r="E87" s="10" t="s">
        <v>124</v>
      </c>
      <c r="F87" s="10" t="s">
        <v>83</v>
      </c>
      <c r="G87" s="10" t="s">
        <v>84</v>
      </c>
      <c r="H87" s="12">
        <v>5968.5833333333303</v>
      </c>
      <c r="I87" s="11">
        <v>1141</v>
      </c>
      <c r="J87" s="11">
        <v>966</v>
      </c>
      <c r="K87" s="11">
        <v>11452</v>
      </c>
      <c r="L87" s="11">
        <v>0.19116764167934899</v>
      </c>
      <c r="M87" s="11">
        <v>19.116764167934893</v>
      </c>
      <c r="N87" s="11">
        <v>0.84662576687116597</v>
      </c>
      <c r="O87" s="11">
        <v>1.91871326249948</v>
      </c>
      <c r="P87" s="11">
        <v>0.87246621621621601</v>
      </c>
      <c r="Q87" s="11">
        <v>0.80851063829787195</v>
      </c>
      <c r="R87" s="11">
        <v>0.807606263982103</v>
      </c>
      <c r="S87" s="10" t="s">
        <v>84</v>
      </c>
      <c r="T87" s="10" t="s">
        <v>84</v>
      </c>
      <c r="U87" s="10"/>
      <c r="V87" s="10"/>
      <c r="W87" s="10"/>
      <c r="X87" s="10"/>
      <c r="Y87" s="10"/>
      <c r="Z87" s="10"/>
      <c r="AA87" s="10"/>
    </row>
    <row r="88" spans="1:27" ht="12.5" x14ac:dyDescent="0.25">
      <c r="A88" s="10" t="s">
        <v>86</v>
      </c>
      <c r="B88" s="10" t="s">
        <v>474</v>
      </c>
      <c r="C88" s="10" t="s">
        <v>76</v>
      </c>
      <c r="D88" s="11">
        <v>2024</v>
      </c>
      <c r="E88" s="10" t="s">
        <v>124</v>
      </c>
      <c r="F88" s="10" t="s">
        <v>125</v>
      </c>
      <c r="G88" s="10" t="s">
        <v>84</v>
      </c>
      <c r="H88" s="12">
        <v>5153.75</v>
      </c>
      <c r="I88" s="11">
        <v>985</v>
      </c>
      <c r="J88" s="11">
        <v>878</v>
      </c>
      <c r="K88" s="11">
        <v>15763</v>
      </c>
      <c r="L88" s="11">
        <v>0.19112296871210299</v>
      </c>
      <c r="M88" s="11">
        <v>19.112296871210283</v>
      </c>
      <c r="N88" s="11">
        <v>0.89137055837563495</v>
      </c>
      <c r="O88" s="11">
        <v>3.05854959980597</v>
      </c>
      <c r="P88" s="11">
        <v>0.87162162162162204</v>
      </c>
      <c r="Q88" s="11">
        <v>0.67391304347826098</v>
      </c>
      <c r="R88" s="11">
        <v>0.80536912751677803</v>
      </c>
      <c r="S88" s="10" t="s">
        <v>84</v>
      </c>
      <c r="T88" s="10" t="s">
        <v>84</v>
      </c>
      <c r="U88" s="10"/>
      <c r="V88" s="10"/>
      <c r="W88" s="10"/>
      <c r="X88" s="10"/>
      <c r="Y88" s="10"/>
      <c r="Z88" s="10"/>
      <c r="AA88" s="10"/>
    </row>
    <row r="89" spans="1:27" ht="12.5" x14ac:dyDescent="0.25">
      <c r="A89" s="10" t="s">
        <v>36</v>
      </c>
      <c r="B89" s="10" t="s">
        <v>476</v>
      </c>
      <c r="C89" s="10" t="s">
        <v>76</v>
      </c>
      <c r="D89" s="11">
        <v>2024</v>
      </c>
      <c r="E89" s="10" t="s">
        <v>124</v>
      </c>
      <c r="F89" s="10" t="s">
        <v>125</v>
      </c>
      <c r="G89" s="10" t="s">
        <v>84</v>
      </c>
      <c r="H89" s="12">
        <v>3487.75</v>
      </c>
      <c r="I89" s="11">
        <v>664</v>
      </c>
      <c r="J89" s="11">
        <v>540</v>
      </c>
      <c r="K89" s="11">
        <v>0</v>
      </c>
      <c r="L89" s="11">
        <v>0.19038061787685501</v>
      </c>
      <c r="M89" s="11">
        <v>19.038061787685471</v>
      </c>
      <c r="N89" s="11">
        <v>0.813253012048193</v>
      </c>
      <c r="O89" s="11">
        <v>0</v>
      </c>
      <c r="P89" s="11">
        <v>0.87077702702702697</v>
      </c>
      <c r="Q89" s="11">
        <v>0.72340425531914898</v>
      </c>
      <c r="R89" s="11">
        <v>0.80313199105145405</v>
      </c>
      <c r="S89" s="10" t="s">
        <v>84</v>
      </c>
      <c r="T89" s="10" t="s">
        <v>84</v>
      </c>
      <c r="U89" s="10"/>
      <c r="V89" s="10"/>
      <c r="W89" s="10"/>
      <c r="X89" s="10"/>
      <c r="Y89" s="10"/>
      <c r="Z89" s="10"/>
      <c r="AA89" s="10"/>
    </row>
    <row r="90" spans="1:27" ht="12.5" x14ac:dyDescent="0.25">
      <c r="A90" s="10" t="s">
        <v>12</v>
      </c>
      <c r="B90" s="10" t="s">
        <v>478</v>
      </c>
      <c r="C90" s="10" t="s">
        <v>76</v>
      </c>
      <c r="D90" s="11">
        <v>2024</v>
      </c>
      <c r="E90" s="10" t="s">
        <v>124</v>
      </c>
      <c r="F90" s="10" t="s">
        <v>83</v>
      </c>
      <c r="G90" s="10" t="s">
        <v>84</v>
      </c>
      <c r="H90" s="12">
        <v>69030.5</v>
      </c>
      <c r="I90" s="11">
        <v>12922</v>
      </c>
      <c r="J90" s="11">
        <v>12760</v>
      </c>
      <c r="K90" s="11">
        <v>90587</v>
      </c>
      <c r="L90" s="11">
        <v>0.187192617755919</v>
      </c>
      <c r="M90" s="11">
        <v>18.719261775591946</v>
      </c>
      <c r="N90" s="11">
        <v>0.987463240984368</v>
      </c>
      <c r="O90" s="11">
        <v>1.3122750088728901</v>
      </c>
      <c r="P90" s="11">
        <v>0.86824324324324298</v>
      </c>
      <c r="Q90" s="11">
        <v>0.83333333333333304</v>
      </c>
      <c r="R90" s="11">
        <v>0.80089485458612997</v>
      </c>
      <c r="S90" s="10" t="s">
        <v>84</v>
      </c>
      <c r="T90" s="10" t="s">
        <v>84</v>
      </c>
      <c r="U90" s="10"/>
      <c r="V90" s="10"/>
      <c r="W90" s="10"/>
      <c r="X90" s="10"/>
      <c r="Y90" s="10"/>
      <c r="Z90" s="10"/>
      <c r="AA90" s="10"/>
    </row>
    <row r="91" spans="1:27" ht="12.5" x14ac:dyDescent="0.25">
      <c r="A91" s="10" t="s">
        <v>80</v>
      </c>
      <c r="B91" s="10" t="s">
        <v>479</v>
      </c>
      <c r="C91" s="10" t="s">
        <v>76</v>
      </c>
      <c r="D91" s="11">
        <v>2024</v>
      </c>
      <c r="E91" s="10" t="s">
        <v>124</v>
      </c>
      <c r="F91" s="10" t="s">
        <v>83</v>
      </c>
      <c r="G91" s="10" t="s">
        <v>84</v>
      </c>
      <c r="H91" s="12">
        <v>32314.833333333299</v>
      </c>
      <c r="I91" s="11">
        <v>6045</v>
      </c>
      <c r="J91" s="11">
        <v>5554</v>
      </c>
      <c r="K91" s="11">
        <v>32973</v>
      </c>
      <c r="L91" s="11">
        <v>0.18706579537776799</v>
      </c>
      <c r="M91" s="11">
        <v>18.706579537776786</v>
      </c>
      <c r="N91" s="11">
        <v>0.91877584780810595</v>
      </c>
      <c r="O91" s="11">
        <v>1.0203673235717301</v>
      </c>
      <c r="P91" s="11">
        <v>0.86739864864864902</v>
      </c>
      <c r="Q91" s="11">
        <v>1</v>
      </c>
      <c r="R91" s="11">
        <v>0.79865771812080499</v>
      </c>
      <c r="S91" s="10" t="s">
        <v>84</v>
      </c>
      <c r="T91" s="10" t="s">
        <v>84</v>
      </c>
      <c r="U91" s="10"/>
      <c r="V91" s="10"/>
      <c r="W91" s="10"/>
      <c r="X91" s="10"/>
      <c r="Y91" s="10"/>
      <c r="Z91" s="10"/>
      <c r="AA91" s="10"/>
    </row>
    <row r="92" spans="1:27" ht="12.5" x14ac:dyDescent="0.25">
      <c r="A92" s="10" t="s">
        <v>36</v>
      </c>
      <c r="B92" s="10" t="s">
        <v>481</v>
      </c>
      <c r="C92" s="10" t="s">
        <v>76</v>
      </c>
      <c r="D92" s="11">
        <v>2024</v>
      </c>
      <c r="E92" s="10" t="s">
        <v>124</v>
      </c>
      <c r="F92" s="10" t="s">
        <v>83</v>
      </c>
      <c r="G92" s="10" t="s">
        <v>84</v>
      </c>
      <c r="H92" s="12">
        <v>13957.166666666701</v>
      </c>
      <c r="I92" s="11">
        <v>2602</v>
      </c>
      <c r="J92" s="11">
        <v>2031</v>
      </c>
      <c r="K92" s="11">
        <v>2857</v>
      </c>
      <c r="L92" s="11">
        <v>0.18642752230037099</v>
      </c>
      <c r="M92" s="11">
        <v>18.64275223003709</v>
      </c>
      <c r="N92" s="11">
        <v>0.780553420445811</v>
      </c>
      <c r="O92" s="11">
        <v>0.204697706076926</v>
      </c>
      <c r="P92" s="11">
        <v>0.86655405405405395</v>
      </c>
      <c r="Q92" s="11">
        <v>0.70212765957446799</v>
      </c>
      <c r="R92" s="11">
        <v>0.79642058165548102</v>
      </c>
      <c r="S92" s="10" t="s">
        <v>84</v>
      </c>
      <c r="T92" s="10" t="s">
        <v>84</v>
      </c>
      <c r="U92" s="10"/>
      <c r="V92" s="10"/>
      <c r="W92" s="10"/>
      <c r="X92" s="10"/>
      <c r="Y92" s="10"/>
      <c r="Z92" s="10"/>
      <c r="AA92" s="10"/>
    </row>
    <row r="93" spans="1:27" ht="12.5" x14ac:dyDescent="0.25">
      <c r="A93" s="10" t="s">
        <v>36</v>
      </c>
      <c r="B93" s="10" t="s">
        <v>483</v>
      </c>
      <c r="C93" s="10" t="s">
        <v>76</v>
      </c>
      <c r="D93" s="11">
        <v>2024</v>
      </c>
      <c r="E93" s="10" t="s">
        <v>124</v>
      </c>
      <c r="F93" s="10" t="s">
        <v>83</v>
      </c>
      <c r="G93" s="10" t="s">
        <v>84</v>
      </c>
      <c r="H93" s="12">
        <v>9427.25</v>
      </c>
      <c r="I93" s="11">
        <v>1727</v>
      </c>
      <c r="J93" s="11">
        <v>1553</v>
      </c>
      <c r="K93" s="11">
        <v>2870</v>
      </c>
      <c r="L93" s="11">
        <v>0.18319234135087101</v>
      </c>
      <c r="M93" s="11">
        <v>18.319234135087115</v>
      </c>
      <c r="N93" s="11">
        <v>0.899247249565721</v>
      </c>
      <c r="O93" s="11">
        <v>0.30443660664562799</v>
      </c>
      <c r="P93" s="11">
        <v>0.86317567567567599</v>
      </c>
      <c r="Q93" s="11">
        <v>0.680851063829787</v>
      </c>
      <c r="R93" s="11">
        <v>0.79418344519015704</v>
      </c>
      <c r="S93" s="10" t="s">
        <v>84</v>
      </c>
      <c r="T93" s="10" t="s">
        <v>84</v>
      </c>
      <c r="U93" s="10"/>
      <c r="V93" s="10"/>
      <c r="W93" s="10"/>
      <c r="X93" s="10"/>
      <c r="Y93" s="10"/>
      <c r="Z93" s="10"/>
      <c r="AA93" s="10"/>
    </row>
    <row r="94" spans="1:27" ht="12.5" x14ac:dyDescent="0.25">
      <c r="A94" s="10" t="s">
        <v>16</v>
      </c>
      <c r="B94" s="10" t="s">
        <v>485</v>
      </c>
      <c r="C94" s="10" t="s">
        <v>76</v>
      </c>
      <c r="D94" s="11">
        <v>2024</v>
      </c>
      <c r="E94" s="10" t="s">
        <v>124</v>
      </c>
      <c r="F94" s="10" t="s">
        <v>125</v>
      </c>
      <c r="G94" s="10" t="s">
        <v>84</v>
      </c>
      <c r="H94" s="12">
        <v>967.58333333333303</v>
      </c>
      <c r="I94" s="11">
        <v>177</v>
      </c>
      <c r="J94" s="11">
        <v>98</v>
      </c>
      <c r="K94" s="11">
        <v>189</v>
      </c>
      <c r="L94" s="11">
        <v>0.18292998019119799</v>
      </c>
      <c r="M94" s="11">
        <v>18.292998019119803</v>
      </c>
      <c r="N94" s="11">
        <v>0.55367231638418102</v>
      </c>
      <c r="O94" s="11">
        <v>0.195332012746533</v>
      </c>
      <c r="P94" s="11">
        <v>0.86233108108108103</v>
      </c>
      <c r="Q94" s="11">
        <v>0.6</v>
      </c>
      <c r="R94" s="11">
        <v>0.79194630872483196</v>
      </c>
      <c r="S94" s="10" t="s">
        <v>84</v>
      </c>
      <c r="T94" s="10" t="s">
        <v>84</v>
      </c>
      <c r="U94" s="10"/>
      <c r="V94" s="10"/>
      <c r="W94" s="10"/>
      <c r="X94" s="10"/>
      <c r="Y94" s="10"/>
      <c r="Z94" s="10"/>
      <c r="AA94" s="10"/>
    </row>
    <row r="95" spans="1:27" ht="12.5" x14ac:dyDescent="0.25">
      <c r="A95" s="10" t="s">
        <v>104</v>
      </c>
      <c r="B95" s="10" t="s">
        <v>487</v>
      </c>
      <c r="C95" s="10" t="s">
        <v>76</v>
      </c>
      <c r="D95" s="11">
        <v>2024</v>
      </c>
      <c r="E95" s="10" t="s">
        <v>124</v>
      </c>
      <c r="F95" s="10" t="s">
        <v>83</v>
      </c>
      <c r="G95" s="10" t="s">
        <v>84</v>
      </c>
      <c r="H95" s="12">
        <v>36768.833333333299</v>
      </c>
      <c r="I95" s="11">
        <v>6671</v>
      </c>
      <c r="J95" s="11">
        <v>4306</v>
      </c>
      <c r="K95" s="11">
        <v>18804</v>
      </c>
      <c r="L95" s="11">
        <v>0.181430831365332</v>
      </c>
      <c r="M95" s="11">
        <v>18.143083136533221</v>
      </c>
      <c r="N95" s="11">
        <v>0.64548043771548502</v>
      </c>
      <c r="O95" s="11">
        <v>0.511411385548449</v>
      </c>
      <c r="P95" s="11">
        <v>0.86148648648648696</v>
      </c>
      <c r="Q95" s="11">
        <v>0.931034482758621</v>
      </c>
      <c r="R95" s="11">
        <v>0.78970917225950799</v>
      </c>
      <c r="S95" s="10" t="s">
        <v>84</v>
      </c>
      <c r="T95" s="10" t="s">
        <v>84</v>
      </c>
      <c r="U95" s="10"/>
      <c r="V95" s="10"/>
      <c r="W95" s="10"/>
      <c r="X95" s="10"/>
      <c r="Y95" s="10"/>
      <c r="Z95" s="10"/>
      <c r="AA95" s="10"/>
    </row>
    <row r="96" spans="1:27" ht="12.5" x14ac:dyDescent="0.25">
      <c r="A96" s="10" t="s">
        <v>62</v>
      </c>
      <c r="B96" s="10" t="s">
        <v>489</v>
      </c>
      <c r="C96" s="10" t="s">
        <v>76</v>
      </c>
      <c r="D96" s="11">
        <v>2024</v>
      </c>
      <c r="E96" s="10" t="s">
        <v>124</v>
      </c>
      <c r="F96" s="10" t="s">
        <v>83</v>
      </c>
      <c r="G96" s="10" t="s">
        <v>84</v>
      </c>
      <c r="H96" s="12">
        <v>2770.5</v>
      </c>
      <c r="I96" s="11">
        <v>498</v>
      </c>
      <c r="J96" s="11">
        <v>465</v>
      </c>
      <c r="K96" s="11">
        <v>6516</v>
      </c>
      <c r="L96" s="11">
        <v>0.179750947482404</v>
      </c>
      <c r="M96" s="11">
        <v>17.975094748240387</v>
      </c>
      <c r="N96" s="11">
        <v>0.93373493975903599</v>
      </c>
      <c r="O96" s="11">
        <v>2.3519220357336201</v>
      </c>
      <c r="P96" s="11">
        <v>0.85895270270270296</v>
      </c>
      <c r="Q96" s="11">
        <v>0.97222222222222199</v>
      </c>
      <c r="R96" s="11">
        <v>0.78747203579418301</v>
      </c>
      <c r="S96" s="10" t="s">
        <v>84</v>
      </c>
      <c r="T96" s="10" t="s">
        <v>84</v>
      </c>
      <c r="U96" s="10"/>
      <c r="V96" s="10"/>
      <c r="W96" s="10"/>
      <c r="X96" s="10"/>
      <c r="Y96" s="10"/>
      <c r="Z96" s="10"/>
      <c r="AA96" s="10"/>
    </row>
    <row r="97" spans="1:27" ht="12.5" x14ac:dyDescent="0.25">
      <c r="A97" s="10" t="s">
        <v>86</v>
      </c>
      <c r="B97" s="10" t="s">
        <v>491</v>
      </c>
      <c r="C97" s="10" t="s">
        <v>76</v>
      </c>
      <c r="D97" s="11">
        <v>2024</v>
      </c>
      <c r="E97" s="10" t="s">
        <v>124</v>
      </c>
      <c r="F97" s="10" t="s">
        <v>83</v>
      </c>
      <c r="G97" s="10" t="s">
        <v>84</v>
      </c>
      <c r="H97" s="12">
        <v>18053</v>
      </c>
      <c r="I97" s="11">
        <v>3216</v>
      </c>
      <c r="J97" s="11">
        <v>3271</v>
      </c>
      <c r="K97" s="11">
        <v>5324</v>
      </c>
      <c r="L97" s="11">
        <v>0.17814213704093501</v>
      </c>
      <c r="M97" s="11">
        <v>17.8142137040935</v>
      </c>
      <c r="N97" s="11">
        <v>1.01710199004975</v>
      </c>
      <c r="O97" s="11">
        <v>0.29490943333517999</v>
      </c>
      <c r="P97" s="11">
        <v>0.85557432432432401</v>
      </c>
      <c r="Q97" s="11">
        <v>0.63043478260869601</v>
      </c>
      <c r="R97" s="11">
        <v>0.78523489932885904</v>
      </c>
      <c r="S97" s="10" t="s">
        <v>84</v>
      </c>
      <c r="T97" s="10" t="s">
        <v>84</v>
      </c>
      <c r="U97" s="10"/>
      <c r="V97" s="10"/>
      <c r="W97" s="10"/>
      <c r="X97" s="10"/>
      <c r="Y97" s="10"/>
      <c r="Z97" s="10"/>
      <c r="AA97" s="10"/>
    </row>
    <row r="98" spans="1:27" ht="12.5" x14ac:dyDescent="0.25">
      <c r="A98" s="10" t="s">
        <v>52</v>
      </c>
      <c r="B98" s="10" t="s">
        <v>494</v>
      </c>
      <c r="C98" s="10" t="s">
        <v>76</v>
      </c>
      <c r="D98" s="11">
        <v>2024</v>
      </c>
      <c r="E98" s="10" t="s">
        <v>124</v>
      </c>
      <c r="F98" s="10" t="s">
        <v>125</v>
      </c>
      <c r="G98" s="10" t="s">
        <v>84</v>
      </c>
      <c r="H98" s="12">
        <v>1623.4166666666699</v>
      </c>
      <c r="I98" s="11">
        <v>287</v>
      </c>
      <c r="J98" s="11">
        <v>287</v>
      </c>
      <c r="K98" s="11">
        <v>3117</v>
      </c>
      <c r="L98" s="11">
        <v>0.17678763923823201</v>
      </c>
      <c r="M98" s="11">
        <v>17.678763923823176</v>
      </c>
      <c r="N98" s="11">
        <v>1</v>
      </c>
      <c r="O98" s="11">
        <v>1.92002463939223</v>
      </c>
      <c r="P98" s="11">
        <v>0.85388513513513498</v>
      </c>
      <c r="Q98" s="11">
        <v>0.78723404255319196</v>
      </c>
      <c r="R98" s="11">
        <v>0.78299776286353495</v>
      </c>
      <c r="S98" s="10" t="s">
        <v>84</v>
      </c>
      <c r="T98" s="10" t="s">
        <v>84</v>
      </c>
      <c r="U98" s="10"/>
      <c r="V98" s="10"/>
      <c r="W98" s="10"/>
      <c r="X98" s="10"/>
      <c r="Y98" s="10"/>
      <c r="Z98" s="10"/>
      <c r="AA98" s="10"/>
    </row>
    <row r="99" spans="1:27" ht="12.5" x14ac:dyDescent="0.25">
      <c r="A99" s="10" t="s">
        <v>42</v>
      </c>
      <c r="B99" s="10" t="s">
        <v>496</v>
      </c>
      <c r="C99" s="10" t="s">
        <v>76</v>
      </c>
      <c r="D99" s="11">
        <v>2024</v>
      </c>
      <c r="E99" s="10" t="s">
        <v>124</v>
      </c>
      <c r="F99" s="10" t="s">
        <v>83</v>
      </c>
      <c r="G99" s="10" t="s">
        <v>84</v>
      </c>
      <c r="H99" s="12">
        <v>7819.5</v>
      </c>
      <c r="I99" s="11">
        <v>1381</v>
      </c>
      <c r="J99" s="11">
        <v>1291</v>
      </c>
      <c r="K99" s="11">
        <v>20295</v>
      </c>
      <c r="L99" s="11">
        <v>0.17660975765713899</v>
      </c>
      <c r="M99" s="11">
        <v>17.660975765713921</v>
      </c>
      <c r="N99" s="11">
        <v>0.93482983345401904</v>
      </c>
      <c r="O99" s="11">
        <v>2.59543449069634</v>
      </c>
      <c r="P99" s="11">
        <v>0.85304054054054101</v>
      </c>
      <c r="Q99" s="11">
        <v>0.90476190476190499</v>
      </c>
      <c r="R99" s="11">
        <v>0.78076062639820998</v>
      </c>
      <c r="S99" s="10" t="s">
        <v>84</v>
      </c>
      <c r="T99" s="10" t="s">
        <v>84</v>
      </c>
      <c r="U99" s="10"/>
      <c r="V99" s="10"/>
      <c r="W99" s="10"/>
      <c r="X99" s="10"/>
      <c r="Y99" s="10"/>
      <c r="Z99" s="10"/>
      <c r="AA99" s="10"/>
    </row>
    <row r="100" spans="1:27" ht="12.5" x14ac:dyDescent="0.25">
      <c r="A100" s="10" t="s">
        <v>36</v>
      </c>
      <c r="B100" s="10" t="s">
        <v>499</v>
      </c>
      <c r="C100" s="10" t="s">
        <v>76</v>
      </c>
      <c r="D100" s="11">
        <v>2024</v>
      </c>
      <c r="E100" s="10" t="s">
        <v>124</v>
      </c>
      <c r="F100" s="10" t="s">
        <v>83</v>
      </c>
      <c r="G100" s="10" t="s">
        <v>84</v>
      </c>
      <c r="H100" s="12">
        <v>10387.583333333299</v>
      </c>
      <c r="I100" s="11">
        <v>1819</v>
      </c>
      <c r="J100" s="11">
        <v>1590</v>
      </c>
      <c r="K100" s="11">
        <v>102412</v>
      </c>
      <c r="L100" s="11">
        <v>0.17511291525940401</v>
      </c>
      <c r="M100" s="11">
        <v>17.511291525940482</v>
      </c>
      <c r="N100" s="11">
        <v>0.87410665200659698</v>
      </c>
      <c r="O100" s="11">
        <v>9.8590785473040707</v>
      </c>
      <c r="P100" s="11">
        <v>0.84966216216216195</v>
      </c>
      <c r="Q100" s="11">
        <v>0.63829787234042601</v>
      </c>
      <c r="R100" s="11">
        <v>0.778523489932886</v>
      </c>
      <c r="S100" s="10" t="s">
        <v>84</v>
      </c>
      <c r="T100" s="10" t="s">
        <v>84</v>
      </c>
      <c r="U100" s="10"/>
      <c r="V100" s="10"/>
      <c r="W100" s="10"/>
      <c r="X100" s="10"/>
      <c r="Y100" s="10"/>
      <c r="Z100" s="10"/>
      <c r="AA100" s="10"/>
    </row>
    <row r="101" spans="1:27" ht="12.5" x14ac:dyDescent="0.25">
      <c r="A101" s="10" t="s">
        <v>42</v>
      </c>
      <c r="B101" s="10" t="s">
        <v>501</v>
      </c>
      <c r="C101" s="10" t="s">
        <v>76</v>
      </c>
      <c r="D101" s="11">
        <v>2024</v>
      </c>
      <c r="E101" s="10" t="s">
        <v>124</v>
      </c>
      <c r="F101" s="10" t="s">
        <v>83</v>
      </c>
      <c r="G101" s="10" t="s">
        <v>84</v>
      </c>
      <c r="H101" s="12">
        <v>9242.4166666666697</v>
      </c>
      <c r="I101" s="11">
        <v>1609</v>
      </c>
      <c r="J101" s="11">
        <v>1464</v>
      </c>
      <c r="K101" s="11">
        <v>2996</v>
      </c>
      <c r="L101" s="11">
        <v>0.174088667285793</v>
      </c>
      <c r="M101" s="11">
        <v>17.40886672857928</v>
      </c>
      <c r="N101" s="11">
        <v>0.90988191423244202</v>
      </c>
      <c r="O101" s="11">
        <v>0.32415764275216602</v>
      </c>
      <c r="P101" s="11">
        <v>0.84881756756756799</v>
      </c>
      <c r="Q101" s="11">
        <v>0.88095238095238104</v>
      </c>
      <c r="R101" s="11">
        <v>0.77628635346756103</v>
      </c>
      <c r="S101" s="10" t="s">
        <v>84</v>
      </c>
      <c r="T101" s="10" t="s">
        <v>84</v>
      </c>
      <c r="U101" s="10"/>
      <c r="V101" s="10"/>
      <c r="W101" s="10"/>
      <c r="X101" s="10"/>
      <c r="Y101" s="10"/>
      <c r="Z101" s="10"/>
      <c r="AA101" s="10"/>
    </row>
    <row r="102" spans="1:27" ht="12.5" x14ac:dyDescent="0.25">
      <c r="A102" s="10" t="s">
        <v>101</v>
      </c>
      <c r="B102" s="10" t="s">
        <v>504</v>
      </c>
      <c r="C102" s="10" t="s">
        <v>76</v>
      </c>
      <c r="D102" s="11">
        <v>2024</v>
      </c>
      <c r="E102" s="10" t="s">
        <v>124</v>
      </c>
      <c r="F102" s="10" t="s">
        <v>125</v>
      </c>
      <c r="G102" s="10" t="s">
        <v>84</v>
      </c>
      <c r="H102" s="12">
        <v>4702.6666666666697</v>
      </c>
      <c r="I102" s="11">
        <v>816</v>
      </c>
      <c r="J102" s="11">
        <v>1064</v>
      </c>
      <c r="K102" s="11">
        <v>1076</v>
      </c>
      <c r="L102" s="11">
        <v>0.17351857102353299</v>
      </c>
      <c r="M102" s="11">
        <v>17.351857102353264</v>
      </c>
      <c r="N102" s="11">
        <v>1.3039215686274499</v>
      </c>
      <c r="O102" s="11">
        <v>0.228806351006521</v>
      </c>
      <c r="P102" s="11">
        <v>0.84712837837837796</v>
      </c>
      <c r="Q102" s="11">
        <v>0.78571428571428603</v>
      </c>
      <c r="R102" s="11">
        <v>0.77404921700223706</v>
      </c>
      <c r="S102" s="10" t="s">
        <v>84</v>
      </c>
      <c r="T102" s="10" t="s">
        <v>84</v>
      </c>
      <c r="U102" s="10"/>
      <c r="V102" s="10"/>
      <c r="W102" s="10"/>
      <c r="X102" s="10"/>
      <c r="Y102" s="10"/>
      <c r="Z102" s="10"/>
      <c r="AA102" s="10"/>
    </row>
    <row r="103" spans="1:27" ht="12.5" x14ac:dyDescent="0.25">
      <c r="A103" s="10" t="s">
        <v>104</v>
      </c>
      <c r="B103" s="10" t="s">
        <v>506</v>
      </c>
      <c r="C103" s="10" t="s">
        <v>76</v>
      </c>
      <c r="D103" s="11">
        <v>2024</v>
      </c>
      <c r="E103" s="10" t="s">
        <v>124</v>
      </c>
      <c r="F103" s="10" t="s">
        <v>83</v>
      </c>
      <c r="G103" s="10" t="s">
        <v>84</v>
      </c>
      <c r="H103" s="12">
        <v>70803.25</v>
      </c>
      <c r="I103" s="11">
        <v>12224</v>
      </c>
      <c r="J103" s="11">
        <v>11855</v>
      </c>
      <c r="K103" s="11">
        <v>57548</v>
      </c>
      <c r="L103" s="11">
        <v>0.172647442031263</v>
      </c>
      <c r="M103" s="11">
        <v>17.26474420312627</v>
      </c>
      <c r="N103" s="11">
        <v>0.96981348167539305</v>
      </c>
      <c r="O103" s="11">
        <v>0.81278754859416802</v>
      </c>
      <c r="P103" s="11">
        <v>0.84543918918918903</v>
      </c>
      <c r="Q103" s="11">
        <v>0.89655172413793105</v>
      </c>
      <c r="R103" s="11">
        <v>0.77181208053691297</v>
      </c>
      <c r="S103" s="10" t="s">
        <v>84</v>
      </c>
      <c r="T103" s="10" t="s">
        <v>84</v>
      </c>
      <c r="U103" s="10"/>
      <c r="V103" s="10"/>
      <c r="W103" s="10"/>
      <c r="X103" s="10"/>
      <c r="Y103" s="10"/>
      <c r="Z103" s="10"/>
      <c r="AA103" s="10"/>
    </row>
    <row r="104" spans="1:27" ht="12.5" x14ac:dyDescent="0.25">
      <c r="A104" s="10" t="s">
        <v>29</v>
      </c>
      <c r="B104" s="10" t="s">
        <v>508</v>
      </c>
      <c r="C104" s="10" t="s">
        <v>76</v>
      </c>
      <c r="D104" s="11">
        <v>2024</v>
      </c>
      <c r="E104" s="10" t="s">
        <v>124</v>
      </c>
      <c r="F104" s="10" t="s">
        <v>83</v>
      </c>
      <c r="G104" s="10" t="s">
        <v>84</v>
      </c>
      <c r="H104" s="12">
        <v>9310.6666666666697</v>
      </c>
      <c r="I104" s="11">
        <v>1603</v>
      </c>
      <c r="J104" s="11">
        <v>1402</v>
      </c>
      <c r="K104" s="11">
        <v>14078</v>
      </c>
      <c r="L104" s="11">
        <v>0.17216812258341699</v>
      </c>
      <c r="M104" s="11">
        <v>17.216812258341683</v>
      </c>
      <c r="N104" s="11">
        <v>0.87461010605115397</v>
      </c>
      <c r="O104" s="11">
        <v>1.51202921380495</v>
      </c>
      <c r="P104" s="11">
        <v>0.84459459459459496</v>
      </c>
      <c r="Q104" s="11">
        <v>0.71428571428571397</v>
      </c>
      <c r="R104" s="11">
        <v>0.769574944071588</v>
      </c>
      <c r="S104" s="10" t="s">
        <v>84</v>
      </c>
      <c r="T104" s="10" t="s">
        <v>84</v>
      </c>
      <c r="U104" s="10"/>
      <c r="V104" s="10"/>
      <c r="W104" s="10"/>
      <c r="X104" s="10"/>
      <c r="Y104" s="10"/>
      <c r="Z104" s="10"/>
      <c r="AA104" s="10"/>
    </row>
    <row r="105" spans="1:27" ht="12.5" x14ac:dyDescent="0.25">
      <c r="A105" s="10" t="s">
        <v>36</v>
      </c>
      <c r="B105" s="10" t="s">
        <v>511</v>
      </c>
      <c r="C105" s="10" t="s">
        <v>76</v>
      </c>
      <c r="D105" s="11">
        <v>2024</v>
      </c>
      <c r="E105" s="10" t="s">
        <v>124</v>
      </c>
      <c r="F105" s="10" t="s">
        <v>83</v>
      </c>
      <c r="G105" s="10" t="s">
        <v>84</v>
      </c>
      <c r="H105" s="12">
        <v>4726.4166666666697</v>
      </c>
      <c r="I105" s="11">
        <v>809</v>
      </c>
      <c r="J105" s="11">
        <v>764</v>
      </c>
      <c r="K105" s="11">
        <v>10928</v>
      </c>
      <c r="L105" s="11">
        <v>0.171165611721353</v>
      </c>
      <c r="M105" s="11">
        <v>17.116561172135327</v>
      </c>
      <c r="N105" s="11">
        <v>0.94437577255871397</v>
      </c>
      <c r="O105" s="11">
        <v>2.3121110072817701</v>
      </c>
      <c r="P105" s="11">
        <v>0.84375</v>
      </c>
      <c r="Q105" s="11">
        <v>0.59574468085106402</v>
      </c>
      <c r="R105" s="11">
        <v>0.76733780760626402</v>
      </c>
      <c r="S105" s="10" t="s">
        <v>84</v>
      </c>
      <c r="T105" s="10" t="s">
        <v>84</v>
      </c>
      <c r="U105" s="10"/>
      <c r="V105" s="10"/>
      <c r="W105" s="10"/>
      <c r="X105" s="10"/>
      <c r="Y105" s="10"/>
      <c r="Z105" s="10"/>
      <c r="AA105" s="10"/>
    </row>
    <row r="106" spans="1:27" ht="12.5" x14ac:dyDescent="0.25">
      <c r="A106" s="10" t="s">
        <v>86</v>
      </c>
      <c r="B106" s="10" t="s">
        <v>513</v>
      </c>
      <c r="C106" s="10" t="s">
        <v>76</v>
      </c>
      <c r="D106" s="11">
        <v>2024</v>
      </c>
      <c r="E106" s="10" t="s">
        <v>124</v>
      </c>
      <c r="F106" s="10" t="s">
        <v>83</v>
      </c>
      <c r="G106" s="10" t="s">
        <v>84</v>
      </c>
      <c r="H106" s="12">
        <v>29839.666666666701</v>
      </c>
      <c r="I106" s="11">
        <v>5098</v>
      </c>
      <c r="J106" s="11">
        <v>5284</v>
      </c>
      <c r="K106" s="11">
        <v>26004</v>
      </c>
      <c r="L106" s="11">
        <v>0.17084641249343699</v>
      </c>
      <c r="M106" s="11">
        <v>17.084641249343697</v>
      </c>
      <c r="N106" s="11">
        <v>1.03648489603766</v>
      </c>
      <c r="O106" s="11">
        <v>0.87145745595906998</v>
      </c>
      <c r="P106" s="11">
        <v>0.84290540540540504</v>
      </c>
      <c r="Q106" s="11">
        <v>0.60869565217391297</v>
      </c>
      <c r="R106" s="11">
        <v>0.76510067114094005</v>
      </c>
      <c r="S106" s="10" t="s">
        <v>84</v>
      </c>
      <c r="T106" s="10" t="s">
        <v>84</v>
      </c>
      <c r="U106" s="10"/>
      <c r="V106" s="10"/>
      <c r="W106" s="10"/>
      <c r="X106" s="10"/>
      <c r="Y106" s="10"/>
      <c r="Z106" s="10"/>
      <c r="AA106" s="10"/>
    </row>
    <row r="107" spans="1:27" ht="12.5" x14ac:dyDescent="0.25">
      <c r="A107" s="10" t="s">
        <v>118</v>
      </c>
      <c r="B107" s="10" t="s">
        <v>516</v>
      </c>
      <c r="C107" s="10" t="s">
        <v>76</v>
      </c>
      <c r="D107" s="11">
        <v>2024</v>
      </c>
      <c r="E107" s="10" t="s">
        <v>124</v>
      </c>
      <c r="F107" s="10" t="s">
        <v>83</v>
      </c>
      <c r="G107" s="10" t="s">
        <v>84</v>
      </c>
      <c r="H107" s="12">
        <v>19455</v>
      </c>
      <c r="I107" s="11">
        <v>3314</v>
      </c>
      <c r="J107" s="11">
        <v>3045</v>
      </c>
      <c r="K107" s="11">
        <v>29599</v>
      </c>
      <c r="L107" s="11">
        <v>0.17034181444358801</v>
      </c>
      <c r="M107" s="11">
        <v>17.034181444358776</v>
      </c>
      <c r="N107" s="11">
        <v>0.918829209414605</v>
      </c>
      <c r="O107" s="11">
        <v>1.5214083783089201</v>
      </c>
      <c r="P107" s="11">
        <v>0.84206081081081097</v>
      </c>
      <c r="Q107" s="11">
        <v>1</v>
      </c>
      <c r="R107" s="11">
        <v>0.76286353467561496</v>
      </c>
      <c r="S107" s="10" t="s">
        <v>84</v>
      </c>
      <c r="T107" s="10" t="s">
        <v>84</v>
      </c>
      <c r="U107" s="10"/>
      <c r="V107" s="10"/>
      <c r="W107" s="10"/>
      <c r="X107" s="10"/>
      <c r="Y107" s="10"/>
      <c r="Z107" s="10"/>
      <c r="AA107" s="10"/>
    </row>
    <row r="108" spans="1:27" ht="12.5" x14ac:dyDescent="0.25">
      <c r="A108" s="10" t="s">
        <v>29</v>
      </c>
      <c r="B108" s="10" t="s">
        <v>518</v>
      </c>
      <c r="C108" s="10" t="s">
        <v>76</v>
      </c>
      <c r="D108" s="11">
        <v>2024</v>
      </c>
      <c r="E108" s="10" t="s">
        <v>124</v>
      </c>
      <c r="F108" s="10" t="s">
        <v>83</v>
      </c>
      <c r="G108" s="10" t="s">
        <v>84</v>
      </c>
      <c r="H108" s="12">
        <v>21688.5</v>
      </c>
      <c r="I108" s="11">
        <v>3670</v>
      </c>
      <c r="J108" s="11">
        <v>3509</v>
      </c>
      <c r="K108" s="11">
        <v>7284</v>
      </c>
      <c r="L108" s="11">
        <v>0.169214099638057</v>
      </c>
      <c r="M108" s="11">
        <v>16.921409963805704</v>
      </c>
      <c r="N108" s="11">
        <v>0.95613079019073599</v>
      </c>
      <c r="O108" s="11">
        <v>0.33584618576665098</v>
      </c>
      <c r="P108" s="11">
        <v>0.84121621621621601</v>
      </c>
      <c r="Q108" s="11">
        <v>0.69387755102040805</v>
      </c>
      <c r="R108" s="11">
        <v>0.76062639821029099</v>
      </c>
      <c r="S108" s="10" t="s">
        <v>84</v>
      </c>
      <c r="T108" s="10" t="s">
        <v>84</v>
      </c>
      <c r="U108" s="10"/>
      <c r="V108" s="10"/>
      <c r="W108" s="10"/>
      <c r="X108" s="10"/>
      <c r="Y108" s="10"/>
      <c r="Z108" s="10"/>
      <c r="AA108" s="10"/>
    </row>
    <row r="109" spans="1:27" ht="12.5" x14ac:dyDescent="0.25">
      <c r="A109" s="10" t="s">
        <v>19</v>
      </c>
      <c r="B109" s="10" t="s">
        <v>519</v>
      </c>
      <c r="C109" s="10" t="s">
        <v>76</v>
      </c>
      <c r="D109" s="11">
        <v>2024</v>
      </c>
      <c r="E109" s="10" t="s">
        <v>124</v>
      </c>
      <c r="F109" s="10" t="s">
        <v>83</v>
      </c>
      <c r="G109" s="10" t="s">
        <v>84</v>
      </c>
      <c r="H109" s="12">
        <v>12520.666666666701</v>
      </c>
      <c r="I109" s="11">
        <v>2109</v>
      </c>
      <c r="J109" s="11">
        <v>3842</v>
      </c>
      <c r="K109" s="11">
        <v>25411</v>
      </c>
      <c r="L109" s="11">
        <v>0.16844151003673899</v>
      </c>
      <c r="M109" s="11">
        <v>16.844151003673879</v>
      </c>
      <c r="N109" s="11">
        <v>1.8217164532954</v>
      </c>
      <c r="O109" s="11">
        <v>2.0295245194611602</v>
      </c>
      <c r="P109" s="11">
        <v>0.84037162162162204</v>
      </c>
      <c r="Q109" s="11">
        <v>0.77777777777777801</v>
      </c>
      <c r="R109" s="11">
        <v>0.75838926174496601</v>
      </c>
      <c r="S109" s="10" t="s">
        <v>84</v>
      </c>
      <c r="T109" s="10" t="s">
        <v>84</v>
      </c>
      <c r="U109" s="10"/>
      <c r="V109" s="10"/>
      <c r="W109" s="10"/>
      <c r="X109" s="10"/>
      <c r="Y109" s="10"/>
      <c r="Z109" s="10"/>
      <c r="AA109" s="10"/>
    </row>
    <row r="110" spans="1:27" ht="12.5" x14ac:dyDescent="0.25">
      <c r="A110" s="10" t="s">
        <v>16</v>
      </c>
      <c r="B110" s="10" t="s">
        <v>521</v>
      </c>
      <c r="C110" s="10" t="s">
        <v>76</v>
      </c>
      <c r="D110" s="11">
        <v>2024</v>
      </c>
      <c r="E110" s="10" t="s">
        <v>124</v>
      </c>
      <c r="F110" s="10" t="s">
        <v>125</v>
      </c>
      <c r="G110" s="10" t="s">
        <v>84</v>
      </c>
      <c r="H110" s="12">
        <v>1067.5</v>
      </c>
      <c r="I110" s="11">
        <v>175</v>
      </c>
      <c r="J110" s="11">
        <v>99</v>
      </c>
      <c r="K110" s="11">
        <v>0</v>
      </c>
      <c r="L110" s="11">
        <v>0.16393442622950799</v>
      </c>
      <c r="M110" s="11">
        <v>16.393442622950818</v>
      </c>
      <c r="N110" s="11">
        <v>0.56571428571428595</v>
      </c>
      <c r="O110" s="11">
        <v>0</v>
      </c>
      <c r="P110" s="11">
        <v>0.83783783783783805</v>
      </c>
      <c r="Q110" s="11">
        <v>0.53333333333333299</v>
      </c>
      <c r="R110" s="11">
        <v>0.75615212527964204</v>
      </c>
      <c r="S110" s="10" t="s">
        <v>84</v>
      </c>
      <c r="T110" s="10" t="s">
        <v>84</v>
      </c>
      <c r="U110" s="10"/>
      <c r="V110" s="10"/>
      <c r="W110" s="10"/>
      <c r="X110" s="10"/>
      <c r="Y110" s="10"/>
      <c r="Z110" s="10"/>
      <c r="AA110" s="10"/>
    </row>
    <row r="111" spans="1:27" ht="12.5" x14ac:dyDescent="0.25">
      <c r="A111" s="10" t="s">
        <v>29</v>
      </c>
      <c r="B111" s="10" t="s">
        <v>523</v>
      </c>
      <c r="C111" s="10" t="s">
        <v>76</v>
      </c>
      <c r="D111" s="11">
        <v>2024</v>
      </c>
      <c r="E111" s="10" t="s">
        <v>124</v>
      </c>
      <c r="F111" s="10" t="s">
        <v>83</v>
      </c>
      <c r="G111" s="10" t="s">
        <v>84</v>
      </c>
      <c r="H111" s="12">
        <v>16424.166666666701</v>
      </c>
      <c r="I111" s="11">
        <v>2665</v>
      </c>
      <c r="J111" s="11">
        <v>2500</v>
      </c>
      <c r="K111" s="11">
        <v>46941</v>
      </c>
      <c r="L111" s="11">
        <v>0.16226089603734301</v>
      </c>
      <c r="M111" s="11">
        <v>16.226089603734302</v>
      </c>
      <c r="N111" s="11">
        <v>0.93808630393996295</v>
      </c>
      <c r="O111" s="11">
        <v>2.8580445481759602</v>
      </c>
      <c r="P111" s="11">
        <v>0.83614864864864902</v>
      </c>
      <c r="Q111" s="11">
        <v>0.67346938775510201</v>
      </c>
      <c r="R111" s="11">
        <v>0.75391498881431795</v>
      </c>
      <c r="S111" s="10" t="s">
        <v>84</v>
      </c>
      <c r="T111" s="10" t="s">
        <v>84</v>
      </c>
      <c r="U111" s="10"/>
      <c r="V111" s="10"/>
      <c r="W111" s="10"/>
      <c r="X111" s="10"/>
      <c r="Y111" s="10"/>
      <c r="Z111" s="10"/>
      <c r="AA111" s="10"/>
    </row>
    <row r="112" spans="1:27" ht="12.5" x14ac:dyDescent="0.25">
      <c r="A112" s="10" t="s">
        <v>58</v>
      </c>
      <c r="B112" s="10" t="s">
        <v>525</v>
      </c>
      <c r="C112" s="10" t="s">
        <v>76</v>
      </c>
      <c r="D112" s="11">
        <v>2024</v>
      </c>
      <c r="E112" s="10" t="s">
        <v>124</v>
      </c>
      <c r="F112" s="10" t="s">
        <v>83</v>
      </c>
      <c r="G112" s="10" t="s">
        <v>84</v>
      </c>
      <c r="H112" s="12">
        <v>4544.3333333333303</v>
      </c>
      <c r="I112" s="11">
        <v>734</v>
      </c>
      <c r="J112" s="11">
        <v>651</v>
      </c>
      <c r="K112" s="11">
        <v>12185</v>
      </c>
      <c r="L112" s="11">
        <v>0.161519841560918</v>
      </c>
      <c r="M112" s="11">
        <v>16.151984156091849</v>
      </c>
      <c r="N112" s="11">
        <v>0.88692098092643101</v>
      </c>
      <c r="O112" s="11">
        <v>2.68136140247928</v>
      </c>
      <c r="P112" s="11">
        <v>0.83530405405405395</v>
      </c>
      <c r="Q112" s="11">
        <v>0.91891891891891897</v>
      </c>
      <c r="R112" s="11">
        <v>0.75167785234899298</v>
      </c>
      <c r="S112" s="10" t="s">
        <v>84</v>
      </c>
      <c r="T112" s="10" t="s">
        <v>84</v>
      </c>
      <c r="U112" s="10"/>
      <c r="V112" s="10"/>
      <c r="W112" s="10"/>
      <c r="X112" s="10"/>
      <c r="Y112" s="10"/>
      <c r="Z112" s="10"/>
      <c r="AA112" s="10"/>
    </row>
    <row r="113" spans="1:27" ht="12.5" x14ac:dyDescent="0.25">
      <c r="A113" s="10" t="s">
        <v>14</v>
      </c>
      <c r="B113" s="10" t="s">
        <v>527</v>
      </c>
      <c r="C113" s="10" t="s">
        <v>76</v>
      </c>
      <c r="D113" s="11">
        <v>2024</v>
      </c>
      <c r="E113" s="10" t="s">
        <v>124</v>
      </c>
      <c r="F113" s="10" t="s">
        <v>83</v>
      </c>
      <c r="G113" s="10" t="s">
        <v>84</v>
      </c>
      <c r="H113" s="12">
        <v>21428.916666666701</v>
      </c>
      <c r="I113" s="11">
        <v>3392</v>
      </c>
      <c r="J113" s="11">
        <v>3042</v>
      </c>
      <c r="K113" s="11">
        <v>30524</v>
      </c>
      <c r="L113" s="11">
        <v>0.15829078309293901</v>
      </c>
      <c r="M113" s="11">
        <v>15.829078309293882</v>
      </c>
      <c r="N113" s="11">
        <v>0.89681603773584895</v>
      </c>
      <c r="O113" s="11">
        <v>1.42443038417714</v>
      </c>
      <c r="P113" s="11">
        <v>0.83023648648648696</v>
      </c>
      <c r="Q113" s="11">
        <v>0.64285714285714302</v>
      </c>
      <c r="R113" s="11">
        <v>0.74944071588366901</v>
      </c>
      <c r="S113" s="10" t="s">
        <v>84</v>
      </c>
      <c r="T113" s="10" t="s">
        <v>84</v>
      </c>
      <c r="U113" s="10"/>
      <c r="V113" s="10"/>
      <c r="W113" s="10"/>
      <c r="X113" s="10"/>
      <c r="Y113" s="10"/>
      <c r="Z113" s="10"/>
      <c r="AA113" s="10"/>
    </row>
    <row r="114" spans="1:27" ht="12.5" x14ac:dyDescent="0.25">
      <c r="A114" s="10" t="s">
        <v>16</v>
      </c>
      <c r="B114" s="10" t="s">
        <v>530</v>
      </c>
      <c r="C114" s="10" t="s">
        <v>76</v>
      </c>
      <c r="D114" s="11">
        <v>2024</v>
      </c>
      <c r="E114" s="10" t="s">
        <v>124</v>
      </c>
      <c r="F114" s="10" t="s">
        <v>83</v>
      </c>
      <c r="G114" s="10" t="s">
        <v>84</v>
      </c>
      <c r="H114" s="12">
        <v>470564.33333333302</v>
      </c>
      <c r="I114" s="11">
        <v>74025</v>
      </c>
      <c r="J114" s="11">
        <v>59670</v>
      </c>
      <c r="K114" s="11">
        <v>509623</v>
      </c>
      <c r="L114" s="11">
        <v>0.157311115093721</v>
      </c>
      <c r="M114" s="11">
        <v>15.73111150937209</v>
      </c>
      <c r="N114" s="11">
        <v>0.80607902735562298</v>
      </c>
      <c r="O114" s="11">
        <v>1.0830038825721999</v>
      </c>
      <c r="P114" s="11">
        <v>0.82770270270270296</v>
      </c>
      <c r="Q114" s="11">
        <v>0.5</v>
      </c>
      <c r="R114" s="11">
        <v>0.74720357941834403</v>
      </c>
      <c r="S114" s="10" t="s">
        <v>84</v>
      </c>
      <c r="T114" s="10" t="s">
        <v>84</v>
      </c>
      <c r="U114" s="10"/>
      <c r="V114" s="10"/>
      <c r="W114" s="10"/>
      <c r="X114" s="10"/>
      <c r="Y114" s="10"/>
      <c r="Z114" s="10"/>
      <c r="AA114" s="10"/>
    </row>
    <row r="115" spans="1:27" ht="12.5" x14ac:dyDescent="0.25">
      <c r="A115" s="10" t="s">
        <v>16</v>
      </c>
      <c r="B115" s="10" t="s">
        <v>533</v>
      </c>
      <c r="C115" s="10" t="s">
        <v>76</v>
      </c>
      <c r="D115" s="11">
        <v>2024</v>
      </c>
      <c r="E115" s="10" t="s">
        <v>124</v>
      </c>
      <c r="F115" s="10" t="s">
        <v>125</v>
      </c>
      <c r="G115" s="10" t="s">
        <v>84</v>
      </c>
      <c r="H115" s="12">
        <v>2957.5833333333298</v>
      </c>
      <c r="I115" s="11">
        <v>464</v>
      </c>
      <c r="J115" s="11">
        <v>376</v>
      </c>
      <c r="K115" s="11">
        <v>0</v>
      </c>
      <c r="L115" s="11">
        <v>0.156884844044969</v>
      </c>
      <c r="M115" s="11">
        <v>15.688484404496933</v>
      </c>
      <c r="N115" s="11">
        <v>0.81034482758620696</v>
      </c>
      <c r="O115" s="11">
        <v>0</v>
      </c>
      <c r="P115" s="11">
        <v>0.82432432432432401</v>
      </c>
      <c r="Q115" s="11">
        <v>0.46666666666666701</v>
      </c>
      <c r="R115" s="11">
        <v>0.74496644295301995</v>
      </c>
      <c r="S115" s="10" t="s">
        <v>84</v>
      </c>
      <c r="T115" s="10" t="s">
        <v>84</v>
      </c>
      <c r="U115" s="10"/>
      <c r="V115" s="10"/>
      <c r="W115" s="10"/>
      <c r="X115" s="10"/>
      <c r="Y115" s="10"/>
      <c r="Z115" s="10"/>
      <c r="AA115" s="10"/>
    </row>
    <row r="116" spans="1:27" ht="12.5" x14ac:dyDescent="0.25">
      <c r="A116" s="10" t="s">
        <v>52</v>
      </c>
      <c r="B116" s="10" t="s">
        <v>535</v>
      </c>
      <c r="C116" s="10" t="s">
        <v>76</v>
      </c>
      <c r="D116" s="11">
        <v>2024</v>
      </c>
      <c r="E116" s="10" t="s">
        <v>124</v>
      </c>
      <c r="F116" s="10" t="s">
        <v>83</v>
      </c>
      <c r="G116" s="10" t="s">
        <v>84</v>
      </c>
      <c r="H116" s="12">
        <v>4611.1666666666697</v>
      </c>
      <c r="I116" s="11">
        <v>720</v>
      </c>
      <c r="J116" s="11">
        <v>655</v>
      </c>
      <c r="K116" s="11">
        <v>1697</v>
      </c>
      <c r="L116" s="11">
        <v>0.156142697075939</v>
      </c>
      <c r="M116" s="11">
        <v>15.614269707593875</v>
      </c>
      <c r="N116" s="11">
        <v>0.90972222222222199</v>
      </c>
      <c r="O116" s="11">
        <v>0.36801966241370598</v>
      </c>
      <c r="P116" s="11">
        <v>0.82094594594594605</v>
      </c>
      <c r="Q116" s="11">
        <v>0.76595744680851097</v>
      </c>
      <c r="R116" s="11">
        <v>0.74272930648769597</v>
      </c>
      <c r="S116" s="10" t="s">
        <v>84</v>
      </c>
      <c r="T116" s="10" t="s">
        <v>84</v>
      </c>
      <c r="U116" s="10"/>
      <c r="V116" s="10"/>
      <c r="W116" s="10"/>
      <c r="X116" s="10"/>
      <c r="Y116" s="10"/>
      <c r="Z116" s="10"/>
      <c r="AA116" s="10"/>
    </row>
    <row r="117" spans="1:27" ht="12.5" x14ac:dyDescent="0.25">
      <c r="A117" s="10" t="s">
        <v>62</v>
      </c>
      <c r="B117" s="10" t="s">
        <v>538</v>
      </c>
      <c r="C117" s="10" t="s">
        <v>76</v>
      </c>
      <c r="D117" s="11">
        <v>2024</v>
      </c>
      <c r="E117" s="10" t="s">
        <v>124</v>
      </c>
      <c r="F117" s="10" t="s">
        <v>83</v>
      </c>
      <c r="G117" s="10" t="s">
        <v>84</v>
      </c>
      <c r="H117" s="12">
        <v>9733.75</v>
      </c>
      <c r="I117" s="11">
        <v>1495</v>
      </c>
      <c r="J117" s="11">
        <v>1310</v>
      </c>
      <c r="K117" s="11">
        <v>23397</v>
      </c>
      <c r="L117" s="11">
        <v>0.15358931552587601</v>
      </c>
      <c r="M117" s="11">
        <v>15.358931552587645</v>
      </c>
      <c r="N117" s="11">
        <v>0.87625418060200699</v>
      </c>
      <c r="O117" s="11">
        <v>2.4036984718119898</v>
      </c>
      <c r="P117" s="11">
        <v>0.81841216216216195</v>
      </c>
      <c r="Q117" s="11">
        <v>0.94444444444444398</v>
      </c>
      <c r="R117" s="11">
        <v>0.740492170022371</v>
      </c>
      <c r="S117" s="10" t="s">
        <v>84</v>
      </c>
      <c r="T117" s="10" t="s">
        <v>84</v>
      </c>
      <c r="U117" s="10"/>
      <c r="V117" s="10"/>
      <c r="W117" s="10"/>
      <c r="X117" s="10"/>
      <c r="Y117" s="10"/>
      <c r="Z117" s="10"/>
      <c r="AA117" s="10"/>
    </row>
    <row r="118" spans="1:27" ht="12.5" x14ac:dyDescent="0.25">
      <c r="A118" s="10" t="s">
        <v>42</v>
      </c>
      <c r="B118" s="10" t="s">
        <v>541</v>
      </c>
      <c r="C118" s="10" t="s">
        <v>76</v>
      </c>
      <c r="D118" s="11">
        <v>2024</v>
      </c>
      <c r="E118" s="10" t="s">
        <v>124</v>
      </c>
      <c r="F118" s="10" t="s">
        <v>125</v>
      </c>
      <c r="G118" s="10" t="s">
        <v>84</v>
      </c>
      <c r="H118" s="12">
        <v>2690.0833333333298</v>
      </c>
      <c r="I118" s="11">
        <v>413</v>
      </c>
      <c r="J118" s="11">
        <v>361</v>
      </c>
      <c r="K118" s="11">
        <v>2855</v>
      </c>
      <c r="L118" s="11">
        <v>0.153526842415043</v>
      </c>
      <c r="M118" s="11">
        <v>15.35268424150431</v>
      </c>
      <c r="N118" s="11">
        <v>0.87409200968523004</v>
      </c>
      <c r="O118" s="11">
        <v>1.0613054118521701</v>
      </c>
      <c r="P118" s="11">
        <v>0.81756756756756799</v>
      </c>
      <c r="Q118" s="11">
        <v>0.80952380952380998</v>
      </c>
      <c r="R118" s="11">
        <v>0.73825503355704702</v>
      </c>
      <c r="S118" s="10" t="s">
        <v>84</v>
      </c>
      <c r="T118" s="10" t="s">
        <v>84</v>
      </c>
      <c r="U118" s="10"/>
      <c r="V118" s="10"/>
      <c r="W118" s="10"/>
      <c r="X118" s="10"/>
      <c r="Y118" s="10"/>
      <c r="Z118" s="10"/>
      <c r="AA118" s="10"/>
    </row>
    <row r="119" spans="1:27" ht="12.5" x14ac:dyDescent="0.25">
      <c r="A119" s="10" t="s">
        <v>14</v>
      </c>
      <c r="B119" s="10" t="s">
        <v>543</v>
      </c>
      <c r="C119" s="10" t="s">
        <v>76</v>
      </c>
      <c r="D119" s="11">
        <v>2024</v>
      </c>
      <c r="E119" s="10" t="s">
        <v>124</v>
      </c>
      <c r="F119" s="10" t="s">
        <v>83</v>
      </c>
      <c r="G119" s="10" t="s">
        <v>84</v>
      </c>
      <c r="H119" s="12">
        <v>4071.4166666666702</v>
      </c>
      <c r="I119" s="11">
        <v>622</v>
      </c>
      <c r="J119" s="11">
        <v>490</v>
      </c>
      <c r="K119" s="11">
        <v>13951</v>
      </c>
      <c r="L119" s="11">
        <v>0.15277237652741699</v>
      </c>
      <c r="M119" s="11">
        <v>15.277237652741663</v>
      </c>
      <c r="N119" s="11">
        <v>0.78778135048231501</v>
      </c>
      <c r="O119" s="11">
        <v>3.4265714227234598</v>
      </c>
      <c r="P119" s="11">
        <v>0.81672297297297303</v>
      </c>
      <c r="Q119" s="11">
        <v>0.57142857142857095</v>
      </c>
      <c r="R119" s="11">
        <v>0.73601789709172305</v>
      </c>
      <c r="S119" s="10" t="s">
        <v>84</v>
      </c>
      <c r="T119" s="10" t="s">
        <v>84</v>
      </c>
      <c r="U119" s="10"/>
      <c r="V119" s="10"/>
      <c r="W119" s="10"/>
      <c r="X119" s="10"/>
      <c r="Y119" s="10"/>
      <c r="Z119" s="10"/>
      <c r="AA119" s="10"/>
    </row>
    <row r="120" spans="1:27" ht="12.5" x14ac:dyDescent="0.25">
      <c r="A120" s="10" t="s">
        <v>42</v>
      </c>
      <c r="B120" s="10" t="s">
        <v>545</v>
      </c>
      <c r="C120" s="10" t="s">
        <v>76</v>
      </c>
      <c r="D120" s="11">
        <v>2024</v>
      </c>
      <c r="E120" s="10" t="s">
        <v>124</v>
      </c>
      <c r="F120" s="10" t="s">
        <v>83</v>
      </c>
      <c r="G120" s="10" t="s">
        <v>84</v>
      </c>
      <c r="H120" s="12">
        <v>9330</v>
      </c>
      <c r="I120" s="11">
        <v>1413</v>
      </c>
      <c r="J120" s="11">
        <v>1297</v>
      </c>
      <c r="K120" s="11">
        <v>15647</v>
      </c>
      <c r="L120" s="11">
        <v>0.15144694533762099</v>
      </c>
      <c r="M120" s="11">
        <v>15.144694533762056</v>
      </c>
      <c r="N120" s="11">
        <v>0.91790516631281005</v>
      </c>
      <c r="O120" s="11">
        <v>1.67706323687031</v>
      </c>
      <c r="P120" s="11">
        <v>0.81334459459459496</v>
      </c>
      <c r="Q120" s="11">
        <v>0.78571428571428603</v>
      </c>
      <c r="R120" s="11">
        <v>0.73378076062639797</v>
      </c>
      <c r="S120" s="10" t="s">
        <v>84</v>
      </c>
      <c r="T120" s="10" t="s">
        <v>84</v>
      </c>
      <c r="U120" s="10"/>
      <c r="V120" s="10"/>
      <c r="W120" s="10"/>
      <c r="X120" s="10"/>
      <c r="Y120" s="10"/>
      <c r="Z120" s="10"/>
      <c r="AA120" s="10"/>
    </row>
    <row r="121" spans="1:27" ht="12.5" x14ac:dyDescent="0.25">
      <c r="A121" s="10" t="s">
        <v>29</v>
      </c>
      <c r="B121" s="10" t="s">
        <v>547</v>
      </c>
      <c r="C121" s="10" t="s">
        <v>76</v>
      </c>
      <c r="D121" s="11">
        <v>2024</v>
      </c>
      <c r="E121" s="10" t="s">
        <v>124</v>
      </c>
      <c r="F121" s="10" t="s">
        <v>83</v>
      </c>
      <c r="G121" s="10" t="s">
        <v>84</v>
      </c>
      <c r="H121" s="12">
        <v>27772.833333333299</v>
      </c>
      <c r="I121" s="11">
        <v>4187</v>
      </c>
      <c r="J121" s="11">
        <v>3832</v>
      </c>
      <c r="K121" s="11">
        <v>53099</v>
      </c>
      <c r="L121" s="11">
        <v>0.15075883507264301</v>
      </c>
      <c r="M121" s="11">
        <v>15.075883507264312</v>
      </c>
      <c r="N121" s="11">
        <v>0.91521375686649198</v>
      </c>
      <c r="O121" s="11">
        <v>1.9119043189687801</v>
      </c>
      <c r="P121" s="11">
        <v>0.8125</v>
      </c>
      <c r="Q121" s="11">
        <v>0.65306122448979598</v>
      </c>
      <c r="R121" s="11">
        <v>0.73154362416107399</v>
      </c>
      <c r="S121" s="10" t="s">
        <v>84</v>
      </c>
      <c r="T121" s="10" t="s">
        <v>84</v>
      </c>
      <c r="U121" s="10"/>
      <c r="V121" s="10"/>
      <c r="W121" s="10"/>
      <c r="X121" s="10"/>
      <c r="Y121" s="10"/>
      <c r="Z121" s="10"/>
      <c r="AA121" s="10"/>
    </row>
    <row r="122" spans="1:27" ht="12.5" x14ac:dyDescent="0.25">
      <c r="A122" s="10" t="s">
        <v>43</v>
      </c>
      <c r="B122" s="10" t="s">
        <v>550</v>
      </c>
      <c r="C122" s="10" t="s">
        <v>76</v>
      </c>
      <c r="D122" s="11">
        <v>2024</v>
      </c>
      <c r="E122" s="10" t="s">
        <v>124</v>
      </c>
      <c r="F122" s="10" t="s">
        <v>83</v>
      </c>
      <c r="G122" s="10" t="s">
        <v>84</v>
      </c>
      <c r="H122" s="12">
        <v>16383.5</v>
      </c>
      <c r="I122" s="11">
        <v>2433</v>
      </c>
      <c r="J122" s="11">
        <v>2183</v>
      </c>
      <c r="K122" s="11">
        <v>47740</v>
      </c>
      <c r="L122" s="11">
        <v>0.148503067110202</v>
      </c>
      <c r="M122" s="11">
        <v>14.850306711020234</v>
      </c>
      <c r="N122" s="11">
        <v>0.89724619810933004</v>
      </c>
      <c r="O122" s="11">
        <v>2.9139072847682099</v>
      </c>
      <c r="P122" s="11">
        <v>0.81081081081081097</v>
      </c>
      <c r="Q122" s="11">
        <v>0.92307692307692302</v>
      </c>
      <c r="R122" s="11">
        <v>0.72930648769575002</v>
      </c>
      <c r="S122" s="10" t="s">
        <v>84</v>
      </c>
      <c r="T122" s="10" t="s">
        <v>84</v>
      </c>
      <c r="U122" s="10"/>
      <c r="V122" s="10"/>
      <c r="W122" s="10"/>
      <c r="X122" s="10"/>
      <c r="Y122" s="10"/>
      <c r="Z122" s="10"/>
      <c r="AA122" s="10"/>
    </row>
    <row r="123" spans="1:27" ht="12.5" x14ac:dyDescent="0.25">
      <c r="A123" s="10" t="s">
        <v>52</v>
      </c>
      <c r="B123" s="10" t="s">
        <v>553</v>
      </c>
      <c r="C123" s="10" t="s">
        <v>76</v>
      </c>
      <c r="D123" s="11">
        <v>2024</v>
      </c>
      <c r="E123" s="10" t="s">
        <v>124</v>
      </c>
      <c r="F123" s="10" t="s">
        <v>83</v>
      </c>
      <c r="G123" s="10" t="s">
        <v>84</v>
      </c>
      <c r="H123" s="12">
        <v>9043.4166666666697</v>
      </c>
      <c r="I123" s="11">
        <v>1335</v>
      </c>
      <c r="J123" s="11">
        <v>1029</v>
      </c>
      <c r="K123" s="11">
        <v>1963</v>
      </c>
      <c r="L123" s="11">
        <v>0.14762119774052901</v>
      </c>
      <c r="M123" s="11">
        <v>14.762119774052943</v>
      </c>
      <c r="N123" s="11">
        <v>0.77078651685393296</v>
      </c>
      <c r="O123" s="11">
        <v>0.21706397840049399</v>
      </c>
      <c r="P123" s="11">
        <v>0.80912162162162204</v>
      </c>
      <c r="Q123" s="11">
        <v>0.74468085106382997</v>
      </c>
      <c r="R123" s="11">
        <v>0.72706935123042504</v>
      </c>
      <c r="S123" s="10" t="s">
        <v>84</v>
      </c>
      <c r="T123" s="10" t="s">
        <v>84</v>
      </c>
      <c r="U123" s="10"/>
      <c r="V123" s="10"/>
      <c r="W123" s="10"/>
      <c r="X123" s="10"/>
      <c r="Y123" s="10"/>
      <c r="Z123" s="10"/>
      <c r="AA123" s="10"/>
    </row>
    <row r="124" spans="1:27" ht="12.5" x14ac:dyDescent="0.25">
      <c r="A124" s="10" t="s">
        <v>118</v>
      </c>
      <c r="B124" s="10" t="s">
        <v>556</v>
      </c>
      <c r="C124" s="10" t="s">
        <v>76</v>
      </c>
      <c r="D124" s="11">
        <v>2024</v>
      </c>
      <c r="E124" s="10" t="s">
        <v>124</v>
      </c>
      <c r="F124" s="10" t="s">
        <v>83</v>
      </c>
      <c r="G124" s="10" t="s">
        <v>84</v>
      </c>
      <c r="H124" s="12">
        <v>34914.416666666701</v>
      </c>
      <c r="I124" s="11">
        <v>5099</v>
      </c>
      <c r="J124" s="11">
        <v>4989</v>
      </c>
      <c r="K124" s="11">
        <v>42681</v>
      </c>
      <c r="L124" s="11">
        <v>0.14604282376191299</v>
      </c>
      <c r="M124" s="11">
        <v>14.604282376191291</v>
      </c>
      <c r="N124" s="11">
        <v>0.97842714257697605</v>
      </c>
      <c r="O124" s="11">
        <v>1.22244631515635</v>
      </c>
      <c r="P124" s="11">
        <v>0.80489864864864902</v>
      </c>
      <c r="Q124" s="11">
        <v>0.92857142857142905</v>
      </c>
      <c r="R124" s="11">
        <v>0.72483221476510096</v>
      </c>
      <c r="S124" s="10" t="s">
        <v>84</v>
      </c>
      <c r="T124" s="10" t="s">
        <v>84</v>
      </c>
      <c r="U124" s="10"/>
      <c r="V124" s="10"/>
      <c r="W124" s="10"/>
      <c r="X124" s="10"/>
      <c r="Y124" s="10"/>
      <c r="Z124" s="10"/>
      <c r="AA124" s="10"/>
    </row>
    <row r="125" spans="1:27" ht="12.5" x14ac:dyDescent="0.25">
      <c r="A125" s="10" t="s">
        <v>10</v>
      </c>
      <c r="B125" s="10" t="s">
        <v>559</v>
      </c>
      <c r="C125" s="10" t="s">
        <v>76</v>
      </c>
      <c r="D125" s="11">
        <v>2024</v>
      </c>
      <c r="E125" s="10" t="s">
        <v>124</v>
      </c>
      <c r="F125" s="10" t="s">
        <v>125</v>
      </c>
      <c r="G125" s="10" t="s">
        <v>84</v>
      </c>
      <c r="H125" s="12">
        <v>1142.5833333333301</v>
      </c>
      <c r="I125" s="11">
        <v>166</v>
      </c>
      <c r="J125" s="11">
        <v>151</v>
      </c>
      <c r="K125" s="11">
        <v>166</v>
      </c>
      <c r="L125" s="11">
        <v>0.14528480781854</v>
      </c>
      <c r="M125" s="11">
        <v>14.528480781854029</v>
      </c>
      <c r="N125" s="11">
        <v>0.90963855421686701</v>
      </c>
      <c r="O125" s="11">
        <v>0.14528480781854</v>
      </c>
      <c r="P125" s="11">
        <v>0.80405405405405395</v>
      </c>
      <c r="Q125" s="11">
        <v>0.76666666666666705</v>
      </c>
      <c r="R125" s="11">
        <v>0.72259507829977598</v>
      </c>
      <c r="S125" s="10" t="s">
        <v>84</v>
      </c>
      <c r="T125" s="10" t="s">
        <v>84</v>
      </c>
      <c r="U125" s="10"/>
      <c r="V125" s="10"/>
      <c r="W125" s="10"/>
      <c r="X125" s="10"/>
      <c r="Y125" s="10"/>
      <c r="Z125" s="10"/>
      <c r="AA125" s="10"/>
    </row>
    <row r="126" spans="1:27" ht="12.5" x14ac:dyDescent="0.25">
      <c r="A126" s="10" t="s">
        <v>12</v>
      </c>
      <c r="B126" s="10" t="s">
        <v>561</v>
      </c>
      <c r="C126" s="10" t="s">
        <v>76</v>
      </c>
      <c r="D126" s="11">
        <v>2024</v>
      </c>
      <c r="E126" s="10" t="s">
        <v>124</v>
      </c>
      <c r="F126" s="10" t="s">
        <v>83</v>
      </c>
      <c r="G126" s="10" t="s">
        <v>84</v>
      </c>
      <c r="H126" s="12">
        <v>66968.166666666701</v>
      </c>
      <c r="I126" s="11">
        <v>9638</v>
      </c>
      <c r="J126" s="11">
        <v>8272</v>
      </c>
      <c r="K126" s="11">
        <v>40448</v>
      </c>
      <c r="L126" s="11">
        <v>0.14391912575377899</v>
      </c>
      <c r="M126" s="11">
        <v>14.391912575377846</v>
      </c>
      <c r="N126" s="11">
        <v>0.85826935048765296</v>
      </c>
      <c r="O126" s="11">
        <v>0.60398846217979196</v>
      </c>
      <c r="P126" s="11">
        <v>0.80236486486486502</v>
      </c>
      <c r="Q126" s="11">
        <v>0.75</v>
      </c>
      <c r="R126" s="11">
        <v>0.72035794183445201</v>
      </c>
      <c r="S126" s="10" t="s">
        <v>84</v>
      </c>
      <c r="T126" s="10" t="s">
        <v>84</v>
      </c>
      <c r="U126" s="10"/>
      <c r="V126" s="10"/>
      <c r="W126" s="10"/>
      <c r="X126" s="10"/>
      <c r="Y126" s="10"/>
      <c r="Z126" s="10"/>
      <c r="AA126" s="10"/>
    </row>
    <row r="127" spans="1:27" ht="12.5" x14ac:dyDescent="0.25">
      <c r="A127" s="10" t="s">
        <v>40</v>
      </c>
      <c r="B127" s="10" t="s">
        <v>563</v>
      </c>
      <c r="C127" s="10" t="s">
        <v>76</v>
      </c>
      <c r="D127" s="11">
        <v>2024</v>
      </c>
      <c r="E127" s="10" t="s">
        <v>124</v>
      </c>
      <c r="F127" s="10" t="s">
        <v>83</v>
      </c>
      <c r="G127" s="10" t="s">
        <v>84</v>
      </c>
      <c r="H127" s="12">
        <v>25025.416666666701</v>
      </c>
      <c r="I127" s="11">
        <v>3580</v>
      </c>
      <c r="J127" s="11">
        <v>3018</v>
      </c>
      <c r="K127" s="11">
        <v>5217</v>
      </c>
      <c r="L127" s="11">
        <v>0.14305456119611701</v>
      </c>
      <c r="M127" s="11">
        <v>14.305456119611708</v>
      </c>
      <c r="N127" s="11">
        <v>0.84301675977653601</v>
      </c>
      <c r="O127" s="11">
        <v>0.20846805747490099</v>
      </c>
      <c r="P127" s="11">
        <v>0.80067567567567599</v>
      </c>
      <c r="Q127" s="11">
        <v>0.75</v>
      </c>
      <c r="R127" s="11">
        <v>0.71812080536912704</v>
      </c>
      <c r="S127" s="10" t="s">
        <v>84</v>
      </c>
      <c r="T127" s="10" t="s">
        <v>84</v>
      </c>
      <c r="U127" s="10"/>
      <c r="V127" s="10"/>
      <c r="W127" s="10"/>
      <c r="X127" s="10"/>
      <c r="Y127" s="10"/>
      <c r="Z127" s="10"/>
      <c r="AA127" s="10"/>
    </row>
    <row r="128" spans="1:27" ht="12.5" x14ac:dyDescent="0.25">
      <c r="A128" s="10" t="s">
        <v>52</v>
      </c>
      <c r="B128" s="10" t="s">
        <v>566</v>
      </c>
      <c r="C128" s="10" t="s">
        <v>76</v>
      </c>
      <c r="D128" s="11">
        <v>2024</v>
      </c>
      <c r="E128" s="10" t="s">
        <v>124</v>
      </c>
      <c r="F128" s="10" t="s">
        <v>125</v>
      </c>
      <c r="G128" s="10" t="s">
        <v>84</v>
      </c>
      <c r="H128" s="12">
        <v>828.16666666666697</v>
      </c>
      <c r="I128" s="11">
        <v>118</v>
      </c>
      <c r="J128" s="11">
        <v>103</v>
      </c>
      <c r="K128" s="11">
        <v>76</v>
      </c>
      <c r="L128" s="11">
        <v>0.14248339706178301</v>
      </c>
      <c r="M128" s="11">
        <v>14.248339706178301</v>
      </c>
      <c r="N128" s="11">
        <v>0.87288135593220295</v>
      </c>
      <c r="O128" s="11">
        <v>9.1768967599114501E-2</v>
      </c>
      <c r="P128" s="11">
        <v>0.79983108108108103</v>
      </c>
      <c r="Q128" s="11">
        <v>0.72340425531914898</v>
      </c>
      <c r="R128" s="11">
        <v>0.71588366890380295</v>
      </c>
      <c r="S128" s="10" t="s">
        <v>84</v>
      </c>
      <c r="T128" s="10" t="s">
        <v>84</v>
      </c>
      <c r="U128" s="10"/>
      <c r="V128" s="10"/>
      <c r="W128" s="10"/>
      <c r="X128" s="10"/>
      <c r="Y128" s="10"/>
      <c r="Z128" s="10"/>
      <c r="AA128" s="10"/>
    </row>
    <row r="129" spans="1:27" ht="12.5" x14ac:dyDescent="0.25">
      <c r="A129" s="10" t="s">
        <v>29</v>
      </c>
      <c r="B129" s="10" t="s">
        <v>569</v>
      </c>
      <c r="C129" s="10" t="s">
        <v>76</v>
      </c>
      <c r="D129" s="11">
        <v>2024</v>
      </c>
      <c r="E129" s="10" t="s">
        <v>124</v>
      </c>
      <c r="F129" s="10" t="s">
        <v>83</v>
      </c>
      <c r="G129" s="10" t="s">
        <v>84</v>
      </c>
      <c r="H129" s="12">
        <v>4437.3333333333303</v>
      </c>
      <c r="I129" s="11">
        <v>631</v>
      </c>
      <c r="J129" s="11">
        <v>558</v>
      </c>
      <c r="K129" s="11">
        <v>625</v>
      </c>
      <c r="L129" s="11">
        <v>0.14220252403846201</v>
      </c>
      <c r="M129" s="11">
        <v>14.220252403846164</v>
      </c>
      <c r="N129" s="11">
        <v>0.88431061806656097</v>
      </c>
      <c r="O129" s="11">
        <v>0.14085036057692299</v>
      </c>
      <c r="P129" s="11">
        <v>0.79898648648648696</v>
      </c>
      <c r="Q129" s="11">
        <v>0.63265306122449005</v>
      </c>
      <c r="R129" s="11">
        <v>0.71364653243847898</v>
      </c>
      <c r="S129" s="10" t="s">
        <v>84</v>
      </c>
      <c r="T129" s="10" t="s">
        <v>84</v>
      </c>
      <c r="U129" s="10"/>
      <c r="V129" s="10"/>
      <c r="W129" s="10"/>
      <c r="X129" s="10"/>
      <c r="Y129" s="10"/>
      <c r="Z129" s="10"/>
      <c r="AA129" s="10"/>
    </row>
    <row r="130" spans="1:27" ht="12.5" x14ac:dyDescent="0.25">
      <c r="A130" s="10" t="s">
        <v>96</v>
      </c>
      <c r="B130" s="10" t="s">
        <v>571</v>
      </c>
      <c r="C130" s="10" t="s">
        <v>76</v>
      </c>
      <c r="D130" s="11">
        <v>2024</v>
      </c>
      <c r="E130" s="10" t="s">
        <v>124</v>
      </c>
      <c r="F130" s="10" t="s">
        <v>83</v>
      </c>
      <c r="G130" s="10" t="s">
        <v>84</v>
      </c>
      <c r="H130" s="12">
        <v>11274</v>
      </c>
      <c r="I130" s="11">
        <v>1596</v>
      </c>
      <c r="J130" s="11">
        <v>1056</v>
      </c>
      <c r="K130" s="11">
        <v>7560</v>
      </c>
      <c r="L130" s="11">
        <v>0.141564662054284</v>
      </c>
      <c r="M130" s="11">
        <v>14.156466205428419</v>
      </c>
      <c r="N130" s="11">
        <v>0.66165413533834605</v>
      </c>
      <c r="O130" s="11">
        <v>0.67056945183608296</v>
      </c>
      <c r="P130" s="11">
        <v>0.79645270270270296</v>
      </c>
      <c r="Q130" s="11">
        <v>1</v>
      </c>
      <c r="R130" s="11">
        <v>0.711409395973154</v>
      </c>
      <c r="S130" s="10" t="s">
        <v>84</v>
      </c>
      <c r="T130" s="10" t="s">
        <v>84</v>
      </c>
      <c r="U130" s="10"/>
      <c r="V130" s="10"/>
      <c r="W130" s="10"/>
      <c r="X130" s="10"/>
      <c r="Y130" s="10"/>
      <c r="Z130" s="10"/>
      <c r="AA130" s="10"/>
    </row>
    <row r="131" spans="1:27" ht="12.5" x14ac:dyDescent="0.25">
      <c r="A131" s="10" t="s">
        <v>29</v>
      </c>
      <c r="B131" s="10" t="s">
        <v>574</v>
      </c>
      <c r="C131" s="10" t="s">
        <v>76</v>
      </c>
      <c r="D131" s="11">
        <v>2024</v>
      </c>
      <c r="E131" s="10" t="s">
        <v>124</v>
      </c>
      <c r="F131" s="10" t="s">
        <v>83</v>
      </c>
      <c r="G131" s="10" t="s">
        <v>84</v>
      </c>
      <c r="H131" s="12">
        <v>17898.416666666701</v>
      </c>
      <c r="I131" s="11">
        <v>2491</v>
      </c>
      <c r="J131" s="11">
        <v>2172</v>
      </c>
      <c r="K131" s="11">
        <v>41175</v>
      </c>
      <c r="L131" s="11">
        <v>0.13917432175099301</v>
      </c>
      <c r="M131" s="11">
        <v>13.917432175099261</v>
      </c>
      <c r="N131" s="11">
        <v>0.87193898032918504</v>
      </c>
      <c r="O131" s="11">
        <v>2.3004828173814298</v>
      </c>
      <c r="P131" s="11">
        <v>0.79476351351351304</v>
      </c>
      <c r="Q131" s="11">
        <v>0.61224489795918402</v>
      </c>
      <c r="R131" s="11">
        <v>0.70917225950783003</v>
      </c>
      <c r="S131" s="10" t="s">
        <v>84</v>
      </c>
      <c r="T131" s="10" t="s">
        <v>84</v>
      </c>
      <c r="U131" s="10"/>
      <c r="V131" s="10"/>
      <c r="W131" s="10"/>
      <c r="X131" s="10"/>
      <c r="Y131" s="10"/>
      <c r="Z131" s="10"/>
      <c r="AA131" s="10"/>
    </row>
    <row r="132" spans="1:27" ht="12.5" x14ac:dyDescent="0.25">
      <c r="A132" s="10" t="s">
        <v>55</v>
      </c>
      <c r="B132" s="10" t="s">
        <v>577</v>
      </c>
      <c r="C132" s="10" t="s">
        <v>76</v>
      </c>
      <c r="D132" s="11">
        <v>2024</v>
      </c>
      <c r="E132" s="10" t="s">
        <v>124</v>
      </c>
      <c r="F132" s="10" t="s">
        <v>125</v>
      </c>
      <c r="G132" s="10" t="s">
        <v>84</v>
      </c>
      <c r="H132" s="12">
        <v>1452.4166666666699</v>
      </c>
      <c r="I132" s="11">
        <v>202</v>
      </c>
      <c r="J132" s="11">
        <v>176</v>
      </c>
      <c r="K132" s="11">
        <v>2419</v>
      </c>
      <c r="L132" s="11">
        <v>0.139078547248838</v>
      </c>
      <c r="M132" s="11">
        <v>13.907854724883784</v>
      </c>
      <c r="N132" s="11">
        <v>0.87128712871287095</v>
      </c>
      <c r="O132" s="11">
        <v>1.6655000286878201</v>
      </c>
      <c r="P132" s="11">
        <v>0.79391891891891897</v>
      </c>
      <c r="Q132" s="11">
        <v>0.81818181818181801</v>
      </c>
      <c r="R132" s="11">
        <v>0.70693512304250605</v>
      </c>
      <c r="S132" s="10" t="s">
        <v>84</v>
      </c>
      <c r="T132" s="10" t="s">
        <v>84</v>
      </c>
      <c r="U132" s="10"/>
      <c r="V132" s="10"/>
      <c r="W132" s="10"/>
      <c r="X132" s="10"/>
      <c r="Y132" s="10"/>
      <c r="Z132" s="10"/>
      <c r="AA132" s="10"/>
    </row>
    <row r="133" spans="1:27" ht="12.5" x14ac:dyDescent="0.25">
      <c r="A133" s="10" t="s">
        <v>52</v>
      </c>
      <c r="B133" s="10" t="s">
        <v>579</v>
      </c>
      <c r="C133" s="10" t="s">
        <v>76</v>
      </c>
      <c r="D133" s="11">
        <v>2024</v>
      </c>
      <c r="E133" s="10" t="s">
        <v>124</v>
      </c>
      <c r="F133" s="10" t="s">
        <v>125</v>
      </c>
      <c r="G133" s="10" t="s">
        <v>84</v>
      </c>
      <c r="H133" s="12">
        <v>752.91666666666697</v>
      </c>
      <c r="I133" s="11">
        <v>104</v>
      </c>
      <c r="J133" s="11">
        <v>95</v>
      </c>
      <c r="K133" s="11">
        <v>1202</v>
      </c>
      <c r="L133" s="11">
        <v>0.138129496402878</v>
      </c>
      <c r="M133" s="11">
        <v>13.812949640287764</v>
      </c>
      <c r="N133" s="11">
        <v>0.91346153846153799</v>
      </c>
      <c r="O133" s="11">
        <v>1.5964582180409499</v>
      </c>
      <c r="P133" s="11">
        <v>0.79138513513513498</v>
      </c>
      <c r="Q133" s="11">
        <v>0.680851063829787</v>
      </c>
      <c r="R133" s="11">
        <v>0.70469798657718097</v>
      </c>
      <c r="S133" s="10" t="s">
        <v>84</v>
      </c>
      <c r="T133" s="10" t="s">
        <v>84</v>
      </c>
      <c r="U133" s="10"/>
      <c r="V133" s="10"/>
      <c r="W133" s="10"/>
      <c r="X133" s="10"/>
      <c r="Y133" s="10"/>
      <c r="Z133" s="10"/>
      <c r="AA133" s="10"/>
    </row>
    <row r="134" spans="1:27" ht="12.5" x14ac:dyDescent="0.25">
      <c r="A134" s="10" t="s">
        <v>6</v>
      </c>
      <c r="B134" s="10" t="s">
        <v>581</v>
      </c>
      <c r="C134" s="10" t="s">
        <v>76</v>
      </c>
      <c r="D134" s="11">
        <v>2024</v>
      </c>
      <c r="E134" s="10" t="s">
        <v>124</v>
      </c>
      <c r="F134" s="10" t="s">
        <v>83</v>
      </c>
      <c r="G134" s="10" t="s">
        <v>84</v>
      </c>
      <c r="H134" s="12">
        <v>3814.9166666666702</v>
      </c>
      <c r="I134" s="11">
        <v>526</v>
      </c>
      <c r="J134" s="11">
        <v>577</v>
      </c>
      <c r="K134" s="11">
        <v>3213</v>
      </c>
      <c r="L134" s="11">
        <v>0.13787981388846399</v>
      </c>
      <c r="M134" s="11">
        <v>13.787981388846401</v>
      </c>
      <c r="N134" s="11">
        <v>1.09695817490494</v>
      </c>
      <c r="O134" s="11">
        <v>0.84222023198409801</v>
      </c>
      <c r="P134" s="11">
        <v>0.79054054054054101</v>
      </c>
      <c r="Q134" s="11">
        <v>0.93548387096774199</v>
      </c>
      <c r="R134" s="11">
        <v>0.70246085011185699</v>
      </c>
      <c r="S134" s="10" t="s">
        <v>84</v>
      </c>
      <c r="T134" s="10" t="s">
        <v>84</v>
      </c>
      <c r="U134" s="10"/>
      <c r="V134" s="10"/>
      <c r="W134" s="10"/>
      <c r="X134" s="10"/>
      <c r="Y134" s="10"/>
      <c r="Z134" s="10"/>
      <c r="AA134" s="10"/>
    </row>
    <row r="135" spans="1:27" ht="12.5" x14ac:dyDescent="0.25">
      <c r="A135" s="10" t="s">
        <v>58</v>
      </c>
      <c r="B135" s="10" t="s">
        <v>584</v>
      </c>
      <c r="C135" s="10" t="s">
        <v>76</v>
      </c>
      <c r="D135" s="11">
        <v>2024</v>
      </c>
      <c r="E135" s="10" t="s">
        <v>124</v>
      </c>
      <c r="F135" s="10" t="s">
        <v>83</v>
      </c>
      <c r="G135" s="10" t="s">
        <v>84</v>
      </c>
      <c r="H135" s="12">
        <v>16955.083333333299</v>
      </c>
      <c r="I135" s="11">
        <v>2318</v>
      </c>
      <c r="J135" s="11">
        <v>2058</v>
      </c>
      <c r="K135" s="11">
        <v>14160</v>
      </c>
      <c r="L135" s="11">
        <v>0.13671416143634399</v>
      </c>
      <c r="M135" s="11">
        <v>13.671416143634435</v>
      </c>
      <c r="N135" s="11">
        <v>0.88783433994823102</v>
      </c>
      <c r="O135" s="11">
        <v>0.83514776787689005</v>
      </c>
      <c r="P135" s="11">
        <v>0.78716216216216195</v>
      </c>
      <c r="Q135" s="11">
        <v>0.891891891891892</v>
      </c>
      <c r="R135" s="11">
        <v>0.70022371364653202</v>
      </c>
      <c r="S135" s="10" t="s">
        <v>84</v>
      </c>
      <c r="T135" s="10" t="s">
        <v>84</v>
      </c>
      <c r="U135" s="10"/>
      <c r="V135" s="10"/>
      <c r="W135" s="10"/>
      <c r="X135" s="10"/>
      <c r="Y135" s="10"/>
      <c r="Z135" s="10"/>
      <c r="AA135" s="10"/>
    </row>
    <row r="136" spans="1:27" ht="12.5" x14ac:dyDescent="0.25">
      <c r="A136" s="10" t="s">
        <v>86</v>
      </c>
      <c r="B136" s="10" t="s">
        <v>588</v>
      </c>
      <c r="C136" s="10" t="s">
        <v>76</v>
      </c>
      <c r="D136" s="11">
        <v>2024</v>
      </c>
      <c r="E136" s="10" t="s">
        <v>124</v>
      </c>
      <c r="F136" s="10" t="s">
        <v>83</v>
      </c>
      <c r="G136" s="10" t="s">
        <v>84</v>
      </c>
      <c r="H136" s="12">
        <v>14291.75</v>
      </c>
      <c r="I136" s="11">
        <v>1951</v>
      </c>
      <c r="J136" s="11">
        <v>1828</v>
      </c>
      <c r="K136" s="11">
        <v>8812</v>
      </c>
      <c r="L136" s="11">
        <v>0.136512323543303</v>
      </c>
      <c r="M136" s="11">
        <v>13.651232354330295</v>
      </c>
      <c r="N136" s="11">
        <v>0.93695540748334205</v>
      </c>
      <c r="O136" s="11">
        <v>0.61657949516329302</v>
      </c>
      <c r="P136" s="11">
        <v>0.78547297297297303</v>
      </c>
      <c r="Q136" s="11">
        <v>0.565217391304348</v>
      </c>
      <c r="R136" s="11">
        <v>0.69798657718120805</v>
      </c>
      <c r="S136" s="10" t="s">
        <v>84</v>
      </c>
      <c r="T136" s="10" t="s">
        <v>84</v>
      </c>
      <c r="U136" s="10"/>
      <c r="V136" s="10"/>
      <c r="W136" s="10"/>
      <c r="X136" s="10"/>
      <c r="Y136" s="10"/>
      <c r="Z136" s="10"/>
      <c r="AA136" s="10"/>
    </row>
    <row r="137" spans="1:27" ht="12.5" x14ac:dyDescent="0.25">
      <c r="A137" s="10" t="s">
        <v>103</v>
      </c>
      <c r="B137" s="10" t="s">
        <v>590</v>
      </c>
      <c r="C137" s="10" t="s">
        <v>76</v>
      </c>
      <c r="D137" s="11">
        <v>2024</v>
      </c>
      <c r="E137" s="10" t="s">
        <v>124</v>
      </c>
      <c r="F137" s="10" t="s">
        <v>83</v>
      </c>
      <c r="G137" s="10" t="s">
        <v>84</v>
      </c>
      <c r="H137" s="12">
        <v>3133.75</v>
      </c>
      <c r="I137" s="11">
        <v>427</v>
      </c>
      <c r="J137" s="11">
        <v>212</v>
      </c>
      <c r="K137" s="11">
        <v>1249</v>
      </c>
      <c r="L137" s="11">
        <v>0.13625847626645399</v>
      </c>
      <c r="M137" s="11">
        <v>13.625847626645394</v>
      </c>
      <c r="N137" s="11">
        <v>0.496487119437939</v>
      </c>
      <c r="O137" s="11">
        <v>0.39856402074192299</v>
      </c>
      <c r="P137" s="11">
        <v>0.78462837837837796</v>
      </c>
      <c r="Q137" s="11">
        <v>0.95652173913043503</v>
      </c>
      <c r="R137" s="11">
        <v>0.69574944071588396</v>
      </c>
      <c r="S137" s="10" t="s">
        <v>84</v>
      </c>
      <c r="T137" s="10" t="s">
        <v>84</v>
      </c>
      <c r="U137" s="10"/>
      <c r="V137" s="10"/>
      <c r="W137" s="10"/>
      <c r="X137" s="10"/>
      <c r="Y137" s="10"/>
      <c r="Z137" s="10"/>
      <c r="AA137" s="10"/>
    </row>
    <row r="138" spans="1:27" ht="12.5" x14ac:dyDescent="0.25">
      <c r="A138" s="10" t="s">
        <v>42</v>
      </c>
      <c r="B138" s="10" t="s">
        <v>593</v>
      </c>
      <c r="C138" s="10" t="s">
        <v>76</v>
      </c>
      <c r="D138" s="11">
        <v>2024</v>
      </c>
      <c r="E138" s="10" t="s">
        <v>124</v>
      </c>
      <c r="F138" s="10" t="s">
        <v>83</v>
      </c>
      <c r="G138" s="10" t="s">
        <v>84</v>
      </c>
      <c r="H138" s="12">
        <v>6751.25</v>
      </c>
      <c r="I138" s="11">
        <v>918</v>
      </c>
      <c r="J138" s="11">
        <v>995</v>
      </c>
      <c r="K138" s="11">
        <v>7057</v>
      </c>
      <c r="L138" s="11">
        <v>0.13597481947787399</v>
      </c>
      <c r="M138" s="11">
        <v>13.597481947787445</v>
      </c>
      <c r="N138" s="11">
        <v>1.0838779956427</v>
      </c>
      <c r="O138" s="11">
        <v>1.0452879096463601</v>
      </c>
      <c r="P138" s="11">
        <v>0.78378378378378399</v>
      </c>
      <c r="Q138" s="11">
        <v>0.76190476190476197</v>
      </c>
      <c r="R138" s="11">
        <v>0.69351230425055899</v>
      </c>
      <c r="S138" s="10" t="s">
        <v>84</v>
      </c>
      <c r="T138" s="10" t="s">
        <v>84</v>
      </c>
      <c r="U138" s="10"/>
      <c r="V138" s="10"/>
      <c r="W138" s="10"/>
      <c r="X138" s="10"/>
      <c r="Y138" s="10"/>
      <c r="Z138" s="10"/>
      <c r="AA138" s="10"/>
    </row>
    <row r="139" spans="1:27" ht="12.5" x14ac:dyDescent="0.25">
      <c r="A139" s="10" t="s">
        <v>25</v>
      </c>
      <c r="B139" s="10" t="s">
        <v>595</v>
      </c>
      <c r="C139" s="10" t="s">
        <v>76</v>
      </c>
      <c r="D139" s="11">
        <v>2024</v>
      </c>
      <c r="E139" s="10" t="s">
        <v>124</v>
      </c>
      <c r="F139" s="10" t="s">
        <v>83</v>
      </c>
      <c r="G139" s="10" t="s">
        <v>84</v>
      </c>
      <c r="H139" s="12">
        <v>18088.666666666701</v>
      </c>
      <c r="I139" s="11">
        <v>2459</v>
      </c>
      <c r="J139" s="11">
        <v>1991</v>
      </c>
      <c r="K139" s="11">
        <v>20416</v>
      </c>
      <c r="L139" s="11">
        <v>0.13594147348247501</v>
      </c>
      <c r="M139" s="11">
        <v>13.594147348247496</v>
      </c>
      <c r="N139" s="11">
        <v>0.80967873119154099</v>
      </c>
      <c r="O139" s="11">
        <v>1.1286625142815001</v>
      </c>
      <c r="P139" s="11">
        <v>0.78293918918918903</v>
      </c>
      <c r="Q139" s="11">
        <v>0.8125</v>
      </c>
      <c r="R139" s="11">
        <v>0.69127516778523501</v>
      </c>
      <c r="S139" s="10" t="s">
        <v>84</v>
      </c>
      <c r="T139" s="10" t="s">
        <v>84</v>
      </c>
      <c r="U139" s="10"/>
      <c r="V139" s="10"/>
      <c r="W139" s="10"/>
      <c r="X139" s="10"/>
      <c r="Y139" s="10"/>
      <c r="Z139" s="10"/>
      <c r="AA139" s="10"/>
    </row>
    <row r="140" spans="1:27" ht="12.5" x14ac:dyDescent="0.25">
      <c r="A140" s="10" t="s">
        <v>103</v>
      </c>
      <c r="B140" s="10" t="s">
        <v>597</v>
      </c>
      <c r="C140" s="10" t="s">
        <v>76</v>
      </c>
      <c r="D140" s="11">
        <v>2024</v>
      </c>
      <c r="E140" s="10" t="s">
        <v>124</v>
      </c>
      <c r="F140" s="10" t="s">
        <v>83</v>
      </c>
      <c r="G140" s="10" t="s">
        <v>84</v>
      </c>
      <c r="H140" s="12">
        <v>55337.75</v>
      </c>
      <c r="I140" s="11">
        <v>7495</v>
      </c>
      <c r="J140" s="11">
        <v>7223</v>
      </c>
      <c r="K140" s="11">
        <v>50511</v>
      </c>
      <c r="L140" s="11">
        <v>0.13544099642648999</v>
      </c>
      <c r="M140" s="11">
        <v>13.544099642649005</v>
      </c>
      <c r="N140" s="11">
        <v>0.963709139426284</v>
      </c>
      <c r="O140" s="11">
        <v>0.91277654042674305</v>
      </c>
      <c r="P140" s="11">
        <v>0.78125</v>
      </c>
      <c r="Q140" s="11">
        <v>0.91304347826086996</v>
      </c>
      <c r="R140" s="11">
        <v>0.68903803131991004</v>
      </c>
      <c r="S140" s="10" t="s">
        <v>84</v>
      </c>
      <c r="T140" s="10" t="s">
        <v>84</v>
      </c>
      <c r="U140" s="10"/>
      <c r="V140" s="10"/>
      <c r="W140" s="10"/>
      <c r="X140" s="10"/>
      <c r="Y140" s="10"/>
      <c r="Z140" s="10"/>
      <c r="AA140" s="10"/>
    </row>
    <row r="141" spans="1:27" ht="12.5" x14ac:dyDescent="0.25">
      <c r="A141" s="10" t="s">
        <v>29</v>
      </c>
      <c r="B141" s="10" t="s">
        <v>600</v>
      </c>
      <c r="C141" s="10" t="s">
        <v>76</v>
      </c>
      <c r="D141" s="11">
        <v>2024</v>
      </c>
      <c r="E141" s="10" t="s">
        <v>124</v>
      </c>
      <c r="F141" s="10" t="s">
        <v>83</v>
      </c>
      <c r="G141" s="10" t="s">
        <v>84</v>
      </c>
      <c r="H141" s="12">
        <v>36057.416666666701</v>
      </c>
      <c r="I141" s="11">
        <v>4875</v>
      </c>
      <c r="J141" s="11">
        <v>4586</v>
      </c>
      <c r="K141" s="11">
        <v>63244</v>
      </c>
      <c r="L141" s="11">
        <v>0.13520103353679</v>
      </c>
      <c r="M141" s="11">
        <v>13.520103353678959</v>
      </c>
      <c r="N141" s="11">
        <v>0.940717948717949</v>
      </c>
      <c r="O141" s="11">
        <v>1.7539803415386099</v>
      </c>
      <c r="P141" s="11">
        <v>0.78040540540540504</v>
      </c>
      <c r="Q141" s="11">
        <v>0.59183673469387799</v>
      </c>
      <c r="R141" s="11">
        <v>0.68680089485458595</v>
      </c>
      <c r="S141" s="10" t="s">
        <v>84</v>
      </c>
      <c r="T141" s="10" t="s">
        <v>84</v>
      </c>
      <c r="U141" s="10"/>
      <c r="V141" s="10"/>
      <c r="W141" s="10"/>
      <c r="X141" s="10"/>
      <c r="Y141" s="10"/>
      <c r="Z141" s="10"/>
      <c r="AA141" s="10"/>
    </row>
    <row r="142" spans="1:27" ht="12.5" x14ac:dyDescent="0.25">
      <c r="A142" s="10" t="s">
        <v>49</v>
      </c>
      <c r="B142" s="10" t="s">
        <v>602</v>
      </c>
      <c r="C142" s="10" t="s">
        <v>76</v>
      </c>
      <c r="D142" s="11">
        <v>2024</v>
      </c>
      <c r="E142" s="10" t="s">
        <v>124</v>
      </c>
      <c r="F142" s="10" t="s">
        <v>83</v>
      </c>
      <c r="G142" s="10" t="s">
        <v>84</v>
      </c>
      <c r="H142" s="12">
        <v>790.33333333333303</v>
      </c>
      <c r="I142" s="11">
        <v>105</v>
      </c>
      <c r="J142" s="11">
        <v>105</v>
      </c>
      <c r="K142" s="11">
        <v>2399</v>
      </c>
      <c r="L142" s="11">
        <v>0.13285533530156099</v>
      </c>
      <c r="M142" s="11">
        <v>13.285533530156057</v>
      </c>
      <c r="N142" s="11">
        <v>1</v>
      </c>
      <c r="O142" s="11">
        <v>3.0354280894137502</v>
      </c>
      <c r="P142" s="11">
        <v>0.77702702702702697</v>
      </c>
      <c r="Q142" s="11">
        <v>0.92307692307692302</v>
      </c>
      <c r="R142" s="11">
        <v>0.68456375838926198</v>
      </c>
      <c r="S142" s="10" t="s">
        <v>84</v>
      </c>
      <c r="T142" s="10" t="s">
        <v>84</v>
      </c>
      <c r="U142" s="10"/>
      <c r="V142" s="10"/>
      <c r="W142" s="10"/>
      <c r="X142" s="10"/>
      <c r="Y142" s="10"/>
      <c r="Z142" s="10"/>
      <c r="AA142" s="10"/>
    </row>
    <row r="143" spans="1:27" ht="12.5" x14ac:dyDescent="0.25">
      <c r="A143" s="10" t="s">
        <v>10</v>
      </c>
      <c r="B143" s="10" t="s">
        <v>604</v>
      </c>
      <c r="C143" s="10" t="s">
        <v>76</v>
      </c>
      <c r="D143" s="11">
        <v>2024</v>
      </c>
      <c r="E143" s="10" t="s">
        <v>124</v>
      </c>
      <c r="F143" s="10" t="s">
        <v>125</v>
      </c>
      <c r="G143" s="10" t="s">
        <v>84</v>
      </c>
      <c r="H143" s="12">
        <v>3976</v>
      </c>
      <c r="I143" s="11">
        <v>522</v>
      </c>
      <c r="J143" s="11">
        <v>403</v>
      </c>
      <c r="K143" s="11">
        <v>5272</v>
      </c>
      <c r="L143" s="11">
        <v>0.131287726358149</v>
      </c>
      <c r="M143" s="11">
        <v>13.12877263581489</v>
      </c>
      <c r="N143" s="11">
        <v>0.77203065134099602</v>
      </c>
      <c r="O143" s="11">
        <v>1.3259557344064401</v>
      </c>
      <c r="P143" s="11">
        <v>0.77364864864864902</v>
      </c>
      <c r="Q143" s="11">
        <v>0.7</v>
      </c>
      <c r="R143" s="11">
        <v>0.682326621923937</v>
      </c>
      <c r="S143" s="10" t="s">
        <v>84</v>
      </c>
      <c r="T143" s="10" t="s">
        <v>84</v>
      </c>
      <c r="U143" s="10"/>
      <c r="V143" s="10"/>
      <c r="W143" s="10"/>
      <c r="X143" s="10"/>
      <c r="Y143" s="10"/>
      <c r="Z143" s="10"/>
      <c r="AA143" s="10"/>
    </row>
    <row r="144" spans="1:27" ht="12.5" x14ac:dyDescent="0.25">
      <c r="A144" s="10" t="s">
        <v>29</v>
      </c>
      <c r="B144" s="10" t="s">
        <v>607</v>
      </c>
      <c r="C144" s="10" t="s">
        <v>76</v>
      </c>
      <c r="D144" s="11">
        <v>2024</v>
      </c>
      <c r="E144" s="10" t="s">
        <v>124</v>
      </c>
      <c r="F144" s="10" t="s">
        <v>83</v>
      </c>
      <c r="G144" s="10" t="s">
        <v>84</v>
      </c>
      <c r="H144" s="12">
        <v>3443.8333333333298</v>
      </c>
      <c r="I144" s="11">
        <v>452</v>
      </c>
      <c r="J144" s="11">
        <v>297</v>
      </c>
      <c r="K144" s="11">
        <v>7708</v>
      </c>
      <c r="L144" s="11">
        <v>0.131249092580942</v>
      </c>
      <c r="M144" s="11">
        <v>13.124909258094192</v>
      </c>
      <c r="N144" s="11">
        <v>0.65707964601769897</v>
      </c>
      <c r="O144" s="11">
        <v>2.23820355224314</v>
      </c>
      <c r="P144" s="11">
        <v>0.77280405405405395</v>
      </c>
      <c r="Q144" s="11">
        <v>0.57142857142857095</v>
      </c>
      <c r="R144" s="11">
        <v>0.68008948545861303</v>
      </c>
      <c r="S144" s="10" t="s">
        <v>84</v>
      </c>
      <c r="T144" s="10" t="s">
        <v>84</v>
      </c>
      <c r="U144" s="10"/>
      <c r="V144" s="10"/>
      <c r="W144" s="10"/>
      <c r="X144" s="10"/>
      <c r="Y144" s="10"/>
      <c r="Z144" s="10"/>
      <c r="AA144" s="10"/>
    </row>
    <row r="145" spans="1:27" ht="12.5" x14ac:dyDescent="0.25">
      <c r="A145" s="10" t="s">
        <v>29</v>
      </c>
      <c r="B145" s="10" t="s">
        <v>610</v>
      </c>
      <c r="C145" s="10" t="s">
        <v>76</v>
      </c>
      <c r="D145" s="11">
        <v>2024</v>
      </c>
      <c r="E145" s="10" t="s">
        <v>124</v>
      </c>
      <c r="F145" s="10" t="s">
        <v>83</v>
      </c>
      <c r="G145" s="10" t="s">
        <v>84</v>
      </c>
      <c r="H145" s="12">
        <v>18404.75</v>
      </c>
      <c r="I145" s="11">
        <v>2396</v>
      </c>
      <c r="J145" s="11">
        <v>2171</v>
      </c>
      <c r="K145" s="11">
        <v>29254</v>
      </c>
      <c r="L145" s="11">
        <v>0.13018378407747999</v>
      </c>
      <c r="M145" s="11">
        <v>13.018378407747999</v>
      </c>
      <c r="N145" s="11">
        <v>0.90609348914858101</v>
      </c>
      <c r="O145" s="11">
        <v>1.5894809763783799</v>
      </c>
      <c r="P145" s="11">
        <v>0.77111486486486502</v>
      </c>
      <c r="Q145" s="11">
        <v>0.55102040816326503</v>
      </c>
      <c r="R145" s="11">
        <v>0.67785234899328894</v>
      </c>
      <c r="S145" s="10" t="s">
        <v>84</v>
      </c>
      <c r="T145" s="10" t="s">
        <v>84</v>
      </c>
      <c r="U145" s="10"/>
      <c r="V145" s="10"/>
      <c r="W145" s="10"/>
      <c r="X145" s="10"/>
      <c r="Y145" s="10"/>
      <c r="Z145" s="10"/>
      <c r="AA145" s="10"/>
    </row>
    <row r="146" spans="1:27" ht="12.5" x14ac:dyDescent="0.25">
      <c r="A146" s="10" t="s">
        <v>86</v>
      </c>
      <c r="B146" s="10" t="s">
        <v>613</v>
      </c>
      <c r="C146" s="10" t="s">
        <v>76</v>
      </c>
      <c r="D146" s="11">
        <v>2024</v>
      </c>
      <c r="E146" s="10" t="s">
        <v>124</v>
      </c>
      <c r="F146" s="10" t="s">
        <v>83</v>
      </c>
      <c r="G146" s="10" t="s">
        <v>84</v>
      </c>
      <c r="H146" s="12">
        <v>21048.916666666701</v>
      </c>
      <c r="I146" s="11">
        <v>2721</v>
      </c>
      <c r="J146" s="11">
        <v>2402</v>
      </c>
      <c r="K146" s="11">
        <v>8192</v>
      </c>
      <c r="L146" s="11">
        <v>0.129270310823597</v>
      </c>
      <c r="M146" s="11">
        <v>12.927031082359722</v>
      </c>
      <c r="N146" s="11">
        <v>0.88276368981991904</v>
      </c>
      <c r="O146" s="11">
        <v>0.389188675585046</v>
      </c>
      <c r="P146" s="11">
        <v>0.77027027027026995</v>
      </c>
      <c r="Q146" s="11">
        <v>0.54347826086956497</v>
      </c>
      <c r="R146" s="11">
        <v>0.67561521252796397</v>
      </c>
      <c r="S146" s="10" t="s">
        <v>84</v>
      </c>
      <c r="T146" s="10" t="s">
        <v>84</v>
      </c>
      <c r="U146" s="10"/>
      <c r="V146" s="10"/>
      <c r="W146" s="10"/>
      <c r="X146" s="10"/>
      <c r="Y146" s="10"/>
      <c r="Z146" s="10"/>
      <c r="AA146" s="10"/>
    </row>
    <row r="147" spans="1:27" ht="12.5" x14ac:dyDescent="0.25">
      <c r="A147" s="10" t="s">
        <v>42</v>
      </c>
      <c r="B147" s="10" t="s">
        <v>615</v>
      </c>
      <c r="C147" s="10" t="s">
        <v>76</v>
      </c>
      <c r="D147" s="11">
        <v>2024</v>
      </c>
      <c r="E147" s="10" t="s">
        <v>124</v>
      </c>
      <c r="F147" s="10" t="s">
        <v>83</v>
      </c>
      <c r="G147" s="10" t="s">
        <v>84</v>
      </c>
      <c r="H147" s="12">
        <v>28834.583333333299</v>
      </c>
      <c r="I147" s="11">
        <v>3665</v>
      </c>
      <c r="J147" s="11">
        <v>3285</v>
      </c>
      <c r="K147" s="11">
        <v>69092</v>
      </c>
      <c r="L147" s="11">
        <v>0.127104316286866</v>
      </c>
      <c r="M147" s="11">
        <v>12.710431628686633</v>
      </c>
      <c r="N147" s="11">
        <v>0.89631650750341096</v>
      </c>
      <c r="O147" s="11">
        <v>2.3961504559050901</v>
      </c>
      <c r="P147" s="11">
        <v>0.764358108108108</v>
      </c>
      <c r="Q147" s="11">
        <v>0.71428571428571397</v>
      </c>
      <c r="R147" s="11">
        <v>0.67337807606264</v>
      </c>
      <c r="S147" s="10" t="s">
        <v>84</v>
      </c>
      <c r="T147" s="10" t="s">
        <v>84</v>
      </c>
      <c r="U147" s="10"/>
      <c r="V147" s="10"/>
      <c r="W147" s="10"/>
      <c r="X147" s="10"/>
      <c r="Y147" s="10"/>
      <c r="Z147" s="10"/>
      <c r="AA147" s="10"/>
    </row>
    <row r="148" spans="1:27" ht="12.5" x14ac:dyDescent="0.25">
      <c r="A148" s="10" t="s">
        <v>103</v>
      </c>
      <c r="B148" s="10" t="s">
        <v>618</v>
      </c>
      <c r="C148" s="10" t="s">
        <v>76</v>
      </c>
      <c r="D148" s="11">
        <v>2024</v>
      </c>
      <c r="E148" s="10" t="s">
        <v>124</v>
      </c>
      <c r="F148" s="10" t="s">
        <v>83</v>
      </c>
      <c r="G148" s="10" t="s">
        <v>84</v>
      </c>
      <c r="H148" s="12">
        <v>100871.16666666701</v>
      </c>
      <c r="I148" s="11">
        <v>12799</v>
      </c>
      <c r="J148" s="11">
        <v>11017</v>
      </c>
      <c r="K148" s="11">
        <v>120289</v>
      </c>
      <c r="L148" s="11">
        <v>0.126884623455332</v>
      </c>
      <c r="M148" s="11">
        <v>12.688462345533122</v>
      </c>
      <c r="N148" s="11">
        <v>0.86077037268536605</v>
      </c>
      <c r="O148" s="11">
        <v>1.19250132594878</v>
      </c>
      <c r="P148" s="11">
        <v>0.76266891891891897</v>
      </c>
      <c r="Q148" s="11">
        <v>0.86956521739130399</v>
      </c>
      <c r="R148" s="11">
        <v>0.67114093959731502</v>
      </c>
      <c r="S148" s="10" t="s">
        <v>84</v>
      </c>
      <c r="T148" s="10" t="s">
        <v>84</v>
      </c>
      <c r="U148" s="10"/>
      <c r="V148" s="10"/>
      <c r="W148" s="10"/>
      <c r="X148" s="10"/>
      <c r="Y148" s="10"/>
      <c r="Z148" s="10"/>
      <c r="AA148" s="10"/>
    </row>
    <row r="149" spans="1:27" ht="12.5" x14ac:dyDescent="0.25">
      <c r="A149" s="10" t="s">
        <v>26</v>
      </c>
      <c r="B149" s="10" t="s">
        <v>622</v>
      </c>
      <c r="C149" s="10" t="s">
        <v>76</v>
      </c>
      <c r="D149" s="11">
        <v>2024</v>
      </c>
      <c r="E149" s="10" t="s">
        <v>124</v>
      </c>
      <c r="F149" s="10" t="s">
        <v>83</v>
      </c>
      <c r="G149" s="10" t="s">
        <v>84</v>
      </c>
      <c r="H149" s="12">
        <v>34179.166666666701</v>
      </c>
      <c r="I149" s="11">
        <v>4317</v>
      </c>
      <c r="J149" s="11">
        <v>2850</v>
      </c>
      <c r="K149" s="11">
        <v>113546</v>
      </c>
      <c r="L149" s="11">
        <v>0.12630501036206301</v>
      </c>
      <c r="M149" s="11">
        <v>12.630501036206255</v>
      </c>
      <c r="N149" s="11">
        <v>0.66018068102849203</v>
      </c>
      <c r="O149" s="11">
        <v>3.32208216506156</v>
      </c>
      <c r="P149" s="11">
        <v>0.76182432432432401</v>
      </c>
      <c r="Q149" s="11">
        <v>0.53846153846153799</v>
      </c>
      <c r="R149" s="11">
        <v>0.66890380313199105</v>
      </c>
      <c r="S149" s="10" t="s">
        <v>84</v>
      </c>
      <c r="T149" s="10" t="s">
        <v>84</v>
      </c>
      <c r="U149" s="10"/>
      <c r="V149" s="10"/>
      <c r="W149" s="10"/>
      <c r="X149" s="10"/>
      <c r="Y149" s="10"/>
      <c r="Z149" s="10"/>
      <c r="AA149" s="10"/>
    </row>
    <row r="150" spans="1:27" ht="12.5" x14ac:dyDescent="0.25">
      <c r="A150" s="10" t="s">
        <v>10</v>
      </c>
      <c r="B150" s="10" t="s">
        <v>625</v>
      </c>
      <c r="C150" s="10" t="s">
        <v>76</v>
      </c>
      <c r="D150" s="11">
        <v>2024</v>
      </c>
      <c r="E150" s="10" t="s">
        <v>124</v>
      </c>
      <c r="F150" s="10" t="s">
        <v>83</v>
      </c>
      <c r="G150" s="10" t="s">
        <v>84</v>
      </c>
      <c r="H150" s="12">
        <v>43988.5</v>
      </c>
      <c r="I150" s="11">
        <v>5549</v>
      </c>
      <c r="J150" s="11">
        <v>4979</v>
      </c>
      <c r="K150" s="11">
        <v>11018</v>
      </c>
      <c r="L150" s="11">
        <v>0.126146606499426</v>
      </c>
      <c r="M150" s="11">
        <v>12.6146606499426</v>
      </c>
      <c r="N150" s="11">
        <v>0.89727878897098601</v>
      </c>
      <c r="O150" s="11">
        <v>0.25047455584982398</v>
      </c>
      <c r="P150" s="11">
        <v>0.76097972972973005</v>
      </c>
      <c r="Q150" s="11">
        <v>0.66666666666666696</v>
      </c>
      <c r="R150" s="11">
        <v>0.66666666666666696</v>
      </c>
      <c r="S150" s="10" t="s">
        <v>84</v>
      </c>
      <c r="T150" s="10" t="s">
        <v>84</v>
      </c>
      <c r="U150" s="10"/>
      <c r="V150" s="10"/>
      <c r="W150" s="10"/>
      <c r="X150" s="10"/>
      <c r="Y150" s="10"/>
      <c r="Z150" s="10"/>
      <c r="AA150" s="10"/>
    </row>
    <row r="151" spans="1:27" ht="12.5" x14ac:dyDescent="0.25">
      <c r="A151" s="10" t="s">
        <v>26</v>
      </c>
      <c r="B151" s="10" t="s">
        <v>627</v>
      </c>
      <c r="C151" s="10" t="s">
        <v>76</v>
      </c>
      <c r="D151" s="11">
        <v>2024</v>
      </c>
      <c r="E151" s="10" t="s">
        <v>124</v>
      </c>
      <c r="F151" s="10" t="s">
        <v>83</v>
      </c>
      <c r="G151" s="10" t="s">
        <v>84</v>
      </c>
      <c r="H151" s="12">
        <v>31144.916666666701</v>
      </c>
      <c r="I151" s="11">
        <v>3924</v>
      </c>
      <c r="J151" s="11">
        <v>3924</v>
      </c>
      <c r="K151" s="11">
        <v>90521</v>
      </c>
      <c r="L151" s="11">
        <v>0.12599166798220099</v>
      </c>
      <c r="M151" s="11">
        <v>12.599166798220136</v>
      </c>
      <c r="N151" s="11">
        <v>1</v>
      </c>
      <c r="O151" s="11">
        <v>2.9064454070889001</v>
      </c>
      <c r="P151" s="11">
        <v>0.76013513513513498</v>
      </c>
      <c r="Q151" s="11">
        <v>0.5</v>
      </c>
      <c r="R151" s="11">
        <v>0.66442953020134199</v>
      </c>
      <c r="S151" s="10" t="s">
        <v>84</v>
      </c>
      <c r="T151" s="10" t="s">
        <v>84</v>
      </c>
      <c r="U151" s="10"/>
      <c r="V151" s="10"/>
      <c r="W151" s="10"/>
      <c r="X151" s="10"/>
      <c r="Y151" s="10"/>
      <c r="Z151" s="10"/>
      <c r="AA151" s="10"/>
    </row>
    <row r="152" spans="1:27" ht="12.5" x14ac:dyDescent="0.25">
      <c r="A152" s="10" t="s">
        <v>12</v>
      </c>
      <c r="B152" s="10" t="s">
        <v>631</v>
      </c>
      <c r="C152" s="10" t="s">
        <v>76</v>
      </c>
      <c r="D152" s="11">
        <v>2024</v>
      </c>
      <c r="E152" s="10" t="s">
        <v>124</v>
      </c>
      <c r="F152" s="10" t="s">
        <v>83</v>
      </c>
      <c r="G152" s="10" t="s">
        <v>84</v>
      </c>
      <c r="H152" s="12">
        <v>34219.083333333299</v>
      </c>
      <c r="I152" s="11">
        <v>4308</v>
      </c>
      <c r="J152" s="11">
        <v>3538</v>
      </c>
      <c r="K152" s="11">
        <v>24302</v>
      </c>
      <c r="L152" s="11">
        <v>0.12589466403980201</v>
      </c>
      <c r="M152" s="11">
        <v>12.589466403980248</v>
      </c>
      <c r="N152" s="11">
        <v>0.82126276694521805</v>
      </c>
      <c r="O152" s="11">
        <v>0.71018851566742702</v>
      </c>
      <c r="P152" s="11">
        <v>0.75929054054054101</v>
      </c>
      <c r="Q152" s="11">
        <v>0.72222222222222199</v>
      </c>
      <c r="R152" s="11">
        <v>0.66219239373601801</v>
      </c>
      <c r="S152" s="10" t="s">
        <v>84</v>
      </c>
      <c r="T152" s="10" t="s">
        <v>84</v>
      </c>
      <c r="U152" s="10"/>
      <c r="V152" s="10"/>
      <c r="W152" s="10"/>
      <c r="X152" s="10"/>
      <c r="Y152" s="10"/>
      <c r="Z152" s="10"/>
      <c r="AA152" s="10"/>
    </row>
    <row r="153" spans="1:27" ht="12.5" x14ac:dyDescent="0.25">
      <c r="A153" s="10" t="s">
        <v>58</v>
      </c>
      <c r="B153" s="10" t="s">
        <v>634</v>
      </c>
      <c r="C153" s="10" t="s">
        <v>76</v>
      </c>
      <c r="D153" s="11">
        <v>2024</v>
      </c>
      <c r="E153" s="10" t="s">
        <v>124</v>
      </c>
      <c r="F153" s="10" t="s">
        <v>83</v>
      </c>
      <c r="G153" s="10" t="s">
        <v>84</v>
      </c>
      <c r="H153" s="12">
        <v>25456.583333333299</v>
      </c>
      <c r="I153" s="11">
        <v>3194</v>
      </c>
      <c r="J153" s="11">
        <v>2733</v>
      </c>
      <c r="K153" s="11">
        <v>65062</v>
      </c>
      <c r="L153" s="11">
        <v>0.12546852647808901</v>
      </c>
      <c r="M153" s="11">
        <v>12.546852647808867</v>
      </c>
      <c r="N153" s="11">
        <v>0.85566687539135899</v>
      </c>
      <c r="O153" s="11">
        <v>2.5558025265239199</v>
      </c>
      <c r="P153" s="11">
        <v>0.75844594594594605</v>
      </c>
      <c r="Q153" s="11">
        <v>0.83783783783783805</v>
      </c>
      <c r="R153" s="11">
        <v>0.65995525727069304</v>
      </c>
      <c r="S153" s="10" t="s">
        <v>84</v>
      </c>
      <c r="T153" s="10" t="s">
        <v>84</v>
      </c>
      <c r="U153" s="10"/>
      <c r="V153" s="10"/>
      <c r="W153" s="10"/>
      <c r="X153" s="10"/>
      <c r="Y153" s="10"/>
      <c r="Z153" s="10"/>
      <c r="AA153" s="10"/>
    </row>
    <row r="154" spans="1:27" ht="12.5" x14ac:dyDescent="0.25">
      <c r="A154" s="10" t="s">
        <v>25</v>
      </c>
      <c r="B154" s="10" t="s">
        <v>637</v>
      </c>
      <c r="C154" s="10" t="s">
        <v>76</v>
      </c>
      <c r="D154" s="11">
        <v>2024</v>
      </c>
      <c r="E154" s="10" t="s">
        <v>124</v>
      </c>
      <c r="F154" s="10" t="s">
        <v>83</v>
      </c>
      <c r="G154" s="10" t="s">
        <v>84</v>
      </c>
      <c r="H154" s="12">
        <v>34649.916666666701</v>
      </c>
      <c r="I154" s="11">
        <v>4339</v>
      </c>
      <c r="J154" s="11">
        <v>3717</v>
      </c>
      <c r="K154" s="11">
        <v>45118</v>
      </c>
      <c r="L154" s="11">
        <v>0.12522396638760599</v>
      </c>
      <c r="M154" s="11">
        <v>12.522396638760544</v>
      </c>
      <c r="N154" s="11">
        <v>0.85664899746485401</v>
      </c>
      <c r="O154" s="11">
        <v>1.30210991368426</v>
      </c>
      <c r="P154" s="11">
        <v>0.75760135135135098</v>
      </c>
      <c r="Q154" s="11">
        <v>0.75</v>
      </c>
      <c r="R154" s="11">
        <v>0.65771812080536896</v>
      </c>
      <c r="S154" s="10" t="s">
        <v>84</v>
      </c>
      <c r="T154" s="10" t="s">
        <v>84</v>
      </c>
      <c r="U154" s="10"/>
      <c r="V154" s="10"/>
      <c r="W154" s="10"/>
      <c r="X154" s="10"/>
      <c r="Y154" s="10"/>
      <c r="Z154" s="10"/>
      <c r="AA154" s="10"/>
    </row>
    <row r="155" spans="1:27" ht="12.5" x14ac:dyDescent="0.25">
      <c r="A155" s="10" t="s">
        <v>13</v>
      </c>
      <c r="B155" s="10" t="s">
        <v>639</v>
      </c>
      <c r="C155" s="10" t="s">
        <v>76</v>
      </c>
      <c r="D155" s="11">
        <v>2024</v>
      </c>
      <c r="E155" s="10" t="s">
        <v>124</v>
      </c>
      <c r="F155" s="10" t="s">
        <v>83</v>
      </c>
      <c r="G155" s="10" t="s">
        <v>84</v>
      </c>
      <c r="H155" s="12">
        <v>56433.583333333299</v>
      </c>
      <c r="I155" s="11">
        <v>7061</v>
      </c>
      <c r="J155" s="11">
        <v>6709</v>
      </c>
      <c r="K155" s="11">
        <v>187386</v>
      </c>
      <c r="L155" s="11">
        <v>0.12512053254341801</v>
      </c>
      <c r="M155" s="11">
        <v>12.512053254341762</v>
      </c>
      <c r="N155" s="11">
        <v>0.95014870414955399</v>
      </c>
      <c r="O155" s="11">
        <v>3.3204696376123599</v>
      </c>
      <c r="P155" s="11">
        <v>0.75591216216216195</v>
      </c>
      <c r="Q155" s="11">
        <v>0.476190476190476</v>
      </c>
      <c r="R155" s="11">
        <v>0.65548098434004498</v>
      </c>
      <c r="S155" s="10" t="s">
        <v>84</v>
      </c>
      <c r="T155" s="10" t="s">
        <v>84</v>
      </c>
      <c r="U155" s="10"/>
      <c r="V155" s="10"/>
      <c r="W155" s="10"/>
      <c r="X155" s="10"/>
      <c r="Y155" s="10"/>
      <c r="Z155" s="10"/>
      <c r="AA155" s="10"/>
    </row>
    <row r="156" spans="1:27" ht="12.5" x14ac:dyDescent="0.25">
      <c r="A156" s="10" t="s">
        <v>13</v>
      </c>
      <c r="B156" s="10" t="s">
        <v>641</v>
      </c>
      <c r="C156" s="10" t="s">
        <v>76</v>
      </c>
      <c r="D156" s="11">
        <v>2024</v>
      </c>
      <c r="E156" s="10" t="s">
        <v>124</v>
      </c>
      <c r="F156" s="10" t="s">
        <v>125</v>
      </c>
      <c r="G156" s="10" t="s">
        <v>84</v>
      </c>
      <c r="H156" s="12">
        <v>4536.5</v>
      </c>
      <c r="I156" s="11">
        <v>563</v>
      </c>
      <c r="J156" s="11">
        <v>511</v>
      </c>
      <c r="K156" s="11">
        <v>5845</v>
      </c>
      <c r="L156" s="11">
        <v>0.124104485837099</v>
      </c>
      <c r="M156" s="11">
        <v>12.410448583709908</v>
      </c>
      <c r="N156" s="11">
        <v>0.90763765541740704</v>
      </c>
      <c r="O156" s="11">
        <v>1.2884382232999001</v>
      </c>
      <c r="P156" s="11">
        <v>0.75422297297297303</v>
      </c>
      <c r="Q156" s="11">
        <v>0.42857142857142899</v>
      </c>
      <c r="R156" s="11">
        <v>0.65324384787472001</v>
      </c>
      <c r="S156" s="10" t="s">
        <v>84</v>
      </c>
      <c r="T156" s="10" t="s">
        <v>84</v>
      </c>
      <c r="U156" s="10"/>
      <c r="V156" s="10"/>
      <c r="W156" s="10"/>
      <c r="X156" s="10"/>
      <c r="Y156" s="10"/>
      <c r="Z156" s="10"/>
      <c r="AA156" s="10"/>
    </row>
    <row r="157" spans="1:27" ht="12.5" x14ac:dyDescent="0.25">
      <c r="A157" s="10" t="s">
        <v>12</v>
      </c>
      <c r="B157" s="10" t="s">
        <v>642</v>
      </c>
      <c r="C157" s="10" t="s">
        <v>76</v>
      </c>
      <c r="D157" s="11">
        <v>2024</v>
      </c>
      <c r="E157" s="10" t="s">
        <v>124</v>
      </c>
      <c r="F157" s="10" t="s">
        <v>83</v>
      </c>
      <c r="G157" s="10" t="s">
        <v>84</v>
      </c>
      <c r="H157" s="12">
        <v>857189.16666666698</v>
      </c>
      <c r="I157" s="11">
        <v>105131</v>
      </c>
      <c r="J157" s="11">
        <v>102331</v>
      </c>
      <c r="K157" s="11">
        <v>382391</v>
      </c>
      <c r="L157" s="11">
        <v>0.122646207031315</v>
      </c>
      <c r="M157" s="11">
        <v>12.264620703131451</v>
      </c>
      <c r="N157" s="11">
        <v>0.97336656171823699</v>
      </c>
      <c r="O157" s="11">
        <v>0.44609873161019498</v>
      </c>
      <c r="P157" s="11">
        <v>0.75168918918918903</v>
      </c>
      <c r="Q157" s="11">
        <v>0.69444444444444398</v>
      </c>
      <c r="R157" s="11">
        <v>0.65100671140939603</v>
      </c>
      <c r="S157" s="10" t="s">
        <v>84</v>
      </c>
      <c r="T157" s="10" t="s">
        <v>84</v>
      </c>
      <c r="U157" s="10"/>
      <c r="V157" s="10"/>
      <c r="W157" s="10"/>
      <c r="X157" s="10"/>
      <c r="Y157" s="10"/>
      <c r="Z157" s="10"/>
      <c r="AA157" s="10"/>
    </row>
    <row r="158" spans="1:27" ht="12.5" x14ac:dyDescent="0.25">
      <c r="A158" s="10" t="s">
        <v>14</v>
      </c>
      <c r="B158" s="10" t="s">
        <v>646</v>
      </c>
      <c r="C158" s="10" t="s">
        <v>76</v>
      </c>
      <c r="D158" s="11">
        <v>2024</v>
      </c>
      <c r="E158" s="10" t="s">
        <v>124</v>
      </c>
      <c r="F158" s="10" t="s">
        <v>83</v>
      </c>
      <c r="G158" s="10" t="s">
        <v>84</v>
      </c>
      <c r="H158" s="12">
        <v>52193.916666666701</v>
      </c>
      <c r="I158" s="11">
        <v>6383</v>
      </c>
      <c r="J158" s="11">
        <v>5230</v>
      </c>
      <c r="K158" s="11">
        <v>81352</v>
      </c>
      <c r="L158" s="11">
        <v>0.122293945494925</v>
      </c>
      <c r="M158" s="11">
        <v>12.229394549492509</v>
      </c>
      <c r="N158" s="11">
        <v>0.81936393545354802</v>
      </c>
      <c r="O158" s="11">
        <v>1.5586490762812399</v>
      </c>
      <c r="P158" s="11">
        <v>0.75084459459459496</v>
      </c>
      <c r="Q158" s="11">
        <v>0.42857142857142899</v>
      </c>
      <c r="R158" s="11">
        <v>0.64876957494407195</v>
      </c>
      <c r="S158" s="10" t="s">
        <v>84</v>
      </c>
      <c r="T158" s="10" t="s">
        <v>84</v>
      </c>
      <c r="U158" s="10"/>
      <c r="V158" s="10"/>
      <c r="W158" s="10"/>
      <c r="X158" s="10"/>
      <c r="Y158" s="10"/>
      <c r="Z158" s="10"/>
      <c r="AA158" s="10"/>
    </row>
    <row r="159" spans="1:27" ht="12.5" x14ac:dyDescent="0.25">
      <c r="A159" s="10" t="s">
        <v>104</v>
      </c>
      <c r="B159" s="10" t="s">
        <v>648</v>
      </c>
      <c r="C159" s="10" t="s">
        <v>76</v>
      </c>
      <c r="D159" s="11">
        <v>2024</v>
      </c>
      <c r="E159" s="10" t="s">
        <v>124</v>
      </c>
      <c r="F159" s="10" t="s">
        <v>83</v>
      </c>
      <c r="G159" s="10" t="s">
        <v>84</v>
      </c>
      <c r="H159" s="12">
        <v>5952.9166666666697</v>
      </c>
      <c r="I159" s="11">
        <v>728</v>
      </c>
      <c r="J159" s="11">
        <v>728</v>
      </c>
      <c r="K159" s="11">
        <v>1423</v>
      </c>
      <c r="L159" s="11">
        <v>0.122292993630573</v>
      </c>
      <c r="M159" s="11">
        <v>12.229299363057319</v>
      </c>
      <c r="N159" s="11">
        <v>1</v>
      </c>
      <c r="O159" s="11">
        <v>0.23904248617624399</v>
      </c>
      <c r="P159" s="11">
        <v>0.75</v>
      </c>
      <c r="Q159" s="11">
        <v>0.79310344827586199</v>
      </c>
      <c r="R159" s="11">
        <v>0.64653243847874697</v>
      </c>
      <c r="S159" s="10" t="s">
        <v>84</v>
      </c>
      <c r="T159" s="10" t="s">
        <v>84</v>
      </c>
      <c r="U159" s="10"/>
      <c r="V159" s="10"/>
      <c r="W159" s="10"/>
      <c r="X159" s="10"/>
      <c r="Y159" s="10"/>
      <c r="Z159" s="10"/>
      <c r="AA159" s="10"/>
    </row>
    <row r="160" spans="1:27" ht="12.5" x14ac:dyDescent="0.25">
      <c r="A160" s="10" t="s">
        <v>58</v>
      </c>
      <c r="B160" s="10" t="s">
        <v>650</v>
      </c>
      <c r="C160" s="10" t="s">
        <v>76</v>
      </c>
      <c r="D160" s="11">
        <v>2024</v>
      </c>
      <c r="E160" s="10" t="s">
        <v>124</v>
      </c>
      <c r="F160" s="10" t="s">
        <v>83</v>
      </c>
      <c r="G160" s="10" t="s">
        <v>84</v>
      </c>
      <c r="H160" s="12">
        <v>1515.9166666666699</v>
      </c>
      <c r="I160" s="11">
        <v>184</v>
      </c>
      <c r="J160" s="11">
        <v>142</v>
      </c>
      <c r="K160" s="11">
        <v>1129</v>
      </c>
      <c r="L160" s="11">
        <v>0.12137870375460399</v>
      </c>
      <c r="M160" s="11">
        <v>12.137870375460366</v>
      </c>
      <c r="N160" s="11">
        <v>0.77173913043478304</v>
      </c>
      <c r="O160" s="11">
        <v>0.74476389423341205</v>
      </c>
      <c r="P160" s="11">
        <v>0.74915540540540504</v>
      </c>
      <c r="Q160" s="11">
        <v>0.81081081081081097</v>
      </c>
      <c r="R160" s="11">
        <v>0.644295302013423</v>
      </c>
      <c r="S160" s="10" t="s">
        <v>84</v>
      </c>
      <c r="T160" s="10" t="s">
        <v>84</v>
      </c>
      <c r="U160" s="10"/>
      <c r="V160" s="10"/>
      <c r="W160" s="10"/>
      <c r="X160" s="10"/>
      <c r="Y160" s="10"/>
      <c r="Z160" s="10"/>
      <c r="AA160" s="10"/>
    </row>
    <row r="161" spans="1:27" ht="12.5" x14ac:dyDescent="0.25">
      <c r="A161" s="10" t="s">
        <v>13</v>
      </c>
      <c r="B161" s="10" t="s">
        <v>653</v>
      </c>
      <c r="C161" s="10" t="s">
        <v>76</v>
      </c>
      <c r="D161" s="11">
        <v>2024</v>
      </c>
      <c r="E161" s="10" t="s">
        <v>124</v>
      </c>
      <c r="F161" s="10" t="s">
        <v>125</v>
      </c>
      <c r="G161" s="10" t="s">
        <v>84</v>
      </c>
      <c r="H161" s="12">
        <v>626.5</v>
      </c>
      <c r="I161" s="11">
        <v>76</v>
      </c>
      <c r="J161" s="11">
        <v>60</v>
      </c>
      <c r="K161" s="11">
        <v>0</v>
      </c>
      <c r="L161" s="11">
        <v>0.121308858739026</v>
      </c>
      <c r="M161" s="11">
        <v>12.130885873902633</v>
      </c>
      <c r="N161" s="11">
        <v>0.78947368421052599</v>
      </c>
      <c r="O161" s="11">
        <v>0</v>
      </c>
      <c r="P161" s="11">
        <v>0.74831081081081097</v>
      </c>
      <c r="Q161" s="11">
        <v>0.38095238095238099</v>
      </c>
      <c r="R161" s="11">
        <v>0.64205816554809803</v>
      </c>
      <c r="S161" s="10" t="s">
        <v>84</v>
      </c>
      <c r="T161" s="10" t="s">
        <v>84</v>
      </c>
      <c r="U161" s="10"/>
      <c r="V161" s="10"/>
      <c r="W161" s="10"/>
      <c r="X161" s="10"/>
      <c r="Y161" s="10"/>
      <c r="Z161" s="10"/>
      <c r="AA161" s="10"/>
    </row>
    <row r="162" spans="1:27" ht="12.5" x14ac:dyDescent="0.25">
      <c r="A162" s="10" t="s">
        <v>52</v>
      </c>
      <c r="B162" s="10" t="s">
        <v>655</v>
      </c>
      <c r="C162" s="10" t="s">
        <v>76</v>
      </c>
      <c r="D162" s="11">
        <v>2024</v>
      </c>
      <c r="E162" s="10" t="s">
        <v>124</v>
      </c>
      <c r="F162" s="10" t="s">
        <v>125</v>
      </c>
      <c r="G162" s="10" t="s">
        <v>84</v>
      </c>
      <c r="H162" s="12">
        <v>2665.0833333333298</v>
      </c>
      <c r="I162" s="11">
        <v>323</v>
      </c>
      <c r="J162" s="11">
        <v>288</v>
      </c>
      <c r="K162" s="11">
        <v>3337</v>
      </c>
      <c r="L162" s="11">
        <v>0.121196960695413</v>
      </c>
      <c r="M162" s="11">
        <v>12.119696069541307</v>
      </c>
      <c r="N162" s="11">
        <v>0.89164086687306499</v>
      </c>
      <c r="O162" s="11">
        <v>1.2521184453269101</v>
      </c>
      <c r="P162" s="11">
        <v>0.74746621621621601</v>
      </c>
      <c r="Q162" s="11">
        <v>0.659574468085106</v>
      </c>
      <c r="R162" s="11">
        <v>0.63982102908277405</v>
      </c>
      <c r="S162" s="10" t="s">
        <v>84</v>
      </c>
      <c r="T162" s="10" t="s">
        <v>84</v>
      </c>
      <c r="U162" s="10"/>
      <c r="V162" s="10"/>
      <c r="W162" s="10"/>
      <c r="X162" s="10"/>
      <c r="Y162" s="10"/>
      <c r="Z162" s="10"/>
      <c r="AA162" s="10"/>
    </row>
    <row r="163" spans="1:27" ht="12.5" x14ac:dyDescent="0.25">
      <c r="A163" s="10" t="s">
        <v>103</v>
      </c>
      <c r="B163" s="10" t="s">
        <v>658</v>
      </c>
      <c r="C163" s="10" t="s">
        <v>76</v>
      </c>
      <c r="D163" s="11">
        <v>2024</v>
      </c>
      <c r="E163" s="10" t="s">
        <v>124</v>
      </c>
      <c r="F163" s="10" t="s">
        <v>125</v>
      </c>
      <c r="G163" s="10" t="s">
        <v>84</v>
      </c>
      <c r="H163" s="12">
        <v>592557.16666666698</v>
      </c>
      <c r="I163" s="11">
        <v>70815</v>
      </c>
      <c r="J163" s="11">
        <v>68912</v>
      </c>
      <c r="K163" s="11">
        <v>440594</v>
      </c>
      <c r="L163" s="11">
        <v>0.119507456805152</v>
      </c>
      <c r="M163" s="11">
        <v>11.950745680515206</v>
      </c>
      <c r="N163" s="11">
        <v>0.97312716232436602</v>
      </c>
      <c r="O163" s="11">
        <v>0.74354682515864201</v>
      </c>
      <c r="P163" s="11">
        <v>0.74324324324324298</v>
      </c>
      <c r="Q163" s="11">
        <v>0.82608695652173902</v>
      </c>
      <c r="R163" s="11">
        <v>0.63758389261744997</v>
      </c>
      <c r="S163" s="10" t="s">
        <v>84</v>
      </c>
      <c r="T163" s="10" t="s">
        <v>84</v>
      </c>
      <c r="U163" s="10"/>
      <c r="V163" s="10"/>
      <c r="W163" s="10"/>
      <c r="X163" s="10"/>
      <c r="Y163" s="10"/>
      <c r="Z163" s="10"/>
      <c r="AA163" s="10"/>
    </row>
    <row r="164" spans="1:27" ht="12.5" x14ac:dyDescent="0.25">
      <c r="A164" s="10" t="s">
        <v>29</v>
      </c>
      <c r="B164" s="10" t="s">
        <v>660</v>
      </c>
      <c r="C164" s="10" t="s">
        <v>76</v>
      </c>
      <c r="D164" s="11">
        <v>2024</v>
      </c>
      <c r="E164" s="10" t="s">
        <v>124</v>
      </c>
      <c r="F164" s="10" t="s">
        <v>83</v>
      </c>
      <c r="G164" s="10" t="s">
        <v>84</v>
      </c>
      <c r="H164" s="12">
        <v>22570.166666666701</v>
      </c>
      <c r="I164" s="11">
        <v>2695</v>
      </c>
      <c r="J164" s="11">
        <v>2561</v>
      </c>
      <c r="K164" s="11">
        <v>37277</v>
      </c>
      <c r="L164" s="11">
        <v>0.119405409796117</v>
      </c>
      <c r="M164" s="11">
        <v>11.940540979611711</v>
      </c>
      <c r="N164" s="11">
        <v>0.95027829313543599</v>
      </c>
      <c r="O164" s="11">
        <v>1.6516049947940099</v>
      </c>
      <c r="P164" s="11">
        <v>0.74239864864864902</v>
      </c>
      <c r="Q164" s="11">
        <v>0.51020408163265296</v>
      </c>
      <c r="R164" s="11">
        <v>0.63534675615212499</v>
      </c>
      <c r="S164" s="10" t="s">
        <v>84</v>
      </c>
      <c r="T164" s="10" t="s">
        <v>84</v>
      </c>
      <c r="U164" s="10"/>
      <c r="V164" s="10"/>
      <c r="W164" s="10"/>
      <c r="X164" s="10"/>
      <c r="Y164" s="10"/>
      <c r="Z164" s="10"/>
      <c r="AA164" s="10"/>
    </row>
    <row r="165" spans="1:27" ht="12.5" x14ac:dyDescent="0.25">
      <c r="A165" s="10" t="s">
        <v>77</v>
      </c>
      <c r="B165" s="10" t="s">
        <v>662</v>
      </c>
      <c r="C165" s="10" t="s">
        <v>76</v>
      </c>
      <c r="D165" s="11">
        <v>2024</v>
      </c>
      <c r="E165" s="10" t="s">
        <v>124</v>
      </c>
      <c r="F165" s="10" t="s">
        <v>125</v>
      </c>
      <c r="G165" s="10" t="s">
        <v>84</v>
      </c>
      <c r="H165" s="12">
        <v>1311.4166666666699</v>
      </c>
      <c r="I165" s="11">
        <v>156</v>
      </c>
      <c r="J165" s="11">
        <v>157</v>
      </c>
      <c r="K165" s="11">
        <v>636</v>
      </c>
      <c r="L165" s="11">
        <v>0.11895532820740901</v>
      </c>
      <c r="M165" s="11">
        <v>11.895532820740899</v>
      </c>
      <c r="N165" s="11">
        <v>1.0064102564102599</v>
      </c>
      <c r="O165" s="11">
        <v>0.48497172269174599</v>
      </c>
      <c r="P165" s="11">
        <v>0.74155405405405395</v>
      </c>
      <c r="Q165" s="11">
        <v>0.96428571428571397</v>
      </c>
      <c r="R165" s="11">
        <v>0.63310961968680102</v>
      </c>
      <c r="S165" s="10" t="s">
        <v>84</v>
      </c>
      <c r="T165" s="10" t="s">
        <v>84</v>
      </c>
      <c r="U165" s="10"/>
      <c r="V165" s="10"/>
      <c r="W165" s="10"/>
      <c r="X165" s="10"/>
      <c r="Y165" s="10"/>
      <c r="Z165" s="10"/>
      <c r="AA165" s="10"/>
    </row>
    <row r="166" spans="1:27" ht="12.5" x14ac:dyDescent="0.25">
      <c r="A166" s="10" t="s">
        <v>77</v>
      </c>
      <c r="B166" s="10" t="s">
        <v>665</v>
      </c>
      <c r="C166" s="10" t="s">
        <v>76</v>
      </c>
      <c r="D166" s="11">
        <v>2024</v>
      </c>
      <c r="E166" s="10" t="s">
        <v>124</v>
      </c>
      <c r="F166" s="10" t="s">
        <v>125</v>
      </c>
      <c r="G166" s="10" t="s">
        <v>84</v>
      </c>
      <c r="H166" s="12">
        <v>2212.25</v>
      </c>
      <c r="I166" s="11">
        <v>263</v>
      </c>
      <c r="J166" s="11">
        <v>250</v>
      </c>
      <c r="K166" s="11">
        <v>4819</v>
      </c>
      <c r="L166" s="11">
        <v>0.118883489659849</v>
      </c>
      <c r="M166" s="11">
        <v>11.888348965984857</v>
      </c>
      <c r="N166" s="11">
        <v>0.95057034220532299</v>
      </c>
      <c r="O166" s="11">
        <v>2.1783252344897699</v>
      </c>
      <c r="P166" s="11">
        <v>0.74070945945945899</v>
      </c>
      <c r="Q166" s="11">
        <v>0.92857142857142905</v>
      </c>
      <c r="R166" s="11">
        <v>0.63087248322147604</v>
      </c>
      <c r="S166" s="10" t="s">
        <v>84</v>
      </c>
      <c r="T166" s="10" t="s">
        <v>84</v>
      </c>
      <c r="U166" s="10"/>
      <c r="V166" s="10"/>
      <c r="W166" s="10"/>
      <c r="X166" s="10"/>
      <c r="Y166" s="10"/>
      <c r="Z166" s="10"/>
      <c r="AA166" s="10"/>
    </row>
    <row r="167" spans="1:27" ht="12.5" x14ac:dyDescent="0.25">
      <c r="A167" s="10" t="s">
        <v>14</v>
      </c>
      <c r="B167" s="10" t="s">
        <v>668</v>
      </c>
      <c r="C167" s="10" t="s">
        <v>76</v>
      </c>
      <c r="D167" s="11">
        <v>2024</v>
      </c>
      <c r="E167" s="10" t="s">
        <v>124</v>
      </c>
      <c r="F167" s="10" t="s">
        <v>83</v>
      </c>
      <c r="G167" s="10" t="s">
        <v>84</v>
      </c>
      <c r="H167" s="12">
        <v>46687.416666666701</v>
      </c>
      <c r="I167" s="11">
        <v>5284</v>
      </c>
      <c r="J167" s="11">
        <v>4712</v>
      </c>
      <c r="K167" s="11">
        <v>22712</v>
      </c>
      <c r="L167" s="11">
        <v>0.11317824752922399</v>
      </c>
      <c r="M167" s="11">
        <v>11.317824752922354</v>
      </c>
      <c r="N167" s="11">
        <v>0.89174867524602597</v>
      </c>
      <c r="O167" s="11">
        <v>0.48646940913772302</v>
      </c>
      <c r="P167" s="11">
        <v>0.73057432432432401</v>
      </c>
      <c r="Q167" s="11">
        <v>0.35714285714285698</v>
      </c>
      <c r="R167" s="11">
        <v>0.62863534675615196</v>
      </c>
      <c r="S167" s="10" t="s">
        <v>84</v>
      </c>
      <c r="T167" s="10" t="s">
        <v>84</v>
      </c>
      <c r="U167" s="10"/>
      <c r="V167" s="10"/>
      <c r="W167" s="10"/>
      <c r="X167" s="10"/>
      <c r="Y167" s="10"/>
      <c r="Z167" s="10"/>
      <c r="AA167" s="10"/>
    </row>
    <row r="168" spans="1:27" ht="12.5" x14ac:dyDescent="0.25">
      <c r="A168" s="10" t="s">
        <v>58</v>
      </c>
      <c r="B168" s="10" t="s">
        <v>672</v>
      </c>
      <c r="C168" s="10" t="s">
        <v>76</v>
      </c>
      <c r="D168" s="11">
        <v>2024</v>
      </c>
      <c r="E168" s="10" t="s">
        <v>124</v>
      </c>
      <c r="F168" s="10" t="s">
        <v>125</v>
      </c>
      <c r="G168" s="10" t="s">
        <v>84</v>
      </c>
      <c r="H168" s="12">
        <v>1176.5833333333301</v>
      </c>
      <c r="I168" s="11">
        <v>133</v>
      </c>
      <c r="J168" s="11">
        <v>105</v>
      </c>
      <c r="K168" s="11">
        <v>0</v>
      </c>
      <c r="L168" s="11">
        <v>0.11303916707982201</v>
      </c>
      <c r="M168" s="11">
        <v>11.303916707982182</v>
      </c>
      <c r="N168" s="11">
        <v>0.78947368421052599</v>
      </c>
      <c r="O168" s="11">
        <v>0</v>
      </c>
      <c r="P168" s="11">
        <v>0.72888513513513498</v>
      </c>
      <c r="Q168" s="11">
        <v>0.78378378378378399</v>
      </c>
      <c r="R168" s="11">
        <v>0.62639821029082798</v>
      </c>
      <c r="S168" s="10" t="s">
        <v>84</v>
      </c>
      <c r="T168" s="10" t="s">
        <v>84</v>
      </c>
      <c r="U168" s="10"/>
      <c r="V168" s="10"/>
      <c r="W168" s="10"/>
      <c r="X168" s="10"/>
      <c r="Y168" s="10"/>
      <c r="Z168" s="10"/>
      <c r="AA168" s="10"/>
    </row>
    <row r="169" spans="1:27" ht="12.5" x14ac:dyDescent="0.25">
      <c r="A169" s="10" t="s">
        <v>6</v>
      </c>
      <c r="B169" s="10" t="s">
        <v>674</v>
      </c>
      <c r="C169" s="10" t="s">
        <v>76</v>
      </c>
      <c r="D169" s="11">
        <v>2024</v>
      </c>
      <c r="E169" s="10" t="s">
        <v>124</v>
      </c>
      <c r="F169" s="10" t="s">
        <v>83</v>
      </c>
      <c r="G169" s="10" t="s">
        <v>84</v>
      </c>
      <c r="H169" s="12">
        <v>27637.666666666701</v>
      </c>
      <c r="I169" s="11">
        <v>3120</v>
      </c>
      <c r="J169" s="11">
        <v>3080</v>
      </c>
      <c r="K169" s="11">
        <v>17618</v>
      </c>
      <c r="L169" s="11">
        <v>0.112889414205251</v>
      </c>
      <c r="M169" s="11">
        <v>11.288941420525115</v>
      </c>
      <c r="N169" s="11">
        <v>0.987179487179487</v>
      </c>
      <c r="O169" s="11">
        <v>0.63746336521414004</v>
      </c>
      <c r="P169" s="11">
        <v>0.72804054054054101</v>
      </c>
      <c r="Q169" s="11">
        <v>0.87096774193548399</v>
      </c>
      <c r="R169" s="11">
        <v>0.62416107382550301</v>
      </c>
      <c r="S169" s="10" t="s">
        <v>84</v>
      </c>
      <c r="T169" s="10" t="s">
        <v>84</v>
      </c>
      <c r="U169" s="10"/>
      <c r="V169" s="10"/>
      <c r="W169" s="10"/>
      <c r="X169" s="10"/>
      <c r="Y169" s="10"/>
      <c r="Z169" s="10"/>
      <c r="AA169" s="10"/>
    </row>
    <row r="170" spans="1:27" ht="12.5" x14ac:dyDescent="0.25">
      <c r="A170" s="10" t="s">
        <v>62</v>
      </c>
      <c r="B170" s="10" t="s">
        <v>676</v>
      </c>
      <c r="C170" s="10" t="s">
        <v>76</v>
      </c>
      <c r="D170" s="11">
        <v>2024</v>
      </c>
      <c r="E170" s="10" t="s">
        <v>124</v>
      </c>
      <c r="F170" s="10" t="s">
        <v>83</v>
      </c>
      <c r="G170" s="10" t="s">
        <v>84</v>
      </c>
      <c r="H170" s="12">
        <v>11875</v>
      </c>
      <c r="I170" s="11">
        <v>1336</v>
      </c>
      <c r="J170" s="11">
        <v>1037</v>
      </c>
      <c r="K170" s="11">
        <v>9068</v>
      </c>
      <c r="L170" s="11">
        <v>0.112505263157895</v>
      </c>
      <c r="M170" s="11">
        <v>11.250526315789473</v>
      </c>
      <c r="N170" s="11">
        <v>0.77619760479041899</v>
      </c>
      <c r="O170" s="11">
        <v>0.76362105263157898</v>
      </c>
      <c r="P170" s="11">
        <v>0.72719594594594605</v>
      </c>
      <c r="Q170" s="11">
        <v>0.88888888888888895</v>
      </c>
      <c r="R170" s="11">
        <v>0.62192393736017904</v>
      </c>
      <c r="S170" s="10" t="s">
        <v>84</v>
      </c>
      <c r="T170" s="10" t="s">
        <v>84</v>
      </c>
      <c r="U170" s="10"/>
      <c r="V170" s="10"/>
      <c r="W170" s="10"/>
      <c r="X170" s="10"/>
      <c r="Y170" s="10"/>
      <c r="Z170" s="10"/>
      <c r="AA170" s="10"/>
    </row>
    <row r="171" spans="1:27" ht="12.5" x14ac:dyDescent="0.25">
      <c r="A171" s="10" t="s">
        <v>29</v>
      </c>
      <c r="B171" s="10" t="s">
        <v>679</v>
      </c>
      <c r="C171" s="10" t="s">
        <v>76</v>
      </c>
      <c r="D171" s="11">
        <v>2024</v>
      </c>
      <c r="E171" s="10" t="s">
        <v>124</v>
      </c>
      <c r="F171" s="10" t="s">
        <v>83</v>
      </c>
      <c r="G171" s="10" t="s">
        <v>84</v>
      </c>
      <c r="H171" s="12">
        <v>11986.75</v>
      </c>
      <c r="I171" s="11">
        <v>1314</v>
      </c>
      <c r="J171" s="11">
        <v>1453</v>
      </c>
      <c r="K171" s="11">
        <v>16338</v>
      </c>
      <c r="L171" s="11">
        <v>0.109621039898221</v>
      </c>
      <c r="M171" s="11">
        <v>10.962103989822095</v>
      </c>
      <c r="N171" s="11">
        <v>1.1057838660578401</v>
      </c>
      <c r="O171" s="11">
        <v>1.3630049846705701</v>
      </c>
      <c r="P171" s="11">
        <v>0.72550675675675702</v>
      </c>
      <c r="Q171" s="11">
        <v>0.469387755102041</v>
      </c>
      <c r="R171" s="11">
        <v>0.61968680089485495</v>
      </c>
      <c r="S171" s="10" t="s">
        <v>84</v>
      </c>
      <c r="T171" s="10" t="s">
        <v>84</v>
      </c>
      <c r="U171" s="10"/>
      <c r="V171" s="10"/>
      <c r="W171" s="10"/>
      <c r="X171" s="10"/>
      <c r="Y171" s="10"/>
      <c r="Z171" s="10"/>
      <c r="AA171" s="10"/>
    </row>
    <row r="172" spans="1:27" ht="12.5" x14ac:dyDescent="0.25">
      <c r="A172" s="10" t="s">
        <v>6</v>
      </c>
      <c r="B172" s="10" t="s">
        <v>681</v>
      </c>
      <c r="C172" s="10" t="s">
        <v>76</v>
      </c>
      <c r="D172" s="11">
        <v>2024</v>
      </c>
      <c r="E172" s="10" t="s">
        <v>124</v>
      </c>
      <c r="F172" s="10" t="s">
        <v>83</v>
      </c>
      <c r="G172" s="10" t="s">
        <v>84</v>
      </c>
      <c r="H172" s="12">
        <v>11220.75</v>
      </c>
      <c r="I172" s="11">
        <v>1226</v>
      </c>
      <c r="J172" s="11">
        <v>1021</v>
      </c>
      <c r="K172" s="11">
        <v>12862</v>
      </c>
      <c r="L172" s="11">
        <v>0.10926185861016401</v>
      </c>
      <c r="M172" s="11">
        <v>10.926185861016419</v>
      </c>
      <c r="N172" s="11">
        <v>0.83278955954322997</v>
      </c>
      <c r="O172" s="11">
        <v>1.1462691887797201</v>
      </c>
      <c r="P172" s="11">
        <v>0.72381756756756799</v>
      </c>
      <c r="Q172" s="11">
        <v>0.83870967741935498</v>
      </c>
      <c r="R172" s="11">
        <v>0.61744966442952998</v>
      </c>
      <c r="S172" s="10" t="s">
        <v>84</v>
      </c>
      <c r="T172" s="10" t="s">
        <v>84</v>
      </c>
      <c r="U172" s="10"/>
      <c r="V172" s="10"/>
      <c r="W172" s="10"/>
      <c r="X172" s="10"/>
      <c r="Y172" s="10"/>
      <c r="Z172" s="10"/>
      <c r="AA172" s="10"/>
    </row>
    <row r="173" spans="1:27" ht="12.5" x14ac:dyDescent="0.25">
      <c r="A173" s="10" t="s">
        <v>10</v>
      </c>
      <c r="B173" s="10" t="s">
        <v>683</v>
      </c>
      <c r="C173" s="10" t="s">
        <v>76</v>
      </c>
      <c r="D173" s="11">
        <v>2024</v>
      </c>
      <c r="E173" s="10" t="s">
        <v>124</v>
      </c>
      <c r="F173" s="10" t="s">
        <v>125</v>
      </c>
      <c r="G173" s="10" t="s">
        <v>84</v>
      </c>
      <c r="H173" s="12">
        <v>534.08333333333303</v>
      </c>
      <c r="I173" s="11">
        <v>58</v>
      </c>
      <c r="J173" s="11">
        <v>38</v>
      </c>
      <c r="K173" s="11">
        <v>659</v>
      </c>
      <c r="L173" s="11">
        <v>0.108597285067873</v>
      </c>
      <c r="M173" s="11">
        <v>10.859728506787336</v>
      </c>
      <c r="N173" s="11">
        <v>0.65517241379310298</v>
      </c>
      <c r="O173" s="11">
        <v>1.23388984240911</v>
      </c>
      <c r="P173" s="11">
        <v>0.72128378378378399</v>
      </c>
      <c r="Q173" s="11">
        <v>0.6</v>
      </c>
      <c r="R173" s="11">
        <v>0.615212527964206</v>
      </c>
      <c r="S173" s="10" t="s">
        <v>84</v>
      </c>
      <c r="T173" s="10" t="s">
        <v>84</v>
      </c>
      <c r="U173" s="10"/>
      <c r="V173" s="10"/>
      <c r="W173" s="10"/>
      <c r="X173" s="10"/>
      <c r="Y173" s="10"/>
      <c r="Z173" s="10"/>
      <c r="AA173" s="10"/>
    </row>
    <row r="174" spans="1:27" ht="12.5" x14ac:dyDescent="0.25">
      <c r="A174" s="10" t="s">
        <v>19</v>
      </c>
      <c r="B174" s="10" t="s">
        <v>686</v>
      </c>
      <c r="C174" s="10" t="s">
        <v>76</v>
      </c>
      <c r="D174" s="11">
        <v>2024</v>
      </c>
      <c r="E174" s="10" t="s">
        <v>124</v>
      </c>
      <c r="F174" s="10" t="s">
        <v>83</v>
      </c>
      <c r="G174" s="10" t="s">
        <v>84</v>
      </c>
      <c r="H174" s="12">
        <v>8153.5</v>
      </c>
      <c r="I174" s="11">
        <v>865</v>
      </c>
      <c r="J174" s="11">
        <v>691</v>
      </c>
      <c r="K174" s="11">
        <v>5530</v>
      </c>
      <c r="L174" s="11">
        <v>0.106089409456062</v>
      </c>
      <c r="M174" s="11">
        <v>10.608940945606181</v>
      </c>
      <c r="N174" s="11">
        <v>0.79884393063583803</v>
      </c>
      <c r="O174" s="11">
        <v>0.67823634022198998</v>
      </c>
      <c r="P174" s="11">
        <v>0.71790540540540504</v>
      </c>
      <c r="Q174" s="11">
        <v>0.61111111111111105</v>
      </c>
      <c r="R174" s="11">
        <v>0.61297539149888103</v>
      </c>
      <c r="S174" s="10" t="s">
        <v>84</v>
      </c>
      <c r="T174" s="10" t="s">
        <v>84</v>
      </c>
      <c r="U174" s="10"/>
      <c r="V174" s="10"/>
      <c r="W174" s="10"/>
      <c r="X174" s="10"/>
      <c r="Y174" s="10"/>
      <c r="Z174" s="10"/>
      <c r="AA174" s="10"/>
    </row>
    <row r="175" spans="1:27" ht="12.5" x14ac:dyDescent="0.25">
      <c r="A175" s="10" t="s">
        <v>86</v>
      </c>
      <c r="B175" s="10" t="s">
        <v>688</v>
      </c>
      <c r="C175" s="10" t="s">
        <v>76</v>
      </c>
      <c r="D175" s="11">
        <v>2024</v>
      </c>
      <c r="E175" s="10" t="s">
        <v>124</v>
      </c>
      <c r="F175" s="10" t="s">
        <v>83</v>
      </c>
      <c r="G175" s="10" t="s">
        <v>84</v>
      </c>
      <c r="H175" s="12">
        <v>11134.083333333299</v>
      </c>
      <c r="I175" s="11">
        <v>1181</v>
      </c>
      <c r="J175" s="11">
        <v>1380</v>
      </c>
      <c r="K175" s="11">
        <v>3788</v>
      </c>
      <c r="L175" s="11">
        <v>0.10607069883016899</v>
      </c>
      <c r="M175" s="11">
        <v>10.607069883016894</v>
      </c>
      <c r="N175" s="11">
        <v>1.1685012701100801</v>
      </c>
      <c r="O175" s="11">
        <v>0.34021660217500299</v>
      </c>
      <c r="P175" s="11">
        <v>0.71706081081081097</v>
      </c>
      <c r="Q175" s="11">
        <v>0.52173913043478304</v>
      </c>
      <c r="R175" s="11">
        <v>0.61073825503355705</v>
      </c>
      <c r="S175" s="10" t="s">
        <v>84</v>
      </c>
      <c r="T175" s="10" t="s">
        <v>84</v>
      </c>
      <c r="U175" s="10"/>
      <c r="V175" s="10"/>
      <c r="W175" s="10"/>
      <c r="X175" s="10"/>
      <c r="Y175" s="10"/>
      <c r="Z175" s="10"/>
      <c r="AA175" s="10"/>
    </row>
    <row r="176" spans="1:27" ht="12.5" x14ac:dyDescent="0.25">
      <c r="A176" s="10" t="s">
        <v>36</v>
      </c>
      <c r="B176" s="10" t="s">
        <v>691</v>
      </c>
      <c r="C176" s="10" t="s">
        <v>76</v>
      </c>
      <c r="D176" s="11">
        <v>2024</v>
      </c>
      <c r="E176" s="10" t="s">
        <v>124</v>
      </c>
      <c r="F176" s="10" t="s">
        <v>83</v>
      </c>
      <c r="G176" s="10" t="s">
        <v>84</v>
      </c>
      <c r="H176" s="12">
        <v>890.58333333333303</v>
      </c>
      <c r="I176" s="11">
        <v>94</v>
      </c>
      <c r="J176" s="11">
        <v>64</v>
      </c>
      <c r="K176" s="11">
        <v>2253</v>
      </c>
      <c r="L176" s="11">
        <v>0.10554879760456599</v>
      </c>
      <c r="M176" s="11">
        <v>10.554879760456632</v>
      </c>
      <c r="N176" s="11">
        <v>0.680851063829787</v>
      </c>
      <c r="O176" s="11">
        <v>2.5298025638626398</v>
      </c>
      <c r="P176" s="11">
        <v>0.71621621621621601</v>
      </c>
      <c r="Q176" s="11">
        <v>0.46808510638297901</v>
      </c>
      <c r="R176" s="11">
        <v>0.60850111856823297</v>
      </c>
      <c r="S176" s="10" t="s">
        <v>84</v>
      </c>
      <c r="T176" s="10" t="s">
        <v>84</v>
      </c>
      <c r="U176" s="10"/>
      <c r="V176" s="10"/>
      <c r="W176" s="10"/>
      <c r="X176" s="10"/>
      <c r="Y176" s="10"/>
      <c r="Z176" s="10"/>
      <c r="AA176" s="10"/>
    </row>
    <row r="177" spans="1:27" ht="12.5" x14ac:dyDescent="0.25">
      <c r="A177" s="10" t="s">
        <v>12</v>
      </c>
      <c r="B177" s="10" t="s">
        <v>693</v>
      </c>
      <c r="C177" s="10" t="s">
        <v>76</v>
      </c>
      <c r="D177" s="11">
        <v>2024</v>
      </c>
      <c r="E177" s="10" t="s">
        <v>124</v>
      </c>
      <c r="F177" s="10" t="s">
        <v>125</v>
      </c>
      <c r="G177" s="10" t="s">
        <v>84</v>
      </c>
      <c r="H177" s="12">
        <v>530.75</v>
      </c>
      <c r="I177" s="11">
        <v>56</v>
      </c>
      <c r="J177" s="11">
        <v>29</v>
      </c>
      <c r="K177" s="11">
        <v>178</v>
      </c>
      <c r="L177" s="11">
        <v>0.105511069241639</v>
      </c>
      <c r="M177" s="11">
        <v>10.551106924163919</v>
      </c>
      <c r="N177" s="11">
        <v>0.51785714285714302</v>
      </c>
      <c r="O177" s="11">
        <v>0.335374470089496</v>
      </c>
      <c r="P177" s="11">
        <v>0.71537162162162204</v>
      </c>
      <c r="Q177" s="11">
        <v>0.63888888888888895</v>
      </c>
      <c r="R177" s="11">
        <v>0.60626398210290799</v>
      </c>
      <c r="S177" s="10" t="s">
        <v>84</v>
      </c>
      <c r="T177" s="10" t="s">
        <v>84</v>
      </c>
      <c r="U177" s="10"/>
      <c r="V177" s="10"/>
      <c r="W177" s="10"/>
      <c r="X177" s="10"/>
      <c r="Y177" s="10"/>
      <c r="Z177" s="10"/>
      <c r="AA177" s="10"/>
    </row>
    <row r="178" spans="1:27" ht="12.5" x14ac:dyDescent="0.25">
      <c r="A178" s="10" t="s">
        <v>6</v>
      </c>
      <c r="B178" s="10" t="s">
        <v>696</v>
      </c>
      <c r="C178" s="10" t="s">
        <v>76</v>
      </c>
      <c r="D178" s="11">
        <v>2024</v>
      </c>
      <c r="E178" s="10" t="s">
        <v>124</v>
      </c>
      <c r="F178" s="10" t="s">
        <v>125</v>
      </c>
      <c r="G178" s="10" t="s">
        <v>84</v>
      </c>
      <c r="H178" s="12">
        <v>4909.5</v>
      </c>
      <c r="I178" s="11">
        <v>518</v>
      </c>
      <c r="J178" s="11">
        <v>463</v>
      </c>
      <c r="K178" s="11">
        <v>7357</v>
      </c>
      <c r="L178" s="11">
        <v>0.10550972604134801</v>
      </c>
      <c r="M178" s="11">
        <v>10.550972604134842</v>
      </c>
      <c r="N178" s="11">
        <v>0.89382239382239403</v>
      </c>
      <c r="O178" s="11">
        <v>1.4985232712088801</v>
      </c>
      <c r="P178" s="11">
        <v>0.71452702702702697</v>
      </c>
      <c r="Q178" s="11">
        <v>0.80645161290322598</v>
      </c>
      <c r="R178" s="11">
        <v>0.60402684563758402</v>
      </c>
      <c r="S178" s="10" t="s">
        <v>84</v>
      </c>
      <c r="T178" s="10" t="s">
        <v>84</v>
      </c>
      <c r="U178" s="10"/>
      <c r="V178" s="10"/>
      <c r="W178" s="10"/>
      <c r="X178" s="10"/>
      <c r="Y178" s="10"/>
      <c r="Z178" s="10"/>
      <c r="AA178" s="10"/>
    </row>
    <row r="179" spans="1:27" ht="12.5" x14ac:dyDescent="0.25">
      <c r="A179" s="10" t="s">
        <v>42</v>
      </c>
      <c r="B179" s="10" t="s">
        <v>699</v>
      </c>
      <c r="C179" s="10" t="s">
        <v>76</v>
      </c>
      <c r="D179" s="11">
        <v>2024</v>
      </c>
      <c r="E179" s="10" t="s">
        <v>124</v>
      </c>
      <c r="F179" s="10" t="s">
        <v>83</v>
      </c>
      <c r="G179" s="10" t="s">
        <v>84</v>
      </c>
      <c r="H179" s="12">
        <v>13330.583333333299</v>
      </c>
      <c r="I179" s="11">
        <v>1394</v>
      </c>
      <c r="J179" s="11">
        <v>1268</v>
      </c>
      <c r="K179" s="11">
        <v>25278</v>
      </c>
      <c r="L179" s="11">
        <v>0.104571567885876</v>
      </c>
      <c r="M179" s="11">
        <v>10.457156788587673</v>
      </c>
      <c r="N179" s="11">
        <v>0.90961262553802003</v>
      </c>
      <c r="O179" s="11">
        <v>1.89624109972682</v>
      </c>
      <c r="P179" s="11">
        <v>0.70945945945945899</v>
      </c>
      <c r="Q179" s="11">
        <v>0.69047619047619002</v>
      </c>
      <c r="R179" s="11">
        <v>0.60178970917226005</v>
      </c>
      <c r="S179" s="10" t="s">
        <v>84</v>
      </c>
      <c r="T179" s="10" t="s">
        <v>84</v>
      </c>
      <c r="U179" s="10"/>
      <c r="V179" s="10"/>
      <c r="W179" s="10"/>
      <c r="X179" s="10"/>
      <c r="Y179" s="10"/>
      <c r="Z179" s="10"/>
      <c r="AA179" s="10"/>
    </row>
    <row r="180" spans="1:27" ht="12.5" x14ac:dyDescent="0.25">
      <c r="A180" s="10" t="s">
        <v>62</v>
      </c>
      <c r="B180" s="10" t="s">
        <v>701</v>
      </c>
      <c r="C180" s="10" t="s">
        <v>76</v>
      </c>
      <c r="D180" s="11">
        <v>2024</v>
      </c>
      <c r="E180" s="10" t="s">
        <v>124</v>
      </c>
      <c r="F180" s="10" t="s">
        <v>83</v>
      </c>
      <c r="G180" s="10" t="s">
        <v>84</v>
      </c>
      <c r="H180" s="12">
        <v>14930.833333333299</v>
      </c>
      <c r="I180" s="11">
        <v>1558</v>
      </c>
      <c r="J180" s="11">
        <v>990</v>
      </c>
      <c r="K180" s="11">
        <v>40640</v>
      </c>
      <c r="L180" s="11">
        <v>0.104347826086957</v>
      </c>
      <c r="M180" s="11">
        <v>10.434782608695677</v>
      </c>
      <c r="N180" s="11">
        <v>0.63543003851091096</v>
      </c>
      <c r="O180" s="11">
        <v>2.7218842440140598</v>
      </c>
      <c r="P180" s="11">
        <v>0.70861486486486502</v>
      </c>
      <c r="Q180" s="11">
        <v>0.86111111111111105</v>
      </c>
      <c r="R180" s="11">
        <v>0.59955257270693496</v>
      </c>
      <c r="S180" s="10" t="s">
        <v>84</v>
      </c>
      <c r="T180" s="10" t="s">
        <v>84</v>
      </c>
      <c r="U180" s="10"/>
      <c r="V180" s="10"/>
      <c r="W180" s="10"/>
      <c r="X180" s="10"/>
      <c r="Y180" s="10"/>
      <c r="Z180" s="10"/>
      <c r="AA180" s="10"/>
    </row>
    <row r="181" spans="1:27" ht="12.5" x14ac:dyDescent="0.25">
      <c r="A181" s="10" t="s">
        <v>26</v>
      </c>
      <c r="B181" s="10" t="s">
        <v>704</v>
      </c>
      <c r="C181" s="10" t="s">
        <v>76</v>
      </c>
      <c r="D181" s="11">
        <v>2024</v>
      </c>
      <c r="E181" s="10" t="s">
        <v>124</v>
      </c>
      <c r="F181" s="10" t="s">
        <v>125</v>
      </c>
      <c r="G181" s="10" t="s">
        <v>84</v>
      </c>
      <c r="H181" s="12">
        <v>12540.25</v>
      </c>
      <c r="I181" s="11">
        <v>1295</v>
      </c>
      <c r="J181" s="11">
        <v>731</v>
      </c>
      <c r="K181" s="11">
        <v>33472</v>
      </c>
      <c r="L181" s="11">
        <v>0.103267478718526</v>
      </c>
      <c r="M181" s="11">
        <v>10.326747871852634</v>
      </c>
      <c r="N181" s="11">
        <v>0.56447876447876399</v>
      </c>
      <c r="O181" s="11">
        <v>2.66916528777337</v>
      </c>
      <c r="P181" s="11">
        <v>0.70608108108108103</v>
      </c>
      <c r="Q181" s="11">
        <v>0.38461538461538503</v>
      </c>
      <c r="R181" s="11">
        <v>0.59731543624161099</v>
      </c>
      <c r="S181" s="10" t="s">
        <v>84</v>
      </c>
      <c r="T181" s="10" t="s">
        <v>84</v>
      </c>
      <c r="U181" s="10"/>
      <c r="V181" s="10"/>
      <c r="W181" s="10"/>
      <c r="X181" s="10"/>
      <c r="Y181" s="10"/>
      <c r="Z181" s="10"/>
      <c r="AA181" s="10"/>
    </row>
    <row r="182" spans="1:27" ht="12.5" x14ac:dyDescent="0.25">
      <c r="A182" s="10" t="s">
        <v>19</v>
      </c>
      <c r="B182" s="10" t="s">
        <v>707</v>
      </c>
      <c r="C182" s="10" t="s">
        <v>76</v>
      </c>
      <c r="D182" s="11">
        <v>2024</v>
      </c>
      <c r="E182" s="10" t="s">
        <v>124</v>
      </c>
      <c r="F182" s="10" t="s">
        <v>83</v>
      </c>
      <c r="G182" s="10" t="s">
        <v>84</v>
      </c>
      <c r="H182" s="12">
        <v>2817.5833333333298</v>
      </c>
      <c r="I182" s="11">
        <v>290</v>
      </c>
      <c r="J182" s="11">
        <v>232</v>
      </c>
      <c r="K182" s="11">
        <v>1889</v>
      </c>
      <c r="L182" s="11">
        <v>0.10292508355269001</v>
      </c>
      <c r="M182" s="11">
        <v>10.292508355269007</v>
      </c>
      <c r="N182" s="11">
        <v>0.8</v>
      </c>
      <c r="O182" s="11">
        <v>0.67043269941734895</v>
      </c>
      <c r="P182" s="11">
        <v>0.704391891891892</v>
      </c>
      <c r="Q182" s="11">
        <v>0.55555555555555602</v>
      </c>
      <c r="R182" s="11">
        <v>0.59507829977628601</v>
      </c>
      <c r="S182" s="10" t="s">
        <v>84</v>
      </c>
      <c r="T182" s="10" t="s">
        <v>84</v>
      </c>
      <c r="U182" s="10"/>
      <c r="V182" s="10"/>
      <c r="W182" s="10"/>
      <c r="X182" s="10"/>
      <c r="Y182" s="10"/>
      <c r="Z182" s="10"/>
      <c r="AA182" s="10"/>
    </row>
    <row r="183" spans="1:27" ht="12.5" x14ac:dyDescent="0.25">
      <c r="A183" s="10" t="s">
        <v>10</v>
      </c>
      <c r="B183" s="10" t="s">
        <v>709</v>
      </c>
      <c r="C183" s="10" t="s">
        <v>76</v>
      </c>
      <c r="D183" s="11">
        <v>2024</v>
      </c>
      <c r="E183" s="10" t="s">
        <v>124</v>
      </c>
      <c r="F183" s="10" t="s">
        <v>83</v>
      </c>
      <c r="G183" s="10" t="s">
        <v>84</v>
      </c>
      <c r="H183" s="12">
        <v>19639.583333333299</v>
      </c>
      <c r="I183" s="11">
        <v>1996</v>
      </c>
      <c r="J183" s="11">
        <v>1622</v>
      </c>
      <c r="K183" s="11">
        <v>21489</v>
      </c>
      <c r="L183" s="11">
        <v>0.101631484035218</v>
      </c>
      <c r="M183" s="11">
        <v>10.163148403521816</v>
      </c>
      <c r="N183" s="11">
        <v>0.81262525050100198</v>
      </c>
      <c r="O183" s="11">
        <v>1.0941678158481001</v>
      </c>
      <c r="P183" s="11">
        <v>0.70354729729729704</v>
      </c>
      <c r="Q183" s="11">
        <v>0.5</v>
      </c>
      <c r="R183" s="11">
        <v>0.59284116331096204</v>
      </c>
      <c r="S183" s="10" t="s">
        <v>84</v>
      </c>
      <c r="T183" s="10" t="s">
        <v>84</v>
      </c>
      <c r="U183" s="10"/>
      <c r="V183" s="10"/>
      <c r="W183" s="10"/>
      <c r="X183" s="10"/>
      <c r="Y183" s="10"/>
      <c r="Z183" s="10"/>
      <c r="AA183" s="10"/>
    </row>
    <row r="184" spans="1:27" ht="12.5" x14ac:dyDescent="0.25">
      <c r="A184" s="10" t="s">
        <v>25</v>
      </c>
      <c r="B184" s="10" t="s">
        <v>711</v>
      </c>
      <c r="C184" s="10" t="s">
        <v>76</v>
      </c>
      <c r="D184" s="11">
        <v>2024</v>
      </c>
      <c r="E184" s="10" t="s">
        <v>124</v>
      </c>
      <c r="F184" s="10" t="s">
        <v>83</v>
      </c>
      <c r="G184" s="10" t="s">
        <v>84</v>
      </c>
      <c r="H184" s="12">
        <v>11091</v>
      </c>
      <c r="I184" s="11">
        <v>1126</v>
      </c>
      <c r="J184" s="11">
        <v>1068</v>
      </c>
      <c r="K184" s="11">
        <v>13370</v>
      </c>
      <c r="L184" s="11">
        <v>0.101523758001984</v>
      </c>
      <c r="M184" s="11">
        <v>10.152375800198358</v>
      </c>
      <c r="N184" s="11">
        <v>0.94849023090586104</v>
      </c>
      <c r="O184" s="11">
        <v>1.20548192227933</v>
      </c>
      <c r="P184" s="11">
        <v>0.70270270270270296</v>
      </c>
      <c r="Q184" s="11">
        <v>0.6875</v>
      </c>
      <c r="R184" s="11">
        <v>0.59060402684563795</v>
      </c>
      <c r="S184" s="10" t="s">
        <v>84</v>
      </c>
      <c r="T184" s="10" t="s">
        <v>84</v>
      </c>
      <c r="U184" s="10"/>
      <c r="V184" s="10"/>
      <c r="W184" s="10"/>
      <c r="X184" s="10"/>
      <c r="Y184" s="10"/>
      <c r="Z184" s="10"/>
      <c r="AA184" s="10"/>
    </row>
    <row r="185" spans="1:27" ht="12.5" x14ac:dyDescent="0.25">
      <c r="A185" s="10" t="s">
        <v>19</v>
      </c>
      <c r="B185" s="10" t="s">
        <v>714</v>
      </c>
      <c r="C185" s="10" t="s">
        <v>76</v>
      </c>
      <c r="D185" s="11">
        <v>2024</v>
      </c>
      <c r="E185" s="10" t="s">
        <v>124</v>
      </c>
      <c r="F185" s="10" t="s">
        <v>83</v>
      </c>
      <c r="G185" s="10" t="s">
        <v>84</v>
      </c>
      <c r="H185" s="12">
        <v>2672.5833333333298</v>
      </c>
      <c r="I185" s="11">
        <v>271</v>
      </c>
      <c r="J185" s="11">
        <v>208</v>
      </c>
      <c r="K185" s="11">
        <v>1769</v>
      </c>
      <c r="L185" s="11">
        <v>0.101400018708491</v>
      </c>
      <c r="M185" s="11">
        <v>10.140001870849066</v>
      </c>
      <c r="N185" s="11">
        <v>0.76752767527675303</v>
      </c>
      <c r="O185" s="11">
        <v>0.66190639518568195</v>
      </c>
      <c r="P185" s="11">
        <v>0.701858108108108</v>
      </c>
      <c r="Q185" s="11">
        <v>0.5</v>
      </c>
      <c r="R185" s="11">
        <v>0.58836689038031298</v>
      </c>
      <c r="S185" s="10" t="s">
        <v>84</v>
      </c>
      <c r="T185" s="10" t="s">
        <v>84</v>
      </c>
      <c r="U185" s="10"/>
      <c r="V185" s="10"/>
      <c r="W185" s="10"/>
      <c r="X185" s="10"/>
      <c r="Y185" s="10"/>
      <c r="Z185" s="10"/>
      <c r="AA185" s="10"/>
    </row>
    <row r="186" spans="1:27" ht="12.5" x14ac:dyDescent="0.25">
      <c r="A186" s="10" t="s">
        <v>92</v>
      </c>
      <c r="B186" s="10" t="s">
        <v>716</v>
      </c>
      <c r="C186" s="10" t="s">
        <v>76</v>
      </c>
      <c r="D186" s="11">
        <v>2024</v>
      </c>
      <c r="E186" s="10" t="s">
        <v>124</v>
      </c>
      <c r="F186" s="10" t="s">
        <v>83</v>
      </c>
      <c r="G186" s="10" t="s">
        <v>84</v>
      </c>
      <c r="H186" s="12">
        <v>15040</v>
      </c>
      <c r="I186" s="11">
        <v>1525</v>
      </c>
      <c r="J186" s="11">
        <v>1294</v>
      </c>
      <c r="K186" s="11">
        <v>14463</v>
      </c>
      <c r="L186" s="11">
        <v>0.101396276595745</v>
      </c>
      <c r="M186" s="11">
        <v>10.139627659574469</v>
      </c>
      <c r="N186" s="11">
        <v>0.848524590163934</v>
      </c>
      <c r="O186" s="11">
        <v>0.96163563829787202</v>
      </c>
      <c r="P186" s="11">
        <v>0.70101351351351304</v>
      </c>
      <c r="Q186" s="11">
        <v>1</v>
      </c>
      <c r="R186" s="11">
        <v>0.586129753914989</v>
      </c>
      <c r="S186" s="10" t="s">
        <v>84</v>
      </c>
      <c r="T186" s="10" t="s">
        <v>84</v>
      </c>
      <c r="U186" s="10"/>
      <c r="V186" s="10"/>
      <c r="W186" s="10"/>
      <c r="X186" s="10"/>
      <c r="Y186" s="10"/>
      <c r="Z186" s="10"/>
      <c r="AA186" s="10"/>
    </row>
    <row r="187" spans="1:27" ht="12.5" x14ac:dyDescent="0.25">
      <c r="A187" s="10" t="s">
        <v>77</v>
      </c>
      <c r="B187" s="10" t="s">
        <v>718</v>
      </c>
      <c r="C187" s="10" t="s">
        <v>76</v>
      </c>
      <c r="D187" s="11">
        <v>2024</v>
      </c>
      <c r="E187" s="10" t="s">
        <v>124</v>
      </c>
      <c r="F187" s="10" t="s">
        <v>125</v>
      </c>
      <c r="G187" s="10" t="s">
        <v>84</v>
      </c>
      <c r="H187" s="12">
        <v>1678.0833333333301</v>
      </c>
      <c r="I187" s="11">
        <v>170</v>
      </c>
      <c r="J187" s="11">
        <v>134</v>
      </c>
      <c r="K187" s="11">
        <v>2879</v>
      </c>
      <c r="L187" s="11">
        <v>0.101306053533297</v>
      </c>
      <c r="M187" s="11">
        <v>10.130605353329711</v>
      </c>
      <c r="N187" s="11">
        <v>0.78823529411764703</v>
      </c>
      <c r="O187" s="11">
        <v>1.7156478124844801</v>
      </c>
      <c r="P187" s="11">
        <v>0.70016891891891897</v>
      </c>
      <c r="Q187" s="11">
        <v>0.89285714285714302</v>
      </c>
      <c r="R187" s="11">
        <v>0.58389261744966403</v>
      </c>
      <c r="S187" s="10" t="s">
        <v>84</v>
      </c>
      <c r="T187" s="10" t="s">
        <v>84</v>
      </c>
      <c r="U187" s="10"/>
      <c r="V187" s="10"/>
      <c r="W187" s="10"/>
      <c r="X187" s="10"/>
      <c r="Y187" s="10"/>
      <c r="Z187" s="10"/>
      <c r="AA187" s="10"/>
    </row>
    <row r="188" spans="1:27" ht="12.5" x14ac:dyDescent="0.25">
      <c r="A188" s="10" t="s">
        <v>109</v>
      </c>
      <c r="B188" s="10" t="s">
        <v>721</v>
      </c>
      <c r="C188" s="10" t="s">
        <v>76</v>
      </c>
      <c r="D188" s="11">
        <v>2024</v>
      </c>
      <c r="E188" s="10" t="s">
        <v>124</v>
      </c>
      <c r="F188" s="10" t="s">
        <v>83</v>
      </c>
      <c r="G188" s="10" t="s">
        <v>84</v>
      </c>
      <c r="H188" s="12">
        <v>11633.166666666701</v>
      </c>
      <c r="I188" s="11">
        <v>1178</v>
      </c>
      <c r="J188" s="11">
        <v>451</v>
      </c>
      <c r="K188" s="11">
        <v>12804</v>
      </c>
      <c r="L188" s="11">
        <v>0.101262195733463</v>
      </c>
      <c r="M188" s="11">
        <v>10.126219573346292</v>
      </c>
      <c r="N188" s="11">
        <v>0.38285229202037402</v>
      </c>
      <c r="O188" s="11">
        <v>1.1006461410621899</v>
      </c>
      <c r="P188" s="11">
        <v>0.69932432432432401</v>
      </c>
      <c r="Q188" s="11">
        <v>0.77777777777777801</v>
      </c>
      <c r="R188" s="11">
        <v>0.58165548098433995</v>
      </c>
      <c r="S188" s="10" t="s">
        <v>84</v>
      </c>
      <c r="T188" s="10" t="s">
        <v>84</v>
      </c>
      <c r="U188" s="10"/>
      <c r="V188" s="10"/>
      <c r="W188" s="10"/>
      <c r="X188" s="10"/>
      <c r="Y188" s="10"/>
      <c r="Z188" s="10"/>
      <c r="AA188" s="10"/>
    </row>
    <row r="189" spans="1:27" ht="12.5" x14ac:dyDescent="0.25">
      <c r="A189" s="10" t="s">
        <v>36</v>
      </c>
      <c r="B189" s="10" t="s">
        <v>723</v>
      </c>
      <c r="C189" s="10" t="s">
        <v>76</v>
      </c>
      <c r="D189" s="11">
        <v>2024</v>
      </c>
      <c r="E189" s="10" t="s">
        <v>124</v>
      </c>
      <c r="F189" s="10" t="s">
        <v>125</v>
      </c>
      <c r="G189" s="10" t="s">
        <v>84</v>
      </c>
      <c r="H189" s="12">
        <v>2937</v>
      </c>
      <c r="I189" s="11">
        <v>295</v>
      </c>
      <c r="J189" s="11">
        <v>295</v>
      </c>
      <c r="K189" s="11">
        <v>1003</v>
      </c>
      <c r="L189" s="11">
        <v>0.100442628532516</v>
      </c>
      <c r="M189" s="11">
        <v>10.044262853251617</v>
      </c>
      <c r="N189" s="11">
        <v>1</v>
      </c>
      <c r="O189" s="11">
        <v>0.34150493701055501</v>
      </c>
      <c r="P189" s="11">
        <v>0.69847972972973005</v>
      </c>
      <c r="Q189" s="11">
        <v>0.44680851063829802</v>
      </c>
      <c r="R189" s="11">
        <v>0.57941834451901597</v>
      </c>
      <c r="S189" s="10" t="s">
        <v>84</v>
      </c>
      <c r="T189" s="10" t="s">
        <v>84</v>
      </c>
      <c r="U189" s="10"/>
      <c r="V189" s="10"/>
      <c r="W189" s="10"/>
      <c r="X189" s="10"/>
      <c r="Y189" s="10"/>
      <c r="Z189" s="10"/>
      <c r="AA189" s="10"/>
    </row>
    <row r="190" spans="1:27" ht="12.5" x14ac:dyDescent="0.25">
      <c r="A190" s="10" t="s">
        <v>34</v>
      </c>
      <c r="B190" s="10" t="s">
        <v>725</v>
      </c>
      <c r="C190" s="10" t="s">
        <v>76</v>
      </c>
      <c r="D190" s="11">
        <v>2024</v>
      </c>
      <c r="E190" s="10" t="s">
        <v>124</v>
      </c>
      <c r="F190" s="10" t="s">
        <v>83</v>
      </c>
      <c r="G190" s="10" t="s">
        <v>84</v>
      </c>
      <c r="H190" s="12">
        <v>12188.333333333299</v>
      </c>
      <c r="I190" s="11">
        <v>1222</v>
      </c>
      <c r="J190" s="11">
        <v>1165</v>
      </c>
      <c r="K190" s="11">
        <v>18536</v>
      </c>
      <c r="L190" s="11">
        <v>0.100259811294954</v>
      </c>
      <c r="M190" s="11">
        <v>10.025981129495447</v>
      </c>
      <c r="N190" s="11">
        <v>0.95335515548281502</v>
      </c>
      <c r="O190" s="11">
        <v>1.5207985778750199</v>
      </c>
      <c r="P190" s="11">
        <v>0.69763513513513498</v>
      </c>
      <c r="Q190" s="11">
        <v>1</v>
      </c>
      <c r="R190" s="11">
        <v>0.577181208053691</v>
      </c>
      <c r="S190" s="10" t="s">
        <v>84</v>
      </c>
      <c r="T190" s="10" t="s">
        <v>84</v>
      </c>
      <c r="U190" s="10"/>
      <c r="V190" s="10"/>
      <c r="W190" s="10"/>
      <c r="X190" s="10"/>
      <c r="Y190" s="10"/>
      <c r="Z190" s="10"/>
      <c r="AA190" s="10"/>
    </row>
    <row r="191" spans="1:27" ht="12.5" x14ac:dyDescent="0.25">
      <c r="A191" s="10" t="s">
        <v>29</v>
      </c>
      <c r="B191" s="10" t="s">
        <v>727</v>
      </c>
      <c r="C191" s="10" t="s">
        <v>76</v>
      </c>
      <c r="D191" s="11">
        <v>2024</v>
      </c>
      <c r="E191" s="10" t="s">
        <v>124</v>
      </c>
      <c r="F191" s="10" t="s">
        <v>83</v>
      </c>
      <c r="G191" s="10" t="s">
        <v>84</v>
      </c>
      <c r="H191" s="12">
        <v>24509</v>
      </c>
      <c r="I191" s="11">
        <v>2410</v>
      </c>
      <c r="J191" s="11">
        <v>2304</v>
      </c>
      <c r="K191" s="11">
        <v>20577</v>
      </c>
      <c r="L191" s="11">
        <v>9.8331225264188707E-2</v>
      </c>
      <c r="M191" s="11">
        <v>9.8331225264188671</v>
      </c>
      <c r="N191" s="11">
        <v>0.95601659751037305</v>
      </c>
      <c r="O191" s="11">
        <v>0.83956913786772203</v>
      </c>
      <c r="P191" s="11">
        <v>0.69256756756756799</v>
      </c>
      <c r="Q191" s="11">
        <v>0.42857142857142899</v>
      </c>
      <c r="R191" s="11">
        <v>0.57494407158836702</v>
      </c>
      <c r="S191" s="10" t="s">
        <v>84</v>
      </c>
      <c r="T191" s="10" t="s">
        <v>84</v>
      </c>
      <c r="U191" s="10"/>
      <c r="V191" s="10"/>
      <c r="W191" s="10"/>
      <c r="X191" s="10"/>
      <c r="Y191" s="10"/>
      <c r="Z191" s="10"/>
      <c r="AA191" s="10"/>
    </row>
    <row r="192" spans="1:27" ht="12.5" x14ac:dyDescent="0.25">
      <c r="A192" s="10" t="s">
        <v>58</v>
      </c>
      <c r="B192" s="10" t="s">
        <v>728</v>
      </c>
      <c r="C192" s="10" t="s">
        <v>76</v>
      </c>
      <c r="D192" s="11">
        <v>2024</v>
      </c>
      <c r="E192" s="10" t="s">
        <v>124</v>
      </c>
      <c r="F192" s="10" t="s">
        <v>125</v>
      </c>
      <c r="G192" s="10" t="s">
        <v>84</v>
      </c>
      <c r="H192" s="12">
        <v>4668.25</v>
      </c>
      <c r="I192" s="11">
        <v>458</v>
      </c>
      <c r="J192" s="11">
        <v>336</v>
      </c>
      <c r="K192" s="11">
        <v>1200</v>
      </c>
      <c r="L192" s="11">
        <v>9.8109569967332499E-2</v>
      </c>
      <c r="M192" s="11">
        <v>9.8109569967332515</v>
      </c>
      <c r="N192" s="11">
        <v>0.73362445414847199</v>
      </c>
      <c r="O192" s="11">
        <v>0.25705564183580598</v>
      </c>
      <c r="P192" s="11">
        <v>0.69172297297297303</v>
      </c>
      <c r="Q192" s="11">
        <v>0.67567567567567599</v>
      </c>
      <c r="R192" s="11">
        <v>0.57270693512304205</v>
      </c>
      <c r="S192" s="10" t="s">
        <v>84</v>
      </c>
      <c r="T192" s="10" t="s">
        <v>84</v>
      </c>
      <c r="U192" s="10"/>
      <c r="V192" s="10"/>
      <c r="W192" s="10"/>
      <c r="X192" s="10"/>
      <c r="Y192" s="10"/>
      <c r="Z192" s="10"/>
      <c r="AA192" s="10"/>
    </row>
    <row r="193" spans="1:27" ht="12.5" x14ac:dyDescent="0.25">
      <c r="A193" s="10" t="s">
        <v>62</v>
      </c>
      <c r="B193" s="10" t="s">
        <v>730</v>
      </c>
      <c r="C193" s="10" t="s">
        <v>76</v>
      </c>
      <c r="D193" s="11">
        <v>2024</v>
      </c>
      <c r="E193" s="10" t="s">
        <v>124</v>
      </c>
      <c r="F193" s="10" t="s">
        <v>125</v>
      </c>
      <c r="G193" s="10" t="s">
        <v>84</v>
      </c>
      <c r="H193" s="12">
        <v>5577.9166666666697</v>
      </c>
      <c r="I193" s="11">
        <v>543</v>
      </c>
      <c r="J193" s="11">
        <v>498</v>
      </c>
      <c r="K193" s="11">
        <v>4055</v>
      </c>
      <c r="L193" s="11">
        <v>9.7348173601255E-2</v>
      </c>
      <c r="M193" s="11">
        <v>9.7348173601254882</v>
      </c>
      <c r="N193" s="11">
        <v>0.91712707182320397</v>
      </c>
      <c r="O193" s="11">
        <v>0.72697392993202403</v>
      </c>
      <c r="P193" s="11">
        <v>0.69003378378378399</v>
      </c>
      <c r="Q193" s="11">
        <v>0.83333333333333304</v>
      </c>
      <c r="R193" s="11">
        <v>0.57046979865771796</v>
      </c>
      <c r="S193" s="10" t="s">
        <v>84</v>
      </c>
      <c r="T193" s="10" t="s">
        <v>84</v>
      </c>
      <c r="U193" s="10"/>
      <c r="V193" s="10"/>
      <c r="W193" s="10"/>
      <c r="X193" s="10"/>
      <c r="Y193" s="10"/>
      <c r="Z193" s="10"/>
      <c r="AA193" s="10"/>
    </row>
    <row r="194" spans="1:27" ht="12.5" x14ac:dyDescent="0.25">
      <c r="A194" s="10" t="s">
        <v>77</v>
      </c>
      <c r="B194" s="10" t="s">
        <v>733</v>
      </c>
      <c r="C194" s="10" t="s">
        <v>76</v>
      </c>
      <c r="D194" s="11">
        <v>2024</v>
      </c>
      <c r="E194" s="10" t="s">
        <v>124</v>
      </c>
      <c r="F194" s="10" t="s">
        <v>83</v>
      </c>
      <c r="G194" s="10" t="s">
        <v>84</v>
      </c>
      <c r="H194" s="12">
        <v>58444.083333333299</v>
      </c>
      <c r="I194" s="11">
        <v>5594</v>
      </c>
      <c r="J194" s="11">
        <v>4053</v>
      </c>
      <c r="K194" s="11">
        <v>132761</v>
      </c>
      <c r="L194" s="11">
        <v>9.5715420294897297E-2</v>
      </c>
      <c r="M194" s="11">
        <v>9.5715420294897307</v>
      </c>
      <c r="N194" s="11">
        <v>0.72452627815516601</v>
      </c>
      <c r="O194" s="11">
        <v>2.2715900811174201</v>
      </c>
      <c r="P194" s="11">
        <v>0.6875</v>
      </c>
      <c r="Q194" s="11">
        <v>0.85714285714285698</v>
      </c>
      <c r="R194" s="11">
        <v>0.56823266219239399</v>
      </c>
      <c r="S194" s="10" t="s">
        <v>84</v>
      </c>
      <c r="T194" s="10" t="s">
        <v>84</v>
      </c>
      <c r="U194" s="10"/>
      <c r="V194" s="10"/>
      <c r="W194" s="10"/>
      <c r="X194" s="10"/>
      <c r="Y194" s="10"/>
      <c r="Z194" s="10"/>
      <c r="AA194" s="10"/>
    </row>
    <row r="195" spans="1:27" ht="12.5" x14ac:dyDescent="0.25">
      <c r="A195" s="10" t="s">
        <v>103</v>
      </c>
      <c r="B195" s="10" t="s">
        <v>736</v>
      </c>
      <c r="C195" s="10" t="s">
        <v>76</v>
      </c>
      <c r="D195" s="11">
        <v>2024</v>
      </c>
      <c r="E195" s="10" t="s">
        <v>124</v>
      </c>
      <c r="F195" s="10" t="s">
        <v>83</v>
      </c>
      <c r="G195" s="10" t="s">
        <v>84</v>
      </c>
      <c r="H195" s="12">
        <v>23539.333333333299</v>
      </c>
      <c r="I195" s="11">
        <v>2231</v>
      </c>
      <c r="J195" s="11">
        <v>2085</v>
      </c>
      <c r="K195" s="11">
        <v>22392</v>
      </c>
      <c r="L195" s="11">
        <v>9.4777535472542404E-2</v>
      </c>
      <c r="M195" s="11">
        <v>9.4777535472542542</v>
      </c>
      <c r="N195" s="11">
        <v>0.934558493948902</v>
      </c>
      <c r="O195" s="11">
        <v>0.951258885836472</v>
      </c>
      <c r="P195" s="11">
        <v>0.68496621621621601</v>
      </c>
      <c r="Q195" s="11">
        <v>0.69565217391304301</v>
      </c>
      <c r="R195" s="11">
        <v>0.56599552572706902</v>
      </c>
      <c r="S195" s="10" t="s">
        <v>84</v>
      </c>
      <c r="T195" s="10" t="s">
        <v>84</v>
      </c>
      <c r="U195" s="10"/>
      <c r="V195" s="10"/>
      <c r="W195" s="10"/>
      <c r="X195" s="10"/>
      <c r="Y195" s="10"/>
      <c r="Z195" s="10"/>
      <c r="AA195" s="10"/>
    </row>
    <row r="196" spans="1:27" ht="12.5" x14ac:dyDescent="0.25">
      <c r="A196" s="10" t="s">
        <v>58</v>
      </c>
      <c r="B196" s="10" t="s">
        <v>738</v>
      </c>
      <c r="C196" s="10" t="s">
        <v>76</v>
      </c>
      <c r="D196" s="11">
        <v>2024</v>
      </c>
      <c r="E196" s="10" t="s">
        <v>124</v>
      </c>
      <c r="F196" s="10" t="s">
        <v>83</v>
      </c>
      <c r="G196" s="10" t="s">
        <v>84</v>
      </c>
      <c r="H196" s="12">
        <v>28438.666666666701</v>
      </c>
      <c r="I196" s="11">
        <v>2695</v>
      </c>
      <c r="J196" s="11">
        <v>2695</v>
      </c>
      <c r="K196" s="11">
        <v>17820</v>
      </c>
      <c r="L196" s="11">
        <v>9.4765342960288795E-2</v>
      </c>
      <c r="M196" s="11">
        <v>9.4765342960288699</v>
      </c>
      <c r="N196" s="11">
        <v>1</v>
      </c>
      <c r="O196" s="11">
        <v>0.62661165549252196</v>
      </c>
      <c r="P196" s="11">
        <v>0.68412162162162204</v>
      </c>
      <c r="Q196" s="11">
        <v>0.62162162162162204</v>
      </c>
      <c r="R196" s="11">
        <v>0.56375838926174504</v>
      </c>
      <c r="S196" s="10" t="s">
        <v>84</v>
      </c>
      <c r="T196" s="10" t="s">
        <v>84</v>
      </c>
      <c r="U196" s="10"/>
      <c r="V196" s="10"/>
      <c r="W196" s="10"/>
      <c r="X196" s="10"/>
      <c r="Y196" s="10"/>
      <c r="Z196" s="10"/>
      <c r="AA196" s="10"/>
    </row>
    <row r="197" spans="1:27" ht="12.5" x14ac:dyDescent="0.25">
      <c r="A197" s="10" t="s">
        <v>25</v>
      </c>
      <c r="B197" s="10" t="s">
        <v>742</v>
      </c>
      <c r="C197" s="10" t="s">
        <v>76</v>
      </c>
      <c r="D197" s="11">
        <v>2024</v>
      </c>
      <c r="E197" s="10" t="s">
        <v>124</v>
      </c>
      <c r="F197" s="10" t="s">
        <v>125</v>
      </c>
      <c r="G197" s="10" t="s">
        <v>84</v>
      </c>
      <c r="H197" s="12">
        <v>5948.6666666666697</v>
      </c>
      <c r="I197" s="11">
        <v>560</v>
      </c>
      <c r="J197" s="11">
        <v>464</v>
      </c>
      <c r="K197" s="11">
        <v>7868</v>
      </c>
      <c r="L197" s="11">
        <v>9.4138742575367002E-2</v>
      </c>
      <c r="M197" s="11">
        <v>9.4138742575366994</v>
      </c>
      <c r="N197" s="11">
        <v>0.82857142857142896</v>
      </c>
      <c r="O197" s="11">
        <v>1.32264933318391</v>
      </c>
      <c r="P197" s="11">
        <v>0.68243243243243201</v>
      </c>
      <c r="Q197" s="11">
        <v>0.5625</v>
      </c>
      <c r="R197" s="11">
        <v>0.56152125279642096</v>
      </c>
      <c r="S197" s="10" t="s">
        <v>84</v>
      </c>
      <c r="T197" s="10" t="s">
        <v>84</v>
      </c>
      <c r="U197" s="10"/>
      <c r="V197" s="10"/>
      <c r="W197" s="10"/>
      <c r="X197" s="10"/>
      <c r="Y197" s="10"/>
      <c r="Z197" s="10"/>
      <c r="AA197" s="10"/>
    </row>
    <row r="198" spans="1:27" ht="12.5" x14ac:dyDescent="0.25">
      <c r="A198" s="10" t="s">
        <v>55</v>
      </c>
      <c r="B198" s="10" t="s">
        <v>744</v>
      </c>
      <c r="C198" s="10" t="s">
        <v>76</v>
      </c>
      <c r="D198" s="11">
        <v>2024</v>
      </c>
      <c r="E198" s="10" t="s">
        <v>124</v>
      </c>
      <c r="F198" s="10" t="s">
        <v>83</v>
      </c>
      <c r="G198" s="10" t="s">
        <v>84</v>
      </c>
      <c r="H198" s="12">
        <v>4553</v>
      </c>
      <c r="I198" s="11">
        <v>426</v>
      </c>
      <c r="J198" s="11">
        <v>266</v>
      </c>
      <c r="K198" s="11">
        <v>9817</v>
      </c>
      <c r="L198" s="11">
        <v>9.3564682626839493E-2</v>
      </c>
      <c r="M198" s="11">
        <v>9.3564682626839453</v>
      </c>
      <c r="N198" s="11">
        <v>0.62441314553990601</v>
      </c>
      <c r="O198" s="11">
        <v>2.1561607731166301</v>
      </c>
      <c r="P198" s="11">
        <v>0.68074324324324298</v>
      </c>
      <c r="Q198" s="11">
        <v>0.63636363636363602</v>
      </c>
      <c r="R198" s="11">
        <v>0.55928411633109598</v>
      </c>
      <c r="S198" s="10" t="s">
        <v>84</v>
      </c>
      <c r="T198" s="10" t="s">
        <v>84</v>
      </c>
      <c r="U198" s="10"/>
      <c r="V198" s="10"/>
      <c r="W198" s="10"/>
      <c r="X198" s="10"/>
      <c r="Y198" s="10"/>
      <c r="Z198" s="10"/>
      <c r="AA198" s="10"/>
    </row>
    <row r="199" spans="1:27" ht="12.5" x14ac:dyDescent="0.25">
      <c r="A199" s="10" t="s">
        <v>58</v>
      </c>
      <c r="B199" s="10" t="s">
        <v>747</v>
      </c>
      <c r="C199" s="10" t="s">
        <v>76</v>
      </c>
      <c r="D199" s="11">
        <v>2024</v>
      </c>
      <c r="E199" s="10" t="s">
        <v>124</v>
      </c>
      <c r="F199" s="10" t="s">
        <v>83</v>
      </c>
      <c r="G199" s="10" t="s">
        <v>84</v>
      </c>
      <c r="H199" s="12">
        <v>6915.6666666666697</v>
      </c>
      <c r="I199" s="11">
        <v>646</v>
      </c>
      <c r="J199" s="11">
        <v>523</v>
      </c>
      <c r="K199" s="11">
        <v>4470</v>
      </c>
      <c r="L199" s="11">
        <v>9.3411095580083897E-2</v>
      </c>
      <c r="M199" s="11">
        <v>9.3411095580083821</v>
      </c>
      <c r="N199" s="11">
        <v>0.80959752321981404</v>
      </c>
      <c r="O199" s="11">
        <v>0.64635850966404795</v>
      </c>
      <c r="P199" s="11">
        <v>0.67905405405405395</v>
      </c>
      <c r="Q199" s="11">
        <v>0.59459459459459496</v>
      </c>
      <c r="R199" s="11">
        <v>0.55704697986577201</v>
      </c>
      <c r="S199" s="10" t="s">
        <v>84</v>
      </c>
      <c r="T199" s="10" t="s">
        <v>84</v>
      </c>
      <c r="U199" s="10"/>
      <c r="V199" s="10"/>
      <c r="W199" s="10"/>
      <c r="X199" s="10"/>
      <c r="Y199" s="10"/>
      <c r="Z199" s="10"/>
      <c r="AA199" s="10"/>
    </row>
    <row r="200" spans="1:27" ht="12.5" x14ac:dyDescent="0.25">
      <c r="A200" s="10" t="s">
        <v>34</v>
      </c>
      <c r="B200" s="10" t="s">
        <v>749</v>
      </c>
      <c r="C200" s="10" t="s">
        <v>76</v>
      </c>
      <c r="D200" s="11">
        <v>2024</v>
      </c>
      <c r="E200" s="10" t="s">
        <v>124</v>
      </c>
      <c r="F200" s="10" t="s">
        <v>83</v>
      </c>
      <c r="G200" s="10" t="s">
        <v>84</v>
      </c>
      <c r="H200" s="12">
        <v>5038.0833333333303</v>
      </c>
      <c r="I200" s="11">
        <v>468</v>
      </c>
      <c r="J200" s="11">
        <v>464</v>
      </c>
      <c r="K200" s="11">
        <v>15238</v>
      </c>
      <c r="L200" s="11">
        <v>9.2892469027573296E-2</v>
      </c>
      <c r="M200" s="11">
        <v>9.2892469027573359</v>
      </c>
      <c r="N200" s="11">
        <v>0.99145299145299104</v>
      </c>
      <c r="O200" s="11">
        <v>3.0245629124832498</v>
      </c>
      <c r="P200" s="11">
        <v>0.67736486486486502</v>
      </c>
      <c r="Q200" s="11">
        <v>0.97959183673469397</v>
      </c>
      <c r="R200" s="11">
        <v>0.55480984340044703</v>
      </c>
      <c r="S200" s="10" t="s">
        <v>84</v>
      </c>
      <c r="T200" s="10" t="s">
        <v>84</v>
      </c>
      <c r="U200" s="10"/>
      <c r="V200" s="10"/>
      <c r="W200" s="10"/>
      <c r="X200" s="10"/>
      <c r="Y200" s="10"/>
      <c r="Z200" s="10"/>
      <c r="AA200" s="10"/>
    </row>
    <row r="201" spans="1:27" ht="12.5" x14ac:dyDescent="0.25">
      <c r="A201" s="10" t="s">
        <v>45</v>
      </c>
      <c r="B201" s="10" t="s">
        <v>751</v>
      </c>
      <c r="C201" s="10" t="s">
        <v>76</v>
      </c>
      <c r="D201" s="11">
        <v>2024</v>
      </c>
      <c r="E201" s="10" t="s">
        <v>124</v>
      </c>
      <c r="F201" s="10" t="s">
        <v>83</v>
      </c>
      <c r="G201" s="10" t="s">
        <v>84</v>
      </c>
      <c r="H201" s="12">
        <v>18868.333333333299</v>
      </c>
      <c r="I201" s="11">
        <v>1748</v>
      </c>
      <c r="J201" s="11">
        <v>1429</v>
      </c>
      <c r="K201" s="11">
        <v>11347</v>
      </c>
      <c r="L201" s="11">
        <v>9.2641992756823596E-2</v>
      </c>
      <c r="M201" s="11">
        <v>9.2641992756823761</v>
      </c>
      <c r="N201" s="11">
        <v>0.81750572082379902</v>
      </c>
      <c r="O201" s="11">
        <v>0.60137797014397998</v>
      </c>
      <c r="P201" s="11">
        <v>0.67652027027026995</v>
      </c>
      <c r="Q201" s="11">
        <v>0.8</v>
      </c>
      <c r="R201" s="11">
        <v>0.55257270693512295</v>
      </c>
      <c r="S201" s="10" t="s">
        <v>84</v>
      </c>
      <c r="T201" s="10" t="s">
        <v>84</v>
      </c>
      <c r="U201" s="10"/>
      <c r="V201" s="10"/>
      <c r="W201" s="10"/>
      <c r="X201" s="10"/>
      <c r="Y201" s="10"/>
      <c r="Z201" s="10"/>
      <c r="AA201" s="10"/>
    </row>
    <row r="202" spans="1:27" ht="12.5" x14ac:dyDescent="0.25">
      <c r="A202" s="10" t="s">
        <v>29</v>
      </c>
      <c r="B202" s="10" t="s">
        <v>754</v>
      </c>
      <c r="C202" s="10" t="s">
        <v>76</v>
      </c>
      <c r="D202" s="11">
        <v>2024</v>
      </c>
      <c r="E202" s="10" t="s">
        <v>124</v>
      </c>
      <c r="F202" s="10" t="s">
        <v>83</v>
      </c>
      <c r="G202" s="10" t="s">
        <v>84</v>
      </c>
      <c r="H202" s="12">
        <v>24081.25</v>
      </c>
      <c r="I202" s="11">
        <v>2220</v>
      </c>
      <c r="J202" s="11">
        <v>3789</v>
      </c>
      <c r="K202" s="11">
        <v>36022</v>
      </c>
      <c r="L202" s="11">
        <v>9.2187905528159905E-2</v>
      </c>
      <c r="M202" s="11">
        <v>9.218790552815987</v>
      </c>
      <c r="N202" s="11">
        <v>1.7067567567567601</v>
      </c>
      <c r="O202" s="11">
        <v>1.49585258240332</v>
      </c>
      <c r="P202" s="11">
        <v>0.67398648648648696</v>
      </c>
      <c r="Q202" s="11">
        <v>0.40816326530612201</v>
      </c>
      <c r="R202" s="11">
        <v>0.55033557046979897</v>
      </c>
      <c r="S202" s="10" t="s">
        <v>84</v>
      </c>
      <c r="T202" s="10" t="s">
        <v>84</v>
      </c>
      <c r="U202" s="10"/>
      <c r="V202" s="10"/>
      <c r="W202" s="10"/>
      <c r="X202" s="10"/>
      <c r="Y202" s="10"/>
      <c r="Z202" s="10"/>
      <c r="AA202" s="10"/>
    </row>
    <row r="203" spans="1:27" ht="12.5" x14ac:dyDescent="0.25">
      <c r="A203" s="10" t="s">
        <v>92</v>
      </c>
      <c r="B203" s="10" t="s">
        <v>756</v>
      </c>
      <c r="C203" s="10" t="s">
        <v>76</v>
      </c>
      <c r="D203" s="11">
        <v>2024</v>
      </c>
      <c r="E203" s="10" t="s">
        <v>124</v>
      </c>
      <c r="F203" s="10" t="s">
        <v>83</v>
      </c>
      <c r="G203" s="10" t="s">
        <v>84</v>
      </c>
      <c r="H203" s="12">
        <v>23198.25</v>
      </c>
      <c r="I203" s="11">
        <v>2119</v>
      </c>
      <c r="J203" s="11">
        <v>2119</v>
      </c>
      <c r="K203" s="11">
        <v>43803</v>
      </c>
      <c r="L203" s="11">
        <v>9.13430970008514E-2</v>
      </c>
      <c r="M203" s="11">
        <v>9.1343097000851365</v>
      </c>
      <c r="N203" s="11">
        <v>1</v>
      </c>
      <c r="O203" s="11">
        <v>1.88820277391614</v>
      </c>
      <c r="P203" s="11">
        <v>0.66976351351351304</v>
      </c>
      <c r="Q203" s="11">
        <v>0.94444444444444398</v>
      </c>
      <c r="R203" s="11">
        <v>0.548098434004474</v>
      </c>
      <c r="S203" s="10" t="s">
        <v>84</v>
      </c>
      <c r="T203" s="10" t="s">
        <v>84</v>
      </c>
      <c r="U203" s="10"/>
      <c r="V203" s="10"/>
      <c r="W203" s="10"/>
      <c r="X203" s="10"/>
      <c r="Y203" s="10"/>
      <c r="Z203" s="10"/>
      <c r="AA203" s="10"/>
    </row>
    <row r="204" spans="1:27" ht="12.5" x14ac:dyDescent="0.25">
      <c r="A204" s="10" t="s">
        <v>58</v>
      </c>
      <c r="B204" s="10" t="s">
        <v>759</v>
      </c>
      <c r="C204" s="10" t="s">
        <v>76</v>
      </c>
      <c r="D204" s="11">
        <v>2024</v>
      </c>
      <c r="E204" s="10" t="s">
        <v>124</v>
      </c>
      <c r="F204" s="10" t="s">
        <v>83</v>
      </c>
      <c r="G204" s="10" t="s">
        <v>84</v>
      </c>
      <c r="H204" s="12">
        <v>4815.6666666666697</v>
      </c>
      <c r="I204" s="11">
        <v>439</v>
      </c>
      <c r="J204" s="11">
        <v>364</v>
      </c>
      <c r="K204" s="11">
        <v>2970</v>
      </c>
      <c r="L204" s="11">
        <v>9.11607946286426E-2</v>
      </c>
      <c r="M204" s="11">
        <v>9.1160794628642563</v>
      </c>
      <c r="N204" s="11">
        <v>0.82915717539863298</v>
      </c>
      <c r="O204" s="11">
        <v>0.61673703883159103</v>
      </c>
      <c r="P204" s="11">
        <v>0.66891891891891897</v>
      </c>
      <c r="Q204" s="11">
        <v>0.51351351351351304</v>
      </c>
      <c r="R204" s="11">
        <v>0.54586129753915003</v>
      </c>
      <c r="S204" s="10" t="s">
        <v>84</v>
      </c>
      <c r="T204" s="10" t="s">
        <v>84</v>
      </c>
      <c r="U204" s="10"/>
      <c r="V204" s="10"/>
      <c r="W204" s="10"/>
      <c r="X204" s="10"/>
      <c r="Y204" s="10"/>
      <c r="Z204" s="10"/>
      <c r="AA204" s="10"/>
    </row>
    <row r="205" spans="1:27" ht="12.5" x14ac:dyDescent="0.25">
      <c r="A205" s="10" t="s">
        <v>58</v>
      </c>
      <c r="B205" s="10" t="s">
        <v>760</v>
      </c>
      <c r="C205" s="10" t="s">
        <v>76</v>
      </c>
      <c r="D205" s="11">
        <v>2024</v>
      </c>
      <c r="E205" s="10" t="s">
        <v>124</v>
      </c>
      <c r="F205" s="10" t="s">
        <v>125</v>
      </c>
      <c r="G205" s="10" t="s">
        <v>84</v>
      </c>
      <c r="H205" s="12">
        <v>2600.9166666666702</v>
      </c>
      <c r="I205" s="11">
        <v>237</v>
      </c>
      <c r="J205" s="11">
        <v>198</v>
      </c>
      <c r="K205" s="11">
        <v>5289</v>
      </c>
      <c r="L205" s="11">
        <v>9.1121719906443202E-2</v>
      </c>
      <c r="M205" s="11">
        <v>9.1121719906443115</v>
      </c>
      <c r="N205" s="11">
        <v>0.835443037974684</v>
      </c>
      <c r="O205" s="11">
        <v>2.03351382525392</v>
      </c>
      <c r="P205" s="11">
        <v>0.66807432432432401</v>
      </c>
      <c r="Q205" s="11">
        <v>0.48648648648648701</v>
      </c>
      <c r="R205" s="11">
        <v>0.54362416107382505</v>
      </c>
      <c r="S205" s="10" t="s">
        <v>84</v>
      </c>
      <c r="T205" s="10" t="s">
        <v>84</v>
      </c>
      <c r="U205" s="10"/>
      <c r="V205" s="10"/>
      <c r="W205" s="10"/>
      <c r="X205" s="10"/>
      <c r="Y205" s="10"/>
      <c r="Z205" s="10"/>
      <c r="AA205" s="10"/>
    </row>
    <row r="206" spans="1:27" ht="12.5" x14ac:dyDescent="0.25">
      <c r="A206" s="10" t="s">
        <v>49</v>
      </c>
      <c r="B206" s="10" t="s">
        <v>762</v>
      </c>
      <c r="C206" s="10" t="s">
        <v>76</v>
      </c>
      <c r="D206" s="11">
        <v>2024</v>
      </c>
      <c r="E206" s="10" t="s">
        <v>124</v>
      </c>
      <c r="F206" s="10" t="s">
        <v>83</v>
      </c>
      <c r="G206" s="10" t="s">
        <v>84</v>
      </c>
      <c r="H206" s="12">
        <v>11794.416666666701</v>
      </c>
      <c r="I206" s="11">
        <v>1073</v>
      </c>
      <c r="J206" s="11">
        <v>831</v>
      </c>
      <c r="K206" s="11">
        <v>14692</v>
      </c>
      <c r="L206" s="11">
        <v>9.0975249588435197E-2</v>
      </c>
      <c r="M206" s="11">
        <v>9.0975249588434952</v>
      </c>
      <c r="N206" s="11">
        <v>0.774464119291705</v>
      </c>
      <c r="O206" s="11">
        <v>1.2456741537309299</v>
      </c>
      <c r="P206" s="11">
        <v>0.66638513513513498</v>
      </c>
      <c r="Q206" s="11">
        <v>0.80769230769230804</v>
      </c>
      <c r="R206" s="11">
        <v>0.54138702460850097</v>
      </c>
      <c r="S206" s="10" t="s">
        <v>84</v>
      </c>
      <c r="T206" s="10" t="s">
        <v>84</v>
      </c>
      <c r="U206" s="10"/>
      <c r="V206" s="10"/>
      <c r="W206" s="10"/>
      <c r="X206" s="10"/>
      <c r="Y206" s="10"/>
      <c r="Z206" s="10"/>
      <c r="AA206" s="10"/>
    </row>
    <row r="207" spans="1:27" ht="12.5" x14ac:dyDescent="0.25">
      <c r="A207" s="10" t="s">
        <v>55</v>
      </c>
      <c r="B207" s="10" t="s">
        <v>765</v>
      </c>
      <c r="C207" s="10" t="s">
        <v>76</v>
      </c>
      <c r="D207" s="11">
        <v>2024</v>
      </c>
      <c r="E207" s="10" t="s">
        <v>124</v>
      </c>
      <c r="F207" s="10" t="s">
        <v>125</v>
      </c>
      <c r="G207" s="10" t="s">
        <v>84</v>
      </c>
      <c r="H207" s="12">
        <v>1549.25</v>
      </c>
      <c r="I207" s="11">
        <v>140</v>
      </c>
      <c r="J207" s="11">
        <v>85</v>
      </c>
      <c r="K207" s="11">
        <v>2553</v>
      </c>
      <c r="L207" s="11">
        <v>9.0366306277230898E-2</v>
      </c>
      <c r="M207" s="11">
        <v>9.0366306277230919</v>
      </c>
      <c r="N207" s="11">
        <v>0.60714285714285698</v>
      </c>
      <c r="O207" s="11">
        <v>1.64789414232693</v>
      </c>
      <c r="P207" s="11">
        <v>0.66469594594594605</v>
      </c>
      <c r="Q207" s="11">
        <v>0.59090909090909105</v>
      </c>
      <c r="R207" s="11">
        <v>0.53914988814317699</v>
      </c>
      <c r="S207" s="10" t="s">
        <v>84</v>
      </c>
      <c r="T207" s="10" t="s">
        <v>84</v>
      </c>
      <c r="U207" s="10"/>
      <c r="V207" s="10"/>
      <c r="W207" s="10"/>
      <c r="X207" s="10"/>
      <c r="Y207" s="10"/>
      <c r="Z207" s="10"/>
      <c r="AA207" s="10"/>
    </row>
    <row r="208" spans="1:27" ht="12.5" x14ac:dyDescent="0.25">
      <c r="A208" s="10" t="s">
        <v>58</v>
      </c>
      <c r="B208" s="10" t="s">
        <v>768</v>
      </c>
      <c r="C208" s="10" t="s">
        <v>76</v>
      </c>
      <c r="D208" s="11">
        <v>2024</v>
      </c>
      <c r="E208" s="10" t="s">
        <v>124</v>
      </c>
      <c r="F208" s="10" t="s">
        <v>83</v>
      </c>
      <c r="G208" s="10" t="s">
        <v>84</v>
      </c>
      <c r="H208" s="12">
        <v>18857.583333333299</v>
      </c>
      <c r="I208" s="11">
        <v>1701</v>
      </c>
      <c r="J208" s="11">
        <v>1385</v>
      </c>
      <c r="K208" s="11">
        <v>41139</v>
      </c>
      <c r="L208" s="11">
        <v>9.02024384531422E-2</v>
      </c>
      <c r="M208" s="11">
        <v>9.0202438453142353</v>
      </c>
      <c r="N208" s="11">
        <v>0.81422692533803598</v>
      </c>
      <c r="O208" s="11">
        <v>2.1815626781445099</v>
      </c>
      <c r="P208" s="11">
        <v>0.66385135135135098</v>
      </c>
      <c r="Q208" s="11">
        <v>0.45945945945945998</v>
      </c>
      <c r="R208" s="11">
        <v>0.53691275167785202</v>
      </c>
      <c r="S208" s="10" t="s">
        <v>84</v>
      </c>
      <c r="T208" s="10" t="s">
        <v>84</v>
      </c>
      <c r="U208" s="10"/>
      <c r="V208" s="10"/>
      <c r="W208" s="10"/>
      <c r="X208" s="10"/>
      <c r="Y208" s="10"/>
      <c r="Z208" s="10"/>
      <c r="AA208" s="10"/>
    </row>
    <row r="209" spans="1:27" ht="12.5" x14ac:dyDescent="0.25">
      <c r="A209" s="10" t="s">
        <v>42</v>
      </c>
      <c r="B209" s="10" t="s">
        <v>770</v>
      </c>
      <c r="C209" s="10" t="s">
        <v>76</v>
      </c>
      <c r="D209" s="11">
        <v>2024</v>
      </c>
      <c r="E209" s="10" t="s">
        <v>124</v>
      </c>
      <c r="F209" s="10" t="s">
        <v>83</v>
      </c>
      <c r="G209" s="10" t="s">
        <v>84</v>
      </c>
      <c r="H209" s="12">
        <v>4989.25</v>
      </c>
      <c r="I209" s="11">
        <v>448</v>
      </c>
      <c r="J209" s="11">
        <v>379</v>
      </c>
      <c r="K209" s="11">
        <v>9580</v>
      </c>
      <c r="L209" s="11">
        <v>8.9793055068397007E-2</v>
      </c>
      <c r="M209" s="11">
        <v>8.9793055068397045</v>
      </c>
      <c r="N209" s="11">
        <v>0.84598214285714302</v>
      </c>
      <c r="O209" s="11">
        <v>1.9201282757929501</v>
      </c>
      <c r="P209" s="11">
        <v>0.66216216216216195</v>
      </c>
      <c r="Q209" s="11">
        <v>0.66666666666666696</v>
      </c>
      <c r="R209" s="11">
        <v>0.53467561521252804</v>
      </c>
      <c r="S209" s="10" t="s">
        <v>84</v>
      </c>
      <c r="T209" s="10" t="s">
        <v>84</v>
      </c>
      <c r="U209" s="10"/>
      <c r="V209" s="10"/>
      <c r="W209" s="10"/>
      <c r="X209" s="10"/>
      <c r="Y209" s="10"/>
      <c r="Z209" s="10"/>
      <c r="AA209" s="10"/>
    </row>
    <row r="210" spans="1:27" ht="12.5" x14ac:dyDescent="0.25">
      <c r="A210" s="10" t="s">
        <v>14</v>
      </c>
      <c r="B210" s="10" t="s">
        <v>772</v>
      </c>
      <c r="C210" s="10" t="s">
        <v>76</v>
      </c>
      <c r="D210" s="11">
        <v>2024</v>
      </c>
      <c r="E210" s="10" t="s">
        <v>124</v>
      </c>
      <c r="F210" s="10" t="s">
        <v>83</v>
      </c>
      <c r="G210" s="10" t="s">
        <v>84</v>
      </c>
      <c r="H210" s="12">
        <v>71737.166666666701</v>
      </c>
      <c r="I210" s="11">
        <v>6423</v>
      </c>
      <c r="J210" s="11">
        <v>6557</v>
      </c>
      <c r="K210" s="11">
        <v>0</v>
      </c>
      <c r="L210" s="11">
        <v>8.95351781851806E-2</v>
      </c>
      <c r="M210" s="11">
        <v>8.9535178185180584</v>
      </c>
      <c r="N210" s="11">
        <v>1.0208625252996999</v>
      </c>
      <c r="O210" s="11">
        <v>0</v>
      </c>
      <c r="P210" s="11">
        <v>0.66131756756756799</v>
      </c>
      <c r="Q210" s="11">
        <v>0.32142857142857101</v>
      </c>
      <c r="R210" s="11">
        <v>0.53243847874720396</v>
      </c>
      <c r="S210" s="10" t="s">
        <v>84</v>
      </c>
      <c r="T210" s="10" t="s">
        <v>84</v>
      </c>
      <c r="U210" s="10"/>
      <c r="V210" s="10"/>
      <c r="W210" s="10"/>
      <c r="X210" s="10"/>
      <c r="Y210" s="10"/>
      <c r="Z210" s="10"/>
      <c r="AA210" s="10"/>
    </row>
    <row r="211" spans="1:27" ht="12.5" x14ac:dyDescent="0.25">
      <c r="A211" s="10" t="s">
        <v>32</v>
      </c>
      <c r="B211" s="10" t="s">
        <v>775</v>
      </c>
      <c r="C211" s="10" t="s">
        <v>76</v>
      </c>
      <c r="D211" s="11">
        <v>2024</v>
      </c>
      <c r="E211" s="10" t="s">
        <v>124</v>
      </c>
      <c r="F211" s="10" t="s">
        <v>125</v>
      </c>
      <c r="G211" s="10" t="s">
        <v>84</v>
      </c>
      <c r="H211" s="12">
        <v>2663.0833333333298</v>
      </c>
      <c r="I211" s="11">
        <v>236</v>
      </c>
      <c r="J211" s="11">
        <v>181</v>
      </c>
      <c r="K211" s="11">
        <v>55</v>
      </c>
      <c r="L211" s="11">
        <v>8.8619081891291404E-2</v>
      </c>
      <c r="M211" s="11">
        <v>8.8619081891291547</v>
      </c>
      <c r="N211" s="11">
        <v>0.76694915254237295</v>
      </c>
      <c r="O211" s="11">
        <v>2.0652752135682299E-2</v>
      </c>
      <c r="P211" s="11">
        <v>0.65962837837837796</v>
      </c>
      <c r="Q211" s="11">
        <v>0.41379310344827602</v>
      </c>
      <c r="R211" s="11">
        <v>0.53020134228187898</v>
      </c>
      <c r="S211" s="10" t="s">
        <v>84</v>
      </c>
      <c r="T211" s="10" t="s">
        <v>84</v>
      </c>
      <c r="U211" s="10"/>
      <c r="V211" s="10"/>
      <c r="W211" s="10"/>
      <c r="X211" s="10"/>
      <c r="Y211" s="10"/>
      <c r="Z211" s="10"/>
      <c r="AA211" s="10"/>
    </row>
    <row r="212" spans="1:27" ht="12.5" x14ac:dyDescent="0.25">
      <c r="A212" s="10" t="s">
        <v>98</v>
      </c>
      <c r="B212" s="10" t="s">
        <v>778</v>
      </c>
      <c r="C212" s="10" t="s">
        <v>76</v>
      </c>
      <c r="D212" s="11">
        <v>2024</v>
      </c>
      <c r="E212" s="10" t="s">
        <v>124</v>
      </c>
      <c r="F212" s="10" t="s">
        <v>83</v>
      </c>
      <c r="G212" s="10" t="s">
        <v>84</v>
      </c>
      <c r="H212" s="12">
        <v>15076.166666666701</v>
      </c>
      <c r="I212" s="11">
        <v>1331</v>
      </c>
      <c r="J212" s="11">
        <v>1093</v>
      </c>
      <c r="K212" s="11">
        <v>1455</v>
      </c>
      <c r="L212" s="11">
        <v>8.8285041511436402E-2</v>
      </c>
      <c r="M212" s="11">
        <v>8.8285041511436173</v>
      </c>
      <c r="N212" s="11">
        <v>0.82118707738542496</v>
      </c>
      <c r="O212" s="11">
        <v>9.6509943951269703E-2</v>
      </c>
      <c r="P212" s="11">
        <v>0.65709459459459496</v>
      </c>
      <c r="Q212" s="11">
        <v>1</v>
      </c>
      <c r="R212" s="11">
        <v>0.52796420581655501</v>
      </c>
      <c r="S212" s="10" t="s">
        <v>84</v>
      </c>
      <c r="T212" s="10" t="s">
        <v>84</v>
      </c>
      <c r="U212" s="10"/>
      <c r="V212" s="10"/>
      <c r="W212" s="10"/>
      <c r="X212" s="10"/>
      <c r="Y212" s="10"/>
      <c r="Z212" s="10"/>
      <c r="AA212" s="10"/>
    </row>
    <row r="213" spans="1:27" ht="12.5" x14ac:dyDescent="0.25">
      <c r="A213" s="10" t="s">
        <v>109</v>
      </c>
      <c r="B213" s="10" t="s">
        <v>781</v>
      </c>
      <c r="C213" s="10" t="s">
        <v>76</v>
      </c>
      <c r="D213" s="11">
        <v>2024</v>
      </c>
      <c r="E213" s="10" t="s">
        <v>124</v>
      </c>
      <c r="F213" s="10" t="s">
        <v>83</v>
      </c>
      <c r="G213" s="10" t="s">
        <v>84</v>
      </c>
      <c r="H213" s="12">
        <v>2803.5833333333298</v>
      </c>
      <c r="I213" s="11">
        <v>247</v>
      </c>
      <c r="J213" s="11">
        <v>213</v>
      </c>
      <c r="K213" s="11">
        <v>1489</v>
      </c>
      <c r="L213" s="11">
        <v>8.8101536723835597E-2</v>
      </c>
      <c r="M213" s="11">
        <v>8.8101536723835672</v>
      </c>
      <c r="N213" s="11">
        <v>0.86234817813765197</v>
      </c>
      <c r="O213" s="11">
        <v>0.53110602502749504</v>
      </c>
      <c r="P213" s="11">
        <v>0.65625</v>
      </c>
      <c r="Q213" s="11">
        <v>0.66666666666666696</v>
      </c>
      <c r="R213" s="11">
        <v>0.52572706935123004</v>
      </c>
      <c r="S213" s="10" t="s">
        <v>84</v>
      </c>
      <c r="T213" s="10" t="s">
        <v>84</v>
      </c>
      <c r="U213" s="10"/>
      <c r="V213" s="10"/>
      <c r="W213" s="10"/>
      <c r="X213" s="10"/>
      <c r="Y213" s="10"/>
      <c r="Z213" s="10"/>
      <c r="AA213" s="10"/>
    </row>
    <row r="214" spans="1:27" ht="12.5" x14ac:dyDescent="0.25">
      <c r="A214" s="10" t="s">
        <v>110</v>
      </c>
      <c r="B214" s="10" t="s">
        <v>783</v>
      </c>
      <c r="C214" s="10" t="s">
        <v>76</v>
      </c>
      <c r="D214" s="11">
        <v>2024</v>
      </c>
      <c r="E214" s="10" t="s">
        <v>124</v>
      </c>
      <c r="F214" s="10" t="s">
        <v>83</v>
      </c>
      <c r="G214" s="10" t="s">
        <v>84</v>
      </c>
      <c r="H214" s="12">
        <v>29002.416666666701</v>
      </c>
      <c r="I214" s="11">
        <v>2532</v>
      </c>
      <c r="J214" s="11">
        <v>2266</v>
      </c>
      <c r="K214" s="11">
        <v>8073</v>
      </c>
      <c r="L214" s="11">
        <v>8.73030695717886E-2</v>
      </c>
      <c r="M214" s="11">
        <v>8.730306957178847</v>
      </c>
      <c r="N214" s="11">
        <v>0.89494470774091595</v>
      </c>
      <c r="O214" s="11">
        <v>0.278356114001994</v>
      </c>
      <c r="P214" s="11">
        <v>0.65540540540540504</v>
      </c>
      <c r="Q214" s="11">
        <v>0.81818181818181801</v>
      </c>
      <c r="R214" s="11">
        <v>0.52348993288590595</v>
      </c>
      <c r="S214" s="10" t="s">
        <v>84</v>
      </c>
      <c r="T214" s="10" t="s">
        <v>84</v>
      </c>
      <c r="U214" s="10"/>
      <c r="V214" s="10"/>
      <c r="W214" s="10"/>
      <c r="X214" s="10"/>
      <c r="Y214" s="10"/>
      <c r="Z214" s="10"/>
      <c r="AA214" s="10"/>
    </row>
    <row r="215" spans="1:27" ht="12.5" x14ac:dyDescent="0.25">
      <c r="A215" s="10" t="s">
        <v>36</v>
      </c>
      <c r="B215" s="10" t="s">
        <v>786</v>
      </c>
      <c r="C215" s="10" t="s">
        <v>76</v>
      </c>
      <c r="D215" s="11">
        <v>2024</v>
      </c>
      <c r="E215" s="10" t="s">
        <v>124</v>
      </c>
      <c r="F215" s="10" t="s">
        <v>83</v>
      </c>
      <c r="G215" s="10" t="s">
        <v>84</v>
      </c>
      <c r="H215" s="12">
        <v>4062.5833333333298</v>
      </c>
      <c r="I215" s="11">
        <v>353</v>
      </c>
      <c r="J215" s="11">
        <v>353</v>
      </c>
      <c r="K215" s="11">
        <v>0</v>
      </c>
      <c r="L215" s="11">
        <v>8.6890525322557505E-2</v>
      </c>
      <c r="M215" s="11">
        <v>8.6890525322557561</v>
      </c>
      <c r="N215" s="11">
        <v>1</v>
      </c>
      <c r="O215" s="11">
        <v>0</v>
      </c>
      <c r="P215" s="11">
        <v>0.65287162162162204</v>
      </c>
      <c r="Q215" s="11">
        <v>0.38297872340425498</v>
      </c>
      <c r="R215" s="11">
        <v>0.52125279642058198</v>
      </c>
      <c r="S215" s="10" t="s">
        <v>84</v>
      </c>
      <c r="T215" s="10" t="s">
        <v>84</v>
      </c>
      <c r="U215" s="10"/>
      <c r="V215" s="10"/>
      <c r="W215" s="10"/>
      <c r="X215" s="10"/>
      <c r="Y215" s="10"/>
      <c r="Z215" s="10"/>
      <c r="AA215" s="10"/>
    </row>
    <row r="216" spans="1:27" ht="12.5" x14ac:dyDescent="0.25">
      <c r="A216" s="10" t="s">
        <v>6</v>
      </c>
      <c r="B216" s="10" t="s">
        <v>788</v>
      </c>
      <c r="C216" s="10" t="s">
        <v>76</v>
      </c>
      <c r="D216" s="11">
        <v>2024</v>
      </c>
      <c r="E216" s="10" t="s">
        <v>124</v>
      </c>
      <c r="F216" s="10" t="s">
        <v>125</v>
      </c>
      <c r="G216" s="10" t="s">
        <v>84</v>
      </c>
      <c r="H216" s="12">
        <v>2096.9166666666702</v>
      </c>
      <c r="I216" s="11">
        <v>177</v>
      </c>
      <c r="J216" s="11">
        <v>142</v>
      </c>
      <c r="K216" s="11">
        <v>2922</v>
      </c>
      <c r="L216" s="11">
        <v>8.4409649087946598E-2</v>
      </c>
      <c r="M216" s="11">
        <v>8.4409649087946441</v>
      </c>
      <c r="N216" s="11">
        <v>0.80225988700564999</v>
      </c>
      <c r="O216" s="11">
        <v>1.3934745459603399</v>
      </c>
      <c r="P216" s="11">
        <v>0.64949324324324298</v>
      </c>
      <c r="Q216" s="11">
        <v>0.77419354838709697</v>
      </c>
      <c r="R216" s="11">
        <v>0.519015659955257</v>
      </c>
      <c r="S216" s="10" t="s">
        <v>84</v>
      </c>
      <c r="T216" s="10" t="s">
        <v>84</v>
      </c>
      <c r="U216" s="10"/>
      <c r="V216" s="10"/>
      <c r="W216" s="10"/>
      <c r="X216" s="10"/>
      <c r="Y216" s="10"/>
      <c r="Z216" s="10"/>
      <c r="AA216" s="10"/>
    </row>
    <row r="217" spans="1:27" ht="12.5" x14ac:dyDescent="0.25">
      <c r="A217" s="10" t="s">
        <v>82</v>
      </c>
      <c r="B217" s="10" t="s">
        <v>790</v>
      </c>
      <c r="C217" s="10" t="s">
        <v>76</v>
      </c>
      <c r="D217" s="11">
        <v>2024</v>
      </c>
      <c r="E217" s="10" t="s">
        <v>124</v>
      </c>
      <c r="F217" s="10" t="s">
        <v>83</v>
      </c>
      <c r="G217" s="10" t="s">
        <v>84</v>
      </c>
      <c r="H217" s="12">
        <v>12353.416666666701</v>
      </c>
      <c r="I217" s="11">
        <v>1041</v>
      </c>
      <c r="J217" s="11">
        <v>981</v>
      </c>
      <c r="K217" s="11">
        <v>4854</v>
      </c>
      <c r="L217" s="11">
        <v>8.4268184915104502E-2</v>
      </c>
      <c r="M217" s="11">
        <v>8.4268184915104225</v>
      </c>
      <c r="N217" s="11">
        <v>0.94236311239193105</v>
      </c>
      <c r="O217" s="11">
        <v>0.39292773254362801</v>
      </c>
      <c r="P217" s="11">
        <v>0.64864864864864902</v>
      </c>
      <c r="Q217" s="11">
        <v>0.96551724137931005</v>
      </c>
      <c r="R217" s="11">
        <v>0.51677852348993303</v>
      </c>
      <c r="S217" s="10" t="s">
        <v>84</v>
      </c>
      <c r="T217" s="10" t="s">
        <v>84</v>
      </c>
      <c r="U217" s="10"/>
      <c r="V217" s="10"/>
      <c r="W217" s="10"/>
      <c r="X217" s="10"/>
      <c r="Y217" s="10"/>
      <c r="Z217" s="10"/>
      <c r="AA217" s="10"/>
    </row>
    <row r="218" spans="1:27" ht="12.5" x14ac:dyDescent="0.25">
      <c r="A218" s="10" t="s">
        <v>12</v>
      </c>
      <c r="B218" s="10" t="s">
        <v>793</v>
      </c>
      <c r="C218" s="10" t="s">
        <v>76</v>
      </c>
      <c r="D218" s="11">
        <v>2024</v>
      </c>
      <c r="E218" s="10" t="s">
        <v>124</v>
      </c>
      <c r="F218" s="10" t="s">
        <v>83</v>
      </c>
      <c r="G218" s="10" t="s">
        <v>84</v>
      </c>
      <c r="H218" s="12">
        <v>17915.416666666701</v>
      </c>
      <c r="I218" s="11">
        <v>1497</v>
      </c>
      <c r="J218" s="11">
        <v>1621</v>
      </c>
      <c r="K218" s="11">
        <v>2206</v>
      </c>
      <c r="L218" s="11">
        <v>8.3559318091959905E-2</v>
      </c>
      <c r="M218" s="11">
        <v>8.3559318091959742</v>
      </c>
      <c r="N218" s="11">
        <v>1.08283233132933</v>
      </c>
      <c r="O218" s="11">
        <v>0.123134172151545</v>
      </c>
      <c r="P218" s="11">
        <v>0.64527027027026995</v>
      </c>
      <c r="Q218" s="11">
        <v>0.54166666666666696</v>
      </c>
      <c r="R218" s="11">
        <v>0.51454138702460805</v>
      </c>
      <c r="S218" s="10" t="s">
        <v>84</v>
      </c>
      <c r="T218" s="10" t="s">
        <v>84</v>
      </c>
      <c r="U218" s="10"/>
      <c r="V218" s="10"/>
      <c r="W218" s="10"/>
      <c r="X218" s="10"/>
      <c r="Y218" s="10"/>
      <c r="Z218" s="10"/>
      <c r="AA218" s="10"/>
    </row>
    <row r="219" spans="1:27" ht="12.5" x14ac:dyDescent="0.25">
      <c r="A219" s="10" t="s">
        <v>34</v>
      </c>
      <c r="B219" s="10" t="s">
        <v>795</v>
      </c>
      <c r="C219" s="10" t="s">
        <v>76</v>
      </c>
      <c r="D219" s="11">
        <v>2024</v>
      </c>
      <c r="E219" s="10" t="s">
        <v>124</v>
      </c>
      <c r="F219" s="10" t="s">
        <v>83</v>
      </c>
      <c r="G219" s="10" t="s">
        <v>84</v>
      </c>
      <c r="H219" s="12">
        <v>10776.666666666701</v>
      </c>
      <c r="I219" s="11">
        <v>900</v>
      </c>
      <c r="J219" s="11">
        <v>885</v>
      </c>
      <c r="K219" s="11">
        <v>6378</v>
      </c>
      <c r="L219" s="11">
        <v>8.3513764305598495E-2</v>
      </c>
      <c r="M219" s="11">
        <v>8.3513764305598244</v>
      </c>
      <c r="N219" s="11">
        <v>0.98333333333333295</v>
      </c>
      <c r="O219" s="11">
        <v>0.59183420971234102</v>
      </c>
      <c r="P219" s="11">
        <v>0.64442567567567599</v>
      </c>
      <c r="Q219" s="11">
        <v>0.95918367346938804</v>
      </c>
      <c r="R219" s="11">
        <v>0.51230425055928397</v>
      </c>
      <c r="S219" s="10" t="s">
        <v>84</v>
      </c>
      <c r="T219" s="10" t="s">
        <v>84</v>
      </c>
      <c r="U219" s="10"/>
      <c r="V219" s="10"/>
      <c r="W219" s="10"/>
      <c r="X219" s="10"/>
      <c r="Y219" s="10"/>
      <c r="Z219" s="10"/>
      <c r="AA219" s="10"/>
    </row>
    <row r="220" spans="1:27" ht="12.5" x14ac:dyDescent="0.25">
      <c r="A220" s="10" t="s">
        <v>82</v>
      </c>
      <c r="B220" s="10" t="s">
        <v>799</v>
      </c>
      <c r="C220" s="10" t="s">
        <v>76</v>
      </c>
      <c r="D220" s="11">
        <v>2024</v>
      </c>
      <c r="E220" s="10" t="s">
        <v>124</v>
      </c>
      <c r="F220" s="10" t="s">
        <v>83</v>
      </c>
      <c r="G220" s="10" t="s">
        <v>84</v>
      </c>
      <c r="H220" s="12">
        <v>4117.1666666666697</v>
      </c>
      <c r="I220" s="11">
        <v>338</v>
      </c>
      <c r="J220" s="11">
        <v>223</v>
      </c>
      <c r="K220" s="11">
        <v>1426</v>
      </c>
      <c r="L220" s="11">
        <v>8.2095292069789105E-2</v>
      </c>
      <c r="M220" s="11">
        <v>8.2095292069789032</v>
      </c>
      <c r="N220" s="11">
        <v>0.65976331360946705</v>
      </c>
      <c r="O220" s="11">
        <v>0.34635469376189099</v>
      </c>
      <c r="P220" s="11">
        <v>0.641891891891892</v>
      </c>
      <c r="Q220" s="11">
        <v>0.94827586206896597</v>
      </c>
      <c r="R220" s="11">
        <v>0.51006711409395999</v>
      </c>
      <c r="S220" s="10" t="s">
        <v>84</v>
      </c>
      <c r="T220" s="10" t="s">
        <v>84</v>
      </c>
      <c r="U220" s="10"/>
      <c r="V220" s="10"/>
      <c r="W220" s="10"/>
      <c r="X220" s="10"/>
      <c r="Y220" s="10"/>
      <c r="Z220" s="10"/>
      <c r="AA220" s="10"/>
    </row>
    <row r="221" spans="1:27" ht="12.5" x14ac:dyDescent="0.25">
      <c r="A221" s="10" t="s">
        <v>42</v>
      </c>
      <c r="B221" s="10" t="s">
        <v>802</v>
      </c>
      <c r="C221" s="10" t="s">
        <v>76</v>
      </c>
      <c r="D221" s="11">
        <v>2024</v>
      </c>
      <c r="E221" s="10" t="s">
        <v>124</v>
      </c>
      <c r="F221" s="10" t="s">
        <v>83</v>
      </c>
      <c r="G221" s="10" t="s">
        <v>84</v>
      </c>
      <c r="H221" s="12">
        <v>9640.5833333333303</v>
      </c>
      <c r="I221" s="11">
        <v>787</v>
      </c>
      <c r="J221" s="11">
        <v>12</v>
      </c>
      <c r="K221" s="11">
        <v>18936</v>
      </c>
      <c r="L221" s="11">
        <v>8.1634064328749104E-2</v>
      </c>
      <c r="M221" s="11">
        <v>8.1634064328749147</v>
      </c>
      <c r="N221" s="11">
        <v>1.52477763659466E-2</v>
      </c>
      <c r="O221" s="11">
        <v>1.96419649571689</v>
      </c>
      <c r="P221" s="11">
        <v>0.63851351351351304</v>
      </c>
      <c r="Q221" s="11">
        <v>0.57142857142857095</v>
      </c>
      <c r="R221" s="11">
        <v>0.50782997762863502</v>
      </c>
      <c r="S221" s="10" t="s">
        <v>84</v>
      </c>
      <c r="T221" s="10" t="s">
        <v>84</v>
      </c>
      <c r="U221" s="10"/>
      <c r="V221" s="10"/>
      <c r="W221" s="10"/>
      <c r="X221" s="10"/>
      <c r="Y221" s="10"/>
      <c r="Z221" s="10"/>
      <c r="AA221" s="10"/>
    </row>
    <row r="222" spans="1:27" ht="12.5" x14ac:dyDescent="0.25">
      <c r="A222" s="10" t="s">
        <v>55</v>
      </c>
      <c r="B222" s="10" t="s">
        <v>805</v>
      </c>
      <c r="C222" s="10" t="s">
        <v>76</v>
      </c>
      <c r="D222" s="11">
        <v>2024</v>
      </c>
      <c r="E222" s="10" t="s">
        <v>124</v>
      </c>
      <c r="F222" s="10" t="s">
        <v>83</v>
      </c>
      <c r="G222" s="10" t="s">
        <v>84</v>
      </c>
      <c r="H222" s="12">
        <v>7433.25</v>
      </c>
      <c r="I222" s="11">
        <v>606</v>
      </c>
      <c r="J222" s="11">
        <v>575</v>
      </c>
      <c r="K222" s="11">
        <v>6670</v>
      </c>
      <c r="L222" s="11">
        <v>8.1525577641005001E-2</v>
      </c>
      <c r="M222" s="11">
        <v>8.1525577641004947</v>
      </c>
      <c r="N222" s="11">
        <v>0.94884488448844895</v>
      </c>
      <c r="O222" s="11">
        <v>0.89731947667574796</v>
      </c>
      <c r="P222" s="11">
        <v>0.63682432432432401</v>
      </c>
      <c r="Q222" s="11">
        <v>0.5</v>
      </c>
      <c r="R222" s="11">
        <v>0.50559284116331105</v>
      </c>
      <c r="S222" s="10" t="s">
        <v>84</v>
      </c>
      <c r="T222" s="10" t="s">
        <v>84</v>
      </c>
      <c r="U222" s="10"/>
      <c r="V222" s="10"/>
      <c r="W222" s="10"/>
      <c r="X222" s="10"/>
      <c r="Y222" s="10"/>
      <c r="Z222" s="10"/>
      <c r="AA222" s="10"/>
    </row>
    <row r="223" spans="1:27" ht="12.5" x14ac:dyDescent="0.25">
      <c r="A223" s="10" t="s">
        <v>29</v>
      </c>
      <c r="B223" s="10" t="s">
        <v>807</v>
      </c>
      <c r="C223" s="10" t="s">
        <v>76</v>
      </c>
      <c r="D223" s="11">
        <v>2024</v>
      </c>
      <c r="E223" s="10" t="s">
        <v>124</v>
      </c>
      <c r="F223" s="10" t="s">
        <v>83</v>
      </c>
      <c r="G223" s="10" t="s">
        <v>84</v>
      </c>
      <c r="H223" s="12">
        <v>16607.166666666701</v>
      </c>
      <c r="I223" s="11">
        <v>1327</v>
      </c>
      <c r="J223" s="11">
        <v>1167</v>
      </c>
      <c r="K223" s="11">
        <v>26135</v>
      </c>
      <c r="L223" s="11">
        <v>7.99052617845709E-2</v>
      </c>
      <c r="M223" s="11">
        <v>7.9905261784570758</v>
      </c>
      <c r="N223" s="11">
        <v>0.87942727957799505</v>
      </c>
      <c r="O223" s="11">
        <v>1.57371817388075</v>
      </c>
      <c r="P223" s="11">
        <v>0.63091216216216195</v>
      </c>
      <c r="Q223" s="11">
        <v>0.38775510204081598</v>
      </c>
      <c r="R223" s="11">
        <v>0.50335570469798696</v>
      </c>
      <c r="S223" s="10" t="s">
        <v>84</v>
      </c>
      <c r="T223" s="10" t="s">
        <v>84</v>
      </c>
      <c r="U223" s="10"/>
      <c r="V223" s="10"/>
      <c r="W223" s="10"/>
      <c r="X223" s="10"/>
      <c r="Y223" s="10"/>
      <c r="Z223" s="10"/>
      <c r="AA223" s="10"/>
    </row>
    <row r="224" spans="1:27" ht="12.5" x14ac:dyDescent="0.25">
      <c r="A224" s="10" t="s">
        <v>58</v>
      </c>
      <c r="B224" s="10" t="s">
        <v>810</v>
      </c>
      <c r="C224" s="10" t="s">
        <v>76</v>
      </c>
      <c r="D224" s="11">
        <v>2024</v>
      </c>
      <c r="E224" s="10" t="s">
        <v>124</v>
      </c>
      <c r="F224" s="10" t="s">
        <v>83</v>
      </c>
      <c r="G224" s="10" t="s">
        <v>84</v>
      </c>
      <c r="H224" s="12">
        <v>12260.083333333299</v>
      </c>
      <c r="I224" s="11">
        <v>974</v>
      </c>
      <c r="J224" s="11">
        <v>685</v>
      </c>
      <c r="K224" s="11">
        <v>34149</v>
      </c>
      <c r="L224" s="11">
        <v>7.9444810734021695E-2</v>
      </c>
      <c r="M224" s="11">
        <v>7.9444810734021871</v>
      </c>
      <c r="N224" s="11">
        <v>0.70328542094455804</v>
      </c>
      <c r="O224" s="11">
        <v>2.7853807410227001</v>
      </c>
      <c r="P224" s="11">
        <v>0.63006756756756799</v>
      </c>
      <c r="Q224" s="11">
        <v>0.35135135135135098</v>
      </c>
      <c r="R224" s="11">
        <v>0.50111856823266199</v>
      </c>
      <c r="S224" s="10" t="s">
        <v>84</v>
      </c>
      <c r="T224" s="10" t="s">
        <v>84</v>
      </c>
      <c r="U224" s="10"/>
      <c r="V224" s="10"/>
      <c r="W224" s="10"/>
      <c r="X224" s="10"/>
      <c r="Y224" s="10"/>
      <c r="Z224" s="10"/>
      <c r="AA224" s="10"/>
    </row>
    <row r="225" spans="1:27" ht="12.5" x14ac:dyDescent="0.25">
      <c r="A225" s="10" t="s">
        <v>29</v>
      </c>
      <c r="B225" s="10" t="s">
        <v>813</v>
      </c>
      <c r="C225" s="10" t="s">
        <v>76</v>
      </c>
      <c r="D225" s="11">
        <v>2024</v>
      </c>
      <c r="E225" s="10" t="s">
        <v>124</v>
      </c>
      <c r="F225" s="10" t="s">
        <v>83</v>
      </c>
      <c r="G225" s="10" t="s">
        <v>84</v>
      </c>
      <c r="H225" s="12">
        <v>35935</v>
      </c>
      <c r="I225" s="11">
        <v>2837</v>
      </c>
      <c r="J225" s="11">
        <v>1996</v>
      </c>
      <c r="K225" s="11">
        <v>57450</v>
      </c>
      <c r="L225" s="11">
        <v>7.89481007374426E-2</v>
      </c>
      <c r="M225" s="11">
        <v>7.8948100737442601</v>
      </c>
      <c r="N225" s="11">
        <v>0.70356009869580505</v>
      </c>
      <c r="O225" s="11">
        <v>1.5987199109503301</v>
      </c>
      <c r="P225" s="11">
        <v>0.62837837837837796</v>
      </c>
      <c r="Q225" s="11">
        <v>0.36734693877551</v>
      </c>
      <c r="R225" s="11">
        <v>0.49888143176733801</v>
      </c>
      <c r="S225" s="10" t="s">
        <v>84</v>
      </c>
      <c r="T225" s="10" t="s">
        <v>84</v>
      </c>
      <c r="U225" s="10"/>
      <c r="V225" s="10"/>
      <c r="W225" s="10"/>
      <c r="X225" s="10"/>
      <c r="Y225" s="10"/>
      <c r="Z225" s="10"/>
      <c r="AA225" s="10"/>
    </row>
    <row r="226" spans="1:27" ht="12.5" x14ac:dyDescent="0.25">
      <c r="A226" s="10" t="s">
        <v>29</v>
      </c>
      <c r="B226" s="10" t="s">
        <v>816</v>
      </c>
      <c r="C226" s="10" t="s">
        <v>76</v>
      </c>
      <c r="D226" s="11">
        <v>2024</v>
      </c>
      <c r="E226" s="10" t="s">
        <v>124</v>
      </c>
      <c r="F226" s="10" t="s">
        <v>83</v>
      </c>
      <c r="G226" s="10" t="s">
        <v>84</v>
      </c>
      <c r="H226" s="12">
        <v>12124.666666666701</v>
      </c>
      <c r="I226" s="11">
        <v>956</v>
      </c>
      <c r="J226" s="11">
        <v>651</v>
      </c>
      <c r="K226" s="11">
        <v>22293</v>
      </c>
      <c r="L226" s="11">
        <v>7.8847528454390498E-2</v>
      </c>
      <c r="M226" s="11">
        <v>7.8847528454390279</v>
      </c>
      <c r="N226" s="11">
        <v>0.68096234309623405</v>
      </c>
      <c r="O226" s="11">
        <v>1.83864848518172</v>
      </c>
      <c r="P226" s="11">
        <v>0.62668918918918903</v>
      </c>
      <c r="Q226" s="11">
        <v>0.34693877551020402</v>
      </c>
      <c r="R226" s="11">
        <v>0.49664429530201298</v>
      </c>
      <c r="S226" s="10" t="s">
        <v>84</v>
      </c>
      <c r="T226" s="10" t="s">
        <v>84</v>
      </c>
      <c r="U226" s="10"/>
      <c r="V226" s="10"/>
      <c r="W226" s="10"/>
      <c r="X226" s="10"/>
      <c r="Y226" s="10"/>
      <c r="Z226" s="10"/>
      <c r="AA226" s="10"/>
    </row>
    <row r="227" spans="1:27" ht="12.5" x14ac:dyDescent="0.25">
      <c r="A227" s="10" t="s">
        <v>29</v>
      </c>
      <c r="B227" s="10" t="s">
        <v>818</v>
      </c>
      <c r="C227" s="10" t="s">
        <v>76</v>
      </c>
      <c r="D227" s="11">
        <v>2024</v>
      </c>
      <c r="E227" s="10" t="s">
        <v>124</v>
      </c>
      <c r="F227" s="10" t="s">
        <v>83</v>
      </c>
      <c r="G227" s="10" t="s">
        <v>84</v>
      </c>
      <c r="H227" s="12">
        <v>11612.416666666701</v>
      </c>
      <c r="I227" s="11">
        <v>914</v>
      </c>
      <c r="J227" s="11">
        <v>639</v>
      </c>
      <c r="K227" s="11">
        <v>5151</v>
      </c>
      <c r="L227" s="11">
        <v>7.87088533107521E-2</v>
      </c>
      <c r="M227" s="11">
        <v>7.8708853310751907</v>
      </c>
      <c r="N227" s="11">
        <v>0.69912472647702395</v>
      </c>
      <c r="O227" s="11">
        <v>0.44357691838477498</v>
      </c>
      <c r="P227" s="11">
        <v>0.62584459459459496</v>
      </c>
      <c r="Q227" s="11">
        <v>0.32653061224489799</v>
      </c>
      <c r="R227" s="11">
        <v>0.49440715883668901</v>
      </c>
      <c r="S227" s="10" t="s">
        <v>84</v>
      </c>
      <c r="T227" s="10" t="s">
        <v>84</v>
      </c>
      <c r="U227" s="10"/>
      <c r="V227" s="10"/>
      <c r="W227" s="10"/>
      <c r="X227" s="10"/>
      <c r="Y227" s="10"/>
      <c r="Z227" s="10"/>
      <c r="AA227" s="10"/>
    </row>
    <row r="228" spans="1:27" ht="12.5" x14ac:dyDescent="0.25">
      <c r="A228" s="10" t="s">
        <v>6</v>
      </c>
      <c r="B228" s="10" t="s">
        <v>820</v>
      </c>
      <c r="C228" s="10" t="s">
        <v>76</v>
      </c>
      <c r="D228" s="11">
        <v>2024</v>
      </c>
      <c r="E228" s="10" t="s">
        <v>124</v>
      </c>
      <c r="F228" s="10" t="s">
        <v>83</v>
      </c>
      <c r="G228" s="10" t="s">
        <v>84</v>
      </c>
      <c r="H228" s="12">
        <v>13526.333333333299</v>
      </c>
      <c r="I228" s="11">
        <v>1062</v>
      </c>
      <c r="J228" s="11">
        <v>847</v>
      </c>
      <c r="K228" s="11">
        <v>21848</v>
      </c>
      <c r="L228" s="11">
        <v>7.8513516843687597E-2</v>
      </c>
      <c r="M228" s="11">
        <v>7.8513516843687823</v>
      </c>
      <c r="N228" s="11">
        <v>0.79755178907721302</v>
      </c>
      <c r="O228" s="11">
        <v>1.61521969491609</v>
      </c>
      <c r="P228" s="11">
        <v>0.625</v>
      </c>
      <c r="Q228" s="11">
        <v>0.74193548387096797</v>
      </c>
      <c r="R228" s="11">
        <v>0.49217002237136498</v>
      </c>
      <c r="S228" s="10" t="s">
        <v>84</v>
      </c>
      <c r="T228" s="10" t="s">
        <v>84</v>
      </c>
      <c r="U228" s="10"/>
      <c r="V228" s="10"/>
      <c r="W228" s="10"/>
      <c r="X228" s="10"/>
      <c r="Y228" s="10"/>
      <c r="Z228" s="10"/>
      <c r="AA228" s="10"/>
    </row>
    <row r="229" spans="1:27" ht="12.5" x14ac:dyDescent="0.25">
      <c r="A229" s="10" t="s">
        <v>52</v>
      </c>
      <c r="B229" s="10" t="s">
        <v>822</v>
      </c>
      <c r="C229" s="10" t="s">
        <v>76</v>
      </c>
      <c r="D229" s="11">
        <v>2024</v>
      </c>
      <c r="E229" s="10" t="s">
        <v>124</v>
      </c>
      <c r="F229" s="10" t="s">
        <v>83</v>
      </c>
      <c r="G229" s="10" t="s">
        <v>84</v>
      </c>
      <c r="H229" s="12">
        <v>104562.16666666701</v>
      </c>
      <c r="I229" s="11">
        <v>8131</v>
      </c>
      <c r="J229" s="11">
        <v>0</v>
      </c>
      <c r="K229" s="11">
        <v>24717</v>
      </c>
      <c r="L229" s="11">
        <v>7.7762351902297397E-2</v>
      </c>
      <c r="M229" s="11">
        <v>7.7762351902297109</v>
      </c>
      <c r="N229" s="11">
        <v>0</v>
      </c>
      <c r="O229" s="11">
        <v>0.23638569080913599</v>
      </c>
      <c r="P229" s="11">
        <v>0.62162162162162204</v>
      </c>
      <c r="Q229" s="11">
        <v>0.53191489361702105</v>
      </c>
      <c r="R229" s="11">
        <v>0.48993288590604001</v>
      </c>
      <c r="S229" s="10" t="s">
        <v>84</v>
      </c>
      <c r="T229" s="10" t="s">
        <v>84</v>
      </c>
      <c r="U229" s="10"/>
      <c r="V229" s="10"/>
      <c r="W229" s="10"/>
      <c r="X229" s="10"/>
      <c r="Y229" s="10"/>
      <c r="Z229" s="10"/>
      <c r="AA229" s="10"/>
    </row>
    <row r="230" spans="1:27" ht="12.5" x14ac:dyDescent="0.25">
      <c r="A230" s="10" t="s">
        <v>82</v>
      </c>
      <c r="B230" s="10" t="s">
        <v>824</v>
      </c>
      <c r="C230" s="10" t="s">
        <v>76</v>
      </c>
      <c r="D230" s="11">
        <v>2024</v>
      </c>
      <c r="E230" s="10" t="s">
        <v>124</v>
      </c>
      <c r="F230" s="10" t="s">
        <v>83</v>
      </c>
      <c r="G230" s="10" t="s">
        <v>84</v>
      </c>
      <c r="H230" s="12">
        <v>964.58333333333303</v>
      </c>
      <c r="I230" s="11">
        <v>74</v>
      </c>
      <c r="J230" s="11">
        <v>71</v>
      </c>
      <c r="K230" s="11">
        <v>236</v>
      </c>
      <c r="L230" s="11">
        <v>7.6717062634989203E-2</v>
      </c>
      <c r="M230" s="11">
        <v>7.6717062634989226</v>
      </c>
      <c r="N230" s="11">
        <v>0.95945945945945899</v>
      </c>
      <c r="O230" s="11">
        <v>0.24466522678185701</v>
      </c>
      <c r="P230" s="11">
        <v>0.61824324324324298</v>
      </c>
      <c r="Q230" s="11">
        <v>0.931034482758621</v>
      </c>
      <c r="R230" s="11">
        <v>0.48769574944071598</v>
      </c>
      <c r="S230" s="10" t="s">
        <v>84</v>
      </c>
      <c r="T230" s="10" t="s">
        <v>84</v>
      </c>
      <c r="U230" s="10"/>
      <c r="V230" s="10"/>
      <c r="W230" s="10"/>
      <c r="X230" s="10"/>
      <c r="Y230" s="10"/>
      <c r="Z230" s="10"/>
      <c r="AA230" s="10"/>
    </row>
    <row r="231" spans="1:27" ht="12.5" x14ac:dyDescent="0.25">
      <c r="A231" s="10" t="s">
        <v>12</v>
      </c>
      <c r="B231" s="10" t="s">
        <v>827</v>
      </c>
      <c r="C231" s="10" t="s">
        <v>76</v>
      </c>
      <c r="D231" s="11">
        <v>2024</v>
      </c>
      <c r="E231" s="10" t="s">
        <v>124</v>
      </c>
      <c r="F231" s="10" t="s">
        <v>83</v>
      </c>
      <c r="G231" s="10" t="s">
        <v>84</v>
      </c>
      <c r="H231" s="12">
        <v>52154.916666666701</v>
      </c>
      <c r="I231" s="11">
        <v>3947</v>
      </c>
      <c r="J231" s="11">
        <v>2753</v>
      </c>
      <c r="K231" s="11">
        <v>7462</v>
      </c>
      <c r="L231" s="11">
        <v>7.5678387624049506E-2</v>
      </c>
      <c r="M231" s="11">
        <v>7.5678387624049455</v>
      </c>
      <c r="N231" s="11">
        <v>0.69749176589814998</v>
      </c>
      <c r="O231" s="11">
        <v>0.14307375942504599</v>
      </c>
      <c r="P231" s="11">
        <v>0.61570945945945899</v>
      </c>
      <c r="Q231" s="11">
        <v>0.44444444444444398</v>
      </c>
      <c r="R231" s="11">
        <v>0.485458612975392</v>
      </c>
      <c r="S231" s="10" t="s">
        <v>84</v>
      </c>
      <c r="T231" s="10" t="s">
        <v>84</v>
      </c>
      <c r="U231" s="10"/>
      <c r="V231" s="10"/>
      <c r="W231" s="10"/>
      <c r="X231" s="10"/>
      <c r="Y231" s="10"/>
      <c r="Z231" s="10"/>
      <c r="AA231" s="10"/>
    </row>
    <row r="232" spans="1:27" ht="12.5" x14ac:dyDescent="0.25">
      <c r="A232" s="10" t="s">
        <v>26</v>
      </c>
      <c r="B232" s="10" t="s">
        <v>829</v>
      </c>
      <c r="C232" s="10" t="s">
        <v>76</v>
      </c>
      <c r="D232" s="11">
        <v>2024</v>
      </c>
      <c r="E232" s="10" t="s">
        <v>124</v>
      </c>
      <c r="F232" s="10" t="s">
        <v>83</v>
      </c>
      <c r="G232" s="10" t="s">
        <v>84</v>
      </c>
      <c r="H232" s="12">
        <v>28709.416666666701</v>
      </c>
      <c r="I232" s="11">
        <v>2171</v>
      </c>
      <c r="J232" s="11">
        <v>1919</v>
      </c>
      <c r="K232" s="11">
        <v>34219</v>
      </c>
      <c r="L232" s="11">
        <v>7.5619787932530796E-2</v>
      </c>
      <c r="M232" s="11">
        <v>7.5619787932530755</v>
      </c>
      <c r="N232" s="11">
        <v>0.883924458774758</v>
      </c>
      <c r="O232" s="11">
        <v>1.19190857819589</v>
      </c>
      <c r="P232" s="11">
        <v>0.61486486486486502</v>
      </c>
      <c r="Q232" s="11">
        <v>0.230769230769231</v>
      </c>
      <c r="R232" s="11">
        <v>0.48322147651006703</v>
      </c>
      <c r="S232" s="10" t="s">
        <v>84</v>
      </c>
      <c r="T232" s="10" t="s">
        <v>84</v>
      </c>
      <c r="U232" s="10"/>
      <c r="V232" s="10"/>
      <c r="W232" s="10"/>
      <c r="X232" s="10"/>
      <c r="Y232" s="10"/>
      <c r="Z232" s="10"/>
      <c r="AA232" s="10"/>
    </row>
    <row r="233" spans="1:27" ht="12.5" x14ac:dyDescent="0.25">
      <c r="A233" s="10" t="s">
        <v>49</v>
      </c>
      <c r="B233" s="10" t="s">
        <v>831</v>
      </c>
      <c r="C233" s="10" t="s">
        <v>76</v>
      </c>
      <c r="D233" s="11">
        <v>2024</v>
      </c>
      <c r="E233" s="10" t="s">
        <v>124</v>
      </c>
      <c r="F233" s="10" t="s">
        <v>83</v>
      </c>
      <c r="G233" s="10" t="s">
        <v>84</v>
      </c>
      <c r="H233" s="12">
        <v>6094</v>
      </c>
      <c r="I233" s="11">
        <v>460</v>
      </c>
      <c r="J233" s="11">
        <v>407</v>
      </c>
      <c r="K233" s="11">
        <v>3344</v>
      </c>
      <c r="L233" s="11">
        <v>7.5484082704299293E-2</v>
      </c>
      <c r="M233" s="11">
        <v>7.5484082704299311</v>
      </c>
      <c r="N233" s="11">
        <v>0.88478260869565195</v>
      </c>
      <c r="O233" s="11">
        <v>0.54873646209386295</v>
      </c>
      <c r="P233" s="11">
        <v>0.61402027027026995</v>
      </c>
      <c r="Q233" s="11">
        <v>0.76923076923076905</v>
      </c>
      <c r="R233" s="11">
        <v>0.480984340044743</v>
      </c>
      <c r="S233" s="10" t="s">
        <v>84</v>
      </c>
      <c r="T233" s="10" t="s">
        <v>84</v>
      </c>
      <c r="U233" s="10"/>
      <c r="V233" s="10"/>
      <c r="W233" s="10"/>
      <c r="X233" s="10"/>
      <c r="Y233" s="10"/>
      <c r="Z233" s="10"/>
      <c r="AA233" s="10"/>
    </row>
    <row r="234" spans="1:27" ht="12.5" x14ac:dyDescent="0.25">
      <c r="A234" s="10" t="s">
        <v>16</v>
      </c>
      <c r="B234" s="10" t="s">
        <v>834</v>
      </c>
      <c r="C234" s="10" t="s">
        <v>76</v>
      </c>
      <c r="D234" s="11">
        <v>2024</v>
      </c>
      <c r="E234" s="10" t="s">
        <v>124</v>
      </c>
      <c r="F234" s="10" t="s">
        <v>125</v>
      </c>
      <c r="G234" s="10" t="s">
        <v>84</v>
      </c>
      <c r="H234" s="12">
        <v>1749.25</v>
      </c>
      <c r="I234" s="11">
        <v>132</v>
      </c>
      <c r="J234" s="11">
        <v>75</v>
      </c>
      <c r="K234" s="11">
        <v>0</v>
      </c>
      <c r="L234" s="11">
        <v>7.5460911819351106E-2</v>
      </c>
      <c r="M234" s="11">
        <v>7.5460911819351146</v>
      </c>
      <c r="N234" s="11">
        <v>0.56818181818181801</v>
      </c>
      <c r="O234" s="11">
        <v>0</v>
      </c>
      <c r="P234" s="11">
        <v>0.61317567567567599</v>
      </c>
      <c r="Q234" s="11">
        <v>0.3</v>
      </c>
      <c r="R234" s="11">
        <v>0.47874720357941802</v>
      </c>
      <c r="S234" s="10" t="s">
        <v>84</v>
      </c>
      <c r="T234" s="10" t="s">
        <v>84</v>
      </c>
      <c r="U234" s="10"/>
      <c r="V234" s="10"/>
      <c r="W234" s="10"/>
      <c r="X234" s="10"/>
      <c r="Y234" s="10"/>
      <c r="Z234" s="10"/>
      <c r="AA234" s="10"/>
    </row>
    <row r="235" spans="1:27" ht="12.5" x14ac:dyDescent="0.25">
      <c r="A235" s="10" t="s">
        <v>86</v>
      </c>
      <c r="B235" s="10" t="s">
        <v>836</v>
      </c>
      <c r="C235" s="10" t="s">
        <v>76</v>
      </c>
      <c r="D235" s="11">
        <v>2024</v>
      </c>
      <c r="E235" s="10" t="s">
        <v>124</v>
      </c>
      <c r="F235" s="10" t="s">
        <v>83</v>
      </c>
      <c r="G235" s="10" t="s">
        <v>84</v>
      </c>
      <c r="H235" s="12">
        <v>8737.0833333333303</v>
      </c>
      <c r="I235" s="11">
        <v>658</v>
      </c>
      <c r="J235" s="11">
        <v>624</v>
      </c>
      <c r="K235" s="11">
        <v>4149</v>
      </c>
      <c r="L235" s="11">
        <v>7.5311173637274104E-2</v>
      </c>
      <c r="M235" s="11">
        <v>7.53111736372741</v>
      </c>
      <c r="N235" s="11">
        <v>0.948328267477204</v>
      </c>
      <c r="O235" s="11">
        <v>0.47487243073107899</v>
      </c>
      <c r="P235" s="11">
        <v>0.61233108108108103</v>
      </c>
      <c r="Q235" s="11">
        <v>0.434782608695652</v>
      </c>
      <c r="R235" s="11">
        <v>0.47651006711409399</v>
      </c>
      <c r="S235" s="10" t="s">
        <v>84</v>
      </c>
      <c r="T235" s="10" t="s">
        <v>84</v>
      </c>
      <c r="U235" s="10"/>
      <c r="V235" s="10"/>
      <c r="W235" s="10"/>
      <c r="X235" s="10"/>
      <c r="Y235" s="10"/>
      <c r="Z235" s="10"/>
      <c r="AA235" s="10"/>
    </row>
    <row r="236" spans="1:27" ht="12.5" x14ac:dyDescent="0.25">
      <c r="A236" s="10" t="s">
        <v>104</v>
      </c>
      <c r="B236" s="10" t="s">
        <v>839</v>
      </c>
      <c r="C236" s="10" t="s">
        <v>76</v>
      </c>
      <c r="D236" s="11">
        <v>2024</v>
      </c>
      <c r="E236" s="10" t="s">
        <v>124</v>
      </c>
      <c r="F236" s="10" t="s">
        <v>125</v>
      </c>
      <c r="G236" s="10" t="s">
        <v>84</v>
      </c>
      <c r="H236" s="12">
        <v>4021.3333333333298</v>
      </c>
      <c r="I236" s="11">
        <v>302</v>
      </c>
      <c r="J236" s="11">
        <v>290</v>
      </c>
      <c r="K236" s="11">
        <v>6718</v>
      </c>
      <c r="L236" s="11">
        <v>7.5099469496021198E-2</v>
      </c>
      <c r="M236" s="11">
        <v>7.5099469496021278</v>
      </c>
      <c r="N236" s="11">
        <v>0.96026490066225201</v>
      </c>
      <c r="O236" s="11">
        <v>1.6705901856763901</v>
      </c>
      <c r="P236" s="11">
        <v>0.60979729729729704</v>
      </c>
      <c r="Q236" s="11">
        <v>0.72413793103448298</v>
      </c>
      <c r="R236" s="11">
        <v>0.47427293064877002</v>
      </c>
      <c r="S236" s="10" t="s">
        <v>84</v>
      </c>
      <c r="T236" s="10" t="s">
        <v>84</v>
      </c>
      <c r="U236" s="10"/>
      <c r="V236" s="10"/>
      <c r="W236" s="10"/>
      <c r="X236" s="10"/>
      <c r="Y236" s="10"/>
      <c r="Z236" s="10"/>
      <c r="AA236" s="10"/>
    </row>
    <row r="237" spans="1:27" ht="12.5" x14ac:dyDescent="0.25">
      <c r="A237" s="10" t="s">
        <v>49</v>
      </c>
      <c r="B237" s="10" t="s">
        <v>842</v>
      </c>
      <c r="C237" s="10" t="s">
        <v>76</v>
      </c>
      <c r="D237" s="11">
        <v>2024</v>
      </c>
      <c r="E237" s="10" t="s">
        <v>124</v>
      </c>
      <c r="F237" s="10" t="s">
        <v>83</v>
      </c>
      <c r="G237" s="10" t="s">
        <v>84</v>
      </c>
      <c r="H237" s="12">
        <v>26586.5</v>
      </c>
      <c r="I237" s="11">
        <v>1996</v>
      </c>
      <c r="J237" s="11">
        <v>1849</v>
      </c>
      <c r="K237" s="11">
        <v>38501</v>
      </c>
      <c r="L237" s="11">
        <v>7.5075696312038101E-2</v>
      </c>
      <c r="M237" s="11">
        <v>7.5075696312038058</v>
      </c>
      <c r="N237" s="11">
        <v>0.92635270541082204</v>
      </c>
      <c r="O237" s="11">
        <v>1.44814097380249</v>
      </c>
      <c r="P237" s="11">
        <v>0.60895270270270296</v>
      </c>
      <c r="Q237" s="11">
        <v>0.73076923076923095</v>
      </c>
      <c r="R237" s="11">
        <v>0.47203579418344499</v>
      </c>
      <c r="S237" s="10" t="s">
        <v>84</v>
      </c>
      <c r="T237" s="10" t="s">
        <v>84</v>
      </c>
      <c r="U237" s="10"/>
      <c r="V237" s="10"/>
      <c r="W237" s="10"/>
      <c r="X237" s="10"/>
      <c r="Y237" s="10"/>
      <c r="Z237" s="10"/>
      <c r="AA237" s="10"/>
    </row>
    <row r="238" spans="1:27" ht="12.5" x14ac:dyDescent="0.25">
      <c r="A238" s="10" t="s">
        <v>42</v>
      </c>
      <c r="B238" s="10" t="s">
        <v>843</v>
      </c>
      <c r="C238" s="10" t="s">
        <v>76</v>
      </c>
      <c r="D238" s="11">
        <v>2024</v>
      </c>
      <c r="E238" s="10" t="s">
        <v>124</v>
      </c>
      <c r="F238" s="10" t="s">
        <v>83</v>
      </c>
      <c r="G238" s="10" t="s">
        <v>84</v>
      </c>
      <c r="H238" s="12">
        <v>11682.666666666701</v>
      </c>
      <c r="I238" s="11">
        <v>872</v>
      </c>
      <c r="J238" s="11">
        <v>725</v>
      </c>
      <c r="K238" s="11">
        <v>8410</v>
      </c>
      <c r="L238" s="11">
        <v>7.4640493038119093E-2</v>
      </c>
      <c r="M238" s="11">
        <v>7.464049303811894</v>
      </c>
      <c r="N238" s="11">
        <v>0.83142201834862395</v>
      </c>
      <c r="O238" s="11">
        <v>0.71986989271855695</v>
      </c>
      <c r="P238" s="11">
        <v>0.608108108108108</v>
      </c>
      <c r="Q238" s="11">
        <v>0.547619047619048</v>
      </c>
      <c r="R238" s="11">
        <v>0.46979865771812102</v>
      </c>
      <c r="S238" s="10" t="s">
        <v>84</v>
      </c>
      <c r="T238" s="10" t="s">
        <v>84</v>
      </c>
      <c r="U238" s="10"/>
      <c r="V238" s="10"/>
      <c r="W238" s="10"/>
      <c r="X238" s="10"/>
      <c r="Y238" s="10"/>
      <c r="Z238" s="10"/>
      <c r="AA238" s="10"/>
    </row>
    <row r="239" spans="1:27" ht="12.5" x14ac:dyDescent="0.25">
      <c r="A239" s="10" t="s">
        <v>34</v>
      </c>
      <c r="B239" s="10" t="s">
        <v>845</v>
      </c>
      <c r="C239" s="10" t="s">
        <v>76</v>
      </c>
      <c r="D239" s="11">
        <v>2024</v>
      </c>
      <c r="E239" s="10" t="s">
        <v>124</v>
      </c>
      <c r="F239" s="10" t="s">
        <v>83</v>
      </c>
      <c r="G239" s="10" t="s">
        <v>84</v>
      </c>
      <c r="H239" s="12">
        <v>6633.0833333333303</v>
      </c>
      <c r="I239" s="11">
        <v>493</v>
      </c>
      <c r="J239" s="11">
        <v>493</v>
      </c>
      <c r="K239" s="11">
        <v>6472</v>
      </c>
      <c r="L239" s="11">
        <v>7.4324409211402404E-2</v>
      </c>
      <c r="M239" s="11">
        <v>7.4324409211402473</v>
      </c>
      <c r="N239" s="11">
        <v>1</v>
      </c>
      <c r="O239" s="11">
        <v>0.97571516514441503</v>
      </c>
      <c r="P239" s="11">
        <v>0.60641891891891897</v>
      </c>
      <c r="Q239" s="11">
        <v>0.93877551020408201</v>
      </c>
      <c r="R239" s="11">
        <v>0.46756152125279599</v>
      </c>
      <c r="S239" s="10" t="s">
        <v>84</v>
      </c>
      <c r="T239" s="10" t="s">
        <v>84</v>
      </c>
      <c r="U239" s="10"/>
      <c r="V239" s="10"/>
      <c r="W239" s="10"/>
      <c r="X239" s="10"/>
      <c r="Y239" s="10"/>
      <c r="Z239" s="10"/>
      <c r="AA239" s="10"/>
    </row>
    <row r="240" spans="1:27" ht="12.5" x14ac:dyDescent="0.25">
      <c r="A240" s="10" t="s">
        <v>52</v>
      </c>
      <c r="B240" s="10" t="s">
        <v>847</v>
      </c>
      <c r="C240" s="10" t="s">
        <v>76</v>
      </c>
      <c r="D240" s="11">
        <v>2024</v>
      </c>
      <c r="E240" s="10" t="s">
        <v>124</v>
      </c>
      <c r="F240" s="10" t="s">
        <v>125</v>
      </c>
      <c r="G240" s="10" t="s">
        <v>84</v>
      </c>
      <c r="H240" s="12">
        <v>1363</v>
      </c>
      <c r="I240" s="11">
        <v>99</v>
      </c>
      <c r="J240" s="11">
        <v>96</v>
      </c>
      <c r="K240" s="11">
        <v>261</v>
      </c>
      <c r="L240" s="11">
        <v>7.2633895818048397E-2</v>
      </c>
      <c r="M240" s="11">
        <v>7.2633895818048426</v>
      </c>
      <c r="N240" s="11">
        <v>0.96969696969696995</v>
      </c>
      <c r="O240" s="11">
        <v>0.19148936170212799</v>
      </c>
      <c r="P240" s="11">
        <v>0.60388513513513498</v>
      </c>
      <c r="Q240" s="11">
        <v>0.51063829787234005</v>
      </c>
      <c r="R240" s="11">
        <v>0.46532438478747201</v>
      </c>
      <c r="S240" s="10" t="s">
        <v>84</v>
      </c>
      <c r="T240" s="10" t="s">
        <v>84</v>
      </c>
      <c r="U240" s="10"/>
      <c r="V240" s="10"/>
      <c r="W240" s="10"/>
      <c r="X240" s="10"/>
      <c r="Y240" s="10"/>
      <c r="Z240" s="10"/>
      <c r="AA240" s="10"/>
    </row>
    <row r="241" spans="1:27" ht="12.5" x14ac:dyDescent="0.25">
      <c r="A241" s="10" t="s">
        <v>62</v>
      </c>
      <c r="B241" s="10" t="s">
        <v>849</v>
      </c>
      <c r="C241" s="10" t="s">
        <v>76</v>
      </c>
      <c r="D241" s="11">
        <v>2024</v>
      </c>
      <c r="E241" s="10" t="s">
        <v>124</v>
      </c>
      <c r="F241" s="10" t="s">
        <v>83</v>
      </c>
      <c r="G241" s="10" t="s">
        <v>84</v>
      </c>
      <c r="H241" s="12">
        <v>8118.25</v>
      </c>
      <c r="I241" s="11">
        <v>588</v>
      </c>
      <c r="J241" s="11">
        <v>533</v>
      </c>
      <c r="K241" s="11">
        <v>10653</v>
      </c>
      <c r="L241" s="11">
        <v>7.2429402888553596E-2</v>
      </c>
      <c r="M241" s="11">
        <v>7.2429402888553565</v>
      </c>
      <c r="N241" s="11">
        <v>0.906462585034014</v>
      </c>
      <c r="O241" s="11">
        <v>1.31222862070027</v>
      </c>
      <c r="P241" s="11">
        <v>0.60304054054054101</v>
      </c>
      <c r="Q241" s="11">
        <v>0.72222222222222199</v>
      </c>
      <c r="R241" s="11">
        <v>0.46308724832214798</v>
      </c>
      <c r="S241" s="10" t="s">
        <v>84</v>
      </c>
      <c r="T241" s="10" t="s">
        <v>84</v>
      </c>
      <c r="U241" s="10"/>
      <c r="V241" s="10"/>
      <c r="W241" s="10"/>
      <c r="X241" s="10"/>
      <c r="Y241" s="10"/>
      <c r="Z241" s="10"/>
      <c r="AA241" s="10"/>
    </row>
    <row r="242" spans="1:27" ht="12.5" x14ac:dyDescent="0.25">
      <c r="A242" s="10" t="s">
        <v>109</v>
      </c>
      <c r="B242" s="10" t="s">
        <v>852</v>
      </c>
      <c r="C242" s="10" t="s">
        <v>76</v>
      </c>
      <c r="D242" s="11">
        <v>2024</v>
      </c>
      <c r="E242" s="10" t="s">
        <v>124</v>
      </c>
      <c r="F242" s="10" t="s">
        <v>83</v>
      </c>
      <c r="G242" s="10" t="s">
        <v>84</v>
      </c>
      <c r="H242" s="12">
        <v>7469.6666666666697</v>
      </c>
      <c r="I242" s="11">
        <v>538</v>
      </c>
      <c r="J242" s="11">
        <v>538</v>
      </c>
      <c r="K242" s="11">
        <v>570</v>
      </c>
      <c r="L242" s="11">
        <v>7.2024632959971399E-2</v>
      </c>
      <c r="M242" s="11">
        <v>7.2024632959971413</v>
      </c>
      <c r="N242" s="11">
        <v>1</v>
      </c>
      <c r="O242" s="11">
        <v>7.6308625998482704E-2</v>
      </c>
      <c r="P242" s="11">
        <v>0.60219594594594605</v>
      </c>
      <c r="Q242" s="11">
        <v>0.61111111111111105</v>
      </c>
      <c r="R242" s="11">
        <v>0.46085011185682301</v>
      </c>
      <c r="S242" s="10" t="s">
        <v>84</v>
      </c>
      <c r="T242" s="10" t="s">
        <v>84</v>
      </c>
      <c r="U242" s="10"/>
      <c r="V242" s="10"/>
      <c r="W242" s="10"/>
      <c r="X242" s="10"/>
      <c r="Y242" s="10"/>
      <c r="Z242" s="10"/>
      <c r="AA242" s="10"/>
    </row>
    <row r="243" spans="1:27" ht="12.5" x14ac:dyDescent="0.25">
      <c r="A243" s="10" t="s">
        <v>62</v>
      </c>
      <c r="B243" s="10" t="s">
        <v>854</v>
      </c>
      <c r="C243" s="10" t="s">
        <v>76</v>
      </c>
      <c r="D243" s="11">
        <v>2024</v>
      </c>
      <c r="E243" s="10" t="s">
        <v>124</v>
      </c>
      <c r="F243" s="10" t="s">
        <v>83</v>
      </c>
      <c r="G243" s="10" t="s">
        <v>84</v>
      </c>
      <c r="H243" s="12">
        <v>29890.5</v>
      </c>
      <c r="I243" s="11">
        <v>2103</v>
      </c>
      <c r="J243" s="11">
        <v>1713</v>
      </c>
      <c r="K243" s="11">
        <v>7770</v>
      </c>
      <c r="L243" s="11">
        <v>7.0356802328499002E-2</v>
      </c>
      <c r="M243" s="11">
        <v>7.0356802328499013</v>
      </c>
      <c r="N243" s="11">
        <v>0.81455064194008597</v>
      </c>
      <c r="O243" s="11">
        <v>0.25994881316806301</v>
      </c>
      <c r="P243" s="11">
        <v>0.59712837837837796</v>
      </c>
      <c r="Q243" s="11">
        <v>0.69444444444444398</v>
      </c>
      <c r="R243" s="11">
        <v>0.45861297539149898</v>
      </c>
      <c r="S243" s="10" t="s">
        <v>84</v>
      </c>
      <c r="T243" s="10" t="s">
        <v>84</v>
      </c>
      <c r="U243" s="10"/>
      <c r="V243" s="10"/>
      <c r="W243" s="10"/>
      <c r="X243" s="10"/>
      <c r="Y243" s="10"/>
      <c r="Z243" s="10"/>
      <c r="AA243" s="10"/>
    </row>
    <row r="244" spans="1:27" ht="12.5" x14ac:dyDescent="0.25">
      <c r="A244" s="10" t="s">
        <v>62</v>
      </c>
      <c r="B244" s="10" t="s">
        <v>857</v>
      </c>
      <c r="C244" s="10" t="s">
        <v>76</v>
      </c>
      <c r="D244" s="11">
        <v>2024</v>
      </c>
      <c r="E244" s="10" t="s">
        <v>124</v>
      </c>
      <c r="F244" s="10" t="s">
        <v>83</v>
      </c>
      <c r="G244" s="10" t="s">
        <v>84</v>
      </c>
      <c r="H244" s="12">
        <v>10832.083333333299</v>
      </c>
      <c r="I244" s="11">
        <v>759</v>
      </c>
      <c r="J244" s="11">
        <v>689</v>
      </c>
      <c r="K244" s="11">
        <v>20759</v>
      </c>
      <c r="L244" s="11">
        <v>7.0069623418086702E-2</v>
      </c>
      <c r="M244" s="11">
        <v>7.0069623418086922</v>
      </c>
      <c r="N244" s="11">
        <v>0.90777338603425595</v>
      </c>
      <c r="O244" s="11">
        <v>1.91643651190522</v>
      </c>
      <c r="P244" s="11">
        <v>0.59628378378378399</v>
      </c>
      <c r="Q244" s="11">
        <v>0.66666666666666696</v>
      </c>
      <c r="R244" s="11">
        <v>0.456375838926175</v>
      </c>
      <c r="S244" s="10" t="s">
        <v>84</v>
      </c>
      <c r="T244" s="10" t="s">
        <v>84</v>
      </c>
      <c r="U244" s="10"/>
      <c r="V244" s="10"/>
      <c r="W244" s="10"/>
      <c r="X244" s="10"/>
      <c r="Y244" s="10"/>
      <c r="Z244" s="10"/>
      <c r="AA244" s="10"/>
    </row>
    <row r="245" spans="1:27" ht="12.5" x14ac:dyDescent="0.25">
      <c r="A245" s="10" t="s">
        <v>118</v>
      </c>
      <c r="B245" s="10" t="s">
        <v>860</v>
      </c>
      <c r="C245" s="10" t="s">
        <v>76</v>
      </c>
      <c r="D245" s="11">
        <v>2024</v>
      </c>
      <c r="E245" s="10" t="s">
        <v>124</v>
      </c>
      <c r="F245" s="10" t="s">
        <v>83</v>
      </c>
      <c r="G245" s="10" t="s">
        <v>84</v>
      </c>
      <c r="H245" s="12">
        <v>16902.666666666701</v>
      </c>
      <c r="I245" s="11">
        <v>1178</v>
      </c>
      <c r="J245" s="11">
        <v>1178</v>
      </c>
      <c r="K245" s="11">
        <v>15879</v>
      </c>
      <c r="L245" s="11">
        <v>6.9693145065867296E-2</v>
      </c>
      <c r="M245" s="11">
        <v>6.9693145065867181</v>
      </c>
      <c r="N245" s="11">
        <v>1</v>
      </c>
      <c r="O245" s="11">
        <v>0.93943756409245105</v>
      </c>
      <c r="P245" s="11">
        <v>0.59206081081081097</v>
      </c>
      <c r="Q245" s="11">
        <v>0.85714285714285698</v>
      </c>
      <c r="R245" s="11">
        <v>0.45413870246084997</v>
      </c>
      <c r="S245" s="10" t="s">
        <v>84</v>
      </c>
      <c r="T245" s="10" t="s">
        <v>84</v>
      </c>
      <c r="U245" s="10"/>
      <c r="V245" s="10"/>
      <c r="W245" s="10"/>
      <c r="X245" s="10"/>
      <c r="Y245" s="10"/>
      <c r="Z245" s="10"/>
      <c r="AA245" s="10"/>
    </row>
    <row r="246" spans="1:27" ht="12.5" x14ac:dyDescent="0.25">
      <c r="A246" s="10" t="s">
        <v>12</v>
      </c>
      <c r="B246" s="10" t="s">
        <v>863</v>
      </c>
      <c r="C246" s="10" t="s">
        <v>76</v>
      </c>
      <c r="D246" s="11">
        <v>2024</v>
      </c>
      <c r="E246" s="10" t="s">
        <v>124</v>
      </c>
      <c r="F246" s="10" t="s">
        <v>83</v>
      </c>
      <c r="G246" s="10" t="s">
        <v>84</v>
      </c>
      <c r="H246" s="12">
        <v>20206.5</v>
      </c>
      <c r="I246" s="11">
        <v>1393</v>
      </c>
      <c r="J246" s="11">
        <v>1232</v>
      </c>
      <c r="K246" s="11">
        <v>62805</v>
      </c>
      <c r="L246" s="11">
        <v>6.8938212951278E-2</v>
      </c>
      <c r="M246" s="11">
        <v>6.8938212951278057</v>
      </c>
      <c r="N246" s="11">
        <v>0.88442211055276398</v>
      </c>
      <c r="O246" s="11">
        <v>3.1081582659045401</v>
      </c>
      <c r="P246" s="11">
        <v>0.58952702702702697</v>
      </c>
      <c r="Q246" s="11">
        <v>0.40277777777777801</v>
      </c>
      <c r="R246" s="11">
        <v>0.451901565995526</v>
      </c>
      <c r="S246" s="10" t="s">
        <v>84</v>
      </c>
      <c r="T246" s="10" t="s">
        <v>84</v>
      </c>
      <c r="U246" s="10"/>
      <c r="V246" s="10"/>
      <c r="W246" s="10"/>
      <c r="X246" s="10"/>
      <c r="Y246" s="10"/>
      <c r="Z246" s="10"/>
      <c r="AA246" s="10"/>
    </row>
    <row r="247" spans="1:27" ht="12.5" x14ac:dyDescent="0.25">
      <c r="A247" s="10" t="s">
        <v>82</v>
      </c>
      <c r="B247" s="10" t="s">
        <v>866</v>
      </c>
      <c r="C247" s="10" t="s">
        <v>76</v>
      </c>
      <c r="D247" s="11">
        <v>2024</v>
      </c>
      <c r="E247" s="10" t="s">
        <v>124</v>
      </c>
      <c r="F247" s="10" t="s">
        <v>83</v>
      </c>
      <c r="G247" s="10" t="s">
        <v>84</v>
      </c>
      <c r="H247" s="12">
        <v>8609</v>
      </c>
      <c r="I247" s="11">
        <v>590</v>
      </c>
      <c r="J247" s="11">
        <v>570</v>
      </c>
      <c r="K247" s="11">
        <v>18021</v>
      </c>
      <c r="L247" s="11">
        <v>6.8532930653966803E-2</v>
      </c>
      <c r="M247" s="11">
        <v>6.8532930653966773</v>
      </c>
      <c r="N247" s="11">
        <v>0.96610169491525399</v>
      </c>
      <c r="O247" s="11">
        <v>2.0932744801951402</v>
      </c>
      <c r="P247" s="11">
        <v>0.58868243243243201</v>
      </c>
      <c r="Q247" s="11">
        <v>0.91379310344827602</v>
      </c>
      <c r="R247" s="11">
        <v>0.44966442953020103</v>
      </c>
      <c r="S247" s="10" t="s">
        <v>84</v>
      </c>
      <c r="T247" s="10" t="s">
        <v>84</v>
      </c>
      <c r="U247" s="10"/>
      <c r="V247" s="10"/>
      <c r="W247" s="10"/>
      <c r="X247" s="10"/>
      <c r="Y247" s="10"/>
      <c r="Z247" s="10"/>
      <c r="AA247" s="10"/>
    </row>
    <row r="248" spans="1:27" ht="12.5" x14ac:dyDescent="0.25">
      <c r="A248" s="10" t="s">
        <v>101</v>
      </c>
      <c r="B248" s="10" t="s">
        <v>868</v>
      </c>
      <c r="C248" s="10" t="s">
        <v>76</v>
      </c>
      <c r="D248" s="11">
        <v>2024</v>
      </c>
      <c r="E248" s="10" t="s">
        <v>124</v>
      </c>
      <c r="F248" s="10" t="s">
        <v>83</v>
      </c>
      <c r="G248" s="10" t="s">
        <v>84</v>
      </c>
      <c r="H248" s="12">
        <v>18101.166666666701</v>
      </c>
      <c r="I248" s="11">
        <v>1240</v>
      </c>
      <c r="J248" s="11">
        <v>869</v>
      </c>
      <c r="K248" s="11">
        <v>22344</v>
      </c>
      <c r="L248" s="11">
        <v>6.8503871757805701E-2</v>
      </c>
      <c r="M248" s="11">
        <v>6.8503871757805532</v>
      </c>
      <c r="N248" s="11">
        <v>0.700806451612903</v>
      </c>
      <c r="O248" s="11">
        <v>1.2343955730293601</v>
      </c>
      <c r="P248" s="11">
        <v>0.58699324324324298</v>
      </c>
      <c r="Q248" s="11">
        <v>0.64285714285714302</v>
      </c>
      <c r="R248" s="11">
        <v>0.447427293064877</v>
      </c>
      <c r="S248" s="10" t="s">
        <v>84</v>
      </c>
      <c r="T248" s="10" t="s">
        <v>84</v>
      </c>
      <c r="U248" s="10"/>
      <c r="V248" s="10"/>
      <c r="W248" s="10"/>
      <c r="X248" s="10"/>
      <c r="Y248" s="10"/>
      <c r="Z248" s="10"/>
      <c r="AA248" s="10"/>
    </row>
    <row r="249" spans="1:27" ht="12.5" x14ac:dyDescent="0.25">
      <c r="A249" s="10" t="s">
        <v>25</v>
      </c>
      <c r="B249" s="10" t="s">
        <v>870</v>
      </c>
      <c r="C249" s="10" t="s">
        <v>76</v>
      </c>
      <c r="D249" s="11">
        <v>2024</v>
      </c>
      <c r="E249" s="10" t="s">
        <v>124</v>
      </c>
      <c r="F249" s="10" t="s">
        <v>83</v>
      </c>
      <c r="G249" s="10" t="s">
        <v>84</v>
      </c>
      <c r="H249" s="12">
        <v>13944.333333333299</v>
      </c>
      <c r="I249" s="11">
        <v>952</v>
      </c>
      <c r="J249" s="11">
        <v>933</v>
      </c>
      <c r="K249" s="11">
        <v>27567</v>
      </c>
      <c r="L249" s="11">
        <v>6.8271460330361203E-2</v>
      </c>
      <c r="M249" s="11">
        <v>6.8271460330361373</v>
      </c>
      <c r="N249" s="11">
        <v>0.98004201680672298</v>
      </c>
      <c r="O249" s="11">
        <v>1.9769320871082601</v>
      </c>
      <c r="P249" s="11">
        <v>0.58614864864864902</v>
      </c>
      <c r="Q249" s="11">
        <v>0.4375</v>
      </c>
      <c r="R249" s="11">
        <v>0.44519015659955302</v>
      </c>
      <c r="S249" s="10" t="s">
        <v>84</v>
      </c>
      <c r="T249" s="10" t="s">
        <v>84</v>
      </c>
      <c r="U249" s="10"/>
      <c r="V249" s="10"/>
      <c r="W249" s="10"/>
      <c r="X249" s="10"/>
      <c r="Y249" s="10"/>
      <c r="Z249" s="10"/>
      <c r="AA249" s="10"/>
    </row>
    <row r="250" spans="1:27" ht="12.5" x14ac:dyDescent="0.25">
      <c r="A250" s="10" t="s">
        <v>104</v>
      </c>
      <c r="B250" s="10" t="s">
        <v>873</v>
      </c>
      <c r="C250" s="10" t="s">
        <v>76</v>
      </c>
      <c r="D250" s="11">
        <v>2024</v>
      </c>
      <c r="E250" s="10" t="s">
        <v>124</v>
      </c>
      <c r="F250" s="10" t="s">
        <v>83</v>
      </c>
      <c r="G250" s="10" t="s">
        <v>84</v>
      </c>
      <c r="H250" s="12">
        <v>42364.916666666701</v>
      </c>
      <c r="I250" s="11">
        <v>2880</v>
      </c>
      <c r="J250" s="11">
        <v>2868</v>
      </c>
      <c r="K250" s="11">
        <v>53329</v>
      </c>
      <c r="L250" s="11">
        <v>6.7980778120260696E-2</v>
      </c>
      <c r="M250" s="11">
        <v>6.7980778120260617</v>
      </c>
      <c r="N250" s="11">
        <v>0.99583333333333302</v>
      </c>
      <c r="O250" s="11">
        <v>1.2588010126303399</v>
      </c>
      <c r="P250" s="11">
        <v>0.58361486486486502</v>
      </c>
      <c r="Q250" s="11">
        <v>0.65517241379310298</v>
      </c>
      <c r="R250" s="11">
        <v>0.44295302013422799</v>
      </c>
      <c r="S250" s="10" t="s">
        <v>84</v>
      </c>
      <c r="T250" s="10" t="s">
        <v>84</v>
      </c>
      <c r="U250" s="10"/>
      <c r="V250" s="10"/>
      <c r="W250" s="10"/>
      <c r="X250" s="10"/>
      <c r="Y250" s="10"/>
      <c r="Z250" s="10"/>
      <c r="AA250" s="10"/>
    </row>
    <row r="251" spans="1:27" ht="12.5" x14ac:dyDescent="0.25">
      <c r="A251" s="10" t="s">
        <v>118</v>
      </c>
      <c r="B251" s="10" t="s">
        <v>875</v>
      </c>
      <c r="C251" s="10" t="s">
        <v>76</v>
      </c>
      <c r="D251" s="11">
        <v>2024</v>
      </c>
      <c r="E251" s="10" t="s">
        <v>124</v>
      </c>
      <c r="F251" s="10" t="s">
        <v>83</v>
      </c>
      <c r="G251" s="10" t="s">
        <v>84</v>
      </c>
      <c r="H251" s="12">
        <v>34071.583333333299</v>
      </c>
      <c r="I251" s="11">
        <v>2271</v>
      </c>
      <c r="J251" s="11">
        <v>1877</v>
      </c>
      <c r="K251" s="11">
        <v>23839</v>
      </c>
      <c r="L251" s="11">
        <v>6.6653785290283402E-2</v>
      </c>
      <c r="M251" s="11">
        <v>6.6653785290283514</v>
      </c>
      <c r="N251" s="11">
        <v>0.82650814619110502</v>
      </c>
      <c r="O251" s="11">
        <v>0.69967397073318705</v>
      </c>
      <c r="P251" s="11">
        <v>0.58023648648648696</v>
      </c>
      <c r="Q251" s="11">
        <v>0.78571428571428603</v>
      </c>
      <c r="R251" s="11">
        <v>0.44071588366890402</v>
      </c>
      <c r="S251" s="10" t="s">
        <v>84</v>
      </c>
      <c r="T251" s="10" t="s">
        <v>84</v>
      </c>
      <c r="U251" s="10"/>
      <c r="V251" s="10"/>
      <c r="W251" s="10"/>
      <c r="X251" s="10"/>
      <c r="Y251" s="10"/>
      <c r="Z251" s="10"/>
      <c r="AA251" s="10"/>
    </row>
    <row r="252" spans="1:27" ht="12.5" x14ac:dyDescent="0.25">
      <c r="A252" s="10" t="s">
        <v>82</v>
      </c>
      <c r="B252" s="10" t="s">
        <v>877</v>
      </c>
      <c r="C252" s="10" t="s">
        <v>76</v>
      </c>
      <c r="D252" s="11">
        <v>2024</v>
      </c>
      <c r="E252" s="10" t="s">
        <v>124</v>
      </c>
      <c r="F252" s="10" t="s">
        <v>83</v>
      </c>
      <c r="G252" s="10" t="s">
        <v>84</v>
      </c>
      <c r="H252" s="12">
        <v>18373.666666666701</v>
      </c>
      <c r="I252" s="11">
        <v>1204</v>
      </c>
      <c r="J252" s="11">
        <v>498</v>
      </c>
      <c r="K252" s="11">
        <v>19121</v>
      </c>
      <c r="L252" s="11">
        <v>6.5528564430979097E-2</v>
      </c>
      <c r="M252" s="11">
        <v>6.5528564430978999</v>
      </c>
      <c r="N252" s="11">
        <v>0.41362126245847203</v>
      </c>
      <c r="O252" s="11">
        <v>1.04067415322654</v>
      </c>
      <c r="P252" s="11">
        <v>0.57770270270270296</v>
      </c>
      <c r="Q252" s="11">
        <v>0.89655172413793105</v>
      </c>
      <c r="R252" s="11">
        <v>0.43847874720357899</v>
      </c>
      <c r="S252" s="10" t="s">
        <v>84</v>
      </c>
      <c r="T252" s="10" t="s">
        <v>84</v>
      </c>
      <c r="U252" s="10"/>
      <c r="V252" s="10"/>
      <c r="W252" s="10"/>
      <c r="X252" s="10"/>
      <c r="Y252" s="10"/>
      <c r="Z252" s="10"/>
      <c r="AA252" s="10"/>
    </row>
    <row r="253" spans="1:27" ht="12.5" x14ac:dyDescent="0.25">
      <c r="A253" s="10" t="s">
        <v>103</v>
      </c>
      <c r="B253" s="10" t="s">
        <v>880</v>
      </c>
      <c r="C253" s="10" t="s">
        <v>76</v>
      </c>
      <c r="D253" s="11">
        <v>2024</v>
      </c>
      <c r="E253" s="10" t="s">
        <v>124</v>
      </c>
      <c r="F253" s="10" t="s">
        <v>83</v>
      </c>
      <c r="G253" s="10" t="s">
        <v>84</v>
      </c>
      <c r="H253" s="12">
        <v>108211.5</v>
      </c>
      <c r="I253" s="11">
        <v>7046</v>
      </c>
      <c r="J253" s="11">
        <v>6511</v>
      </c>
      <c r="K253" s="11">
        <v>100727</v>
      </c>
      <c r="L253" s="11">
        <v>6.5113227337205398E-2</v>
      </c>
      <c r="M253" s="11">
        <v>6.5113227337205384</v>
      </c>
      <c r="N253" s="11">
        <v>0.92407039455009898</v>
      </c>
      <c r="O253" s="11">
        <v>0.93083452313293902</v>
      </c>
      <c r="P253" s="11">
        <v>0.57432432432432401</v>
      </c>
      <c r="Q253" s="11">
        <v>0.565217391304348</v>
      </c>
      <c r="R253" s="11">
        <v>0.43624161073825501</v>
      </c>
      <c r="S253" s="10" t="s">
        <v>84</v>
      </c>
      <c r="T253" s="10" t="s">
        <v>84</v>
      </c>
      <c r="U253" s="10"/>
      <c r="V253" s="10"/>
      <c r="W253" s="10"/>
      <c r="X253" s="10"/>
      <c r="Y253" s="10"/>
      <c r="Z253" s="10"/>
      <c r="AA253" s="10"/>
    </row>
    <row r="254" spans="1:27" ht="12.5" x14ac:dyDescent="0.25">
      <c r="A254" s="10" t="s">
        <v>34</v>
      </c>
      <c r="B254" s="10" t="s">
        <v>882</v>
      </c>
      <c r="C254" s="10" t="s">
        <v>76</v>
      </c>
      <c r="D254" s="11">
        <v>2024</v>
      </c>
      <c r="E254" s="10" t="s">
        <v>124</v>
      </c>
      <c r="F254" s="10" t="s">
        <v>83</v>
      </c>
      <c r="G254" s="10" t="s">
        <v>84</v>
      </c>
      <c r="H254" s="12">
        <v>18437.666666666701</v>
      </c>
      <c r="I254" s="11">
        <v>1198</v>
      </c>
      <c r="J254" s="11">
        <v>1122</v>
      </c>
      <c r="K254" s="11">
        <v>7621</v>
      </c>
      <c r="L254" s="11">
        <v>6.4975683835626297E-2</v>
      </c>
      <c r="M254" s="11">
        <v>6.4975683835626228</v>
      </c>
      <c r="N254" s="11">
        <v>0.93656093489148595</v>
      </c>
      <c r="O254" s="11">
        <v>0.413338636486902</v>
      </c>
      <c r="P254" s="11">
        <v>0.57347972972973005</v>
      </c>
      <c r="Q254" s="11">
        <v>0.87755102040816302</v>
      </c>
      <c r="R254" s="11">
        <v>0.43400447427293098</v>
      </c>
      <c r="S254" s="10" t="s">
        <v>84</v>
      </c>
      <c r="T254" s="10" t="s">
        <v>84</v>
      </c>
      <c r="U254" s="10"/>
      <c r="V254" s="10"/>
      <c r="W254" s="10"/>
      <c r="X254" s="10"/>
      <c r="Y254" s="10"/>
      <c r="Z254" s="10"/>
      <c r="AA254" s="10"/>
    </row>
    <row r="255" spans="1:27" ht="12.5" x14ac:dyDescent="0.25">
      <c r="A255" s="10" t="s">
        <v>34</v>
      </c>
      <c r="B255" s="10" t="s">
        <v>885</v>
      </c>
      <c r="C255" s="10" t="s">
        <v>76</v>
      </c>
      <c r="D255" s="11">
        <v>2024</v>
      </c>
      <c r="E255" s="10" t="s">
        <v>124</v>
      </c>
      <c r="F255" s="10" t="s">
        <v>83</v>
      </c>
      <c r="G255" s="10" t="s">
        <v>84</v>
      </c>
      <c r="H255" s="12">
        <v>8729.4166666666697</v>
      </c>
      <c r="I255" s="11">
        <v>567</v>
      </c>
      <c r="J255" s="11">
        <v>564</v>
      </c>
      <c r="K255" s="11">
        <v>4638</v>
      </c>
      <c r="L255" s="11">
        <v>6.4952793714738499E-2</v>
      </c>
      <c r="M255" s="11">
        <v>6.4952793714738455</v>
      </c>
      <c r="N255" s="11">
        <v>0.99470899470899499</v>
      </c>
      <c r="O255" s="11">
        <v>0.53130697927505699</v>
      </c>
      <c r="P255" s="11">
        <v>0.57263513513513498</v>
      </c>
      <c r="Q255" s="11">
        <v>0.85714285714285698</v>
      </c>
      <c r="R255" s="11">
        <v>0.43176733780760601</v>
      </c>
      <c r="S255" s="10" t="s">
        <v>84</v>
      </c>
      <c r="T255" s="10" t="s">
        <v>84</v>
      </c>
      <c r="U255" s="10"/>
      <c r="V255" s="10"/>
      <c r="W255" s="10"/>
      <c r="X255" s="10"/>
      <c r="Y255" s="10"/>
      <c r="Z255" s="10"/>
      <c r="AA255" s="10"/>
    </row>
    <row r="256" spans="1:27" ht="12.5" x14ac:dyDescent="0.25">
      <c r="A256" s="10" t="s">
        <v>53</v>
      </c>
      <c r="B256" s="10" t="s">
        <v>887</v>
      </c>
      <c r="C256" s="10" t="s">
        <v>76</v>
      </c>
      <c r="D256" s="11">
        <v>2024</v>
      </c>
      <c r="E256" s="10" t="s">
        <v>124</v>
      </c>
      <c r="F256" s="10" t="s">
        <v>83</v>
      </c>
      <c r="G256" s="10" t="s">
        <v>84</v>
      </c>
      <c r="H256" s="12">
        <v>2805.25</v>
      </c>
      <c r="I256" s="11">
        <v>182</v>
      </c>
      <c r="J256" s="11">
        <v>167</v>
      </c>
      <c r="K256" s="11">
        <v>4672</v>
      </c>
      <c r="L256" s="11">
        <v>6.4878353087960097E-2</v>
      </c>
      <c r="M256" s="11">
        <v>6.487835308796007</v>
      </c>
      <c r="N256" s="11">
        <v>0.91758241758241799</v>
      </c>
      <c r="O256" s="11">
        <v>1.66544871223599</v>
      </c>
      <c r="P256" s="11">
        <v>0.57179054054054101</v>
      </c>
      <c r="Q256" s="11">
        <v>1</v>
      </c>
      <c r="R256" s="11">
        <v>0.42953020134228198</v>
      </c>
      <c r="S256" s="10" t="s">
        <v>84</v>
      </c>
      <c r="T256" s="10" t="s">
        <v>84</v>
      </c>
      <c r="U256" s="10"/>
      <c r="V256" s="10"/>
      <c r="W256" s="10"/>
      <c r="X256" s="10"/>
      <c r="Y256" s="10"/>
      <c r="Z256" s="10"/>
      <c r="AA256" s="10"/>
    </row>
    <row r="257" spans="1:27" ht="12.5" x14ac:dyDescent="0.25">
      <c r="A257" s="10" t="s">
        <v>92</v>
      </c>
      <c r="B257" s="10" t="s">
        <v>890</v>
      </c>
      <c r="C257" s="10" t="s">
        <v>76</v>
      </c>
      <c r="D257" s="11">
        <v>2024</v>
      </c>
      <c r="E257" s="10" t="s">
        <v>124</v>
      </c>
      <c r="F257" s="10" t="s">
        <v>83</v>
      </c>
      <c r="G257" s="10" t="s">
        <v>84</v>
      </c>
      <c r="H257" s="12">
        <v>22537.25</v>
      </c>
      <c r="I257" s="11">
        <v>1456</v>
      </c>
      <c r="J257" s="11">
        <v>1456</v>
      </c>
      <c r="K257" s="11">
        <v>3766</v>
      </c>
      <c r="L257" s="11">
        <v>6.4604155342821296E-2</v>
      </c>
      <c r="M257" s="11">
        <v>6.4604155342821326</v>
      </c>
      <c r="N257" s="11">
        <v>1</v>
      </c>
      <c r="O257" s="11">
        <v>0.167101132569413</v>
      </c>
      <c r="P257" s="11">
        <v>0.57094594594594605</v>
      </c>
      <c r="Q257" s="11">
        <v>0.88888888888888895</v>
      </c>
      <c r="R257" s="11">
        <v>0.42729306487695801</v>
      </c>
      <c r="S257" s="10" t="s">
        <v>84</v>
      </c>
      <c r="T257" s="10" t="s">
        <v>84</v>
      </c>
      <c r="U257" s="10"/>
      <c r="V257" s="10"/>
      <c r="W257" s="10"/>
      <c r="X257" s="10"/>
      <c r="Y257" s="10"/>
      <c r="Z257" s="10"/>
      <c r="AA257" s="10"/>
    </row>
    <row r="258" spans="1:27" ht="12.5" x14ac:dyDescent="0.25">
      <c r="A258" s="10" t="s">
        <v>77</v>
      </c>
      <c r="B258" s="10" t="s">
        <v>893</v>
      </c>
      <c r="C258" s="10" t="s">
        <v>76</v>
      </c>
      <c r="D258" s="11">
        <v>2024</v>
      </c>
      <c r="E258" s="10" t="s">
        <v>124</v>
      </c>
      <c r="F258" s="10" t="s">
        <v>83</v>
      </c>
      <c r="G258" s="10" t="s">
        <v>84</v>
      </c>
      <c r="H258" s="12">
        <v>9984.5</v>
      </c>
      <c r="I258" s="11">
        <v>641</v>
      </c>
      <c r="J258" s="11">
        <v>637</v>
      </c>
      <c r="K258" s="11">
        <v>6133</v>
      </c>
      <c r="L258" s="11">
        <v>6.4199509239320995E-2</v>
      </c>
      <c r="M258" s="11">
        <v>6.4199509239320953</v>
      </c>
      <c r="N258" s="11">
        <v>0.99375975039001596</v>
      </c>
      <c r="O258" s="11">
        <v>0.61425209074064802</v>
      </c>
      <c r="P258" s="11">
        <v>0.57010135135135098</v>
      </c>
      <c r="Q258" s="11">
        <v>0.78571428571428603</v>
      </c>
      <c r="R258" s="11">
        <v>0.42505592841163298</v>
      </c>
      <c r="S258" s="10" t="s">
        <v>84</v>
      </c>
      <c r="T258" s="10" t="s">
        <v>84</v>
      </c>
      <c r="U258" s="10"/>
      <c r="V258" s="10"/>
      <c r="W258" s="10"/>
      <c r="X258" s="10"/>
      <c r="Y258" s="10"/>
      <c r="Z258" s="10"/>
      <c r="AA258" s="10"/>
    </row>
    <row r="259" spans="1:27" ht="12.5" x14ac:dyDescent="0.25">
      <c r="A259" s="10" t="s">
        <v>49</v>
      </c>
      <c r="B259" s="10" t="s">
        <v>895</v>
      </c>
      <c r="C259" s="10" t="s">
        <v>76</v>
      </c>
      <c r="D259" s="11">
        <v>2024</v>
      </c>
      <c r="E259" s="10" t="s">
        <v>124</v>
      </c>
      <c r="F259" s="10" t="s">
        <v>83</v>
      </c>
      <c r="G259" s="10" t="s">
        <v>84</v>
      </c>
      <c r="H259" s="12">
        <v>13230.833333333299</v>
      </c>
      <c r="I259" s="11">
        <v>841</v>
      </c>
      <c r="J259" s="11">
        <v>716</v>
      </c>
      <c r="K259" s="11">
        <v>9093</v>
      </c>
      <c r="L259" s="11">
        <v>6.3563645524973206E-2</v>
      </c>
      <c r="M259" s="11">
        <v>6.3563645524973396</v>
      </c>
      <c r="N259" s="11">
        <v>0.85136741973840702</v>
      </c>
      <c r="O259" s="11">
        <v>0.68725829816716</v>
      </c>
      <c r="P259" s="11">
        <v>0.56925675675675702</v>
      </c>
      <c r="Q259" s="11">
        <v>0.69230769230769196</v>
      </c>
      <c r="R259" s="11">
        <v>0.422818791946309</v>
      </c>
      <c r="S259" s="10" t="s">
        <v>84</v>
      </c>
      <c r="T259" s="10" t="s">
        <v>84</v>
      </c>
      <c r="U259" s="10"/>
      <c r="V259" s="10"/>
      <c r="W259" s="10"/>
      <c r="X259" s="10"/>
      <c r="Y259" s="10"/>
      <c r="Z259" s="10"/>
      <c r="AA259" s="10"/>
    </row>
    <row r="260" spans="1:27" ht="12.5" x14ac:dyDescent="0.25">
      <c r="A260" s="10" t="s">
        <v>12</v>
      </c>
      <c r="B260" s="10" t="s">
        <v>897</v>
      </c>
      <c r="C260" s="10" t="s">
        <v>76</v>
      </c>
      <c r="D260" s="11">
        <v>2024</v>
      </c>
      <c r="E260" s="10" t="s">
        <v>124</v>
      </c>
      <c r="F260" s="10" t="s">
        <v>83</v>
      </c>
      <c r="G260" s="10" t="s">
        <v>84</v>
      </c>
      <c r="H260" s="12">
        <v>503869.41666666698</v>
      </c>
      <c r="I260" s="11">
        <v>31835</v>
      </c>
      <c r="J260" s="11">
        <v>25132</v>
      </c>
      <c r="K260" s="11">
        <v>117367</v>
      </c>
      <c r="L260" s="11">
        <v>6.3181052365915605E-2</v>
      </c>
      <c r="M260" s="11">
        <v>6.3181052365915535</v>
      </c>
      <c r="N260" s="11">
        <v>0.78944557876551003</v>
      </c>
      <c r="O260" s="11">
        <v>0.23293138285002099</v>
      </c>
      <c r="P260" s="11">
        <v>0.56841216216216195</v>
      </c>
      <c r="Q260" s="11">
        <v>0.375</v>
      </c>
      <c r="R260" s="11">
        <v>0.42058165548098397</v>
      </c>
      <c r="S260" s="10" t="s">
        <v>84</v>
      </c>
      <c r="T260" s="10" t="s">
        <v>84</v>
      </c>
      <c r="U260" s="10"/>
      <c r="V260" s="10"/>
      <c r="W260" s="10"/>
      <c r="X260" s="10"/>
      <c r="Y260" s="10"/>
      <c r="Z260" s="10"/>
      <c r="AA260" s="10"/>
    </row>
    <row r="261" spans="1:27" ht="12.5" x14ac:dyDescent="0.25">
      <c r="A261" s="10" t="s">
        <v>103</v>
      </c>
      <c r="B261" s="10" t="s">
        <v>899</v>
      </c>
      <c r="C261" s="10" t="s">
        <v>76</v>
      </c>
      <c r="D261" s="11">
        <v>2024</v>
      </c>
      <c r="E261" s="10" t="s">
        <v>124</v>
      </c>
      <c r="F261" s="10" t="s">
        <v>83</v>
      </c>
      <c r="G261" s="10" t="s">
        <v>84</v>
      </c>
      <c r="H261" s="12">
        <v>33616.5</v>
      </c>
      <c r="I261" s="11">
        <v>2112</v>
      </c>
      <c r="J261" s="11">
        <v>1480</v>
      </c>
      <c r="K261" s="11">
        <v>25125</v>
      </c>
      <c r="L261" s="11">
        <v>6.2826290660836198E-2</v>
      </c>
      <c r="M261" s="11">
        <v>6.2826290660836195</v>
      </c>
      <c r="N261" s="11">
        <v>0.70075757575757602</v>
      </c>
      <c r="O261" s="11">
        <v>0.74740082994957802</v>
      </c>
      <c r="P261" s="11">
        <v>0.56672297297297303</v>
      </c>
      <c r="Q261" s="11">
        <v>0.52173913043478304</v>
      </c>
      <c r="R261" s="11">
        <v>0.41834451901566</v>
      </c>
      <c r="S261" s="10" t="s">
        <v>84</v>
      </c>
      <c r="T261" s="10" t="s">
        <v>84</v>
      </c>
      <c r="U261" s="10"/>
      <c r="V261" s="10"/>
      <c r="W261" s="10"/>
      <c r="X261" s="10"/>
      <c r="Y261" s="10"/>
      <c r="Z261" s="10"/>
      <c r="AA261" s="10"/>
    </row>
    <row r="262" spans="1:27" ht="12.5" x14ac:dyDescent="0.25">
      <c r="A262" s="10" t="s">
        <v>29</v>
      </c>
      <c r="B262" s="10" t="s">
        <v>901</v>
      </c>
      <c r="C262" s="10" t="s">
        <v>76</v>
      </c>
      <c r="D262" s="11">
        <v>2024</v>
      </c>
      <c r="E262" s="10" t="s">
        <v>124</v>
      </c>
      <c r="F262" s="10" t="s">
        <v>83</v>
      </c>
      <c r="G262" s="10" t="s">
        <v>84</v>
      </c>
      <c r="H262" s="12">
        <v>10603.75</v>
      </c>
      <c r="I262" s="11">
        <v>660</v>
      </c>
      <c r="J262" s="11">
        <v>608</v>
      </c>
      <c r="K262" s="11">
        <v>7734</v>
      </c>
      <c r="L262" s="11">
        <v>6.2242131321466498E-2</v>
      </c>
      <c r="M262" s="11">
        <v>6.2242131321466463</v>
      </c>
      <c r="N262" s="11">
        <v>0.92121212121212104</v>
      </c>
      <c r="O262" s="11">
        <v>0.729364611576093</v>
      </c>
      <c r="P262" s="11">
        <v>0.56418918918918903</v>
      </c>
      <c r="Q262" s="11">
        <v>0.30612244897959201</v>
      </c>
      <c r="R262" s="11">
        <v>0.41610738255033602</v>
      </c>
      <c r="S262" s="10" t="s">
        <v>84</v>
      </c>
      <c r="T262" s="10" t="s">
        <v>84</v>
      </c>
      <c r="U262" s="10"/>
      <c r="V262" s="10"/>
      <c r="W262" s="10"/>
      <c r="X262" s="10"/>
      <c r="Y262" s="10"/>
      <c r="Z262" s="10"/>
      <c r="AA262" s="10"/>
    </row>
    <row r="263" spans="1:27" ht="12.5" x14ac:dyDescent="0.25">
      <c r="A263" s="10" t="s">
        <v>118</v>
      </c>
      <c r="B263" s="10" t="s">
        <v>905</v>
      </c>
      <c r="C263" s="10" t="s">
        <v>76</v>
      </c>
      <c r="D263" s="11">
        <v>2024</v>
      </c>
      <c r="E263" s="10" t="s">
        <v>124</v>
      </c>
      <c r="F263" s="10" t="s">
        <v>83</v>
      </c>
      <c r="G263" s="10" t="s">
        <v>84</v>
      </c>
      <c r="H263" s="12">
        <v>11828.416666666701</v>
      </c>
      <c r="I263" s="11">
        <v>736</v>
      </c>
      <c r="J263" s="11">
        <v>675</v>
      </c>
      <c r="K263" s="11">
        <v>9480</v>
      </c>
      <c r="L263" s="11">
        <v>6.2223036331997099E-2</v>
      </c>
      <c r="M263" s="11">
        <v>6.2223036331996919</v>
      </c>
      <c r="N263" s="11">
        <v>0.91711956521739102</v>
      </c>
      <c r="O263" s="11">
        <v>0.80145976145018005</v>
      </c>
      <c r="P263" s="11">
        <v>0.56334459459459496</v>
      </c>
      <c r="Q263" s="11">
        <v>0.71428571428571397</v>
      </c>
      <c r="R263" s="11">
        <v>0.413870246085011</v>
      </c>
      <c r="S263" s="10" t="s">
        <v>84</v>
      </c>
      <c r="T263" s="10" t="s">
        <v>84</v>
      </c>
      <c r="U263" s="10"/>
      <c r="V263" s="10"/>
      <c r="W263" s="10"/>
      <c r="X263" s="10"/>
      <c r="Y263" s="10"/>
      <c r="Z263" s="10"/>
      <c r="AA263" s="10"/>
    </row>
    <row r="264" spans="1:27" ht="12.5" x14ac:dyDescent="0.25">
      <c r="A264" s="10" t="s">
        <v>103</v>
      </c>
      <c r="B264" s="10" t="s">
        <v>907</v>
      </c>
      <c r="C264" s="10" t="s">
        <v>76</v>
      </c>
      <c r="D264" s="11">
        <v>2024</v>
      </c>
      <c r="E264" s="10" t="s">
        <v>124</v>
      </c>
      <c r="F264" s="10" t="s">
        <v>83</v>
      </c>
      <c r="G264" s="10" t="s">
        <v>84</v>
      </c>
      <c r="H264" s="12">
        <v>58556</v>
      </c>
      <c r="I264" s="11">
        <v>3596</v>
      </c>
      <c r="J264" s="11">
        <v>2616</v>
      </c>
      <c r="K264" s="11">
        <v>44052</v>
      </c>
      <c r="L264" s="11">
        <v>6.1411298585968999E-2</v>
      </c>
      <c r="M264" s="11">
        <v>6.1411298585968987</v>
      </c>
      <c r="N264" s="11">
        <v>0.72747497219132395</v>
      </c>
      <c r="O264" s="11">
        <v>0.75230548534735997</v>
      </c>
      <c r="P264" s="11">
        <v>0.55996621621621601</v>
      </c>
      <c r="Q264" s="11">
        <v>0.47826086956521702</v>
      </c>
      <c r="R264" s="11">
        <v>0.41163310961968702</v>
      </c>
      <c r="S264" s="10" t="s">
        <v>84</v>
      </c>
      <c r="T264" s="10" t="s">
        <v>84</v>
      </c>
      <c r="U264" s="10"/>
      <c r="V264" s="10"/>
      <c r="W264" s="10"/>
      <c r="X264" s="10"/>
      <c r="Y264" s="10"/>
      <c r="Z264" s="10"/>
      <c r="AA264" s="10"/>
    </row>
    <row r="265" spans="1:27" ht="12.5" x14ac:dyDescent="0.25">
      <c r="A265" s="10" t="s">
        <v>82</v>
      </c>
      <c r="B265" s="10" t="s">
        <v>909</v>
      </c>
      <c r="C265" s="10" t="s">
        <v>76</v>
      </c>
      <c r="D265" s="11">
        <v>2024</v>
      </c>
      <c r="E265" s="10" t="s">
        <v>124</v>
      </c>
      <c r="F265" s="10" t="s">
        <v>83</v>
      </c>
      <c r="G265" s="10" t="s">
        <v>84</v>
      </c>
      <c r="H265" s="12">
        <v>4359.0833333333303</v>
      </c>
      <c r="I265" s="11">
        <v>265</v>
      </c>
      <c r="J265" s="11">
        <v>264</v>
      </c>
      <c r="K265" s="11">
        <v>2125</v>
      </c>
      <c r="L265" s="11">
        <v>6.0792597832113E-2</v>
      </c>
      <c r="M265" s="11">
        <v>6.079259783211306</v>
      </c>
      <c r="N265" s="11">
        <v>0.99622641509433996</v>
      </c>
      <c r="O265" s="11">
        <v>0.48748781280468001</v>
      </c>
      <c r="P265" s="11">
        <v>0.55912162162162204</v>
      </c>
      <c r="Q265" s="11">
        <v>0.87931034482758597</v>
      </c>
      <c r="R265" s="11">
        <v>0.40939597315436199</v>
      </c>
      <c r="S265" s="10" t="s">
        <v>84</v>
      </c>
      <c r="T265" s="10" t="s">
        <v>84</v>
      </c>
      <c r="U265" s="10"/>
      <c r="V265" s="10"/>
      <c r="W265" s="10"/>
      <c r="X265" s="10"/>
      <c r="Y265" s="10"/>
      <c r="Z265" s="10"/>
      <c r="AA265" s="10"/>
    </row>
    <row r="266" spans="1:27" ht="12.5" x14ac:dyDescent="0.25">
      <c r="A266" s="10" t="s">
        <v>29</v>
      </c>
      <c r="B266" s="10" t="s">
        <v>911</v>
      </c>
      <c r="C266" s="10" t="s">
        <v>76</v>
      </c>
      <c r="D266" s="11">
        <v>2024</v>
      </c>
      <c r="E266" s="10" t="s">
        <v>124</v>
      </c>
      <c r="F266" s="10" t="s">
        <v>83</v>
      </c>
      <c r="G266" s="10" t="s">
        <v>84</v>
      </c>
      <c r="H266" s="12">
        <v>12527.333333333299</v>
      </c>
      <c r="I266" s="11">
        <v>755</v>
      </c>
      <c r="J266" s="11">
        <v>578</v>
      </c>
      <c r="K266" s="11">
        <v>13828</v>
      </c>
      <c r="L266" s="11">
        <v>6.0268213506465898E-2</v>
      </c>
      <c r="M266" s="11">
        <v>6.0268213506466024</v>
      </c>
      <c r="N266" s="11">
        <v>0.76556291390728504</v>
      </c>
      <c r="O266" s="11">
        <v>1.10382629982438</v>
      </c>
      <c r="P266" s="11">
        <v>0.55743243243243201</v>
      </c>
      <c r="Q266" s="11">
        <v>0.28571428571428598</v>
      </c>
      <c r="R266" s="11">
        <v>0.40715883668903802</v>
      </c>
      <c r="S266" s="10" t="s">
        <v>84</v>
      </c>
      <c r="T266" s="10" t="s">
        <v>84</v>
      </c>
      <c r="U266" s="10"/>
      <c r="V266" s="10"/>
      <c r="W266" s="10"/>
      <c r="X266" s="10"/>
      <c r="Y266" s="10"/>
      <c r="Z266" s="10"/>
      <c r="AA266" s="10"/>
    </row>
    <row r="267" spans="1:27" ht="12.5" x14ac:dyDescent="0.25">
      <c r="A267" s="10" t="s">
        <v>29</v>
      </c>
      <c r="B267" s="10" t="s">
        <v>913</v>
      </c>
      <c r="C267" s="10" t="s">
        <v>76</v>
      </c>
      <c r="D267" s="11">
        <v>2024</v>
      </c>
      <c r="E267" s="10" t="s">
        <v>124</v>
      </c>
      <c r="F267" s="10" t="s">
        <v>83</v>
      </c>
      <c r="G267" s="10" t="s">
        <v>84</v>
      </c>
      <c r="H267" s="12">
        <v>189110.08333333299</v>
      </c>
      <c r="I267" s="11">
        <v>11198</v>
      </c>
      <c r="J267" s="11">
        <v>9082</v>
      </c>
      <c r="K267" s="11">
        <v>68441</v>
      </c>
      <c r="L267" s="11">
        <v>5.92141878561913E-2</v>
      </c>
      <c r="M267" s="11">
        <v>5.9214187856191449</v>
      </c>
      <c r="N267" s="11">
        <v>0.811037685300947</v>
      </c>
      <c r="O267" s="11">
        <v>0.36191089757685202</v>
      </c>
      <c r="P267" s="11">
        <v>0.55489864864864902</v>
      </c>
      <c r="Q267" s="11">
        <v>0.26530612244898</v>
      </c>
      <c r="R267" s="11">
        <v>0.40492170022371399</v>
      </c>
      <c r="S267" s="10" t="s">
        <v>84</v>
      </c>
      <c r="T267" s="10" t="s">
        <v>84</v>
      </c>
      <c r="U267" s="10"/>
      <c r="V267" s="10"/>
      <c r="W267" s="10"/>
      <c r="X267" s="10"/>
      <c r="Y267" s="10"/>
      <c r="Z267" s="10"/>
      <c r="AA267" s="10"/>
    </row>
    <row r="268" spans="1:27" ht="12.5" x14ac:dyDescent="0.25">
      <c r="A268" s="10" t="s">
        <v>82</v>
      </c>
      <c r="B268" s="10" t="s">
        <v>916</v>
      </c>
      <c r="C268" s="10" t="s">
        <v>76</v>
      </c>
      <c r="D268" s="11">
        <v>2024</v>
      </c>
      <c r="E268" s="10" t="s">
        <v>124</v>
      </c>
      <c r="F268" s="10" t="s">
        <v>83</v>
      </c>
      <c r="G268" s="10" t="s">
        <v>84</v>
      </c>
      <c r="H268" s="12">
        <v>4932.25</v>
      </c>
      <c r="I268" s="11">
        <v>291</v>
      </c>
      <c r="J268" s="11">
        <v>286</v>
      </c>
      <c r="K268" s="11">
        <v>9380</v>
      </c>
      <c r="L268" s="11">
        <v>5.89994424451315E-2</v>
      </c>
      <c r="M268" s="11">
        <v>5.8999442445131534</v>
      </c>
      <c r="N268" s="11">
        <v>0.98281786941580795</v>
      </c>
      <c r="O268" s="11">
        <v>1.90176896953723</v>
      </c>
      <c r="P268" s="11">
        <v>0.55405405405405395</v>
      </c>
      <c r="Q268" s="11">
        <v>0.86206896551724099</v>
      </c>
      <c r="R268" s="11">
        <v>0.40268456375838901</v>
      </c>
      <c r="S268" s="10" t="s">
        <v>84</v>
      </c>
      <c r="T268" s="10" t="s">
        <v>84</v>
      </c>
      <c r="U268" s="10"/>
      <c r="V268" s="10"/>
      <c r="W268" s="10"/>
      <c r="X268" s="10"/>
      <c r="Y268" s="10"/>
      <c r="Z268" s="10"/>
      <c r="AA268" s="10"/>
    </row>
    <row r="269" spans="1:27" ht="12.5" x14ac:dyDescent="0.25">
      <c r="A269" s="10" t="s">
        <v>29</v>
      </c>
      <c r="B269" s="10" t="s">
        <v>918</v>
      </c>
      <c r="C269" s="10" t="s">
        <v>76</v>
      </c>
      <c r="D269" s="11">
        <v>2024</v>
      </c>
      <c r="E269" s="10" t="s">
        <v>124</v>
      </c>
      <c r="F269" s="10" t="s">
        <v>83</v>
      </c>
      <c r="G269" s="10" t="s">
        <v>84</v>
      </c>
      <c r="H269" s="12">
        <v>9791.75</v>
      </c>
      <c r="I269" s="11">
        <v>574</v>
      </c>
      <c r="J269" s="11">
        <v>668</v>
      </c>
      <c r="K269" s="11">
        <v>13806</v>
      </c>
      <c r="L269" s="11">
        <v>5.8620777695509003E-2</v>
      </c>
      <c r="M269" s="11">
        <v>5.8620777695508979</v>
      </c>
      <c r="N269" s="11">
        <v>1.1637630662020899</v>
      </c>
      <c r="O269" s="11">
        <v>1.40996246840452</v>
      </c>
      <c r="P269" s="11">
        <v>0.55320945945945899</v>
      </c>
      <c r="Q269" s="11">
        <v>0.24489795918367299</v>
      </c>
      <c r="R269" s="11">
        <v>0.40044742729306498</v>
      </c>
      <c r="S269" s="10" t="s">
        <v>84</v>
      </c>
      <c r="T269" s="10" t="s">
        <v>84</v>
      </c>
      <c r="U269" s="10"/>
      <c r="V269" s="10"/>
      <c r="W269" s="10"/>
      <c r="X269" s="10"/>
      <c r="Y269" s="10"/>
      <c r="Z269" s="10"/>
      <c r="AA269" s="10"/>
    </row>
    <row r="270" spans="1:27" ht="12.5" x14ac:dyDescent="0.25">
      <c r="A270" s="10" t="s">
        <v>34</v>
      </c>
      <c r="B270" s="10" t="s">
        <v>921</v>
      </c>
      <c r="C270" s="10" t="s">
        <v>76</v>
      </c>
      <c r="D270" s="11">
        <v>2024</v>
      </c>
      <c r="E270" s="10" t="s">
        <v>124</v>
      </c>
      <c r="F270" s="10" t="s">
        <v>83</v>
      </c>
      <c r="G270" s="10" t="s">
        <v>84</v>
      </c>
      <c r="H270" s="12">
        <v>5856.6666666666697</v>
      </c>
      <c r="I270" s="11">
        <v>339</v>
      </c>
      <c r="J270" s="11">
        <v>324</v>
      </c>
      <c r="K270" s="11">
        <v>8517</v>
      </c>
      <c r="L270" s="11">
        <v>5.7882754695503698E-2</v>
      </c>
      <c r="M270" s="11">
        <v>5.7882754695503671</v>
      </c>
      <c r="N270" s="11">
        <v>0.95575221238938102</v>
      </c>
      <c r="O270" s="11">
        <v>1.4542401821286299</v>
      </c>
      <c r="P270" s="11">
        <v>0.545608108108108</v>
      </c>
      <c r="Q270" s="11">
        <v>0.83673469387755095</v>
      </c>
      <c r="R270" s="11">
        <v>0.39821029082774001</v>
      </c>
      <c r="S270" s="10" t="s">
        <v>84</v>
      </c>
      <c r="T270" s="10" t="s">
        <v>84</v>
      </c>
      <c r="U270" s="10"/>
      <c r="V270" s="10"/>
      <c r="W270" s="10"/>
      <c r="X270" s="10"/>
      <c r="Y270" s="10"/>
      <c r="Z270" s="10"/>
      <c r="AA270" s="10"/>
    </row>
    <row r="271" spans="1:27" ht="12.5" x14ac:dyDescent="0.25">
      <c r="A271" s="10" t="s">
        <v>118</v>
      </c>
      <c r="B271" s="10" t="s">
        <v>923</v>
      </c>
      <c r="C271" s="10" t="s">
        <v>76</v>
      </c>
      <c r="D271" s="11">
        <v>2024</v>
      </c>
      <c r="E271" s="10" t="s">
        <v>124</v>
      </c>
      <c r="F271" s="10" t="s">
        <v>83</v>
      </c>
      <c r="G271" s="10" t="s">
        <v>84</v>
      </c>
      <c r="H271" s="12">
        <v>29374.833333333299</v>
      </c>
      <c r="I271" s="11">
        <v>1668</v>
      </c>
      <c r="J271" s="11">
        <v>1606</v>
      </c>
      <c r="K271" s="11">
        <v>5012</v>
      </c>
      <c r="L271" s="11">
        <v>5.6783300898161103E-2</v>
      </c>
      <c r="M271" s="11">
        <v>5.6783300898161198</v>
      </c>
      <c r="N271" s="11">
        <v>0.96282973621103096</v>
      </c>
      <c r="O271" s="11">
        <v>0.170622244665218</v>
      </c>
      <c r="P271" s="11">
        <v>0.54138513513513498</v>
      </c>
      <c r="Q271" s="11">
        <v>0.57142857142857095</v>
      </c>
      <c r="R271" s="11">
        <v>0.39597315436241598</v>
      </c>
      <c r="S271" s="10" t="s">
        <v>84</v>
      </c>
      <c r="T271" s="10" t="s">
        <v>84</v>
      </c>
      <c r="U271" s="10"/>
      <c r="V271" s="10"/>
      <c r="W271" s="10"/>
      <c r="X271" s="10"/>
      <c r="Y271" s="10"/>
      <c r="Z271" s="10"/>
      <c r="AA271" s="10"/>
    </row>
    <row r="272" spans="1:27" ht="12.5" x14ac:dyDescent="0.25">
      <c r="A272" s="10" t="s">
        <v>32</v>
      </c>
      <c r="B272" s="10" t="s">
        <v>925</v>
      </c>
      <c r="C272" s="10" t="s">
        <v>76</v>
      </c>
      <c r="D272" s="11">
        <v>2024</v>
      </c>
      <c r="E272" s="10" t="s">
        <v>124</v>
      </c>
      <c r="F272" s="10" t="s">
        <v>125</v>
      </c>
      <c r="G272" s="10" t="s">
        <v>84</v>
      </c>
      <c r="H272" s="12">
        <v>5793.5833333333303</v>
      </c>
      <c r="I272" s="11">
        <v>328</v>
      </c>
      <c r="J272" s="11">
        <v>113</v>
      </c>
      <c r="K272" s="11">
        <v>406</v>
      </c>
      <c r="L272" s="11">
        <v>5.6614357838413197E-2</v>
      </c>
      <c r="M272" s="11">
        <v>5.6614357838413216</v>
      </c>
      <c r="N272" s="11">
        <v>0.34451219512195103</v>
      </c>
      <c r="O272" s="11">
        <v>7.0077528299987105E-2</v>
      </c>
      <c r="P272" s="11">
        <v>0.54054054054054101</v>
      </c>
      <c r="Q272" s="11">
        <v>0.34482758620689702</v>
      </c>
      <c r="R272" s="11">
        <v>0.39373601789709201</v>
      </c>
      <c r="S272" s="10" t="s">
        <v>84</v>
      </c>
      <c r="T272" s="10" t="s">
        <v>84</v>
      </c>
      <c r="U272" s="10"/>
      <c r="V272" s="10"/>
      <c r="W272" s="10"/>
      <c r="X272" s="10"/>
      <c r="Y272" s="10"/>
      <c r="Z272" s="10"/>
      <c r="AA272" s="10"/>
    </row>
    <row r="273" spans="1:27" ht="12.5" x14ac:dyDescent="0.25">
      <c r="A273" s="10" t="s">
        <v>34</v>
      </c>
      <c r="B273" s="10" t="s">
        <v>927</v>
      </c>
      <c r="C273" s="10" t="s">
        <v>76</v>
      </c>
      <c r="D273" s="11">
        <v>2024</v>
      </c>
      <c r="E273" s="10" t="s">
        <v>124</v>
      </c>
      <c r="F273" s="10" t="s">
        <v>83</v>
      </c>
      <c r="G273" s="10" t="s">
        <v>84</v>
      </c>
      <c r="H273" s="12">
        <v>18197</v>
      </c>
      <c r="I273" s="11">
        <v>1021</v>
      </c>
      <c r="J273" s="11">
        <v>1017</v>
      </c>
      <c r="K273" s="11">
        <v>17954</v>
      </c>
      <c r="L273" s="11">
        <v>5.6108149695004703E-2</v>
      </c>
      <c r="M273" s="11">
        <v>5.610814969500467</v>
      </c>
      <c r="N273" s="11">
        <v>0.99608227228207602</v>
      </c>
      <c r="O273" s="11">
        <v>0.98664615046436199</v>
      </c>
      <c r="P273" s="11">
        <v>0.53800675675675702</v>
      </c>
      <c r="Q273" s="11">
        <v>0.81632653061224503</v>
      </c>
      <c r="R273" s="11">
        <v>0.39149888143176698</v>
      </c>
      <c r="S273" s="10" t="s">
        <v>84</v>
      </c>
      <c r="T273" s="10" t="s">
        <v>84</v>
      </c>
      <c r="U273" s="10"/>
      <c r="V273" s="10"/>
      <c r="W273" s="10"/>
      <c r="X273" s="10"/>
      <c r="Y273" s="10"/>
      <c r="Z273" s="10"/>
      <c r="AA273" s="10"/>
    </row>
    <row r="274" spans="1:27" ht="12.5" x14ac:dyDescent="0.25">
      <c r="A274" s="10" t="s">
        <v>36</v>
      </c>
      <c r="B274" s="10" t="s">
        <v>929</v>
      </c>
      <c r="C274" s="10" t="s">
        <v>76</v>
      </c>
      <c r="D274" s="11">
        <v>2024</v>
      </c>
      <c r="E274" s="10" t="s">
        <v>124</v>
      </c>
      <c r="F274" s="10" t="s">
        <v>83</v>
      </c>
      <c r="G274" s="10" t="s">
        <v>84</v>
      </c>
      <c r="H274" s="12">
        <v>12177.083333333299</v>
      </c>
      <c r="I274" s="11">
        <v>676</v>
      </c>
      <c r="J274" s="11">
        <v>467</v>
      </c>
      <c r="K274" s="11">
        <v>970</v>
      </c>
      <c r="L274" s="11">
        <v>5.55141146278871E-2</v>
      </c>
      <c r="M274" s="11">
        <v>5.5514114627887237</v>
      </c>
      <c r="N274" s="11">
        <v>0.69082840236686405</v>
      </c>
      <c r="O274" s="11">
        <v>7.9657827202737397E-2</v>
      </c>
      <c r="P274" s="11">
        <v>0.53462837837837796</v>
      </c>
      <c r="Q274" s="11">
        <v>0.29787234042553201</v>
      </c>
      <c r="R274" s="11">
        <v>0.389261744966443</v>
      </c>
      <c r="S274" s="10" t="s">
        <v>84</v>
      </c>
      <c r="T274" s="10" t="s">
        <v>84</v>
      </c>
      <c r="U274" s="10"/>
      <c r="V274" s="10"/>
      <c r="W274" s="10"/>
      <c r="X274" s="10"/>
      <c r="Y274" s="10"/>
      <c r="Z274" s="10"/>
      <c r="AA274" s="10"/>
    </row>
    <row r="275" spans="1:27" ht="12.5" x14ac:dyDescent="0.25">
      <c r="A275" s="10" t="s">
        <v>34</v>
      </c>
      <c r="B275" s="10" t="s">
        <v>932</v>
      </c>
      <c r="C275" s="10" t="s">
        <v>76</v>
      </c>
      <c r="D275" s="11">
        <v>2024</v>
      </c>
      <c r="E275" s="10" t="s">
        <v>124</v>
      </c>
      <c r="F275" s="10" t="s">
        <v>83</v>
      </c>
      <c r="G275" s="10" t="s">
        <v>84</v>
      </c>
      <c r="H275" s="12">
        <v>10703.333333333299</v>
      </c>
      <c r="I275" s="11">
        <v>588</v>
      </c>
      <c r="J275" s="11">
        <v>459</v>
      </c>
      <c r="K275" s="11">
        <v>5903</v>
      </c>
      <c r="L275" s="11">
        <v>5.4936156960448498E-2</v>
      </c>
      <c r="M275" s="11">
        <v>5.4936156960448628</v>
      </c>
      <c r="N275" s="11">
        <v>0.780612244897959</v>
      </c>
      <c r="O275" s="11">
        <v>0.55151043288695101</v>
      </c>
      <c r="P275" s="11">
        <v>0.53125</v>
      </c>
      <c r="Q275" s="11">
        <v>0.79591836734693899</v>
      </c>
      <c r="R275" s="11">
        <v>0.38702460850111903</v>
      </c>
      <c r="S275" s="10" t="s">
        <v>84</v>
      </c>
      <c r="T275" s="10" t="s">
        <v>84</v>
      </c>
      <c r="U275" s="10"/>
      <c r="V275" s="10"/>
      <c r="W275" s="10"/>
      <c r="X275" s="10"/>
      <c r="Y275" s="10"/>
      <c r="Z275" s="10"/>
      <c r="AA275" s="10"/>
    </row>
    <row r="276" spans="1:27" ht="12.5" x14ac:dyDescent="0.25">
      <c r="A276" s="10" t="s">
        <v>6</v>
      </c>
      <c r="B276" s="10" t="s">
        <v>934</v>
      </c>
      <c r="C276" s="10" t="s">
        <v>76</v>
      </c>
      <c r="D276" s="11">
        <v>2024</v>
      </c>
      <c r="E276" s="10" t="s">
        <v>124</v>
      </c>
      <c r="F276" s="10" t="s">
        <v>83</v>
      </c>
      <c r="G276" s="10" t="s">
        <v>84</v>
      </c>
      <c r="H276" s="12">
        <v>134912</v>
      </c>
      <c r="I276" s="11">
        <v>7382</v>
      </c>
      <c r="J276" s="11">
        <v>6161</v>
      </c>
      <c r="K276" s="11">
        <v>38604</v>
      </c>
      <c r="L276" s="11">
        <v>5.4717148956356702E-2</v>
      </c>
      <c r="M276" s="11">
        <v>5.4717148956356736</v>
      </c>
      <c r="N276" s="11">
        <v>0.83459767000812801</v>
      </c>
      <c r="O276" s="11">
        <v>0.28614207779886103</v>
      </c>
      <c r="P276" s="11">
        <v>0.52533783783783805</v>
      </c>
      <c r="Q276" s="11">
        <v>0.70967741935483897</v>
      </c>
      <c r="R276" s="11">
        <v>0.384787472035794</v>
      </c>
      <c r="S276" s="10" t="s">
        <v>84</v>
      </c>
      <c r="T276" s="10" t="s">
        <v>84</v>
      </c>
      <c r="U276" s="10"/>
      <c r="V276" s="10"/>
      <c r="W276" s="10"/>
      <c r="X276" s="10"/>
      <c r="Y276" s="10"/>
      <c r="Z276" s="10"/>
      <c r="AA276" s="10"/>
    </row>
    <row r="277" spans="1:27" ht="12.5" x14ac:dyDescent="0.25">
      <c r="A277" s="10" t="s">
        <v>62</v>
      </c>
      <c r="B277" s="10" t="s">
        <v>936</v>
      </c>
      <c r="C277" s="10" t="s">
        <v>76</v>
      </c>
      <c r="D277" s="11">
        <v>2024</v>
      </c>
      <c r="E277" s="10" t="s">
        <v>124</v>
      </c>
      <c r="F277" s="10" t="s">
        <v>83</v>
      </c>
      <c r="G277" s="10" t="s">
        <v>84</v>
      </c>
      <c r="H277" s="12">
        <v>73667.166666666701</v>
      </c>
      <c r="I277" s="11">
        <v>3982</v>
      </c>
      <c r="J277" s="11">
        <v>3325</v>
      </c>
      <c r="K277" s="11">
        <v>5157</v>
      </c>
      <c r="L277" s="11">
        <v>5.40539317606442E-2</v>
      </c>
      <c r="M277" s="11">
        <v>5.4053931760644129</v>
      </c>
      <c r="N277" s="11">
        <v>0.83500753390256199</v>
      </c>
      <c r="O277" s="11">
        <v>7.0004049746268698E-2</v>
      </c>
      <c r="P277" s="11">
        <v>0.52027027027026995</v>
      </c>
      <c r="Q277" s="11">
        <v>0.61111111111111105</v>
      </c>
      <c r="R277" s="11">
        <v>0.38255033557047002</v>
      </c>
      <c r="S277" s="10" t="s">
        <v>84</v>
      </c>
      <c r="T277" s="10" t="s">
        <v>84</v>
      </c>
      <c r="U277" s="10"/>
      <c r="V277" s="10"/>
      <c r="W277" s="10"/>
      <c r="X277" s="10"/>
      <c r="Y277" s="10"/>
      <c r="Z277" s="10"/>
      <c r="AA277" s="10"/>
    </row>
    <row r="278" spans="1:27" ht="12.5" x14ac:dyDescent="0.25">
      <c r="A278" s="10" t="s">
        <v>82</v>
      </c>
      <c r="B278" s="10" t="s">
        <v>939</v>
      </c>
      <c r="C278" s="10" t="s">
        <v>76</v>
      </c>
      <c r="D278" s="11">
        <v>2024</v>
      </c>
      <c r="E278" s="10" t="s">
        <v>124</v>
      </c>
      <c r="F278" s="10" t="s">
        <v>83</v>
      </c>
      <c r="G278" s="10" t="s">
        <v>84</v>
      </c>
      <c r="H278" s="12">
        <v>3944.9166666666702</v>
      </c>
      <c r="I278" s="11">
        <v>210</v>
      </c>
      <c r="J278" s="11">
        <v>199</v>
      </c>
      <c r="K278" s="11">
        <v>4322</v>
      </c>
      <c r="L278" s="11">
        <v>5.32330636473098E-2</v>
      </c>
      <c r="M278" s="11">
        <v>5.3233063647309775</v>
      </c>
      <c r="N278" s="11">
        <v>0.94761904761904803</v>
      </c>
      <c r="O278" s="11">
        <v>1.0955871480174899</v>
      </c>
      <c r="P278" s="11">
        <v>0.516891891891892</v>
      </c>
      <c r="Q278" s="11">
        <v>0.81034482758620696</v>
      </c>
      <c r="R278" s="11">
        <v>0.38031319910514499</v>
      </c>
      <c r="S278" s="10" t="s">
        <v>84</v>
      </c>
      <c r="T278" s="10" t="s">
        <v>84</v>
      </c>
      <c r="U278" s="10"/>
      <c r="V278" s="10"/>
      <c r="W278" s="10"/>
      <c r="X278" s="10"/>
      <c r="Y278" s="10"/>
      <c r="Z278" s="10"/>
      <c r="AA278" s="10"/>
    </row>
    <row r="279" spans="1:27" ht="12.5" x14ac:dyDescent="0.25">
      <c r="A279" s="10" t="s">
        <v>34</v>
      </c>
      <c r="B279" s="10" t="s">
        <v>942</v>
      </c>
      <c r="C279" s="10" t="s">
        <v>76</v>
      </c>
      <c r="D279" s="11">
        <v>2024</v>
      </c>
      <c r="E279" s="10" t="s">
        <v>124</v>
      </c>
      <c r="F279" s="10" t="s">
        <v>125</v>
      </c>
      <c r="G279" s="10" t="s">
        <v>84</v>
      </c>
      <c r="H279" s="12">
        <v>6522</v>
      </c>
      <c r="I279" s="11">
        <v>346</v>
      </c>
      <c r="J279" s="11">
        <v>337</v>
      </c>
      <c r="K279" s="11">
        <v>7152</v>
      </c>
      <c r="L279" s="11">
        <v>5.3051211284881897E-2</v>
      </c>
      <c r="M279" s="11">
        <v>5.3051211284881941</v>
      </c>
      <c r="N279" s="11">
        <v>0.97398843930635803</v>
      </c>
      <c r="O279" s="11">
        <v>1.09659613615455</v>
      </c>
      <c r="P279" s="11">
        <v>0.51266891891891897</v>
      </c>
      <c r="Q279" s="11">
        <v>0.77551020408163296</v>
      </c>
      <c r="R279" s="11">
        <v>0.37807606263982102</v>
      </c>
      <c r="S279" s="10" t="s">
        <v>84</v>
      </c>
      <c r="T279" s="10" t="s">
        <v>84</v>
      </c>
      <c r="U279" s="10"/>
      <c r="V279" s="10"/>
      <c r="W279" s="10"/>
      <c r="X279" s="10"/>
      <c r="Y279" s="10"/>
      <c r="Z279" s="10"/>
      <c r="AA279" s="10"/>
    </row>
    <row r="280" spans="1:27" ht="12.5" x14ac:dyDescent="0.25">
      <c r="A280" s="10" t="s">
        <v>16</v>
      </c>
      <c r="B280" s="10" t="s">
        <v>944</v>
      </c>
      <c r="C280" s="10" t="s">
        <v>76</v>
      </c>
      <c r="D280" s="11">
        <v>2024</v>
      </c>
      <c r="E280" s="10" t="s">
        <v>124</v>
      </c>
      <c r="F280" s="10" t="s">
        <v>83</v>
      </c>
      <c r="G280" s="10" t="s">
        <v>84</v>
      </c>
      <c r="H280" s="12">
        <v>24600</v>
      </c>
      <c r="I280" s="11">
        <v>1297</v>
      </c>
      <c r="J280" s="11">
        <v>600</v>
      </c>
      <c r="K280" s="11">
        <v>108520</v>
      </c>
      <c r="L280" s="11">
        <v>5.2723577235772402E-2</v>
      </c>
      <c r="M280" s="11">
        <v>5.2723577235772359</v>
      </c>
      <c r="N280" s="11">
        <v>0.46260601387818001</v>
      </c>
      <c r="O280" s="11">
        <v>4.4113821138211398</v>
      </c>
      <c r="P280" s="11">
        <v>0.51097972972973005</v>
      </c>
      <c r="Q280" s="11">
        <v>0.2</v>
      </c>
      <c r="R280" s="11">
        <v>0.37583892617449699</v>
      </c>
      <c r="S280" s="10" t="s">
        <v>84</v>
      </c>
      <c r="T280" s="10" t="s">
        <v>84</v>
      </c>
      <c r="U280" s="10"/>
      <c r="V280" s="10"/>
      <c r="W280" s="10"/>
      <c r="X280" s="10"/>
      <c r="Y280" s="10"/>
      <c r="Z280" s="10"/>
      <c r="AA280" s="10"/>
    </row>
    <row r="281" spans="1:27" ht="12.5" x14ac:dyDescent="0.25">
      <c r="A281" s="10" t="s">
        <v>82</v>
      </c>
      <c r="B281" s="10" t="s">
        <v>947</v>
      </c>
      <c r="C281" s="10" t="s">
        <v>76</v>
      </c>
      <c r="D281" s="11">
        <v>2024</v>
      </c>
      <c r="E281" s="10" t="s">
        <v>124</v>
      </c>
      <c r="F281" s="10" t="s">
        <v>83</v>
      </c>
      <c r="G281" s="10" t="s">
        <v>84</v>
      </c>
      <c r="H281" s="12">
        <v>2900.3333333333298</v>
      </c>
      <c r="I281" s="11">
        <v>151</v>
      </c>
      <c r="J281" s="11">
        <v>147</v>
      </c>
      <c r="K281" s="11">
        <v>5785</v>
      </c>
      <c r="L281" s="11">
        <v>5.2062981266521098E-2</v>
      </c>
      <c r="M281" s="11">
        <v>5.2062981266521158</v>
      </c>
      <c r="N281" s="11">
        <v>0.97350993377483397</v>
      </c>
      <c r="O281" s="11">
        <v>1.9945983220319501</v>
      </c>
      <c r="P281" s="11">
        <v>0.50675675675675702</v>
      </c>
      <c r="Q281" s="11">
        <v>0.79310344827586199</v>
      </c>
      <c r="R281" s="11">
        <v>0.37360178970917202</v>
      </c>
      <c r="S281" s="10" t="s">
        <v>84</v>
      </c>
      <c r="T281" s="10" t="s">
        <v>84</v>
      </c>
      <c r="U281" s="10"/>
      <c r="V281" s="10"/>
      <c r="W281" s="10"/>
      <c r="X281" s="10"/>
      <c r="Y281" s="10"/>
      <c r="Z281" s="10"/>
      <c r="AA281" s="10"/>
    </row>
    <row r="282" spans="1:27" ht="12.5" x14ac:dyDescent="0.25">
      <c r="A282" s="10" t="s">
        <v>100</v>
      </c>
      <c r="B282" s="10" t="s">
        <v>949</v>
      </c>
      <c r="C282" s="10" t="s">
        <v>76</v>
      </c>
      <c r="D282" s="11">
        <v>2024</v>
      </c>
      <c r="E282" s="10" t="s">
        <v>124</v>
      </c>
      <c r="F282" s="10" t="s">
        <v>83</v>
      </c>
      <c r="G282" s="10" t="s">
        <v>84</v>
      </c>
      <c r="H282" s="12">
        <v>22728.083333333299</v>
      </c>
      <c r="I282" s="11">
        <v>1150</v>
      </c>
      <c r="J282" s="11">
        <v>1154</v>
      </c>
      <c r="K282" s="11">
        <v>8890</v>
      </c>
      <c r="L282" s="11">
        <v>5.0598195331033199E-2</v>
      </c>
      <c r="M282" s="11">
        <v>5.0598195331033269</v>
      </c>
      <c r="N282" s="11">
        <v>1.00347826086957</v>
      </c>
      <c r="O282" s="11">
        <v>0.391146049124248</v>
      </c>
      <c r="P282" s="11">
        <v>0.50084459459459496</v>
      </c>
      <c r="Q282" s="11">
        <v>1</v>
      </c>
      <c r="R282" s="11">
        <v>0.37136465324384799</v>
      </c>
      <c r="S282" s="10" t="s">
        <v>84</v>
      </c>
      <c r="T282" s="10" t="s">
        <v>84</v>
      </c>
      <c r="U282" s="10"/>
      <c r="V282" s="10"/>
      <c r="W282" s="10"/>
      <c r="X282" s="10"/>
      <c r="Y282" s="10"/>
      <c r="Z282" s="10"/>
      <c r="AA282" s="10"/>
    </row>
    <row r="283" spans="1:27" ht="12.5" x14ac:dyDescent="0.25">
      <c r="A283" s="10" t="s">
        <v>82</v>
      </c>
      <c r="B283" s="10" t="s">
        <v>951</v>
      </c>
      <c r="C283" s="10" t="s">
        <v>76</v>
      </c>
      <c r="D283" s="11">
        <v>2024</v>
      </c>
      <c r="E283" s="10" t="s">
        <v>124</v>
      </c>
      <c r="F283" s="10" t="s">
        <v>83</v>
      </c>
      <c r="G283" s="10" t="s">
        <v>84</v>
      </c>
      <c r="H283" s="12">
        <v>1673.9166666666699</v>
      </c>
      <c r="I283" s="11">
        <v>84</v>
      </c>
      <c r="J283" s="11">
        <v>83</v>
      </c>
      <c r="K283" s="11">
        <v>255</v>
      </c>
      <c r="L283" s="11">
        <v>5.01817095633992E-2</v>
      </c>
      <c r="M283" s="11">
        <v>5.0181709563399117</v>
      </c>
      <c r="N283" s="11">
        <v>0.98809523809523803</v>
      </c>
      <c r="O283" s="11">
        <v>0.152337332603176</v>
      </c>
      <c r="P283" s="11">
        <v>0.49915540540540498</v>
      </c>
      <c r="Q283" s="11">
        <v>0.77586206896551702</v>
      </c>
      <c r="R283" s="11">
        <v>0.36912751677852401</v>
      </c>
      <c r="S283" s="10" t="s">
        <v>84</v>
      </c>
      <c r="T283" s="10" t="s">
        <v>84</v>
      </c>
      <c r="U283" s="10"/>
      <c r="V283" s="10"/>
      <c r="W283" s="10"/>
      <c r="X283" s="10"/>
      <c r="Y283" s="10"/>
      <c r="Z283" s="10"/>
      <c r="AA283" s="10"/>
    </row>
    <row r="284" spans="1:27" ht="12.5" x14ac:dyDescent="0.25">
      <c r="A284" s="10" t="s">
        <v>82</v>
      </c>
      <c r="B284" s="10" t="s">
        <v>953</v>
      </c>
      <c r="C284" s="10" t="s">
        <v>76</v>
      </c>
      <c r="D284" s="11">
        <v>2024</v>
      </c>
      <c r="E284" s="10" t="s">
        <v>124</v>
      </c>
      <c r="F284" s="10" t="s">
        <v>83</v>
      </c>
      <c r="G284" s="10" t="s">
        <v>84</v>
      </c>
      <c r="H284" s="12">
        <v>15713</v>
      </c>
      <c r="I284" s="11">
        <v>788</v>
      </c>
      <c r="J284" s="11">
        <v>779</v>
      </c>
      <c r="K284" s="11">
        <v>19945</v>
      </c>
      <c r="L284" s="11">
        <v>5.0149557691083799E-2</v>
      </c>
      <c r="M284" s="11">
        <v>5.014955769108381</v>
      </c>
      <c r="N284" s="11">
        <v>0.98857868020304596</v>
      </c>
      <c r="O284" s="11">
        <v>1.2693311270922201</v>
      </c>
      <c r="P284" s="11">
        <v>0.49831081081081102</v>
      </c>
      <c r="Q284" s="11">
        <v>0.75862068965517204</v>
      </c>
      <c r="R284" s="11">
        <v>0.36689038031319898</v>
      </c>
      <c r="S284" s="10" t="s">
        <v>84</v>
      </c>
      <c r="T284" s="10" t="s">
        <v>84</v>
      </c>
      <c r="U284" s="10"/>
      <c r="V284" s="10"/>
      <c r="W284" s="10"/>
      <c r="X284" s="10"/>
      <c r="Y284" s="10"/>
      <c r="Z284" s="10"/>
      <c r="AA284" s="10"/>
    </row>
    <row r="285" spans="1:27" ht="12.5" x14ac:dyDescent="0.25">
      <c r="A285" s="10" t="s">
        <v>67</v>
      </c>
      <c r="B285" s="10" t="s">
        <v>956</v>
      </c>
      <c r="C285" s="10" t="s">
        <v>76</v>
      </c>
      <c r="D285" s="11">
        <v>2024</v>
      </c>
      <c r="E285" s="10" t="s">
        <v>124</v>
      </c>
      <c r="F285" s="10" t="s">
        <v>83</v>
      </c>
      <c r="G285" s="10" t="s">
        <v>84</v>
      </c>
      <c r="H285" s="12">
        <v>29660.166666666701</v>
      </c>
      <c r="I285" s="11">
        <v>1470</v>
      </c>
      <c r="J285" s="11">
        <v>1242</v>
      </c>
      <c r="K285" s="11">
        <v>10770</v>
      </c>
      <c r="L285" s="11">
        <v>4.9561420760728503E-2</v>
      </c>
      <c r="M285" s="11">
        <v>4.9561420760728421</v>
      </c>
      <c r="N285" s="11">
        <v>0.84489795918367305</v>
      </c>
      <c r="O285" s="11">
        <v>0.36311326638982699</v>
      </c>
      <c r="P285" s="11">
        <v>0.49577702702702697</v>
      </c>
      <c r="Q285" s="11">
        <v>0.61904761904761896</v>
      </c>
      <c r="R285" s="11">
        <v>0.36465324384787501</v>
      </c>
      <c r="S285" s="10" t="s">
        <v>84</v>
      </c>
      <c r="T285" s="10" t="s">
        <v>84</v>
      </c>
      <c r="U285" s="10"/>
      <c r="V285" s="10"/>
      <c r="W285" s="10"/>
      <c r="X285" s="10"/>
      <c r="Y285" s="10"/>
      <c r="Z285" s="10"/>
      <c r="AA285" s="10"/>
    </row>
    <row r="286" spans="1:27" ht="12.5" x14ac:dyDescent="0.25">
      <c r="A286" s="10" t="s">
        <v>62</v>
      </c>
      <c r="B286" s="10" t="s">
        <v>958</v>
      </c>
      <c r="C286" s="10" t="s">
        <v>76</v>
      </c>
      <c r="D286" s="11">
        <v>2024</v>
      </c>
      <c r="E286" s="10" t="s">
        <v>124</v>
      </c>
      <c r="F286" s="10" t="s">
        <v>83</v>
      </c>
      <c r="G286" s="10" t="s">
        <v>84</v>
      </c>
      <c r="H286" s="12">
        <v>13025.916666666701</v>
      </c>
      <c r="I286" s="11">
        <v>636</v>
      </c>
      <c r="J286" s="11">
        <v>632</v>
      </c>
      <c r="K286" s="11">
        <v>11761</v>
      </c>
      <c r="L286" s="11">
        <v>4.8825738431716302E-2</v>
      </c>
      <c r="M286" s="11">
        <v>4.8825738431716132</v>
      </c>
      <c r="N286" s="11">
        <v>0.99371069182389904</v>
      </c>
      <c r="O286" s="11">
        <v>0.90289231084184696</v>
      </c>
      <c r="P286" s="11">
        <v>0.49070945945945998</v>
      </c>
      <c r="Q286" s="11">
        <v>0.55555555555555602</v>
      </c>
      <c r="R286" s="11">
        <v>0.36241610738254998</v>
      </c>
      <c r="S286" s="10" t="s">
        <v>84</v>
      </c>
      <c r="T286" s="10" t="s">
        <v>84</v>
      </c>
      <c r="U286" s="10"/>
      <c r="V286" s="10"/>
      <c r="W286" s="10"/>
      <c r="X286" s="10"/>
      <c r="Y286" s="10"/>
      <c r="Z286" s="10"/>
      <c r="AA286" s="10"/>
    </row>
    <row r="287" spans="1:27" ht="12.5" x14ac:dyDescent="0.25">
      <c r="A287" s="10" t="s">
        <v>77</v>
      </c>
      <c r="B287" s="10" t="s">
        <v>961</v>
      </c>
      <c r="C287" s="10" t="s">
        <v>76</v>
      </c>
      <c r="D287" s="11">
        <v>2024</v>
      </c>
      <c r="E287" s="10" t="s">
        <v>124</v>
      </c>
      <c r="F287" s="10" t="s">
        <v>125</v>
      </c>
      <c r="G287" s="10" t="s">
        <v>84</v>
      </c>
      <c r="H287" s="12">
        <v>1327.25</v>
      </c>
      <c r="I287" s="11">
        <v>63</v>
      </c>
      <c r="J287" s="11">
        <v>43</v>
      </c>
      <c r="K287" s="11">
        <v>3610</v>
      </c>
      <c r="L287" s="11">
        <v>4.7466566208325497E-2</v>
      </c>
      <c r="M287" s="11">
        <v>4.7466566208325487</v>
      </c>
      <c r="N287" s="11">
        <v>0.682539682539683</v>
      </c>
      <c r="O287" s="11">
        <v>2.71990958749294</v>
      </c>
      <c r="P287" s="11">
        <v>0.48141891891891903</v>
      </c>
      <c r="Q287" s="11">
        <v>0.75</v>
      </c>
      <c r="R287" s="11">
        <v>0.360178970917226</v>
      </c>
      <c r="S287" s="10" t="s">
        <v>84</v>
      </c>
      <c r="T287" s="10" t="s">
        <v>84</v>
      </c>
      <c r="U287" s="10"/>
      <c r="V287" s="10"/>
      <c r="W287" s="10"/>
      <c r="X287" s="10"/>
      <c r="Y287" s="10"/>
      <c r="Z287" s="10"/>
      <c r="AA287" s="10"/>
    </row>
    <row r="288" spans="1:27" ht="12.5" x14ac:dyDescent="0.25">
      <c r="A288" s="10" t="s">
        <v>34</v>
      </c>
      <c r="B288" s="10" t="s">
        <v>963</v>
      </c>
      <c r="C288" s="10" t="s">
        <v>76</v>
      </c>
      <c r="D288" s="11">
        <v>2024</v>
      </c>
      <c r="E288" s="10" t="s">
        <v>124</v>
      </c>
      <c r="F288" s="10" t="s">
        <v>125</v>
      </c>
      <c r="G288" s="10" t="s">
        <v>84</v>
      </c>
      <c r="H288" s="12">
        <v>6488.9166666666697</v>
      </c>
      <c r="I288" s="11">
        <v>305</v>
      </c>
      <c r="J288" s="11">
        <v>277</v>
      </c>
      <c r="K288" s="11">
        <v>11600</v>
      </c>
      <c r="L288" s="11">
        <v>4.7003223445105102E-2</v>
      </c>
      <c r="M288" s="11">
        <v>4.7003223445105098</v>
      </c>
      <c r="N288" s="11">
        <v>0.908196721311475</v>
      </c>
      <c r="O288" s="11">
        <v>1.78766358020728</v>
      </c>
      <c r="P288" s="11">
        <v>0.47635135135135098</v>
      </c>
      <c r="Q288" s="11">
        <v>0.75510204081632604</v>
      </c>
      <c r="R288" s="11">
        <v>0.35794183445190197</v>
      </c>
      <c r="S288" s="10" t="s">
        <v>84</v>
      </c>
      <c r="T288" s="10" t="s">
        <v>84</v>
      </c>
      <c r="U288" s="10"/>
      <c r="V288" s="10"/>
      <c r="W288" s="10"/>
      <c r="X288" s="10"/>
      <c r="Y288" s="10"/>
      <c r="Z288" s="10"/>
      <c r="AA288" s="10"/>
    </row>
    <row r="289" spans="1:27" ht="12.5" x14ac:dyDescent="0.25">
      <c r="A289" s="10" t="s">
        <v>29</v>
      </c>
      <c r="B289" s="10" t="s">
        <v>965</v>
      </c>
      <c r="C289" s="10" t="s">
        <v>76</v>
      </c>
      <c r="D289" s="11">
        <v>2024</v>
      </c>
      <c r="E289" s="10" t="s">
        <v>124</v>
      </c>
      <c r="F289" s="10" t="s">
        <v>83</v>
      </c>
      <c r="G289" s="10" t="s">
        <v>84</v>
      </c>
      <c r="H289" s="12">
        <v>33963.416666666701</v>
      </c>
      <c r="I289" s="11">
        <v>1578</v>
      </c>
      <c r="J289" s="11">
        <v>1214</v>
      </c>
      <c r="K289" s="11">
        <v>33576</v>
      </c>
      <c r="L289" s="11">
        <v>4.6461756645017602E-2</v>
      </c>
      <c r="M289" s="11">
        <v>4.6461756645017509</v>
      </c>
      <c r="N289" s="11">
        <v>0.76932826362484197</v>
      </c>
      <c r="O289" s="11">
        <v>0.98859311857611498</v>
      </c>
      <c r="P289" s="11">
        <v>0.47297297297297303</v>
      </c>
      <c r="Q289" s="11">
        <v>0.22448979591836701</v>
      </c>
      <c r="R289" s="11">
        <v>0.355704697986577</v>
      </c>
      <c r="S289" s="10" t="s">
        <v>84</v>
      </c>
      <c r="T289" s="10" t="s">
        <v>84</v>
      </c>
      <c r="U289" s="10"/>
      <c r="V289" s="10"/>
      <c r="W289" s="10"/>
      <c r="X289" s="10"/>
      <c r="Y289" s="10"/>
      <c r="Z289" s="10"/>
      <c r="AA289" s="10"/>
    </row>
    <row r="290" spans="1:27" ht="12.5" x14ac:dyDescent="0.25">
      <c r="A290" s="10" t="s">
        <v>116</v>
      </c>
      <c r="B290" s="10" t="s">
        <v>968</v>
      </c>
      <c r="C290" s="10" t="s">
        <v>76</v>
      </c>
      <c r="D290" s="11">
        <v>2024</v>
      </c>
      <c r="E290" s="10" t="s">
        <v>124</v>
      </c>
      <c r="F290" s="10" t="s">
        <v>83</v>
      </c>
      <c r="G290" s="10" t="s">
        <v>84</v>
      </c>
      <c r="H290" s="12">
        <v>4372.9166666666697</v>
      </c>
      <c r="I290" s="11">
        <v>196</v>
      </c>
      <c r="J290" s="11">
        <v>185</v>
      </c>
      <c r="K290" s="11">
        <v>5506</v>
      </c>
      <c r="L290" s="11">
        <v>4.4821343496903303E-2</v>
      </c>
      <c r="M290" s="11">
        <v>4.482134349690325</v>
      </c>
      <c r="N290" s="11">
        <v>0.94387755102040805</v>
      </c>
      <c r="O290" s="11">
        <v>1.25911386374464</v>
      </c>
      <c r="P290" s="11">
        <v>0.46114864864864902</v>
      </c>
      <c r="Q290" s="11">
        <v>1</v>
      </c>
      <c r="R290" s="11">
        <v>0.35346756152125303</v>
      </c>
      <c r="S290" s="10" t="s">
        <v>84</v>
      </c>
      <c r="T290" s="10" t="s">
        <v>84</v>
      </c>
      <c r="U290" s="10"/>
      <c r="V290" s="10"/>
      <c r="W290" s="10"/>
      <c r="X290" s="10"/>
      <c r="Y290" s="10"/>
      <c r="Z290" s="10"/>
      <c r="AA290" s="10"/>
    </row>
    <row r="291" spans="1:27" ht="12.5" x14ac:dyDescent="0.25">
      <c r="A291" s="10" t="s">
        <v>22</v>
      </c>
      <c r="B291" s="10" t="s">
        <v>970</v>
      </c>
      <c r="C291" s="10" t="s">
        <v>76</v>
      </c>
      <c r="D291" s="11">
        <v>2024</v>
      </c>
      <c r="E291" s="10" t="s">
        <v>124</v>
      </c>
      <c r="F291" s="10" t="s">
        <v>83</v>
      </c>
      <c r="G291" s="10" t="s">
        <v>84</v>
      </c>
      <c r="H291" s="12">
        <v>8273.0833333333303</v>
      </c>
      <c r="I291" s="11">
        <v>363</v>
      </c>
      <c r="J291" s="11">
        <v>352</v>
      </c>
      <c r="K291" s="11">
        <v>10594</v>
      </c>
      <c r="L291" s="11">
        <v>4.3877232390181001E-2</v>
      </c>
      <c r="M291" s="11">
        <v>4.3877232390181025</v>
      </c>
      <c r="N291" s="11">
        <v>0.96969696969696995</v>
      </c>
      <c r="O291" s="11">
        <v>1.2805382918500801</v>
      </c>
      <c r="P291" s="11">
        <v>0.45523648648648701</v>
      </c>
      <c r="Q291" s="11">
        <v>0.28571428571428598</v>
      </c>
      <c r="R291" s="11">
        <v>0.351230425055928</v>
      </c>
      <c r="S291" s="10" t="s">
        <v>84</v>
      </c>
      <c r="T291" s="10" t="s">
        <v>84</v>
      </c>
      <c r="U291" s="10"/>
      <c r="V291" s="10"/>
      <c r="W291" s="10"/>
      <c r="X291" s="10"/>
      <c r="Y291" s="10"/>
      <c r="Z291" s="10"/>
      <c r="AA291" s="10"/>
    </row>
    <row r="292" spans="1:27" ht="12.5" x14ac:dyDescent="0.25">
      <c r="A292" s="10" t="s">
        <v>53</v>
      </c>
      <c r="B292" s="10" t="s">
        <v>971</v>
      </c>
      <c r="C292" s="10" t="s">
        <v>76</v>
      </c>
      <c r="D292" s="11">
        <v>2024</v>
      </c>
      <c r="E292" s="10" t="s">
        <v>124</v>
      </c>
      <c r="F292" s="10" t="s">
        <v>125</v>
      </c>
      <c r="G292" s="10" t="s">
        <v>84</v>
      </c>
      <c r="H292" s="12">
        <v>696.33333333333303</v>
      </c>
      <c r="I292" s="11">
        <v>30</v>
      </c>
      <c r="J292" s="11">
        <v>26</v>
      </c>
      <c r="K292" s="11">
        <v>216</v>
      </c>
      <c r="L292" s="11">
        <v>4.3082814743896601E-2</v>
      </c>
      <c r="M292" s="11">
        <v>4.3082814743896618</v>
      </c>
      <c r="N292" s="11">
        <v>0.86666666666666703</v>
      </c>
      <c r="O292" s="11">
        <v>0.310196266156056</v>
      </c>
      <c r="P292" s="11">
        <v>0.45016891891891903</v>
      </c>
      <c r="Q292" s="11">
        <v>0.95</v>
      </c>
      <c r="R292" s="11">
        <v>0.34899328859060402</v>
      </c>
      <c r="S292" s="10" t="s">
        <v>84</v>
      </c>
      <c r="T292" s="10" t="s">
        <v>84</v>
      </c>
      <c r="U292" s="10"/>
      <c r="V292" s="10"/>
      <c r="W292" s="10"/>
      <c r="X292" s="10"/>
      <c r="Y292" s="10"/>
      <c r="Z292" s="10"/>
      <c r="AA292" s="10"/>
    </row>
    <row r="293" spans="1:27" ht="12.5" x14ac:dyDescent="0.25">
      <c r="A293" s="10" t="s">
        <v>6</v>
      </c>
      <c r="B293" s="10" t="s">
        <v>973</v>
      </c>
      <c r="C293" s="10" t="s">
        <v>76</v>
      </c>
      <c r="D293" s="11">
        <v>2024</v>
      </c>
      <c r="E293" s="10" t="s">
        <v>124</v>
      </c>
      <c r="F293" s="10" t="s">
        <v>125</v>
      </c>
      <c r="G293" s="10" t="s">
        <v>84</v>
      </c>
      <c r="H293" s="12">
        <v>1493.1666666666699</v>
      </c>
      <c r="I293" s="11">
        <v>64</v>
      </c>
      <c r="J293" s="11">
        <v>63</v>
      </c>
      <c r="K293" s="11">
        <v>1956</v>
      </c>
      <c r="L293" s="11">
        <v>4.2861926554302897E-2</v>
      </c>
      <c r="M293" s="11">
        <v>4.286192655430284</v>
      </c>
      <c r="N293" s="11">
        <v>0.984375</v>
      </c>
      <c r="O293" s="11">
        <v>1.30996763031588</v>
      </c>
      <c r="P293" s="11">
        <v>0.44679054054054002</v>
      </c>
      <c r="Q293" s="11">
        <v>0.61290322580645196</v>
      </c>
      <c r="R293" s="11">
        <v>0.34675615212527999</v>
      </c>
      <c r="S293" s="10" t="s">
        <v>84</v>
      </c>
      <c r="T293" s="10" t="s">
        <v>84</v>
      </c>
      <c r="U293" s="10"/>
      <c r="V293" s="10"/>
      <c r="W293" s="10"/>
      <c r="X293" s="10"/>
      <c r="Y293" s="10"/>
      <c r="Z293" s="10"/>
      <c r="AA293" s="10"/>
    </row>
    <row r="294" spans="1:27" ht="12.5" x14ac:dyDescent="0.25">
      <c r="A294" s="10" t="s">
        <v>77</v>
      </c>
      <c r="B294" s="10" t="s">
        <v>976</v>
      </c>
      <c r="C294" s="10" t="s">
        <v>76</v>
      </c>
      <c r="D294" s="11">
        <v>2024</v>
      </c>
      <c r="E294" s="10" t="s">
        <v>124</v>
      </c>
      <c r="F294" s="10" t="s">
        <v>83</v>
      </c>
      <c r="G294" s="10" t="s">
        <v>84</v>
      </c>
      <c r="H294" s="12">
        <v>63155.75</v>
      </c>
      <c r="I294" s="11">
        <v>2670</v>
      </c>
      <c r="J294" s="11">
        <v>2448</v>
      </c>
      <c r="K294" s="11">
        <v>67571</v>
      </c>
      <c r="L294" s="11">
        <v>4.2276435637293497E-2</v>
      </c>
      <c r="M294" s="11">
        <v>4.2276435637293517</v>
      </c>
      <c r="N294" s="11">
        <v>0.91685393258426995</v>
      </c>
      <c r="O294" s="11">
        <v>1.06991049904403</v>
      </c>
      <c r="P294" s="11">
        <v>0.44003378378378399</v>
      </c>
      <c r="Q294" s="11">
        <v>0.64285714285714302</v>
      </c>
      <c r="R294" s="11">
        <v>0.34451901565995502</v>
      </c>
      <c r="S294" s="10" t="s">
        <v>84</v>
      </c>
      <c r="T294" s="10" t="s">
        <v>84</v>
      </c>
      <c r="U294" s="10"/>
      <c r="V294" s="10"/>
      <c r="W294" s="10"/>
      <c r="X294" s="10"/>
      <c r="Y294" s="10"/>
      <c r="Z294" s="10"/>
      <c r="AA294" s="10"/>
    </row>
    <row r="295" spans="1:27" ht="12.5" x14ac:dyDescent="0.25">
      <c r="A295" s="10" t="s">
        <v>92</v>
      </c>
      <c r="B295" s="10" t="s">
        <v>978</v>
      </c>
      <c r="C295" s="10" t="s">
        <v>76</v>
      </c>
      <c r="D295" s="11">
        <v>2024</v>
      </c>
      <c r="E295" s="10" t="s">
        <v>124</v>
      </c>
      <c r="F295" s="10" t="s">
        <v>83</v>
      </c>
      <c r="G295" s="10" t="s">
        <v>84</v>
      </c>
      <c r="H295" s="12">
        <v>16200</v>
      </c>
      <c r="I295" s="11">
        <v>684</v>
      </c>
      <c r="J295" s="11">
        <v>617</v>
      </c>
      <c r="K295" s="11">
        <v>11917</v>
      </c>
      <c r="L295" s="11">
        <v>4.2222222222222203E-2</v>
      </c>
      <c r="M295" s="11">
        <v>4.2222222222222223</v>
      </c>
      <c r="N295" s="11">
        <v>0.90204678362573099</v>
      </c>
      <c r="O295" s="11">
        <v>0.73561728395061698</v>
      </c>
      <c r="P295" s="11">
        <v>0.43918918918918898</v>
      </c>
      <c r="Q295" s="11">
        <v>0.77777777777777801</v>
      </c>
      <c r="R295" s="11">
        <v>0.34228187919463099</v>
      </c>
      <c r="S295" s="10" t="s">
        <v>84</v>
      </c>
      <c r="T295" s="10" t="s">
        <v>84</v>
      </c>
      <c r="U295" s="10"/>
      <c r="V295" s="10"/>
      <c r="W295" s="10"/>
      <c r="X295" s="10"/>
      <c r="Y295" s="10"/>
      <c r="Z295" s="10"/>
      <c r="AA295" s="10"/>
    </row>
    <row r="296" spans="1:27" ht="12.5" x14ac:dyDescent="0.25">
      <c r="A296" s="10" t="s">
        <v>82</v>
      </c>
      <c r="B296" s="10" t="s">
        <v>981</v>
      </c>
      <c r="C296" s="10" t="s">
        <v>76</v>
      </c>
      <c r="D296" s="11">
        <v>2024</v>
      </c>
      <c r="E296" s="10" t="s">
        <v>124</v>
      </c>
      <c r="F296" s="10" t="s">
        <v>83</v>
      </c>
      <c r="G296" s="10" t="s">
        <v>84</v>
      </c>
      <c r="H296" s="12">
        <v>2552.5</v>
      </c>
      <c r="I296" s="11">
        <v>107</v>
      </c>
      <c r="J296" s="11">
        <v>107</v>
      </c>
      <c r="K296" s="11">
        <v>187</v>
      </c>
      <c r="L296" s="11">
        <v>4.1919686581782599E-2</v>
      </c>
      <c r="M296" s="11">
        <v>4.191968658178256</v>
      </c>
      <c r="N296" s="11">
        <v>1</v>
      </c>
      <c r="O296" s="11">
        <v>7.3261508325171407E-2</v>
      </c>
      <c r="P296" s="11">
        <v>0.4375</v>
      </c>
      <c r="Q296" s="11">
        <v>0.74137931034482796</v>
      </c>
      <c r="R296" s="11">
        <v>0.34004474272930701</v>
      </c>
      <c r="S296" s="10" t="s">
        <v>84</v>
      </c>
      <c r="T296" s="10" t="s">
        <v>84</v>
      </c>
      <c r="U296" s="10"/>
      <c r="V296" s="10"/>
      <c r="W296" s="10"/>
      <c r="X296" s="10"/>
      <c r="Y296" s="10"/>
      <c r="Z296" s="10"/>
      <c r="AA296" s="10"/>
    </row>
    <row r="297" spans="1:27" ht="12.5" x14ac:dyDescent="0.25">
      <c r="A297" s="10" t="s">
        <v>52</v>
      </c>
      <c r="B297" s="10" t="s">
        <v>983</v>
      </c>
      <c r="C297" s="10" t="s">
        <v>76</v>
      </c>
      <c r="D297" s="11">
        <v>2024</v>
      </c>
      <c r="E297" s="10" t="s">
        <v>124</v>
      </c>
      <c r="F297" s="10" t="s">
        <v>125</v>
      </c>
      <c r="G297" s="10" t="s">
        <v>84</v>
      </c>
      <c r="H297" s="12">
        <v>363.41666666666703</v>
      </c>
      <c r="I297" s="11">
        <v>15</v>
      </c>
      <c r="J297" s="11">
        <v>14</v>
      </c>
      <c r="K297" s="11">
        <v>789</v>
      </c>
      <c r="L297" s="11">
        <v>4.1274936941068603E-2</v>
      </c>
      <c r="M297" s="11">
        <v>4.1274936941068523</v>
      </c>
      <c r="N297" s="11">
        <v>0.93333333333333302</v>
      </c>
      <c r="O297" s="11">
        <v>2.1710616831002101</v>
      </c>
      <c r="P297" s="11">
        <v>0.43412162162162199</v>
      </c>
      <c r="Q297" s="11">
        <v>0.27659574468085102</v>
      </c>
      <c r="R297" s="11">
        <v>0.33780760626398199</v>
      </c>
      <c r="S297" s="10" t="s">
        <v>84</v>
      </c>
      <c r="T297" s="10" t="s">
        <v>84</v>
      </c>
      <c r="U297" s="10"/>
      <c r="V297" s="10"/>
      <c r="W297" s="10"/>
      <c r="X297" s="10"/>
      <c r="Y297" s="10"/>
      <c r="Z297" s="10"/>
      <c r="AA297" s="10"/>
    </row>
    <row r="298" spans="1:27" ht="12.5" x14ac:dyDescent="0.25">
      <c r="A298" s="10" t="s">
        <v>103</v>
      </c>
      <c r="B298" s="10" t="s">
        <v>986</v>
      </c>
      <c r="C298" s="10" t="s">
        <v>76</v>
      </c>
      <c r="D298" s="11">
        <v>2024</v>
      </c>
      <c r="E298" s="10" t="s">
        <v>124</v>
      </c>
      <c r="F298" s="10" t="s">
        <v>83</v>
      </c>
      <c r="G298" s="10" t="s">
        <v>84</v>
      </c>
      <c r="H298" s="12">
        <v>35614.166666666701</v>
      </c>
      <c r="I298" s="11">
        <v>1450</v>
      </c>
      <c r="J298" s="11">
        <v>1617</v>
      </c>
      <c r="K298" s="11">
        <v>15682</v>
      </c>
      <c r="L298" s="11">
        <v>4.07141352926036E-2</v>
      </c>
      <c r="M298" s="11">
        <v>4.0714135292603562</v>
      </c>
      <c r="N298" s="11">
        <v>1.1151724137931001</v>
      </c>
      <c r="O298" s="11">
        <v>0.44033039286800701</v>
      </c>
      <c r="P298" s="11">
        <v>0.431587837837838</v>
      </c>
      <c r="Q298" s="11">
        <v>0.434782608695652</v>
      </c>
      <c r="R298" s="11">
        <v>0.33557046979865801</v>
      </c>
      <c r="S298" s="10" t="s">
        <v>84</v>
      </c>
      <c r="T298" s="10" t="s">
        <v>84</v>
      </c>
      <c r="U298" s="10"/>
      <c r="V298" s="10"/>
      <c r="W298" s="10"/>
      <c r="X298" s="10"/>
      <c r="Y298" s="10"/>
      <c r="Z298" s="10"/>
      <c r="AA298" s="10"/>
    </row>
    <row r="299" spans="1:27" ht="12.5" x14ac:dyDescent="0.25">
      <c r="A299" s="10" t="s">
        <v>82</v>
      </c>
      <c r="B299" s="10" t="s">
        <v>988</v>
      </c>
      <c r="C299" s="10" t="s">
        <v>76</v>
      </c>
      <c r="D299" s="11">
        <v>2024</v>
      </c>
      <c r="E299" s="10" t="s">
        <v>124</v>
      </c>
      <c r="F299" s="10" t="s">
        <v>83</v>
      </c>
      <c r="G299" s="10" t="s">
        <v>84</v>
      </c>
      <c r="H299" s="12">
        <v>4163.1666666666697</v>
      </c>
      <c r="I299" s="11">
        <v>169</v>
      </c>
      <c r="J299" s="11">
        <v>169</v>
      </c>
      <c r="K299" s="11">
        <v>948</v>
      </c>
      <c r="L299" s="11">
        <v>4.0594099043196302E-2</v>
      </c>
      <c r="M299" s="11">
        <v>4.059409904319625</v>
      </c>
      <c r="N299" s="11">
        <v>1</v>
      </c>
      <c r="O299" s="11">
        <v>0.22771127747307701</v>
      </c>
      <c r="P299" s="11">
        <v>0.42989864864864902</v>
      </c>
      <c r="Q299" s="11">
        <v>0.72413793103448298</v>
      </c>
      <c r="R299" s="11">
        <v>0.33333333333333298</v>
      </c>
      <c r="S299" s="10" t="s">
        <v>84</v>
      </c>
      <c r="T299" s="10" t="s">
        <v>84</v>
      </c>
      <c r="U299" s="10"/>
      <c r="V299" s="10"/>
      <c r="W299" s="10"/>
      <c r="X299" s="10"/>
      <c r="Y299" s="10"/>
      <c r="Z299" s="10"/>
      <c r="AA299" s="10"/>
    </row>
    <row r="300" spans="1:27" ht="12.5" x14ac:dyDescent="0.25">
      <c r="A300" s="10" t="s">
        <v>104</v>
      </c>
      <c r="B300" s="10" t="s">
        <v>990</v>
      </c>
      <c r="C300" s="10" t="s">
        <v>76</v>
      </c>
      <c r="D300" s="11">
        <v>2024</v>
      </c>
      <c r="E300" s="10" t="s">
        <v>124</v>
      </c>
      <c r="F300" s="10" t="s">
        <v>83</v>
      </c>
      <c r="G300" s="10" t="s">
        <v>84</v>
      </c>
      <c r="H300" s="12">
        <v>244200</v>
      </c>
      <c r="I300" s="11">
        <v>9871</v>
      </c>
      <c r="J300" s="11">
        <v>8014</v>
      </c>
      <c r="K300" s="11">
        <v>48268</v>
      </c>
      <c r="L300" s="11">
        <v>4.04217854217854E-2</v>
      </c>
      <c r="M300" s="11">
        <v>4.0421785421785419</v>
      </c>
      <c r="N300" s="11">
        <v>0.81187316381318997</v>
      </c>
      <c r="O300" s="11">
        <v>0.197657657657658</v>
      </c>
      <c r="P300" s="11">
        <v>0.42820945945945998</v>
      </c>
      <c r="Q300" s="11">
        <v>0.41379310344827602</v>
      </c>
      <c r="R300" s="11">
        <v>0.33109619686800901</v>
      </c>
      <c r="S300" s="10" t="s">
        <v>84</v>
      </c>
      <c r="T300" s="10" t="s">
        <v>84</v>
      </c>
      <c r="U300" s="10"/>
      <c r="V300" s="10"/>
      <c r="W300" s="10"/>
      <c r="X300" s="10"/>
      <c r="Y300" s="10"/>
      <c r="Z300" s="10"/>
      <c r="AA300" s="10"/>
    </row>
    <row r="301" spans="1:27" ht="12.5" x14ac:dyDescent="0.25">
      <c r="A301" s="10" t="s">
        <v>82</v>
      </c>
      <c r="B301" s="10" t="s">
        <v>992</v>
      </c>
      <c r="C301" s="10" t="s">
        <v>76</v>
      </c>
      <c r="D301" s="11">
        <v>2024</v>
      </c>
      <c r="E301" s="10" t="s">
        <v>124</v>
      </c>
      <c r="F301" s="10" t="s">
        <v>83</v>
      </c>
      <c r="G301" s="10" t="s">
        <v>84</v>
      </c>
      <c r="H301" s="12">
        <v>1424</v>
      </c>
      <c r="I301" s="11">
        <v>57</v>
      </c>
      <c r="J301" s="11">
        <v>56</v>
      </c>
      <c r="K301" s="11">
        <v>837</v>
      </c>
      <c r="L301" s="11">
        <v>4.0028089887640499E-2</v>
      </c>
      <c r="M301" s="11">
        <v>4.0028089887640448</v>
      </c>
      <c r="N301" s="11">
        <v>0.98245614035087703</v>
      </c>
      <c r="O301" s="11">
        <v>0.58778089887640494</v>
      </c>
      <c r="P301" s="11">
        <v>0.42567567567567599</v>
      </c>
      <c r="Q301" s="11">
        <v>0.70689655172413801</v>
      </c>
      <c r="R301" s="11">
        <v>0.32885906040268498</v>
      </c>
      <c r="S301" s="10" t="s">
        <v>84</v>
      </c>
      <c r="T301" s="10" t="s">
        <v>84</v>
      </c>
      <c r="U301" s="10"/>
      <c r="V301" s="10"/>
      <c r="W301" s="10"/>
      <c r="X301" s="10"/>
      <c r="Y301" s="10"/>
      <c r="Z301" s="10"/>
      <c r="AA301" s="10"/>
    </row>
    <row r="302" spans="1:27" ht="12.5" x14ac:dyDescent="0.25">
      <c r="A302" s="10" t="s">
        <v>77</v>
      </c>
      <c r="B302" s="10" t="s">
        <v>996</v>
      </c>
      <c r="C302" s="10" t="s">
        <v>76</v>
      </c>
      <c r="D302" s="11">
        <v>2024</v>
      </c>
      <c r="E302" s="10" t="s">
        <v>124</v>
      </c>
      <c r="F302" s="10" t="s">
        <v>83</v>
      </c>
      <c r="G302" s="10" t="s">
        <v>84</v>
      </c>
      <c r="H302" s="12">
        <v>5854</v>
      </c>
      <c r="I302" s="11">
        <v>234</v>
      </c>
      <c r="J302" s="11">
        <v>234</v>
      </c>
      <c r="K302" s="11">
        <v>3856</v>
      </c>
      <c r="L302" s="11">
        <v>3.9972668261018099E-2</v>
      </c>
      <c r="M302" s="11">
        <v>3.9972668261018107</v>
      </c>
      <c r="N302" s="11">
        <v>1</v>
      </c>
      <c r="O302" s="11">
        <v>0.65869490946361497</v>
      </c>
      <c r="P302" s="11">
        <v>0.42483108108108097</v>
      </c>
      <c r="Q302" s="11">
        <v>0.60714285714285698</v>
      </c>
      <c r="R302" s="11">
        <v>0.32662192393736</v>
      </c>
      <c r="S302" s="10" t="s">
        <v>84</v>
      </c>
      <c r="T302" s="10" t="s">
        <v>84</v>
      </c>
      <c r="U302" s="10"/>
      <c r="V302" s="10"/>
      <c r="W302" s="10"/>
      <c r="X302" s="10"/>
      <c r="Y302" s="10"/>
      <c r="Z302" s="10"/>
      <c r="AA302" s="10"/>
    </row>
    <row r="303" spans="1:27" ht="12.5" x14ac:dyDescent="0.25">
      <c r="A303" s="10" t="s">
        <v>34</v>
      </c>
      <c r="B303" s="10" t="s">
        <v>998</v>
      </c>
      <c r="C303" s="10" t="s">
        <v>76</v>
      </c>
      <c r="D303" s="11">
        <v>2024</v>
      </c>
      <c r="E303" s="10" t="s">
        <v>124</v>
      </c>
      <c r="F303" s="10" t="s">
        <v>83</v>
      </c>
      <c r="G303" s="10" t="s">
        <v>84</v>
      </c>
      <c r="H303" s="12">
        <v>10713.416666666701</v>
      </c>
      <c r="I303" s="11">
        <v>428</v>
      </c>
      <c r="J303" s="11">
        <v>424</v>
      </c>
      <c r="K303" s="11">
        <v>6656</v>
      </c>
      <c r="L303" s="11">
        <v>3.9949907048016098E-2</v>
      </c>
      <c r="M303" s="11">
        <v>3.9949907048015989</v>
      </c>
      <c r="N303" s="11">
        <v>0.99065420560747697</v>
      </c>
      <c r="O303" s="11">
        <v>0.62127705913924103</v>
      </c>
      <c r="P303" s="11">
        <v>0.42398648648648701</v>
      </c>
      <c r="Q303" s="11">
        <v>0.69387755102040805</v>
      </c>
      <c r="R303" s="11">
        <v>0.32438478747203597</v>
      </c>
      <c r="S303" s="10" t="s">
        <v>84</v>
      </c>
      <c r="T303" s="10" t="s">
        <v>84</v>
      </c>
      <c r="U303" s="10"/>
      <c r="V303" s="10"/>
      <c r="W303" s="10"/>
      <c r="X303" s="10"/>
      <c r="Y303" s="10"/>
      <c r="Z303" s="10"/>
      <c r="AA303" s="10"/>
    </row>
    <row r="304" spans="1:27" ht="12.5" x14ac:dyDescent="0.25">
      <c r="A304" s="10" t="s">
        <v>58</v>
      </c>
      <c r="B304" s="10" t="s">
        <v>1000</v>
      </c>
      <c r="C304" s="10" t="s">
        <v>76</v>
      </c>
      <c r="D304" s="11">
        <v>2024</v>
      </c>
      <c r="E304" s="10" t="s">
        <v>124</v>
      </c>
      <c r="F304" s="10" t="s">
        <v>125</v>
      </c>
      <c r="G304" s="10" t="s">
        <v>84</v>
      </c>
      <c r="H304" s="12">
        <v>375.83333333333297</v>
      </c>
      <c r="I304" s="11">
        <v>15</v>
      </c>
      <c r="J304" s="11">
        <v>14</v>
      </c>
      <c r="K304" s="11">
        <v>346</v>
      </c>
      <c r="L304" s="11">
        <v>3.9911308203991101E-2</v>
      </c>
      <c r="M304" s="11">
        <v>3.9911308203991172</v>
      </c>
      <c r="N304" s="11">
        <v>0.93333333333333302</v>
      </c>
      <c r="O304" s="11">
        <v>0.920620842572062</v>
      </c>
      <c r="P304" s="11">
        <v>0.423141891891892</v>
      </c>
      <c r="Q304" s="11">
        <v>8.1081081081081099E-2</v>
      </c>
      <c r="R304" s="11">
        <v>0.322147651006711</v>
      </c>
      <c r="S304" s="10" t="s">
        <v>84</v>
      </c>
      <c r="T304" s="10" t="s">
        <v>84</v>
      </c>
      <c r="U304" s="10"/>
      <c r="V304" s="10"/>
      <c r="W304" s="10"/>
      <c r="X304" s="10"/>
      <c r="Y304" s="10"/>
      <c r="Z304" s="10"/>
      <c r="AA304" s="10"/>
    </row>
    <row r="305" spans="1:27" ht="12.5" x14ac:dyDescent="0.25">
      <c r="A305" s="10" t="s">
        <v>62</v>
      </c>
      <c r="B305" s="10" t="s">
        <v>1001</v>
      </c>
      <c r="C305" s="10" t="s">
        <v>76</v>
      </c>
      <c r="D305" s="11">
        <v>2024</v>
      </c>
      <c r="E305" s="10" t="s">
        <v>124</v>
      </c>
      <c r="F305" s="10" t="s">
        <v>83</v>
      </c>
      <c r="G305" s="10" t="s">
        <v>84</v>
      </c>
      <c r="H305" s="12">
        <v>5869.4166666666697</v>
      </c>
      <c r="I305" s="11">
        <v>230</v>
      </c>
      <c r="J305" s="11">
        <v>169</v>
      </c>
      <c r="K305" s="11">
        <v>3030</v>
      </c>
      <c r="L305" s="11">
        <v>3.91861769341076E-2</v>
      </c>
      <c r="M305" s="11">
        <v>3.9186176934107571</v>
      </c>
      <c r="N305" s="11">
        <v>0.73478260869565204</v>
      </c>
      <c r="O305" s="11">
        <v>0.51623528743628699</v>
      </c>
      <c r="P305" s="11">
        <v>0.420608108108108</v>
      </c>
      <c r="Q305" s="11">
        <v>0.5</v>
      </c>
      <c r="R305" s="11">
        <v>0.31991051454138703</v>
      </c>
      <c r="S305" s="10" t="s">
        <v>84</v>
      </c>
      <c r="T305" s="10" t="s">
        <v>84</v>
      </c>
      <c r="U305" s="10"/>
      <c r="V305" s="10"/>
      <c r="W305" s="10"/>
      <c r="X305" s="10"/>
      <c r="Y305" s="10"/>
      <c r="Z305" s="10"/>
      <c r="AA305" s="10"/>
    </row>
    <row r="306" spans="1:27" ht="12.5" x14ac:dyDescent="0.25">
      <c r="A306" s="10" t="s">
        <v>67</v>
      </c>
      <c r="B306" s="10" t="s">
        <v>1004</v>
      </c>
      <c r="C306" s="10" t="s">
        <v>76</v>
      </c>
      <c r="D306" s="11">
        <v>2024</v>
      </c>
      <c r="E306" s="10" t="s">
        <v>124</v>
      </c>
      <c r="F306" s="10" t="s">
        <v>83</v>
      </c>
      <c r="G306" s="10" t="s">
        <v>84</v>
      </c>
      <c r="H306" s="12">
        <v>118000</v>
      </c>
      <c r="I306" s="11">
        <v>4567</v>
      </c>
      <c r="J306" s="11">
        <v>2324</v>
      </c>
      <c r="K306" s="11">
        <v>39161</v>
      </c>
      <c r="L306" s="11">
        <v>3.87033898305085E-2</v>
      </c>
      <c r="M306" s="11">
        <v>3.8703389830508472</v>
      </c>
      <c r="N306" s="11">
        <v>0.50886796584190896</v>
      </c>
      <c r="O306" s="11">
        <v>0.33187288135593201</v>
      </c>
      <c r="P306" s="11">
        <v>0.41638513513513498</v>
      </c>
      <c r="Q306" s="11">
        <v>0.42857142857142899</v>
      </c>
      <c r="R306" s="11">
        <v>0.317673378076063</v>
      </c>
      <c r="S306" s="10" t="s">
        <v>84</v>
      </c>
      <c r="T306" s="10" t="s">
        <v>84</v>
      </c>
      <c r="U306" s="10"/>
      <c r="V306" s="10"/>
      <c r="W306" s="10"/>
      <c r="X306" s="10"/>
      <c r="Y306" s="10"/>
      <c r="Z306" s="10"/>
      <c r="AA306" s="10"/>
    </row>
    <row r="307" spans="1:27" ht="12.5" x14ac:dyDescent="0.25">
      <c r="A307" s="10" t="s">
        <v>82</v>
      </c>
      <c r="B307" s="10" t="s">
        <v>1006</v>
      </c>
      <c r="C307" s="10" t="s">
        <v>76</v>
      </c>
      <c r="D307" s="11">
        <v>2024</v>
      </c>
      <c r="E307" s="10" t="s">
        <v>124</v>
      </c>
      <c r="F307" s="10" t="s">
        <v>83</v>
      </c>
      <c r="G307" s="10" t="s">
        <v>84</v>
      </c>
      <c r="H307" s="12">
        <v>964</v>
      </c>
      <c r="I307" s="11">
        <v>37</v>
      </c>
      <c r="J307" s="11">
        <v>37</v>
      </c>
      <c r="K307" s="11">
        <v>599</v>
      </c>
      <c r="L307" s="11">
        <v>3.83817427385892E-2</v>
      </c>
      <c r="M307" s="11">
        <v>3.8381742738589213</v>
      </c>
      <c r="N307" s="11">
        <v>1</v>
      </c>
      <c r="O307" s="11">
        <v>0.62136929460580903</v>
      </c>
      <c r="P307" s="11">
        <v>0.41300675675675702</v>
      </c>
      <c r="Q307" s="11">
        <v>0.67241379310344795</v>
      </c>
      <c r="R307" s="11">
        <v>0.31543624161073802</v>
      </c>
      <c r="S307" s="10" t="s">
        <v>84</v>
      </c>
      <c r="T307" s="10" t="s">
        <v>84</v>
      </c>
      <c r="U307" s="10"/>
      <c r="V307" s="10"/>
      <c r="W307" s="10"/>
      <c r="X307" s="10"/>
      <c r="Y307" s="10"/>
      <c r="Z307" s="10"/>
      <c r="AA307" s="10"/>
    </row>
    <row r="308" spans="1:27" ht="12.5" x14ac:dyDescent="0.25">
      <c r="A308" s="10" t="s">
        <v>62</v>
      </c>
      <c r="B308" s="10" t="s">
        <v>1008</v>
      </c>
      <c r="C308" s="10" t="s">
        <v>76</v>
      </c>
      <c r="D308" s="11">
        <v>2024</v>
      </c>
      <c r="E308" s="10" t="s">
        <v>124</v>
      </c>
      <c r="F308" s="10" t="s">
        <v>83</v>
      </c>
      <c r="G308" s="10" t="s">
        <v>84</v>
      </c>
      <c r="H308" s="12">
        <v>17924.333333333299</v>
      </c>
      <c r="I308" s="11">
        <v>687</v>
      </c>
      <c r="J308" s="11">
        <v>682</v>
      </c>
      <c r="K308" s="11">
        <v>7956</v>
      </c>
      <c r="L308" s="11">
        <v>3.8327785319770102E-2</v>
      </c>
      <c r="M308" s="11">
        <v>3.8327785319770222</v>
      </c>
      <c r="N308" s="11">
        <v>0.99272197962154296</v>
      </c>
      <c r="O308" s="11">
        <v>0.44386588064642102</v>
      </c>
      <c r="P308" s="11">
        <v>0.412162162162162</v>
      </c>
      <c r="Q308" s="11">
        <v>0.47222222222222199</v>
      </c>
      <c r="R308" s="11">
        <v>0.31319910514541399</v>
      </c>
      <c r="S308" s="10" t="s">
        <v>84</v>
      </c>
      <c r="T308" s="10" t="s">
        <v>84</v>
      </c>
      <c r="U308" s="10"/>
      <c r="V308" s="10"/>
      <c r="W308" s="10"/>
      <c r="X308" s="10"/>
      <c r="Y308" s="10"/>
      <c r="Z308" s="10"/>
      <c r="AA308" s="10"/>
    </row>
    <row r="309" spans="1:27" ht="12.5" x14ac:dyDescent="0.25">
      <c r="A309" s="10" t="s">
        <v>77</v>
      </c>
      <c r="B309" s="10" t="s">
        <v>1010</v>
      </c>
      <c r="C309" s="10" t="s">
        <v>76</v>
      </c>
      <c r="D309" s="11">
        <v>2024</v>
      </c>
      <c r="E309" s="10" t="s">
        <v>124</v>
      </c>
      <c r="F309" s="10" t="s">
        <v>83</v>
      </c>
      <c r="G309" s="10" t="s">
        <v>84</v>
      </c>
      <c r="H309" s="12">
        <v>4844.3333333333303</v>
      </c>
      <c r="I309" s="11">
        <v>185</v>
      </c>
      <c r="J309" s="11">
        <v>183</v>
      </c>
      <c r="K309" s="11">
        <v>8984</v>
      </c>
      <c r="L309" s="11">
        <v>3.8188949287827699E-2</v>
      </c>
      <c r="M309" s="11">
        <v>3.8188949287827727</v>
      </c>
      <c r="N309" s="11">
        <v>0.98918918918918897</v>
      </c>
      <c r="O309" s="11">
        <v>1.8545379481180799</v>
      </c>
      <c r="P309" s="11">
        <v>0.41131756756756799</v>
      </c>
      <c r="Q309" s="11">
        <v>0.53571428571428603</v>
      </c>
      <c r="R309" s="11">
        <v>0.31096196868008902</v>
      </c>
      <c r="S309" s="10" t="s">
        <v>84</v>
      </c>
      <c r="T309" s="10" t="s">
        <v>84</v>
      </c>
      <c r="U309" s="10"/>
      <c r="V309" s="10"/>
      <c r="W309" s="10"/>
      <c r="X309" s="10"/>
      <c r="Y309" s="10"/>
      <c r="Z309" s="10"/>
      <c r="AA309" s="10"/>
    </row>
    <row r="310" spans="1:27" ht="12.5" x14ac:dyDescent="0.25">
      <c r="A310" s="10" t="s">
        <v>82</v>
      </c>
      <c r="B310" s="10" t="s">
        <v>1012</v>
      </c>
      <c r="C310" s="10" t="s">
        <v>76</v>
      </c>
      <c r="D310" s="11">
        <v>2024</v>
      </c>
      <c r="E310" s="10" t="s">
        <v>124</v>
      </c>
      <c r="F310" s="10" t="s">
        <v>83</v>
      </c>
      <c r="G310" s="10" t="s">
        <v>84</v>
      </c>
      <c r="H310" s="12">
        <v>9613.5833333333303</v>
      </c>
      <c r="I310" s="11">
        <v>367</v>
      </c>
      <c r="J310" s="11">
        <v>366</v>
      </c>
      <c r="K310" s="11">
        <v>3065</v>
      </c>
      <c r="L310" s="11">
        <v>3.8175151478376898E-2</v>
      </c>
      <c r="M310" s="11">
        <v>3.8175151478376961</v>
      </c>
      <c r="N310" s="11">
        <v>0.99727520435967298</v>
      </c>
      <c r="O310" s="11">
        <v>0.31881972556192201</v>
      </c>
      <c r="P310" s="11">
        <v>0.40962837837837801</v>
      </c>
      <c r="Q310" s="11">
        <v>0.65517241379310298</v>
      </c>
      <c r="R310" s="11">
        <v>0.30872483221476499</v>
      </c>
      <c r="S310" s="10" t="s">
        <v>84</v>
      </c>
      <c r="T310" s="10" t="s">
        <v>84</v>
      </c>
      <c r="U310" s="10"/>
      <c r="V310" s="10"/>
      <c r="W310" s="10"/>
      <c r="X310" s="10"/>
      <c r="Y310" s="10"/>
      <c r="Z310" s="10"/>
      <c r="AA310" s="10"/>
    </row>
    <row r="311" spans="1:27" ht="12.5" x14ac:dyDescent="0.25">
      <c r="A311" s="10" t="s">
        <v>13</v>
      </c>
      <c r="B311" s="10" t="s">
        <v>1014</v>
      </c>
      <c r="C311" s="10" t="s">
        <v>76</v>
      </c>
      <c r="D311" s="11">
        <v>2024</v>
      </c>
      <c r="E311" s="10" t="s">
        <v>124</v>
      </c>
      <c r="F311" s="10" t="s">
        <v>125</v>
      </c>
      <c r="G311" s="10" t="s">
        <v>84</v>
      </c>
      <c r="H311" s="12">
        <v>1790.5</v>
      </c>
      <c r="I311" s="11">
        <v>68</v>
      </c>
      <c r="J311" s="11">
        <v>30</v>
      </c>
      <c r="K311" s="11">
        <v>301</v>
      </c>
      <c r="L311" s="11">
        <v>3.79782183747557E-2</v>
      </c>
      <c r="M311" s="11">
        <v>3.7978218374755657</v>
      </c>
      <c r="N311" s="11">
        <v>0.441176470588235</v>
      </c>
      <c r="O311" s="11">
        <v>0.16810946662943299</v>
      </c>
      <c r="P311" s="11">
        <v>0.40625</v>
      </c>
      <c r="Q311" s="11">
        <v>9.5238095238095205E-2</v>
      </c>
      <c r="R311" s="11">
        <v>0.30648769574944101</v>
      </c>
      <c r="S311" s="10" t="s">
        <v>84</v>
      </c>
      <c r="T311" s="10" t="s">
        <v>84</v>
      </c>
      <c r="U311" s="10"/>
      <c r="V311" s="10"/>
      <c r="W311" s="10"/>
      <c r="X311" s="10"/>
      <c r="Y311" s="10"/>
      <c r="Z311" s="10"/>
      <c r="AA311" s="10"/>
    </row>
    <row r="312" spans="1:27" ht="12.5" x14ac:dyDescent="0.25">
      <c r="A312" s="10" t="s">
        <v>52</v>
      </c>
      <c r="B312" s="10" t="s">
        <v>1016</v>
      </c>
      <c r="C312" s="10" t="s">
        <v>76</v>
      </c>
      <c r="D312" s="11">
        <v>2024</v>
      </c>
      <c r="E312" s="10" t="s">
        <v>124</v>
      </c>
      <c r="F312" s="10" t="s">
        <v>125</v>
      </c>
      <c r="G312" s="10" t="s">
        <v>84</v>
      </c>
      <c r="H312" s="12">
        <v>820.83333333333303</v>
      </c>
      <c r="I312" s="11">
        <v>31</v>
      </c>
      <c r="J312" s="11">
        <v>25</v>
      </c>
      <c r="K312" s="11">
        <v>1342</v>
      </c>
      <c r="L312" s="11">
        <v>3.7766497461928901E-2</v>
      </c>
      <c r="M312" s="11">
        <v>3.776649746192895</v>
      </c>
      <c r="N312" s="11">
        <v>0.80645161290322598</v>
      </c>
      <c r="O312" s="11">
        <v>1.6349238578680201</v>
      </c>
      <c r="P312" s="11">
        <v>0.40456081081081102</v>
      </c>
      <c r="Q312" s="11">
        <v>0.25531914893617003</v>
      </c>
      <c r="R312" s="11">
        <v>0.30425055928411598</v>
      </c>
      <c r="S312" s="10" t="s">
        <v>84</v>
      </c>
      <c r="T312" s="10" t="s">
        <v>84</v>
      </c>
      <c r="U312" s="10"/>
      <c r="V312" s="10"/>
      <c r="W312" s="10"/>
      <c r="X312" s="10"/>
      <c r="Y312" s="10"/>
      <c r="Z312" s="10"/>
      <c r="AA312" s="10"/>
    </row>
    <row r="313" spans="1:27" ht="12.5" x14ac:dyDescent="0.25">
      <c r="A313" s="10" t="s">
        <v>62</v>
      </c>
      <c r="B313" s="10" t="s">
        <v>1018</v>
      </c>
      <c r="C313" s="10" t="s">
        <v>76</v>
      </c>
      <c r="D313" s="11">
        <v>2024</v>
      </c>
      <c r="E313" s="10" t="s">
        <v>124</v>
      </c>
      <c r="F313" s="10" t="s">
        <v>83</v>
      </c>
      <c r="G313" s="10" t="s">
        <v>84</v>
      </c>
      <c r="H313" s="12">
        <v>7173.5</v>
      </c>
      <c r="I313" s="11">
        <v>270</v>
      </c>
      <c r="J313" s="11">
        <v>226</v>
      </c>
      <c r="K313" s="11">
        <v>5892</v>
      </c>
      <c r="L313" s="11">
        <v>3.7638530703282901E-2</v>
      </c>
      <c r="M313" s="11">
        <v>3.7638530703282913</v>
      </c>
      <c r="N313" s="11">
        <v>0.83703703703703702</v>
      </c>
      <c r="O313" s="11">
        <v>0.821356381124974</v>
      </c>
      <c r="P313" s="11">
        <v>0.40371621621621601</v>
      </c>
      <c r="Q313" s="11">
        <v>0.44444444444444398</v>
      </c>
      <c r="R313" s="11">
        <v>0.30201342281879201</v>
      </c>
      <c r="S313" s="10" t="s">
        <v>84</v>
      </c>
      <c r="T313" s="10" t="s">
        <v>84</v>
      </c>
      <c r="U313" s="10"/>
      <c r="V313" s="10"/>
      <c r="W313" s="10"/>
      <c r="X313" s="10"/>
      <c r="Y313" s="10"/>
      <c r="Z313" s="10"/>
      <c r="AA313" s="10"/>
    </row>
    <row r="314" spans="1:27" ht="12.5" x14ac:dyDescent="0.25">
      <c r="A314" s="10" t="s">
        <v>92</v>
      </c>
      <c r="B314" s="10" t="s">
        <v>1020</v>
      </c>
      <c r="C314" s="10" t="s">
        <v>76</v>
      </c>
      <c r="D314" s="11">
        <v>2024</v>
      </c>
      <c r="E314" s="10" t="s">
        <v>124</v>
      </c>
      <c r="F314" s="10" t="s">
        <v>83</v>
      </c>
      <c r="G314" s="10" t="s">
        <v>84</v>
      </c>
      <c r="H314" s="12">
        <v>34330.666666666701</v>
      </c>
      <c r="I314" s="11">
        <v>1291</v>
      </c>
      <c r="J314" s="11">
        <v>871</v>
      </c>
      <c r="K314" s="11">
        <v>19236</v>
      </c>
      <c r="L314" s="11">
        <v>3.7604862513593303E-2</v>
      </c>
      <c r="M314" s="11">
        <v>3.7604862513593256</v>
      </c>
      <c r="N314" s="11">
        <v>0.67467079783113904</v>
      </c>
      <c r="O314" s="11">
        <v>0.56031536430013995</v>
      </c>
      <c r="P314" s="11">
        <v>0.40287162162162199</v>
      </c>
      <c r="Q314" s="11">
        <v>0.72222222222222199</v>
      </c>
      <c r="R314" s="11">
        <v>0.29977628635346798</v>
      </c>
      <c r="S314" s="10" t="s">
        <v>84</v>
      </c>
      <c r="T314" s="10" t="s">
        <v>84</v>
      </c>
      <c r="U314" s="10"/>
      <c r="V314" s="10"/>
      <c r="W314" s="10"/>
      <c r="X314" s="10"/>
      <c r="Y314" s="10"/>
      <c r="Z314" s="10"/>
      <c r="AA314" s="10"/>
    </row>
    <row r="315" spans="1:27" ht="12.5" x14ac:dyDescent="0.25">
      <c r="A315" s="10" t="s">
        <v>62</v>
      </c>
      <c r="B315" s="10" t="s">
        <v>1021</v>
      </c>
      <c r="C315" s="10" t="s">
        <v>76</v>
      </c>
      <c r="D315" s="11">
        <v>2024</v>
      </c>
      <c r="E315" s="10" t="s">
        <v>124</v>
      </c>
      <c r="F315" s="10" t="s">
        <v>83</v>
      </c>
      <c r="G315" s="10" t="s">
        <v>84</v>
      </c>
      <c r="H315" s="12">
        <v>9839.4166666666697</v>
      </c>
      <c r="I315" s="11">
        <v>363</v>
      </c>
      <c r="J315" s="11">
        <v>237</v>
      </c>
      <c r="K315" s="11">
        <v>944</v>
      </c>
      <c r="L315" s="11">
        <v>3.6892430953732E-2</v>
      </c>
      <c r="M315" s="11">
        <v>3.6892430953731998</v>
      </c>
      <c r="N315" s="11">
        <v>0.65289256198347101</v>
      </c>
      <c r="O315" s="11">
        <v>9.5940646887942196E-2</v>
      </c>
      <c r="P315" s="11">
        <v>0.400337837837838</v>
      </c>
      <c r="Q315" s="11">
        <v>0.41666666666666702</v>
      </c>
      <c r="R315" s="11">
        <v>0.29753914988814301</v>
      </c>
      <c r="S315" s="10" t="s">
        <v>84</v>
      </c>
      <c r="T315" s="10" t="s">
        <v>84</v>
      </c>
      <c r="U315" s="10"/>
      <c r="V315" s="10"/>
      <c r="W315" s="10"/>
      <c r="X315" s="10"/>
      <c r="Y315" s="10"/>
      <c r="Z315" s="10"/>
      <c r="AA315" s="10"/>
    </row>
    <row r="316" spans="1:27" ht="12.5" x14ac:dyDescent="0.25">
      <c r="A316" s="10" t="s">
        <v>109</v>
      </c>
      <c r="B316" s="10" t="s">
        <v>1023</v>
      </c>
      <c r="C316" s="10" t="s">
        <v>76</v>
      </c>
      <c r="D316" s="11">
        <v>2024</v>
      </c>
      <c r="E316" s="10" t="s">
        <v>124</v>
      </c>
      <c r="F316" s="10" t="s">
        <v>83</v>
      </c>
      <c r="G316" s="10" t="s">
        <v>84</v>
      </c>
      <c r="H316" s="12">
        <v>1262.9166666666699</v>
      </c>
      <c r="I316" s="11">
        <v>46</v>
      </c>
      <c r="J316" s="11">
        <v>46</v>
      </c>
      <c r="K316" s="11">
        <v>623</v>
      </c>
      <c r="L316" s="11">
        <v>3.6423622566809602E-2</v>
      </c>
      <c r="M316" s="11">
        <v>3.6423622566809541</v>
      </c>
      <c r="N316" s="11">
        <v>1</v>
      </c>
      <c r="O316" s="11">
        <v>0.49330254041570398</v>
      </c>
      <c r="P316" s="11">
        <v>0.39695945945945998</v>
      </c>
      <c r="Q316" s="11">
        <v>0.55555555555555602</v>
      </c>
      <c r="R316" s="11">
        <v>0.29530201342281898</v>
      </c>
      <c r="S316" s="10" t="s">
        <v>84</v>
      </c>
      <c r="T316" s="10" t="s">
        <v>84</v>
      </c>
      <c r="U316" s="10"/>
      <c r="V316" s="10"/>
      <c r="W316" s="10"/>
      <c r="X316" s="10"/>
      <c r="Y316" s="10"/>
      <c r="Z316" s="10"/>
      <c r="AA316" s="10"/>
    </row>
    <row r="317" spans="1:27" ht="12.5" x14ac:dyDescent="0.25">
      <c r="A317" s="10" t="s">
        <v>43</v>
      </c>
      <c r="B317" s="10" t="s">
        <v>1026</v>
      </c>
      <c r="C317" s="10" t="s">
        <v>76</v>
      </c>
      <c r="D317" s="11">
        <v>2024</v>
      </c>
      <c r="E317" s="10" t="s">
        <v>124</v>
      </c>
      <c r="F317" s="10" t="s">
        <v>83</v>
      </c>
      <c r="G317" s="10" t="s">
        <v>84</v>
      </c>
      <c r="H317" s="12">
        <v>8156.25</v>
      </c>
      <c r="I317" s="11">
        <v>297</v>
      </c>
      <c r="J317" s="11">
        <v>207</v>
      </c>
      <c r="K317" s="11">
        <v>8993</v>
      </c>
      <c r="L317" s="11">
        <v>3.6413793103448298E-2</v>
      </c>
      <c r="M317" s="11">
        <v>3.6413793103448278</v>
      </c>
      <c r="N317" s="11">
        <v>0.69696969696969702</v>
      </c>
      <c r="O317" s="11">
        <v>1.10259003831418</v>
      </c>
      <c r="P317" s="11">
        <v>0.39611486486486502</v>
      </c>
      <c r="Q317" s="11">
        <v>0.69230769230769196</v>
      </c>
      <c r="R317" s="11">
        <v>0.293064876957494</v>
      </c>
      <c r="S317" s="10" t="s">
        <v>84</v>
      </c>
      <c r="T317" s="10" t="s">
        <v>84</v>
      </c>
      <c r="U317" s="10"/>
      <c r="V317" s="10"/>
      <c r="W317" s="10"/>
      <c r="X317" s="10"/>
      <c r="Y317" s="10"/>
      <c r="Z317" s="10"/>
      <c r="AA317" s="10"/>
    </row>
    <row r="318" spans="1:27" ht="12.5" x14ac:dyDescent="0.25">
      <c r="A318" s="10" t="s">
        <v>53</v>
      </c>
      <c r="B318" s="10" t="s">
        <v>1028</v>
      </c>
      <c r="C318" s="10" t="s">
        <v>76</v>
      </c>
      <c r="D318" s="11">
        <v>2024</v>
      </c>
      <c r="E318" s="10" t="s">
        <v>124</v>
      </c>
      <c r="F318" s="10" t="s">
        <v>83</v>
      </c>
      <c r="G318" s="10" t="s">
        <v>84</v>
      </c>
      <c r="H318" s="12">
        <v>24979.083333333299</v>
      </c>
      <c r="I318" s="11">
        <v>899</v>
      </c>
      <c r="J318" s="11">
        <v>339</v>
      </c>
      <c r="K318" s="11">
        <v>6830</v>
      </c>
      <c r="L318" s="11">
        <v>3.5990111726811401E-2</v>
      </c>
      <c r="M318" s="11">
        <v>3.5990111726811485</v>
      </c>
      <c r="N318" s="11">
        <v>0.37708565072302602</v>
      </c>
      <c r="O318" s="11">
        <v>0.27342876873651001</v>
      </c>
      <c r="P318" s="11">
        <v>0.39358108108108097</v>
      </c>
      <c r="Q318" s="11">
        <v>0.92500000000000004</v>
      </c>
      <c r="R318" s="11">
        <v>0.29082774049216997</v>
      </c>
      <c r="S318" s="10" t="s">
        <v>84</v>
      </c>
      <c r="T318" s="10" t="s">
        <v>84</v>
      </c>
      <c r="U318" s="10"/>
      <c r="V318" s="10"/>
      <c r="W318" s="10"/>
      <c r="X318" s="10"/>
      <c r="Y318" s="10"/>
      <c r="Z318" s="10"/>
      <c r="AA318" s="10"/>
    </row>
    <row r="319" spans="1:27" ht="12.5" x14ac:dyDescent="0.25">
      <c r="A319" s="10" t="s">
        <v>67</v>
      </c>
      <c r="B319" s="10" t="s">
        <v>1030</v>
      </c>
      <c r="C319" s="10" t="s">
        <v>76</v>
      </c>
      <c r="D319" s="11">
        <v>2024</v>
      </c>
      <c r="E319" s="10" t="s">
        <v>124</v>
      </c>
      <c r="F319" s="10" t="s">
        <v>83</v>
      </c>
      <c r="G319" s="10" t="s">
        <v>84</v>
      </c>
      <c r="H319" s="12">
        <v>15026.166666666701</v>
      </c>
      <c r="I319" s="11">
        <v>530</v>
      </c>
      <c r="J319" s="11">
        <v>0</v>
      </c>
      <c r="K319" s="11">
        <v>2717</v>
      </c>
      <c r="L319" s="11">
        <v>3.5271803631442902E-2</v>
      </c>
      <c r="M319" s="11">
        <v>3.5271803631442848</v>
      </c>
      <c r="N319" s="11">
        <v>0</v>
      </c>
      <c r="O319" s="11">
        <v>0.18081790654081201</v>
      </c>
      <c r="P319" s="11">
        <v>0.39020270270270302</v>
      </c>
      <c r="Q319" s="11">
        <v>0.33333333333333298</v>
      </c>
      <c r="R319" s="11">
        <v>0.288590604026846</v>
      </c>
      <c r="S319" s="10" t="s">
        <v>84</v>
      </c>
      <c r="T319" s="10" t="s">
        <v>84</v>
      </c>
      <c r="U319" s="10"/>
      <c r="V319" s="10"/>
      <c r="W319" s="10"/>
      <c r="X319" s="10"/>
      <c r="Y319" s="10"/>
      <c r="Z319" s="10"/>
      <c r="AA319" s="10"/>
    </row>
    <row r="320" spans="1:27" ht="12.5" x14ac:dyDescent="0.25">
      <c r="A320" s="10" t="s">
        <v>82</v>
      </c>
      <c r="B320" s="10" t="s">
        <v>1034</v>
      </c>
      <c r="C320" s="10" t="s">
        <v>76</v>
      </c>
      <c r="D320" s="11">
        <v>2024</v>
      </c>
      <c r="E320" s="10" t="s">
        <v>124</v>
      </c>
      <c r="F320" s="10" t="s">
        <v>83</v>
      </c>
      <c r="G320" s="10" t="s">
        <v>84</v>
      </c>
      <c r="H320" s="12">
        <v>1923</v>
      </c>
      <c r="I320" s="11">
        <v>67</v>
      </c>
      <c r="J320" s="11">
        <v>67</v>
      </c>
      <c r="K320" s="11">
        <v>2929</v>
      </c>
      <c r="L320" s="11">
        <v>3.4841393655746199E-2</v>
      </c>
      <c r="M320" s="11">
        <v>3.4841393655746224</v>
      </c>
      <c r="N320" s="11">
        <v>1</v>
      </c>
      <c r="O320" s="11">
        <v>1.5231409256370301</v>
      </c>
      <c r="P320" s="11">
        <v>0.38851351351351299</v>
      </c>
      <c r="Q320" s="11">
        <v>0.63793103448275901</v>
      </c>
      <c r="R320" s="11">
        <v>0.28635346756152102</v>
      </c>
      <c r="S320" s="10" t="s">
        <v>84</v>
      </c>
      <c r="T320" s="10" t="s">
        <v>84</v>
      </c>
      <c r="U320" s="10"/>
      <c r="V320" s="10"/>
      <c r="W320" s="10"/>
      <c r="X320" s="10"/>
      <c r="Y320" s="10"/>
      <c r="Z320" s="10"/>
      <c r="AA320" s="10"/>
    </row>
    <row r="321" spans="1:27" ht="12.5" x14ac:dyDescent="0.25">
      <c r="A321" s="10" t="s">
        <v>62</v>
      </c>
      <c r="B321" s="10" t="s">
        <v>1036</v>
      </c>
      <c r="C321" s="10" t="s">
        <v>76</v>
      </c>
      <c r="D321" s="11">
        <v>2024</v>
      </c>
      <c r="E321" s="10" t="s">
        <v>124</v>
      </c>
      <c r="F321" s="10" t="s">
        <v>83</v>
      </c>
      <c r="G321" s="10" t="s">
        <v>84</v>
      </c>
      <c r="H321" s="12">
        <v>23545.583333333299</v>
      </c>
      <c r="I321" s="11">
        <v>804</v>
      </c>
      <c r="J321" s="11">
        <v>604</v>
      </c>
      <c r="K321" s="11">
        <v>3904</v>
      </c>
      <c r="L321" s="11">
        <v>3.41465313735414E-2</v>
      </c>
      <c r="M321" s="11">
        <v>3.414653137354144</v>
      </c>
      <c r="N321" s="11">
        <v>0.75124378109452705</v>
      </c>
      <c r="O321" s="11">
        <v>0.16580604288844</v>
      </c>
      <c r="P321" s="11">
        <v>0.38175675675675702</v>
      </c>
      <c r="Q321" s="11">
        <v>0.36111111111111099</v>
      </c>
      <c r="R321" s="11">
        <v>0.28411633109619699</v>
      </c>
      <c r="S321" s="10" t="s">
        <v>84</v>
      </c>
      <c r="T321" s="10" t="s">
        <v>84</v>
      </c>
      <c r="U321" s="10"/>
      <c r="V321" s="10"/>
      <c r="W321" s="10"/>
      <c r="X321" s="10"/>
      <c r="Y321" s="10"/>
      <c r="Z321" s="10"/>
      <c r="AA321" s="10"/>
    </row>
    <row r="322" spans="1:27" ht="12.5" x14ac:dyDescent="0.25">
      <c r="A322" s="10" t="s">
        <v>110</v>
      </c>
      <c r="B322" s="10" t="s">
        <v>1039</v>
      </c>
      <c r="C322" s="10" t="s">
        <v>76</v>
      </c>
      <c r="D322" s="11">
        <v>2024</v>
      </c>
      <c r="E322" s="10" t="s">
        <v>124</v>
      </c>
      <c r="F322" s="10" t="s">
        <v>83</v>
      </c>
      <c r="G322" s="10" t="s">
        <v>84</v>
      </c>
      <c r="H322" s="12">
        <v>424079.08333333302</v>
      </c>
      <c r="I322" s="11">
        <v>14406</v>
      </c>
      <c r="J322" s="11">
        <v>14082</v>
      </c>
      <c r="K322" s="11">
        <v>69610</v>
      </c>
      <c r="L322" s="11">
        <v>3.3970079087057098E-2</v>
      </c>
      <c r="M322" s="11">
        <v>3.3970079087057097</v>
      </c>
      <c r="N322" s="11">
        <v>0.97750937109537706</v>
      </c>
      <c r="O322" s="11">
        <v>0.16414391262321601</v>
      </c>
      <c r="P322" s="11">
        <v>0.38006756756756799</v>
      </c>
      <c r="Q322" s="11">
        <v>0.51515151515151503</v>
      </c>
      <c r="R322" s="11">
        <v>0.28187919463087202</v>
      </c>
      <c r="S322" s="10" t="s">
        <v>84</v>
      </c>
      <c r="T322" s="10" t="s">
        <v>84</v>
      </c>
      <c r="U322" s="10"/>
      <c r="V322" s="10"/>
      <c r="W322" s="10"/>
      <c r="X322" s="10"/>
      <c r="Y322" s="10"/>
      <c r="Z322" s="10"/>
      <c r="AA322" s="10"/>
    </row>
    <row r="323" spans="1:27" ht="12.5" x14ac:dyDescent="0.25">
      <c r="A323" s="10" t="s">
        <v>69</v>
      </c>
      <c r="B323" s="10" t="s">
        <v>1041</v>
      </c>
      <c r="C323" s="10" t="s">
        <v>76</v>
      </c>
      <c r="D323" s="11">
        <v>2024</v>
      </c>
      <c r="E323" s="10" t="s">
        <v>124</v>
      </c>
      <c r="F323" s="10" t="s">
        <v>83</v>
      </c>
      <c r="G323" s="10" t="s">
        <v>84</v>
      </c>
      <c r="H323" s="12">
        <v>3961</v>
      </c>
      <c r="I323" s="11">
        <v>134</v>
      </c>
      <c r="J323" s="11">
        <v>117</v>
      </c>
      <c r="K323" s="11">
        <v>3139</v>
      </c>
      <c r="L323" s="11">
        <v>3.3829840949255202E-2</v>
      </c>
      <c r="M323" s="11">
        <v>3.3829840949255239</v>
      </c>
      <c r="N323" s="11">
        <v>0.87313432835820903</v>
      </c>
      <c r="O323" s="11">
        <v>0.79247664731128498</v>
      </c>
      <c r="P323" s="11">
        <v>0.37837837837837801</v>
      </c>
      <c r="Q323" s="11">
        <v>0.33333333333333298</v>
      </c>
      <c r="R323" s="11">
        <v>0.27964205816554799</v>
      </c>
      <c r="S323" s="10" t="s">
        <v>84</v>
      </c>
      <c r="T323" s="10" t="s">
        <v>84</v>
      </c>
      <c r="U323" s="10"/>
      <c r="V323" s="10"/>
      <c r="W323" s="10"/>
      <c r="X323" s="10"/>
      <c r="Y323" s="10"/>
      <c r="Z323" s="10"/>
      <c r="AA323" s="10"/>
    </row>
    <row r="324" spans="1:27" ht="12.5" x14ac:dyDescent="0.25">
      <c r="A324" s="10" t="s">
        <v>82</v>
      </c>
      <c r="B324" s="10" t="s">
        <v>1044</v>
      </c>
      <c r="C324" s="10" t="s">
        <v>76</v>
      </c>
      <c r="D324" s="11">
        <v>2024</v>
      </c>
      <c r="E324" s="10" t="s">
        <v>124</v>
      </c>
      <c r="F324" s="10" t="s">
        <v>83</v>
      </c>
      <c r="G324" s="10" t="s">
        <v>84</v>
      </c>
      <c r="H324" s="12">
        <v>1124.9166666666699</v>
      </c>
      <c r="I324" s="11">
        <v>38</v>
      </c>
      <c r="J324" s="11">
        <v>37</v>
      </c>
      <c r="K324" s="11">
        <v>2205</v>
      </c>
      <c r="L324" s="11">
        <v>3.37802800207423E-2</v>
      </c>
      <c r="M324" s="11">
        <v>3.3780280020742182</v>
      </c>
      <c r="N324" s="11">
        <v>0.97368421052631604</v>
      </c>
      <c r="O324" s="11">
        <v>1.9601451959404399</v>
      </c>
      <c r="P324" s="11">
        <v>0.37584459459459502</v>
      </c>
      <c r="Q324" s="11">
        <v>0.60344827586206895</v>
      </c>
      <c r="R324" s="11">
        <v>0.27740492170022402</v>
      </c>
      <c r="S324" s="10" t="s">
        <v>84</v>
      </c>
      <c r="T324" s="10" t="s">
        <v>84</v>
      </c>
      <c r="U324" s="10"/>
      <c r="V324" s="10"/>
      <c r="W324" s="10"/>
      <c r="X324" s="10"/>
      <c r="Y324" s="10"/>
      <c r="Z324" s="10"/>
      <c r="AA324" s="10"/>
    </row>
    <row r="325" spans="1:27" ht="12.5" x14ac:dyDescent="0.25">
      <c r="A325" s="10" t="s">
        <v>6</v>
      </c>
      <c r="B325" s="10" t="s">
        <v>1046</v>
      </c>
      <c r="C325" s="10" t="s">
        <v>76</v>
      </c>
      <c r="D325" s="11">
        <v>2024</v>
      </c>
      <c r="E325" s="10" t="s">
        <v>124</v>
      </c>
      <c r="F325" s="10" t="s">
        <v>83</v>
      </c>
      <c r="G325" s="10" t="s">
        <v>84</v>
      </c>
      <c r="H325" s="12">
        <v>11667.166666666701</v>
      </c>
      <c r="I325" s="11">
        <v>390</v>
      </c>
      <c r="J325" s="11">
        <v>209</v>
      </c>
      <c r="K325" s="11">
        <v>6046</v>
      </c>
      <c r="L325" s="11">
        <v>3.3427138836906997E-2</v>
      </c>
      <c r="M325" s="11">
        <v>3.3427138836906893</v>
      </c>
      <c r="N325" s="11">
        <v>0.53589743589743599</v>
      </c>
      <c r="O325" s="11">
        <v>0.51820636258446096</v>
      </c>
      <c r="P325" s="11">
        <v>0.37331081081081102</v>
      </c>
      <c r="Q325" s="11">
        <v>0.58064516129032295</v>
      </c>
      <c r="R325" s="11">
        <v>0.27516778523489899</v>
      </c>
      <c r="S325" s="10" t="s">
        <v>84</v>
      </c>
      <c r="T325" s="10" t="s">
        <v>84</v>
      </c>
      <c r="U325" s="10"/>
      <c r="V325" s="10"/>
      <c r="W325" s="10"/>
      <c r="X325" s="10"/>
      <c r="Y325" s="10"/>
      <c r="Z325" s="10"/>
      <c r="AA325" s="10"/>
    </row>
    <row r="326" spans="1:27" ht="12.5" x14ac:dyDescent="0.25">
      <c r="A326" s="10" t="s">
        <v>6</v>
      </c>
      <c r="B326" s="10" t="s">
        <v>1050</v>
      </c>
      <c r="C326" s="10" t="s">
        <v>76</v>
      </c>
      <c r="D326" s="11">
        <v>2024</v>
      </c>
      <c r="E326" s="10" t="s">
        <v>124</v>
      </c>
      <c r="F326" s="10" t="s">
        <v>125</v>
      </c>
      <c r="G326" s="10" t="s">
        <v>84</v>
      </c>
      <c r="H326" s="12">
        <v>781.41666666666697</v>
      </c>
      <c r="I326" s="11">
        <v>26</v>
      </c>
      <c r="J326" s="11">
        <v>26</v>
      </c>
      <c r="K326" s="11">
        <v>641</v>
      </c>
      <c r="L326" s="11">
        <v>3.32729017809534E-2</v>
      </c>
      <c r="M326" s="11">
        <v>3.3272901780953386</v>
      </c>
      <c r="N326" s="11">
        <v>1</v>
      </c>
      <c r="O326" s="11">
        <v>0.82030500159965902</v>
      </c>
      <c r="P326" s="11">
        <v>0.37077702702702697</v>
      </c>
      <c r="Q326" s="11">
        <v>0.54838709677419395</v>
      </c>
      <c r="R326" s="11">
        <v>0.27293064876957501</v>
      </c>
      <c r="S326" s="10" t="s">
        <v>84</v>
      </c>
      <c r="T326" s="10" t="s">
        <v>84</v>
      </c>
      <c r="U326" s="10"/>
      <c r="V326" s="10"/>
      <c r="W326" s="10"/>
      <c r="X326" s="10"/>
      <c r="Y326" s="10"/>
      <c r="Z326" s="10"/>
      <c r="AA326" s="10"/>
    </row>
    <row r="327" spans="1:27" ht="12.5" x14ac:dyDescent="0.25">
      <c r="A327" s="10" t="s">
        <v>53</v>
      </c>
      <c r="B327" s="10" t="s">
        <v>1054</v>
      </c>
      <c r="C327" s="10" t="s">
        <v>76</v>
      </c>
      <c r="D327" s="11">
        <v>2024</v>
      </c>
      <c r="E327" s="10" t="s">
        <v>124</v>
      </c>
      <c r="F327" s="10" t="s">
        <v>125</v>
      </c>
      <c r="G327" s="10" t="s">
        <v>84</v>
      </c>
      <c r="H327" s="12">
        <v>1112.6666666666699</v>
      </c>
      <c r="I327" s="11">
        <v>37</v>
      </c>
      <c r="J327" s="11">
        <v>31</v>
      </c>
      <c r="K327" s="11">
        <v>298</v>
      </c>
      <c r="L327" s="11">
        <v>3.3253445176752501E-2</v>
      </c>
      <c r="M327" s="11">
        <v>3.3253445176752452</v>
      </c>
      <c r="N327" s="11">
        <v>0.83783783783783805</v>
      </c>
      <c r="O327" s="11">
        <v>0.26782504493708797</v>
      </c>
      <c r="P327" s="11">
        <v>0.36993243243243201</v>
      </c>
      <c r="Q327" s="11">
        <v>0.9</v>
      </c>
      <c r="R327" s="11">
        <v>0.27069351230425098</v>
      </c>
      <c r="S327" s="10" t="s">
        <v>84</v>
      </c>
      <c r="T327" s="10" t="s">
        <v>84</v>
      </c>
      <c r="U327" s="10"/>
      <c r="V327" s="10"/>
      <c r="W327" s="10"/>
      <c r="X327" s="10"/>
      <c r="Y327" s="10"/>
      <c r="Z327" s="10"/>
      <c r="AA327" s="10"/>
    </row>
    <row r="328" spans="1:27" ht="12.5" x14ac:dyDescent="0.25">
      <c r="A328" s="10" t="s">
        <v>49</v>
      </c>
      <c r="B328" s="10" t="s">
        <v>1058</v>
      </c>
      <c r="C328" s="10" t="s">
        <v>76</v>
      </c>
      <c r="D328" s="11">
        <v>2024</v>
      </c>
      <c r="E328" s="10" t="s">
        <v>124</v>
      </c>
      <c r="F328" s="10" t="s">
        <v>83</v>
      </c>
      <c r="G328" s="10" t="s">
        <v>84</v>
      </c>
      <c r="H328" s="12">
        <v>2966</v>
      </c>
      <c r="I328" s="11">
        <v>97</v>
      </c>
      <c r="J328" s="11">
        <v>97</v>
      </c>
      <c r="K328" s="11">
        <v>572</v>
      </c>
      <c r="L328" s="11">
        <v>3.2703978422117301E-2</v>
      </c>
      <c r="M328" s="11">
        <v>3.2703978422117328</v>
      </c>
      <c r="N328" s="11">
        <v>1</v>
      </c>
      <c r="O328" s="11">
        <v>0.192852326365475</v>
      </c>
      <c r="P328" s="11">
        <v>0.36486486486486502</v>
      </c>
      <c r="Q328" s="11">
        <v>0.46153846153846201</v>
      </c>
      <c r="R328" s="11">
        <v>0.26845637583892601</v>
      </c>
      <c r="S328" s="10" t="s">
        <v>84</v>
      </c>
      <c r="T328" s="10" t="s">
        <v>84</v>
      </c>
      <c r="U328" s="10"/>
      <c r="V328" s="10"/>
      <c r="W328" s="10"/>
      <c r="X328" s="10"/>
      <c r="Y328" s="10"/>
      <c r="Z328" s="10"/>
      <c r="AA328" s="10"/>
    </row>
    <row r="329" spans="1:27" ht="12.5" x14ac:dyDescent="0.25">
      <c r="A329" s="10" t="s">
        <v>118</v>
      </c>
      <c r="B329" s="10" t="s">
        <v>1061</v>
      </c>
      <c r="C329" s="10" t="s">
        <v>76</v>
      </c>
      <c r="D329" s="11">
        <v>2024</v>
      </c>
      <c r="E329" s="10" t="s">
        <v>124</v>
      </c>
      <c r="F329" s="10" t="s">
        <v>125</v>
      </c>
      <c r="G329" s="10" t="s">
        <v>84</v>
      </c>
      <c r="H329" s="12">
        <v>2973.25</v>
      </c>
      <c r="I329" s="11">
        <v>95</v>
      </c>
      <c r="J329" s="11">
        <v>95</v>
      </c>
      <c r="K329" s="11">
        <v>3232</v>
      </c>
      <c r="L329" s="11">
        <v>3.1951568149331498E-2</v>
      </c>
      <c r="M329" s="11">
        <v>3.1951568149331542</v>
      </c>
      <c r="N329" s="11">
        <v>1</v>
      </c>
      <c r="O329" s="11">
        <v>1.08702598166989</v>
      </c>
      <c r="P329" s="11">
        <v>0.35557432432432401</v>
      </c>
      <c r="Q329" s="11">
        <v>0.42857142857142899</v>
      </c>
      <c r="R329" s="11">
        <v>0.26621923937360198</v>
      </c>
      <c r="S329" s="10" t="s">
        <v>84</v>
      </c>
      <c r="T329" s="10" t="s">
        <v>84</v>
      </c>
      <c r="U329" s="10"/>
      <c r="V329" s="10"/>
      <c r="W329" s="10"/>
      <c r="X329" s="10"/>
      <c r="Y329" s="10"/>
      <c r="Z329" s="10"/>
      <c r="AA329" s="10"/>
    </row>
    <row r="330" spans="1:27" ht="12.5" x14ac:dyDescent="0.25">
      <c r="A330" s="10" t="s">
        <v>13</v>
      </c>
      <c r="B330" s="10" t="s">
        <v>1064</v>
      </c>
      <c r="C330" s="10" t="s">
        <v>76</v>
      </c>
      <c r="D330" s="11">
        <v>2024</v>
      </c>
      <c r="E330" s="10" t="s">
        <v>124</v>
      </c>
      <c r="F330" s="10" t="s">
        <v>125</v>
      </c>
      <c r="G330" s="10" t="s">
        <v>84</v>
      </c>
      <c r="H330" s="12">
        <v>1873.9166666666699</v>
      </c>
      <c r="I330" s="11">
        <v>58</v>
      </c>
      <c r="J330" s="11">
        <v>31</v>
      </c>
      <c r="K330" s="11">
        <v>3541</v>
      </c>
      <c r="L330" s="11">
        <v>3.09512162582826E-2</v>
      </c>
      <c r="M330" s="11">
        <v>3.0951216258282512</v>
      </c>
      <c r="N330" s="11">
        <v>0.53448275862068995</v>
      </c>
      <c r="O330" s="11">
        <v>1.88962511673411</v>
      </c>
      <c r="P330" s="11">
        <v>0.34628378378378399</v>
      </c>
      <c r="Q330" s="11">
        <v>4.7619047619047603E-2</v>
      </c>
      <c r="R330" s="11">
        <v>0.26398210290827701</v>
      </c>
      <c r="S330" s="10" t="s">
        <v>84</v>
      </c>
      <c r="T330" s="10" t="s">
        <v>84</v>
      </c>
      <c r="U330" s="10"/>
      <c r="V330" s="10"/>
      <c r="W330" s="10"/>
      <c r="X330" s="10"/>
      <c r="Y330" s="10"/>
      <c r="Z330" s="10"/>
      <c r="AA330" s="10"/>
    </row>
    <row r="331" spans="1:27" ht="12.5" x14ac:dyDescent="0.25">
      <c r="A331" s="10" t="s">
        <v>45</v>
      </c>
      <c r="B331" s="10" t="s">
        <v>1066</v>
      </c>
      <c r="C331" s="10" t="s">
        <v>76</v>
      </c>
      <c r="D331" s="11">
        <v>2024</v>
      </c>
      <c r="E331" s="10" t="s">
        <v>124</v>
      </c>
      <c r="F331" s="10" t="s">
        <v>83</v>
      </c>
      <c r="G331" s="10" t="s">
        <v>84</v>
      </c>
      <c r="H331" s="12">
        <v>25078.75</v>
      </c>
      <c r="I331" s="11">
        <v>775</v>
      </c>
      <c r="J331" s="11">
        <v>775</v>
      </c>
      <c r="K331" s="11">
        <v>20815</v>
      </c>
      <c r="L331" s="11">
        <v>3.09026566316104E-2</v>
      </c>
      <c r="M331" s="11">
        <v>3.0902656631610426</v>
      </c>
      <c r="N331" s="11">
        <v>1</v>
      </c>
      <c r="O331" s="11">
        <v>0.829985545531576</v>
      </c>
      <c r="P331" s="11">
        <v>0.34543918918918898</v>
      </c>
      <c r="Q331" s="11">
        <v>0.6</v>
      </c>
      <c r="R331" s="11">
        <v>0.26174496644295298</v>
      </c>
      <c r="S331" s="10" t="s">
        <v>84</v>
      </c>
      <c r="T331" s="10" t="s">
        <v>84</v>
      </c>
      <c r="U331" s="10"/>
      <c r="V331" s="10"/>
      <c r="W331" s="10"/>
      <c r="X331" s="10"/>
      <c r="Y331" s="10"/>
      <c r="Z331" s="10"/>
      <c r="AA331" s="10"/>
    </row>
    <row r="332" spans="1:27" ht="12.5" x14ac:dyDescent="0.25">
      <c r="A332" s="10" t="s">
        <v>77</v>
      </c>
      <c r="B332" s="10" t="s">
        <v>1068</v>
      </c>
      <c r="C332" s="10" t="s">
        <v>76</v>
      </c>
      <c r="D332" s="11">
        <v>2024</v>
      </c>
      <c r="E332" s="10" t="s">
        <v>124</v>
      </c>
      <c r="F332" s="10" t="s">
        <v>125</v>
      </c>
      <c r="G332" s="10" t="s">
        <v>84</v>
      </c>
      <c r="H332" s="12">
        <v>757.83333333333303</v>
      </c>
      <c r="I332" s="11">
        <v>23</v>
      </c>
      <c r="J332" s="11">
        <v>23</v>
      </c>
      <c r="K332" s="11">
        <v>23</v>
      </c>
      <c r="L332" s="11">
        <v>3.03496811084231E-2</v>
      </c>
      <c r="M332" s="11">
        <v>3.034968110842315</v>
      </c>
      <c r="N332" s="11">
        <v>1</v>
      </c>
      <c r="O332" s="11">
        <v>3.03496811084231E-2</v>
      </c>
      <c r="P332" s="11">
        <v>0.34375</v>
      </c>
      <c r="Q332" s="11">
        <v>0.39285714285714302</v>
      </c>
      <c r="R332" s="11">
        <v>0.259507829977629</v>
      </c>
      <c r="S332" s="10" t="s">
        <v>84</v>
      </c>
      <c r="T332" s="10" t="s">
        <v>84</v>
      </c>
      <c r="U332" s="10"/>
      <c r="V332" s="10"/>
      <c r="W332" s="10"/>
      <c r="X332" s="10"/>
      <c r="Y332" s="10"/>
      <c r="Z332" s="10"/>
      <c r="AA332" s="10"/>
    </row>
    <row r="333" spans="1:27" ht="12.5" x14ac:dyDescent="0.25">
      <c r="A333" s="10" t="s">
        <v>82</v>
      </c>
      <c r="B333" s="10" t="s">
        <v>1070</v>
      </c>
      <c r="C333" s="10" t="s">
        <v>76</v>
      </c>
      <c r="D333" s="11">
        <v>2024</v>
      </c>
      <c r="E333" s="10" t="s">
        <v>124</v>
      </c>
      <c r="F333" s="10" t="s">
        <v>83</v>
      </c>
      <c r="G333" s="10" t="s">
        <v>84</v>
      </c>
      <c r="H333" s="12">
        <v>2458.8333333333298</v>
      </c>
      <c r="I333" s="11">
        <v>72</v>
      </c>
      <c r="J333" s="11">
        <v>71</v>
      </c>
      <c r="K333" s="11">
        <v>1465</v>
      </c>
      <c r="L333" s="11">
        <v>2.9282179895614401E-2</v>
      </c>
      <c r="M333" s="11">
        <v>2.9282179895614493</v>
      </c>
      <c r="N333" s="11">
        <v>0.98611111111111105</v>
      </c>
      <c r="O333" s="11">
        <v>0.59581102148715503</v>
      </c>
      <c r="P333" s="11">
        <v>0.33868243243243201</v>
      </c>
      <c r="Q333" s="11">
        <v>0.568965517241379</v>
      </c>
      <c r="R333" s="11">
        <v>0.25727069351230403</v>
      </c>
      <c r="S333" s="10" t="s">
        <v>84</v>
      </c>
      <c r="T333" s="10" t="s">
        <v>84</v>
      </c>
      <c r="U333" s="10"/>
      <c r="V333" s="10"/>
      <c r="W333" s="10"/>
      <c r="X333" s="10"/>
      <c r="Y333" s="10"/>
      <c r="Z333" s="10"/>
      <c r="AA333" s="10"/>
    </row>
    <row r="334" spans="1:27" ht="12.5" x14ac:dyDescent="0.25">
      <c r="A334" s="10" t="s">
        <v>53</v>
      </c>
      <c r="B334" s="10" t="s">
        <v>1072</v>
      </c>
      <c r="C334" s="10" t="s">
        <v>76</v>
      </c>
      <c r="D334" s="11">
        <v>2024</v>
      </c>
      <c r="E334" s="10" t="s">
        <v>124</v>
      </c>
      <c r="F334" s="10" t="s">
        <v>83</v>
      </c>
      <c r="G334" s="10" t="s">
        <v>84</v>
      </c>
      <c r="H334" s="12">
        <v>10080</v>
      </c>
      <c r="I334" s="11">
        <v>294</v>
      </c>
      <c r="J334" s="11">
        <v>192</v>
      </c>
      <c r="K334" s="11">
        <v>1942</v>
      </c>
      <c r="L334" s="11">
        <v>2.9166666666666698E-2</v>
      </c>
      <c r="M334" s="11">
        <v>2.9166666666666665</v>
      </c>
      <c r="N334" s="11">
        <v>0.65306122448979598</v>
      </c>
      <c r="O334" s="11">
        <v>0.19265873015873</v>
      </c>
      <c r="P334" s="11">
        <v>0.33699324324324298</v>
      </c>
      <c r="Q334" s="11">
        <v>0.875</v>
      </c>
      <c r="R334" s="11">
        <v>0.25503355704698</v>
      </c>
      <c r="S334" s="10" t="s">
        <v>84</v>
      </c>
      <c r="T334" s="10" t="s">
        <v>84</v>
      </c>
      <c r="U334" s="10"/>
      <c r="V334" s="10"/>
      <c r="W334" s="10"/>
      <c r="X334" s="10"/>
      <c r="Y334" s="10"/>
      <c r="Z334" s="10"/>
      <c r="AA334" s="10"/>
    </row>
    <row r="335" spans="1:27" ht="12.5" x14ac:dyDescent="0.25">
      <c r="A335" s="10" t="s">
        <v>103</v>
      </c>
      <c r="B335" s="10" t="s">
        <v>1075</v>
      </c>
      <c r="C335" s="10" t="s">
        <v>76</v>
      </c>
      <c r="D335" s="11">
        <v>2024</v>
      </c>
      <c r="E335" s="10" t="s">
        <v>124</v>
      </c>
      <c r="F335" s="10" t="s">
        <v>83</v>
      </c>
      <c r="G335" s="10" t="s">
        <v>84</v>
      </c>
      <c r="H335" s="12">
        <v>81077.416666666701</v>
      </c>
      <c r="I335" s="11">
        <v>2344</v>
      </c>
      <c r="J335" s="11">
        <v>2155</v>
      </c>
      <c r="K335" s="11">
        <v>63457</v>
      </c>
      <c r="L335" s="11">
        <v>2.8910639933643699E-2</v>
      </c>
      <c r="M335" s="11">
        <v>2.8910639933643658</v>
      </c>
      <c r="N335" s="11">
        <v>0.91936860068259396</v>
      </c>
      <c r="O335" s="11">
        <v>0.782671705746257</v>
      </c>
      <c r="P335" s="11">
        <v>0.335304054054054</v>
      </c>
      <c r="Q335" s="11">
        <v>0.34782608695652201</v>
      </c>
      <c r="R335" s="11">
        <v>0.25279642058165502</v>
      </c>
      <c r="S335" s="10" t="s">
        <v>84</v>
      </c>
      <c r="T335" s="10" t="s">
        <v>84</v>
      </c>
      <c r="U335" s="10"/>
      <c r="V335" s="10"/>
      <c r="W335" s="10"/>
      <c r="X335" s="10"/>
      <c r="Y335" s="10"/>
      <c r="Z335" s="10"/>
      <c r="AA335" s="10"/>
    </row>
    <row r="336" spans="1:27" ht="12.5" x14ac:dyDescent="0.25">
      <c r="A336" s="10" t="s">
        <v>34</v>
      </c>
      <c r="B336" s="10" t="s">
        <v>1077</v>
      </c>
      <c r="C336" s="10" t="s">
        <v>76</v>
      </c>
      <c r="D336" s="11">
        <v>2024</v>
      </c>
      <c r="E336" s="10" t="s">
        <v>124</v>
      </c>
      <c r="F336" s="10" t="s">
        <v>125</v>
      </c>
      <c r="G336" s="10" t="s">
        <v>84</v>
      </c>
      <c r="H336" s="12">
        <v>1870.0833333333301</v>
      </c>
      <c r="I336" s="11">
        <v>54</v>
      </c>
      <c r="J336" s="11">
        <v>50</v>
      </c>
      <c r="K336" s="11">
        <v>214</v>
      </c>
      <c r="L336" s="11">
        <v>2.8875718550866701E-2</v>
      </c>
      <c r="M336" s="11">
        <v>2.8875718550866769</v>
      </c>
      <c r="N336" s="11">
        <v>0.92592592592592604</v>
      </c>
      <c r="O336" s="11">
        <v>0.114433403146027</v>
      </c>
      <c r="P336" s="11">
        <v>0.33361486486486502</v>
      </c>
      <c r="Q336" s="11">
        <v>0.59183673469387799</v>
      </c>
      <c r="R336" s="11">
        <v>0.25055928411633099</v>
      </c>
      <c r="S336" s="10" t="s">
        <v>84</v>
      </c>
      <c r="T336" s="10" t="s">
        <v>84</v>
      </c>
      <c r="U336" s="10"/>
      <c r="V336" s="10"/>
      <c r="W336" s="10"/>
      <c r="X336" s="10"/>
      <c r="Y336" s="10"/>
      <c r="Z336" s="10"/>
      <c r="AA336" s="10"/>
    </row>
    <row r="337" spans="1:27" ht="12.5" x14ac:dyDescent="0.25">
      <c r="A337" s="10" t="s">
        <v>77</v>
      </c>
      <c r="B337" s="10" t="s">
        <v>1079</v>
      </c>
      <c r="C337" s="10" t="s">
        <v>76</v>
      </c>
      <c r="D337" s="11">
        <v>2024</v>
      </c>
      <c r="E337" s="10" t="s">
        <v>124</v>
      </c>
      <c r="F337" s="10" t="s">
        <v>83</v>
      </c>
      <c r="G337" s="10" t="s">
        <v>84</v>
      </c>
      <c r="H337" s="12">
        <v>8668</v>
      </c>
      <c r="I337" s="11">
        <v>248</v>
      </c>
      <c r="J337" s="11">
        <v>237</v>
      </c>
      <c r="K337" s="11">
        <v>2580</v>
      </c>
      <c r="L337" s="11">
        <v>2.8610982925703701E-2</v>
      </c>
      <c r="M337" s="11">
        <v>2.8610982925703738</v>
      </c>
      <c r="N337" s="11">
        <v>0.95564516129032295</v>
      </c>
      <c r="O337" s="11">
        <v>0.29764651592062802</v>
      </c>
      <c r="P337" s="11">
        <v>0.32854729729729698</v>
      </c>
      <c r="Q337" s="11">
        <v>0.35714285714285698</v>
      </c>
      <c r="R337" s="11">
        <v>0.24832214765100699</v>
      </c>
      <c r="S337" s="10" t="s">
        <v>84</v>
      </c>
      <c r="T337" s="10" t="s">
        <v>84</v>
      </c>
      <c r="U337" s="10"/>
      <c r="V337" s="10"/>
      <c r="W337" s="10"/>
      <c r="X337" s="10"/>
      <c r="Y337" s="10"/>
      <c r="Z337" s="10"/>
      <c r="AA337" s="10"/>
    </row>
    <row r="338" spans="1:27" ht="12.5" x14ac:dyDescent="0.25">
      <c r="A338" s="10" t="s">
        <v>103</v>
      </c>
      <c r="B338" s="10" t="s">
        <v>1082</v>
      </c>
      <c r="C338" s="10" t="s">
        <v>76</v>
      </c>
      <c r="D338" s="11">
        <v>2024</v>
      </c>
      <c r="E338" s="10" t="s">
        <v>124</v>
      </c>
      <c r="F338" s="10" t="s">
        <v>83</v>
      </c>
      <c r="G338" s="10" t="s">
        <v>84</v>
      </c>
      <c r="H338" s="12">
        <v>51728.166666666701</v>
      </c>
      <c r="I338" s="11">
        <v>1415</v>
      </c>
      <c r="J338" s="11">
        <v>1278</v>
      </c>
      <c r="K338" s="11">
        <v>19368</v>
      </c>
      <c r="L338" s="11">
        <v>2.73545360522475E-2</v>
      </c>
      <c r="M338" s="11">
        <v>2.7354536052247469</v>
      </c>
      <c r="N338" s="11">
        <v>0.90318021201413401</v>
      </c>
      <c r="O338" s="11">
        <v>0.37441883693281203</v>
      </c>
      <c r="P338" s="11">
        <v>0.318412162162162</v>
      </c>
      <c r="Q338" s="11">
        <v>0.30434782608695699</v>
      </c>
      <c r="R338" s="11">
        <v>0.24608501118568199</v>
      </c>
      <c r="S338" s="10" t="s">
        <v>84</v>
      </c>
      <c r="T338" s="10" t="s">
        <v>84</v>
      </c>
      <c r="U338" s="10"/>
      <c r="V338" s="10"/>
      <c r="W338" s="10"/>
      <c r="X338" s="10"/>
      <c r="Y338" s="10"/>
      <c r="Z338" s="10"/>
      <c r="AA338" s="10"/>
    </row>
    <row r="339" spans="1:27" ht="12.5" x14ac:dyDescent="0.25">
      <c r="A339" s="10" t="s">
        <v>34</v>
      </c>
      <c r="B339" s="10" t="s">
        <v>1084</v>
      </c>
      <c r="C339" s="10" t="s">
        <v>76</v>
      </c>
      <c r="D339" s="11">
        <v>2024</v>
      </c>
      <c r="E339" s="10" t="s">
        <v>124</v>
      </c>
      <c r="F339" s="10" t="s">
        <v>83</v>
      </c>
      <c r="G339" s="10" t="s">
        <v>84</v>
      </c>
      <c r="H339" s="12">
        <v>54944.416666666701</v>
      </c>
      <c r="I339" s="11">
        <v>1475</v>
      </c>
      <c r="J339" s="11">
        <v>1469</v>
      </c>
      <c r="K339" s="11">
        <v>50363</v>
      </c>
      <c r="L339" s="11">
        <v>2.68453118530394E-2</v>
      </c>
      <c r="M339" s="11">
        <v>2.6845311853039346</v>
      </c>
      <c r="N339" s="11">
        <v>0.99593220338983002</v>
      </c>
      <c r="O339" s="11">
        <v>0.91661724803703104</v>
      </c>
      <c r="P339" s="11">
        <v>0.31334459459459502</v>
      </c>
      <c r="Q339" s="11">
        <v>0.55102040816326503</v>
      </c>
      <c r="R339" s="11">
        <v>0.24384787472035799</v>
      </c>
      <c r="S339" s="10" t="s">
        <v>84</v>
      </c>
      <c r="T339" s="10" t="s">
        <v>84</v>
      </c>
      <c r="U339" s="10"/>
      <c r="V339" s="10"/>
      <c r="W339" s="10"/>
      <c r="X339" s="10"/>
      <c r="Y339" s="10"/>
      <c r="Z339" s="10"/>
      <c r="AA339" s="10"/>
    </row>
    <row r="340" spans="1:27" ht="12.5" x14ac:dyDescent="0.25">
      <c r="A340" s="10" t="s">
        <v>16</v>
      </c>
      <c r="B340" s="10" t="s">
        <v>1087</v>
      </c>
      <c r="C340" s="10" t="s">
        <v>76</v>
      </c>
      <c r="D340" s="11">
        <v>2024</v>
      </c>
      <c r="E340" s="10" t="s">
        <v>124</v>
      </c>
      <c r="F340" s="10" t="s">
        <v>125</v>
      </c>
      <c r="G340" s="10" t="s">
        <v>84</v>
      </c>
      <c r="H340" s="12">
        <v>27040.583333333299</v>
      </c>
      <c r="I340" s="11">
        <v>715</v>
      </c>
      <c r="J340" s="11">
        <v>650</v>
      </c>
      <c r="K340" s="11">
        <v>4957</v>
      </c>
      <c r="L340" s="11">
        <v>2.6441737265283399E-2</v>
      </c>
      <c r="M340" s="11">
        <v>2.6441737265283387</v>
      </c>
      <c r="N340" s="11">
        <v>0.90909090909090895</v>
      </c>
      <c r="O340" s="11">
        <v>0.183317051222391</v>
      </c>
      <c r="P340" s="11">
        <v>0.30996621621621601</v>
      </c>
      <c r="Q340" s="11">
        <v>0.1</v>
      </c>
      <c r="R340" s="11">
        <v>0.24161073825503401</v>
      </c>
      <c r="S340" s="10" t="s">
        <v>84</v>
      </c>
      <c r="T340" s="10" t="s">
        <v>84</v>
      </c>
      <c r="U340" s="10"/>
      <c r="V340" s="10"/>
      <c r="W340" s="10"/>
      <c r="X340" s="10"/>
      <c r="Y340" s="10"/>
      <c r="Z340" s="10"/>
      <c r="AA340" s="10"/>
    </row>
    <row r="341" spans="1:27" ht="12.5" x14ac:dyDescent="0.25">
      <c r="A341" s="10" t="s">
        <v>82</v>
      </c>
      <c r="B341" s="10" t="s">
        <v>1089</v>
      </c>
      <c r="C341" s="10" t="s">
        <v>76</v>
      </c>
      <c r="D341" s="11">
        <v>2024</v>
      </c>
      <c r="E341" s="10" t="s">
        <v>124</v>
      </c>
      <c r="F341" s="10" t="s">
        <v>83</v>
      </c>
      <c r="G341" s="10" t="s">
        <v>84</v>
      </c>
      <c r="H341" s="12">
        <v>1255.5</v>
      </c>
      <c r="I341" s="11">
        <v>33</v>
      </c>
      <c r="J341" s="11">
        <v>29</v>
      </c>
      <c r="K341" s="11">
        <v>35</v>
      </c>
      <c r="L341" s="11">
        <v>2.6284348864993999E-2</v>
      </c>
      <c r="M341" s="11">
        <v>2.6284348864994027</v>
      </c>
      <c r="N341" s="11">
        <v>0.87878787878787901</v>
      </c>
      <c r="O341" s="11">
        <v>2.78773397052967E-2</v>
      </c>
      <c r="P341" s="11">
        <v>0.30827702702702697</v>
      </c>
      <c r="Q341" s="11">
        <v>0.51724137931034497</v>
      </c>
      <c r="R341" s="11">
        <v>0.23937360178970901</v>
      </c>
      <c r="S341" s="10" t="s">
        <v>84</v>
      </c>
      <c r="T341" s="10" t="s">
        <v>84</v>
      </c>
      <c r="U341" s="10"/>
      <c r="V341" s="10"/>
      <c r="W341" s="10"/>
      <c r="X341" s="10"/>
      <c r="Y341" s="10"/>
      <c r="Z341" s="10"/>
      <c r="AA341" s="10"/>
    </row>
    <row r="342" spans="1:27" ht="12.5" x14ac:dyDescent="0.25">
      <c r="A342" s="10" t="s">
        <v>92</v>
      </c>
      <c r="B342" s="10" t="s">
        <v>1092</v>
      </c>
      <c r="C342" s="10" t="s">
        <v>76</v>
      </c>
      <c r="D342" s="11">
        <v>2024</v>
      </c>
      <c r="E342" s="10" t="s">
        <v>124</v>
      </c>
      <c r="F342" s="10" t="s">
        <v>83</v>
      </c>
      <c r="G342" s="10" t="s">
        <v>84</v>
      </c>
      <c r="H342" s="12">
        <v>12596</v>
      </c>
      <c r="I342" s="11">
        <v>329</v>
      </c>
      <c r="J342" s="11">
        <v>300</v>
      </c>
      <c r="K342" s="11">
        <v>8586</v>
      </c>
      <c r="L342" s="11">
        <v>2.6119402985074602E-2</v>
      </c>
      <c r="M342" s="11">
        <v>2.6119402985074625</v>
      </c>
      <c r="N342" s="11">
        <v>0.91185410334346495</v>
      </c>
      <c r="O342" s="11">
        <v>0.68164496665608099</v>
      </c>
      <c r="P342" s="11">
        <v>0.30489864864864902</v>
      </c>
      <c r="Q342" s="11">
        <v>0.66666666666666696</v>
      </c>
      <c r="R342" s="11">
        <v>0.23713646532438501</v>
      </c>
      <c r="S342" s="10" t="s">
        <v>84</v>
      </c>
      <c r="T342" s="10" t="s">
        <v>84</v>
      </c>
      <c r="U342" s="10"/>
      <c r="V342" s="10"/>
      <c r="W342" s="10"/>
      <c r="X342" s="10"/>
      <c r="Y342" s="10"/>
      <c r="Z342" s="10"/>
      <c r="AA342" s="10"/>
    </row>
    <row r="343" spans="1:27" ht="12.5" x14ac:dyDescent="0.25">
      <c r="A343" s="10" t="s">
        <v>12</v>
      </c>
      <c r="B343" s="10" t="s">
        <v>1094</v>
      </c>
      <c r="C343" s="10" t="s">
        <v>76</v>
      </c>
      <c r="D343" s="11">
        <v>2024</v>
      </c>
      <c r="E343" s="10" t="s">
        <v>124</v>
      </c>
      <c r="F343" s="10" t="s">
        <v>125</v>
      </c>
      <c r="G343" s="10" t="s">
        <v>84</v>
      </c>
      <c r="H343" s="12">
        <v>2395.8333333333298</v>
      </c>
      <c r="I343" s="11">
        <v>62</v>
      </c>
      <c r="J343" s="11">
        <v>26</v>
      </c>
      <c r="K343" s="11">
        <v>3736</v>
      </c>
      <c r="L343" s="11">
        <v>2.5878260869565201E-2</v>
      </c>
      <c r="M343" s="11">
        <v>2.5878260869565257</v>
      </c>
      <c r="N343" s="11">
        <v>0.41935483870967699</v>
      </c>
      <c r="O343" s="11">
        <v>1.5593739130434801</v>
      </c>
      <c r="P343" s="11">
        <v>0.30152027027027001</v>
      </c>
      <c r="Q343" s="11">
        <v>0.194444444444444</v>
      </c>
      <c r="R343" s="11">
        <v>0.23489932885906001</v>
      </c>
      <c r="S343" s="10" t="s">
        <v>84</v>
      </c>
      <c r="T343" s="10" t="s">
        <v>84</v>
      </c>
      <c r="U343" s="10"/>
      <c r="V343" s="10"/>
      <c r="W343" s="10"/>
      <c r="X343" s="10"/>
      <c r="Y343" s="10"/>
      <c r="Z343" s="10"/>
      <c r="AA343" s="10"/>
    </row>
    <row r="344" spans="1:27" ht="12.5" x14ac:dyDescent="0.25">
      <c r="A344" s="10" t="s">
        <v>72</v>
      </c>
      <c r="B344" s="10" t="s">
        <v>1096</v>
      </c>
      <c r="C344" s="10" t="s">
        <v>76</v>
      </c>
      <c r="D344" s="11">
        <v>2024</v>
      </c>
      <c r="E344" s="10" t="s">
        <v>124</v>
      </c>
      <c r="F344" s="10" t="s">
        <v>83</v>
      </c>
      <c r="G344" s="10" t="s">
        <v>84</v>
      </c>
      <c r="H344" s="12">
        <v>8016.6666666666697</v>
      </c>
      <c r="I344" s="11">
        <v>206</v>
      </c>
      <c r="J344" s="11">
        <v>128</v>
      </c>
      <c r="K344" s="11">
        <v>6298</v>
      </c>
      <c r="L344" s="11">
        <v>2.5696465696465699E-2</v>
      </c>
      <c r="M344" s="11">
        <v>2.5696465696465687</v>
      </c>
      <c r="N344" s="11">
        <v>0.62135922330097104</v>
      </c>
      <c r="O344" s="11">
        <v>0.785613305613306</v>
      </c>
      <c r="P344" s="11">
        <v>0.29983108108108097</v>
      </c>
      <c r="Q344" s="11">
        <v>0.4</v>
      </c>
      <c r="R344" s="11">
        <v>0.23266219239373601</v>
      </c>
      <c r="S344" s="10" t="s">
        <v>84</v>
      </c>
      <c r="T344" s="10" t="s">
        <v>84</v>
      </c>
      <c r="U344" s="10"/>
      <c r="V344" s="10"/>
      <c r="W344" s="10"/>
      <c r="X344" s="10"/>
      <c r="Y344" s="10"/>
      <c r="Z344" s="10"/>
      <c r="AA344" s="10"/>
    </row>
    <row r="345" spans="1:27" ht="12.5" x14ac:dyDescent="0.25">
      <c r="A345" s="10" t="s">
        <v>109</v>
      </c>
      <c r="B345" s="10" t="s">
        <v>1098</v>
      </c>
      <c r="C345" s="10" t="s">
        <v>76</v>
      </c>
      <c r="D345" s="11">
        <v>2024</v>
      </c>
      <c r="E345" s="10" t="s">
        <v>124</v>
      </c>
      <c r="F345" s="10" t="s">
        <v>83</v>
      </c>
      <c r="G345" s="10" t="s">
        <v>84</v>
      </c>
      <c r="H345" s="12">
        <v>10543.916666666701</v>
      </c>
      <c r="I345" s="11">
        <v>270</v>
      </c>
      <c r="J345" s="11">
        <v>228</v>
      </c>
      <c r="K345" s="11">
        <v>8714</v>
      </c>
      <c r="L345" s="11">
        <v>2.56071826566662E-2</v>
      </c>
      <c r="M345" s="11">
        <v>2.5607182656666083</v>
      </c>
      <c r="N345" s="11">
        <v>0.844444444444444</v>
      </c>
      <c r="O345" s="11">
        <v>0.82644810988958906</v>
      </c>
      <c r="P345" s="11">
        <v>0.298141891891892</v>
      </c>
      <c r="Q345" s="11">
        <v>0.38888888888888901</v>
      </c>
      <c r="R345" s="11">
        <v>0.230425055928412</v>
      </c>
      <c r="S345" s="10" t="s">
        <v>84</v>
      </c>
      <c r="T345" s="10" t="s">
        <v>84</v>
      </c>
      <c r="U345" s="10"/>
      <c r="V345" s="10"/>
      <c r="W345" s="10"/>
      <c r="X345" s="10"/>
      <c r="Y345" s="10"/>
      <c r="Z345" s="10"/>
      <c r="AA345" s="10"/>
    </row>
    <row r="346" spans="1:27" ht="12.5" x14ac:dyDescent="0.25">
      <c r="A346" s="10" t="s">
        <v>45</v>
      </c>
      <c r="B346" s="10" t="s">
        <v>1100</v>
      </c>
      <c r="C346" s="10" t="s">
        <v>76</v>
      </c>
      <c r="D346" s="11">
        <v>2024</v>
      </c>
      <c r="E346" s="10" t="s">
        <v>124</v>
      </c>
      <c r="F346" s="10" t="s">
        <v>83</v>
      </c>
      <c r="G346" s="10" t="s">
        <v>84</v>
      </c>
      <c r="H346" s="12">
        <v>14499</v>
      </c>
      <c r="I346" s="11">
        <v>371</v>
      </c>
      <c r="J346" s="11">
        <v>355</v>
      </c>
      <c r="K346" s="11">
        <v>3654</v>
      </c>
      <c r="L346" s="11">
        <v>2.55879715842472E-2</v>
      </c>
      <c r="M346" s="11">
        <v>2.5587971584247189</v>
      </c>
      <c r="N346" s="11">
        <v>0.95687331536388098</v>
      </c>
      <c r="O346" s="11">
        <v>0.25201738050900102</v>
      </c>
      <c r="P346" s="11">
        <v>0.29729729729729698</v>
      </c>
      <c r="Q346" s="11">
        <v>0.4</v>
      </c>
      <c r="R346" s="11">
        <v>0.228187919463087</v>
      </c>
      <c r="S346" s="10" t="s">
        <v>84</v>
      </c>
      <c r="T346" s="10" t="s">
        <v>84</v>
      </c>
      <c r="U346" s="10"/>
      <c r="V346" s="10"/>
      <c r="W346" s="10"/>
      <c r="X346" s="10"/>
      <c r="Y346" s="10"/>
      <c r="Z346" s="10"/>
      <c r="AA346" s="10"/>
    </row>
    <row r="347" spans="1:27" ht="12.5" x14ac:dyDescent="0.25">
      <c r="A347" s="10" t="s">
        <v>82</v>
      </c>
      <c r="B347" s="10" t="s">
        <v>1103</v>
      </c>
      <c r="C347" s="10" t="s">
        <v>76</v>
      </c>
      <c r="D347" s="11">
        <v>2024</v>
      </c>
      <c r="E347" s="10" t="s">
        <v>124</v>
      </c>
      <c r="F347" s="10" t="s">
        <v>83</v>
      </c>
      <c r="G347" s="10" t="s">
        <v>84</v>
      </c>
      <c r="H347" s="12">
        <v>4772.3333333333303</v>
      </c>
      <c r="I347" s="11">
        <v>116</v>
      </c>
      <c r="J347" s="11">
        <v>95</v>
      </c>
      <c r="K347" s="11">
        <v>9968</v>
      </c>
      <c r="L347" s="11">
        <v>2.43067681776909E-2</v>
      </c>
      <c r="M347" s="11">
        <v>2.4306768177690872</v>
      </c>
      <c r="N347" s="11">
        <v>0.818965517241379</v>
      </c>
      <c r="O347" s="11">
        <v>2.0887057344415698</v>
      </c>
      <c r="P347" s="11">
        <v>0.28462837837837801</v>
      </c>
      <c r="Q347" s="11">
        <v>0.5</v>
      </c>
      <c r="R347" s="11">
        <v>0.225950782997763</v>
      </c>
      <c r="S347" s="10" t="s">
        <v>84</v>
      </c>
      <c r="T347" s="10" t="s">
        <v>84</v>
      </c>
      <c r="U347" s="10"/>
      <c r="V347" s="10"/>
      <c r="W347" s="10"/>
      <c r="X347" s="10"/>
      <c r="Y347" s="10"/>
      <c r="Z347" s="10"/>
      <c r="AA347" s="10"/>
    </row>
    <row r="348" spans="1:27" ht="12.5" x14ac:dyDescent="0.25">
      <c r="A348" s="10" t="s">
        <v>40</v>
      </c>
      <c r="B348" s="10" t="s">
        <v>1105</v>
      </c>
      <c r="C348" s="10" t="s">
        <v>76</v>
      </c>
      <c r="D348" s="11">
        <v>2024</v>
      </c>
      <c r="E348" s="10" t="s">
        <v>124</v>
      </c>
      <c r="F348" s="10" t="s">
        <v>83</v>
      </c>
      <c r="G348" s="10" t="s">
        <v>84</v>
      </c>
      <c r="H348" s="12">
        <v>13439.583333333299</v>
      </c>
      <c r="I348" s="11">
        <v>324</v>
      </c>
      <c r="J348" s="11">
        <v>314</v>
      </c>
      <c r="K348" s="11">
        <v>9999</v>
      </c>
      <c r="L348" s="11">
        <v>2.4107890249573698E-2</v>
      </c>
      <c r="M348" s="11">
        <v>2.4107890249573769</v>
      </c>
      <c r="N348" s="11">
        <v>0.969135802469136</v>
      </c>
      <c r="O348" s="11">
        <v>0.74399627964656601</v>
      </c>
      <c r="P348" s="11">
        <v>0.28378378378378399</v>
      </c>
      <c r="Q348" s="11">
        <v>0.25</v>
      </c>
      <c r="R348" s="11">
        <v>0.223713646532438</v>
      </c>
      <c r="S348" s="10" t="s">
        <v>84</v>
      </c>
      <c r="T348" s="10" t="s">
        <v>84</v>
      </c>
      <c r="U348" s="10"/>
      <c r="V348" s="10"/>
      <c r="W348" s="10"/>
      <c r="X348" s="10"/>
      <c r="Y348" s="10"/>
      <c r="Z348" s="10"/>
      <c r="AA348" s="10"/>
    </row>
    <row r="349" spans="1:27" ht="12.5" x14ac:dyDescent="0.25">
      <c r="A349" s="10" t="s">
        <v>86</v>
      </c>
      <c r="B349" s="10" t="s">
        <v>1107</v>
      </c>
      <c r="C349" s="10" t="s">
        <v>76</v>
      </c>
      <c r="D349" s="11">
        <v>2024</v>
      </c>
      <c r="E349" s="10" t="s">
        <v>124</v>
      </c>
      <c r="F349" s="10" t="s">
        <v>83</v>
      </c>
      <c r="G349" s="10" t="s">
        <v>84</v>
      </c>
      <c r="H349" s="12">
        <v>5565.1666666666697</v>
      </c>
      <c r="I349" s="11">
        <v>134</v>
      </c>
      <c r="J349" s="11">
        <v>16</v>
      </c>
      <c r="K349" s="11">
        <v>13960</v>
      </c>
      <c r="L349" s="11">
        <v>2.4078344464077101E-2</v>
      </c>
      <c r="M349" s="11">
        <v>2.4078344464077133</v>
      </c>
      <c r="N349" s="11">
        <v>0.119402985074627</v>
      </c>
      <c r="O349" s="11">
        <v>2.5084603635710199</v>
      </c>
      <c r="P349" s="11">
        <v>0.28293918918918898</v>
      </c>
      <c r="Q349" s="11">
        <v>0.15217391304347799</v>
      </c>
      <c r="R349" s="11">
        <v>0.221476510067114</v>
      </c>
      <c r="S349" s="10" t="s">
        <v>84</v>
      </c>
      <c r="T349" s="10" t="s">
        <v>84</v>
      </c>
      <c r="U349" s="10"/>
      <c r="V349" s="10"/>
      <c r="W349" s="10"/>
      <c r="X349" s="10"/>
      <c r="Y349" s="10"/>
      <c r="Z349" s="10"/>
      <c r="AA349" s="10"/>
    </row>
    <row r="350" spans="1:27" ht="12.5" x14ac:dyDescent="0.25">
      <c r="A350" s="10" t="s">
        <v>53</v>
      </c>
      <c r="B350" s="10" t="s">
        <v>1109</v>
      </c>
      <c r="C350" s="10" t="s">
        <v>76</v>
      </c>
      <c r="D350" s="11">
        <v>2024</v>
      </c>
      <c r="E350" s="10" t="s">
        <v>124</v>
      </c>
      <c r="F350" s="10" t="s">
        <v>125</v>
      </c>
      <c r="G350" s="10" t="s">
        <v>84</v>
      </c>
      <c r="H350" s="12">
        <v>380.41666666666703</v>
      </c>
      <c r="I350" s="11">
        <v>9</v>
      </c>
      <c r="J350" s="11">
        <v>6</v>
      </c>
      <c r="K350" s="11">
        <v>754</v>
      </c>
      <c r="L350" s="11">
        <v>2.3658269441402001E-2</v>
      </c>
      <c r="M350" s="11">
        <v>2.3658269441401947</v>
      </c>
      <c r="N350" s="11">
        <v>0.66666666666666696</v>
      </c>
      <c r="O350" s="11">
        <v>1.9820372398685699</v>
      </c>
      <c r="P350" s="11">
        <v>0.27956081081081102</v>
      </c>
      <c r="Q350" s="11">
        <v>0.82499999999999996</v>
      </c>
      <c r="R350" s="11">
        <v>0.21923937360178999</v>
      </c>
      <c r="S350" s="10" t="s">
        <v>84</v>
      </c>
      <c r="T350" s="10" t="s">
        <v>84</v>
      </c>
      <c r="U350" s="10"/>
      <c r="V350" s="10"/>
      <c r="W350" s="10"/>
      <c r="X350" s="10"/>
      <c r="Y350" s="10"/>
      <c r="Z350" s="10"/>
      <c r="AA350" s="10"/>
    </row>
    <row r="351" spans="1:27" ht="12.5" x14ac:dyDescent="0.25">
      <c r="A351" s="10" t="s">
        <v>49</v>
      </c>
      <c r="B351" s="10" t="s">
        <v>1111</v>
      </c>
      <c r="C351" s="10" t="s">
        <v>76</v>
      </c>
      <c r="D351" s="11">
        <v>2024</v>
      </c>
      <c r="E351" s="10" t="s">
        <v>124</v>
      </c>
      <c r="F351" s="10" t="s">
        <v>83</v>
      </c>
      <c r="G351" s="10" t="s">
        <v>84</v>
      </c>
      <c r="H351" s="12">
        <v>1117</v>
      </c>
      <c r="I351" s="11">
        <v>25</v>
      </c>
      <c r="J351" s="11">
        <v>25</v>
      </c>
      <c r="K351" s="11">
        <v>79</v>
      </c>
      <c r="L351" s="11">
        <v>2.23813786929275E-2</v>
      </c>
      <c r="M351" s="11">
        <v>2.2381378692927485</v>
      </c>
      <c r="N351" s="11">
        <v>1</v>
      </c>
      <c r="O351" s="11">
        <v>7.0725156669650804E-2</v>
      </c>
      <c r="P351" s="11">
        <v>0.266891891891892</v>
      </c>
      <c r="Q351" s="11">
        <v>0.34615384615384598</v>
      </c>
      <c r="R351" s="11">
        <v>0.21700223713646499</v>
      </c>
      <c r="S351" s="10" t="s">
        <v>84</v>
      </c>
      <c r="T351" s="10" t="s">
        <v>84</v>
      </c>
      <c r="U351" s="10"/>
      <c r="V351" s="10"/>
      <c r="W351" s="10"/>
      <c r="X351" s="10"/>
      <c r="Y351" s="10"/>
      <c r="Z351" s="10"/>
      <c r="AA351" s="10"/>
    </row>
    <row r="352" spans="1:27" ht="12.5" x14ac:dyDescent="0.25">
      <c r="A352" s="10" t="s">
        <v>6</v>
      </c>
      <c r="B352" s="10" t="s">
        <v>1113</v>
      </c>
      <c r="C352" s="10" t="s">
        <v>76</v>
      </c>
      <c r="D352" s="11">
        <v>2024</v>
      </c>
      <c r="E352" s="10" t="s">
        <v>124</v>
      </c>
      <c r="F352" s="10" t="s">
        <v>125</v>
      </c>
      <c r="G352" s="10" t="s">
        <v>84</v>
      </c>
      <c r="H352" s="12">
        <v>2019.6666666666699</v>
      </c>
      <c r="I352" s="11">
        <v>45</v>
      </c>
      <c r="J352" s="11">
        <v>45</v>
      </c>
      <c r="K352" s="11">
        <v>3027</v>
      </c>
      <c r="L352" s="11">
        <v>2.2280904439676501E-2</v>
      </c>
      <c r="M352" s="11">
        <v>2.2280904439676479</v>
      </c>
      <c r="N352" s="11">
        <v>1</v>
      </c>
      <c r="O352" s="11">
        <v>1.4987621719755699</v>
      </c>
      <c r="P352" s="11">
        <v>0.26604729729729698</v>
      </c>
      <c r="Q352" s="11">
        <v>0.483870967741935</v>
      </c>
      <c r="R352" s="11">
        <v>0.21476510067114099</v>
      </c>
      <c r="S352" s="10" t="s">
        <v>84</v>
      </c>
      <c r="T352" s="10" t="s">
        <v>84</v>
      </c>
      <c r="U352" s="10"/>
      <c r="V352" s="10"/>
      <c r="W352" s="10"/>
      <c r="X352" s="10"/>
      <c r="Y352" s="10"/>
      <c r="Z352" s="10"/>
      <c r="AA352" s="10"/>
    </row>
    <row r="353" spans="1:27" ht="12.5" x14ac:dyDescent="0.25">
      <c r="A353" s="10" t="s">
        <v>55</v>
      </c>
      <c r="B353" s="10" t="s">
        <v>1116</v>
      </c>
      <c r="C353" s="10" t="s">
        <v>76</v>
      </c>
      <c r="D353" s="11">
        <v>2024</v>
      </c>
      <c r="E353" s="10" t="s">
        <v>124</v>
      </c>
      <c r="F353" s="10" t="s">
        <v>125</v>
      </c>
      <c r="G353" s="10" t="s">
        <v>84</v>
      </c>
      <c r="H353" s="12">
        <v>675</v>
      </c>
      <c r="I353" s="11">
        <v>15</v>
      </c>
      <c r="J353" s="11">
        <v>15</v>
      </c>
      <c r="K353" s="11">
        <v>100</v>
      </c>
      <c r="L353" s="11">
        <v>2.2222222222222199E-2</v>
      </c>
      <c r="M353" s="11">
        <v>2.2222222222222223</v>
      </c>
      <c r="N353" s="11">
        <v>1</v>
      </c>
      <c r="O353" s="11">
        <v>0.148148148148148</v>
      </c>
      <c r="P353" s="11">
        <v>0.26520270270270302</v>
      </c>
      <c r="Q353" s="11">
        <v>0.18181818181818199</v>
      </c>
      <c r="R353" s="11">
        <v>0.21252796420581699</v>
      </c>
      <c r="S353" s="10" t="s">
        <v>84</v>
      </c>
      <c r="T353" s="10" t="s">
        <v>84</v>
      </c>
      <c r="U353" s="10"/>
      <c r="V353" s="10"/>
      <c r="W353" s="10"/>
      <c r="X353" s="10"/>
      <c r="Y353" s="10"/>
      <c r="Z353" s="10"/>
      <c r="AA353" s="10"/>
    </row>
    <row r="354" spans="1:27" ht="12.5" x14ac:dyDescent="0.25">
      <c r="A354" s="10" t="s">
        <v>110</v>
      </c>
      <c r="B354" s="10" t="s">
        <v>1119</v>
      </c>
      <c r="C354" s="10" t="s">
        <v>76</v>
      </c>
      <c r="D354" s="11">
        <v>2024</v>
      </c>
      <c r="E354" s="10" t="s">
        <v>124</v>
      </c>
      <c r="F354" s="10" t="s">
        <v>83</v>
      </c>
      <c r="G354" s="10" t="s">
        <v>84</v>
      </c>
      <c r="H354" s="12">
        <v>10993</v>
      </c>
      <c r="I354" s="11">
        <v>244</v>
      </c>
      <c r="J354" s="11">
        <v>207</v>
      </c>
      <c r="K354" s="11">
        <v>5543</v>
      </c>
      <c r="L354" s="11">
        <v>2.2195942872737202E-2</v>
      </c>
      <c r="M354" s="11">
        <v>2.2195942872737193</v>
      </c>
      <c r="N354" s="11">
        <v>0.84836065573770503</v>
      </c>
      <c r="O354" s="11">
        <v>0.50422996452287805</v>
      </c>
      <c r="P354" s="11">
        <v>0.26351351351351299</v>
      </c>
      <c r="Q354" s="11">
        <v>0.45454545454545497</v>
      </c>
      <c r="R354" s="11">
        <v>0.21029082774049199</v>
      </c>
      <c r="S354" s="10" t="s">
        <v>84</v>
      </c>
      <c r="T354" s="10" t="s">
        <v>84</v>
      </c>
      <c r="U354" s="10"/>
      <c r="V354" s="10"/>
      <c r="W354" s="10"/>
      <c r="X354" s="10"/>
      <c r="Y354" s="10"/>
      <c r="Z354" s="10"/>
      <c r="AA354" s="10"/>
    </row>
    <row r="355" spans="1:27" ht="12.5" x14ac:dyDescent="0.25">
      <c r="A355" s="10" t="s">
        <v>34</v>
      </c>
      <c r="B355" s="10" t="s">
        <v>1121</v>
      </c>
      <c r="C355" s="10" t="s">
        <v>76</v>
      </c>
      <c r="D355" s="11">
        <v>2024</v>
      </c>
      <c r="E355" s="10" t="s">
        <v>124</v>
      </c>
      <c r="F355" s="10" t="s">
        <v>125</v>
      </c>
      <c r="G355" s="10" t="s">
        <v>84</v>
      </c>
      <c r="H355" s="12">
        <v>3982.5</v>
      </c>
      <c r="I355" s="11">
        <v>87</v>
      </c>
      <c r="J355" s="11">
        <v>80</v>
      </c>
      <c r="K355" s="11">
        <v>1911</v>
      </c>
      <c r="L355" s="11">
        <v>2.1845574387947299E-2</v>
      </c>
      <c r="M355" s="11">
        <v>2.1845574387947266</v>
      </c>
      <c r="N355" s="11">
        <v>0.91954022988505701</v>
      </c>
      <c r="O355" s="11">
        <v>0.47984934086629</v>
      </c>
      <c r="P355" s="11">
        <v>0.26013513513513498</v>
      </c>
      <c r="Q355" s="11">
        <v>0.530612244897959</v>
      </c>
      <c r="R355" s="11">
        <v>0.20805369127516801</v>
      </c>
      <c r="S355" s="10" t="s">
        <v>84</v>
      </c>
      <c r="T355" s="10" t="s">
        <v>84</v>
      </c>
      <c r="U355" s="10"/>
      <c r="V355" s="10"/>
      <c r="W355" s="10"/>
      <c r="X355" s="10"/>
      <c r="Y355" s="10"/>
      <c r="Z355" s="10"/>
      <c r="AA355" s="10"/>
    </row>
    <row r="356" spans="1:27" ht="12.5" x14ac:dyDescent="0.25">
      <c r="A356" s="10" t="s">
        <v>52</v>
      </c>
      <c r="B356" s="10" t="s">
        <v>1124</v>
      </c>
      <c r="C356" s="10" t="s">
        <v>76</v>
      </c>
      <c r="D356" s="11">
        <v>2024</v>
      </c>
      <c r="E356" s="10" t="s">
        <v>124</v>
      </c>
      <c r="F356" s="10" t="s">
        <v>125</v>
      </c>
      <c r="G356" s="10" t="s">
        <v>84</v>
      </c>
      <c r="H356" s="12">
        <v>457.83333333333297</v>
      </c>
      <c r="I356" s="11">
        <v>10</v>
      </c>
      <c r="J356" s="11">
        <v>9</v>
      </c>
      <c r="K356" s="11">
        <v>0</v>
      </c>
      <c r="L356" s="11">
        <v>2.1842009464870801E-2</v>
      </c>
      <c r="M356" s="11">
        <v>2.1842009464870786</v>
      </c>
      <c r="N356" s="11">
        <v>0.9</v>
      </c>
      <c r="O356" s="11">
        <v>0</v>
      </c>
      <c r="P356" s="11">
        <v>0.25929054054054002</v>
      </c>
      <c r="Q356" s="11">
        <v>0.14893617021276601</v>
      </c>
      <c r="R356" s="11">
        <v>0.20581655480984301</v>
      </c>
      <c r="S356" s="10" t="s">
        <v>84</v>
      </c>
      <c r="T356" s="10" t="s">
        <v>84</v>
      </c>
      <c r="U356" s="10"/>
      <c r="V356" s="10"/>
      <c r="W356" s="10"/>
      <c r="X356" s="10"/>
      <c r="Y356" s="10"/>
      <c r="Z356" s="10"/>
      <c r="AA356" s="10"/>
    </row>
    <row r="357" spans="1:27" ht="12.5" x14ac:dyDescent="0.25">
      <c r="A357" s="10" t="s">
        <v>82</v>
      </c>
      <c r="B357" s="10" t="s">
        <v>1126</v>
      </c>
      <c r="C357" s="10" t="s">
        <v>76</v>
      </c>
      <c r="D357" s="11">
        <v>2024</v>
      </c>
      <c r="E357" s="10" t="s">
        <v>124</v>
      </c>
      <c r="F357" s="10" t="s">
        <v>83</v>
      </c>
      <c r="G357" s="10" t="s">
        <v>84</v>
      </c>
      <c r="H357" s="12">
        <v>3601.4166666666702</v>
      </c>
      <c r="I357" s="11">
        <v>75</v>
      </c>
      <c r="J357" s="11">
        <v>75</v>
      </c>
      <c r="K357" s="11">
        <v>1601</v>
      </c>
      <c r="L357" s="11">
        <v>2.0825138255778999E-2</v>
      </c>
      <c r="M357" s="11">
        <v>2.0825138255778959</v>
      </c>
      <c r="N357" s="11">
        <v>1</v>
      </c>
      <c r="O357" s="11">
        <v>0.44454728463336202</v>
      </c>
      <c r="P357" s="11">
        <v>0.25</v>
      </c>
      <c r="Q357" s="11">
        <v>0.46551724137931</v>
      </c>
      <c r="R357" s="11">
        <v>0.20357941834451901</v>
      </c>
      <c r="S357" s="10" t="s">
        <v>84</v>
      </c>
      <c r="T357" s="10" t="s">
        <v>84</v>
      </c>
      <c r="U357" s="10"/>
      <c r="V357" s="10"/>
      <c r="W357" s="10"/>
      <c r="X357" s="10"/>
      <c r="Y357" s="10"/>
      <c r="Z357" s="10"/>
      <c r="AA357" s="10"/>
    </row>
    <row r="358" spans="1:27" ht="12.5" x14ac:dyDescent="0.25">
      <c r="A358" s="10" t="s">
        <v>82</v>
      </c>
      <c r="B358" s="10" t="s">
        <v>1128</v>
      </c>
      <c r="C358" s="10" t="s">
        <v>76</v>
      </c>
      <c r="D358" s="11">
        <v>2024</v>
      </c>
      <c r="E358" s="10" t="s">
        <v>124</v>
      </c>
      <c r="F358" s="10" t="s">
        <v>83</v>
      </c>
      <c r="G358" s="10" t="s">
        <v>84</v>
      </c>
      <c r="H358" s="12">
        <v>8675.5833333333303</v>
      </c>
      <c r="I358" s="11">
        <v>177</v>
      </c>
      <c r="J358" s="11">
        <v>177</v>
      </c>
      <c r="K358" s="11">
        <v>2229</v>
      </c>
      <c r="L358" s="11">
        <v>2.0402086315041298E-2</v>
      </c>
      <c r="M358" s="11">
        <v>2.0402086315041266</v>
      </c>
      <c r="N358" s="11">
        <v>1</v>
      </c>
      <c r="O358" s="11">
        <v>0.25692796834026499</v>
      </c>
      <c r="P358" s="11">
        <v>0.24493243243243201</v>
      </c>
      <c r="Q358" s="11">
        <v>0.44827586206896602</v>
      </c>
      <c r="R358" s="11">
        <v>0.20134228187919501</v>
      </c>
      <c r="S358" s="10" t="s">
        <v>84</v>
      </c>
      <c r="T358" s="10" t="s">
        <v>84</v>
      </c>
      <c r="U358" s="10"/>
      <c r="V358" s="10"/>
      <c r="W358" s="10"/>
      <c r="X358" s="10"/>
      <c r="Y358" s="10"/>
      <c r="Z358" s="10"/>
      <c r="AA358" s="10"/>
    </row>
    <row r="359" spans="1:27" ht="12.5" x14ac:dyDescent="0.25">
      <c r="A359" s="10" t="s">
        <v>34</v>
      </c>
      <c r="B359" s="10" t="s">
        <v>1131</v>
      </c>
      <c r="C359" s="10" t="s">
        <v>76</v>
      </c>
      <c r="D359" s="11">
        <v>2024</v>
      </c>
      <c r="E359" s="10" t="s">
        <v>124</v>
      </c>
      <c r="F359" s="10" t="s">
        <v>125</v>
      </c>
      <c r="G359" s="10" t="s">
        <v>84</v>
      </c>
      <c r="H359" s="12">
        <v>547</v>
      </c>
      <c r="I359" s="11">
        <v>11</v>
      </c>
      <c r="J359" s="11">
        <v>11</v>
      </c>
      <c r="K359" s="11">
        <v>29</v>
      </c>
      <c r="L359" s="11">
        <v>2.0109689213894E-2</v>
      </c>
      <c r="M359" s="11">
        <v>2.0109689213893969</v>
      </c>
      <c r="N359" s="11">
        <v>1</v>
      </c>
      <c r="O359" s="11">
        <v>5.3016453382084099E-2</v>
      </c>
      <c r="P359" s="11">
        <v>0.24239864864864899</v>
      </c>
      <c r="Q359" s="11">
        <v>0.469387755102041</v>
      </c>
      <c r="R359" s="11">
        <v>0.19910514541387</v>
      </c>
      <c r="S359" s="10" t="s">
        <v>84</v>
      </c>
      <c r="T359" s="10" t="s">
        <v>84</v>
      </c>
      <c r="U359" s="10"/>
      <c r="V359" s="10"/>
      <c r="W359" s="10"/>
      <c r="X359" s="10"/>
      <c r="Y359" s="10"/>
      <c r="Z359" s="10"/>
      <c r="AA359" s="10"/>
    </row>
    <row r="360" spans="1:27" ht="12.5" x14ac:dyDescent="0.25">
      <c r="A360" s="10" t="s">
        <v>16</v>
      </c>
      <c r="B360" s="10" t="s">
        <v>1134</v>
      </c>
      <c r="C360" s="10" t="s">
        <v>76</v>
      </c>
      <c r="D360" s="11">
        <v>2024</v>
      </c>
      <c r="E360" s="10" t="s">
        <v>124</v>
      </c>
      <c r="F360" s="10" t="s">
        <v>83</v>
      </c>
      <c r="G360" s="10" t="s">
        <v>84</v>
      </c>
      <c r="H360" s="12">
        <v>31045.833333333299</v>
      </c>
      <c r="I360" s="11">
        <v>624</v>
      </c>
      <c r="J360" s="11">
        <v>440</v>
      </c>
      <c r="K360" s="11">
        <v>32399</v>
      </c>
      <c r="L360" s="11">
        <v>2.0099315528117001E-2</v>
      </c>
      <c r="M360" s="11">
        <v>2.0099315528117052</v>
      </c>
      <c r="N360" s="11">
        <v>0.70512820512820495</v>
      </c>
      <c r="O360" s="11">
        <v>1.0435860958260601</v>
      </c>
      <c r="P360" s="11">
        <v>0.241554054054054</v>
      </c>
      <c r="Q360" s="11">
        <v>6.6666666666666693E-2</v>
      </c>
      <c r="R360" s="11">
        <v>0.196868008948546</v>
      </c>
      <c r="S360" s="10" t="s">
        <v>84</v>
      </c>
      <c r="T360" s="10" t="s">
        <v>84</v>
      </c>
      <c r="U360" s="10"/>
      <c r="V360" s="10"/>
      <c r="W360" s="10"/>
      <c r="X360" s="10"/>
      <c r="Y360" s="10"/>
      <c r="Z360" s="10"/>
      <c r="AA360" s="10"/>
    </row>
    <row r="361" spans="1:27" ht="12.5" x14ac:dyDescent="0.25">
      <c r="A361" s="10" t="s">
        <v>43</v>
      </c>
      <c r="B361" s="10" t="s">
        <v>1137</v>
      </c>
      <c r="C361" s="10" t="s">
        <v>76</v>
      </c>
      <c r="D361" s="11">
        <v>2024</v>
      </c>
      <c r="E361" s="10" t="s">
        <v>124</v>
      </c>
      <c r="F361" s="10" t="s">
        <v>83</v>
      </c>
      <c r="G361" s="10" t="s">
        <v>84</v>
      </c>
      <c r="H361" s="12">
        <v>13384</v>
      </c>
      <c r="I361" s="11">
        <v>269</v>
      </c>
      <c r="J361" s="11">
        <v>191</v>
      </c>
      <c r="K361" s="11">
        <v>25221</v>
      </c>
      <c r="L361" s="11">
        <v>2.0098625224148198E-2</v>
      </c>
      <c r="M361" s="11">
        <v>2.0098625224148234</v>
      </c>
      <c r="N361" s="11">
        <v>0.71003717472118999</v>
      </c>
      <c r="O361" s="11">
        <v>1.8844142259414201</v>
      </c>
      <c r="P361" s="11">
        <v>0.24070945945945901</v>
      </c>
      <c r="Q361" s="11">
        <v>0.46153846153846201</v>
      </c>
      <c r="R361" s="11">
        <v>0.194630872483221</v>
      </c>
      <c r="S361" s="10" t="s">
        <v>84</v>
      </c>
      <c r="T361" s="10" t="s">
        <v>84</v>
      </c>
      <c r="U361" s="10"/>
      <c r="V361" s="10"/>
      <c r="W361" s="10"/>
      <c r="X361" s="10"/>
      <c r="Y361" s="10"/>
      <c r="Z361" s="10"/>
      <c r="AA361" s="10"/>
    </row>
    <row r="362" spans="1:27" ht="12.5" x14ac:dyDescent="0.25">
      <c r="A362" s="10" t="s">
        <v>67</v>
      </c>
      <c r="B362" s="10" t="s">
        <v>1139</v>
      </c>
      <c r="C362" s="10" t="s">
        <v>76</v>
      </c>
      <c r="D362" s="11">
        <v>2024</v>
      </c>
      <c r="E362" s="10" t="s">
        <v>124</v>
      </c>
      <c r="F362" s="10" t="s">
        <v>83</v>
      </c>
      <c r="G362" s="10" t="s">
        <v>84</v>
      </c>
      <c r="H362" s="12">
        <v>10312.416666666701</v>
      </c>
      <c r="I362" s="11">
        <v>207</v>
      </c>
      <c r="J362" s="11">
        <v>203</v>
      </c>
      <c r="K362" s="11">
        <v>15693</v>
      </c>
      <c r="L362" s="11">
        <v>2.00728894778948E-2</v>
      </c>
      <c r="M362" s="11">
        <v>2.0072889477894709</v>
      </c>
      <c r="N362" s="11">
        <v>0.98067632850241504</v>
      </c>
      <c r="O362" s="11">
        <v>1.52175775157779</v>
      </c>
      <c r="P362" s="11">
        <v>0.239864864864865</v>
      </c>
      <c r="Q362" s="11">
        <v>0.238095238095238</v>
      </c>
      <c r="R362" s="11">
        <v>0.192393736017897</v>
      </c>
      <c r="S362" s="10" t="s">
        <v>84</v>
      </c>
      <c r="T362" s="10" t="s">
        <v>84</v>
      </c>
      <c r="U362" s="10"/>
      <c r="V362" s="10"/>
      <c r="W362" s="10"/>
      <c r="X362" s="10"/>
      <c r="Y362" s="10"/>
      <c r="Z362" s="10"/>
      <c r="AA362" s="10"/>
    </row>
    <row r="363" spans="1:27" ht="12.5" x14ac:dyDescent="0.25">
      <c r="A363" s="10" t="s">
        <v>98</v>
      </c>
      <c r="B363" s="10" t="s">
        <v>1141</v>
      </c>
      <c r="C363" s="10" t="s">
        <v>76</v>
      </c>
      <c r="D363" s="11">
        <v>2024</v>
      </c>
      <c r="E363" s="10" t="s">
        <v>124</v>
      </c>
      <c r="F363" s="10" t="s">
        <v>83</v>
      </c>
      <c r="G363" s="10" t="s">
        <v>84</v>
      </c>
      <c r="H363" s="12">
        <v>8590.4166666666697</v>
      </c>
      <c r="I363" s="11">
        <v>171</v>
      </c>
      <c r="J363" s="11">
        <v>152</v>
      </c>
      <c r="K363" s="11">
        <v>17296</v>
      </c>
      <c r="L363" s="11">
        <v>1.9905902895668601E-2</v>
      </c>
      <c r="M363" s="11">
        <v>1.9905902895668615</v>
      </c>
      <c r="N363" s="11">
        <v>0.88888888888888895</v>
      </c>
      <c r="O363" s="11">
        <v>2.01340641218412</v>
      </c>
      <c r="P363" s="11">
        <v>0.23902027027027001</v>
      </c>
      <c r="Q363" s="11">
        <v>0</v>
      </c>
      <c r="R363" s="11">
        <v>0.190156599552573</v>
      </c>
      <c r="S363" s="10" t="s">
        <v>84</v>
      </c>
      <c r="T363" s="10" t="s">
        <v>84</v>
      </c>
      <c r="U363" s="10"/>
      <c r="V363" s="10"/>
      <c r="W363" s="10"/>
      <c r="X363" s="10"/>
      <c r="Y363" s="10"/>
      <c r="Z363" s="10"/>
      <c r="AA363" s="10"/>
    </row>
    <row r="364" spans="1:27" ht="12.5" x14ac:dyDescent="0.25">
      <c r="A364" s="10" t="s">
        <v>43</v>
      </c>
      <c r="B364" s="10" t="s">
        <v>1144</v>
      </c>
      <c r="C364" s="10" t="s">
        <v>76</v>
      </c>
      <c r="D364" s="11">
        <v>2024</v>
      </c>
      <c r="E364" s="10" t="s">
        <v>124</v>
      </c>
      <c r="F364" s="10" t="s">
        <v>83</v>
      </c>
      <c r="G364" s="10" t="s">
        <v>84</v>
      </c>
      <c r="H364" s="12">
        <v>8801</v>
      </c>
      <c r="I364" s="11">
        <v>174</v>
      </c>
      <c r="J364" s="11">
        <v>94</v>
      </c>
      <c r="K364" s="11">
        <v>6035</v>
      </c>
      <c r="L364" s="11">
        <v>1.9770480627201499E-2</v>
      </c>
      <c r="M364" s="11">
        <v>1.9770480627201454</v>
      </c>
      <c r="N364" s="11">
        <v>0.54022988505747105</v>
      </c>
      <c r="O364" s="11">
        <v>0.68571753209862496</v>
      </c>
      <c r="P364" s="11">
        <v>0.237331081081081</v>
      </c>
      <c r="Q364" s="11">
        <v>0.38461538461538503</v>
      </c>
      <c r="R364" s="11">
        <v>0.187919463087248</v>
      </c>
      <c r="S364" s="10" t="s">
        <v>84</v>
      </c>
      <c r="T364" s="10" t="s">
        <v>84</v>
      </c>
      <c r="U364" s="10"/>
      <c r="V364" s="10"/>
      <c r="W364" s="10"/>
      <c r="X364" s="10"/>
      <c r="Y364" s="10"/>
      <c r="Z364" s="10"/>
      <c r="AA364" s="10"/>
    </row>
    <row r="365" spans="1:27" ht="12.5" x14ac:dyDescent="0.25">
      <c r="A365" s="10" t="s">
        <v>82</v>
      </c>
      <c r="B365" s="10" t="s">
        <v>1146</v>
      </c>
      <c r="C365" s="10" t="s">
        <v>76</v>
      </c>
      <c r="D365" s="11">
        <v>2024</v>
      </c>
      <c r="E365" s="10" t="s">
        <v>124</v>
      </c>
      <c r="F365" s="10" t="s">
        <v>83</v>
      </c>
      <c r="G365" s="10" t="s">
        <v>84</v>
      </c>
      <c r="H365" s="12">
        <v>8133.9166666666697</v>
      </c>
      <c r="I365" s="11">
        <v>160</v>
      </c>
      <c r="J365" s="11">
        <v>146</v>
      </c>
      <c r="K365" s="11">
        <v>493</v>
      </c>
      <c r="L365" s="11">
        <v>1.9670720337680699E-2</v>
      </c>
      <c r="M365" s="11">
        <v>1.9670720337680692</v>
      </c>
      <c r="N365" s="11">
        <v>0.91249999999999998</v>
      </c>
      <c r="O365" s="11">
        <v>6.0610407040478702E-2</v>
      </c>
      <c r="P365" s="11">
        <v>0.235641891891892</v>
      </c>
      <c r="Q365" s="11">
        <v>0.431034482758621</v>
      </c>
      <c r="R365" s="11">
        <v>0.18568232662192399</v>
      </c>
      <c r="S365" s="10" t="s">
        <v>84</v>
      </c>
      <c r="T365" s="10" t="s">
        <v>84</v>
      </c>
      <c r="U365" s="10"/>
      <c r="V365" s="10"/>
      <c r="W365" s="10"/>
      <c r="X365" s="10"/>
      <c r="Y365" s="10"/>
      <c r="Z365" s="10"/>
      <c r="AA365" s="10"/>
    </row>
    <row r="366" spans="1:27" ht="12.5" x14ac:dyDescent="0.25">
      <c r="A366" s="10" t="s">
        <v>82</v>
      </c>
      <c r="B366" s="10" t="s">
        <v>1149</v>
      </c>
      <c r="C366" s="10" t="s">
        <v>76</v>
      </c>
      <c r="D366" s="11">
        <v>2024</v>
      </c>
      <c r="E366" s="10" t="s">
        <v>124</v>
      </c>
      <c r="F366" s="10" t="s">
        <v>83</v>
      </c>
      <c r="G366" s="10" t="s">
        <v>84</v>
      </c>
      <c r="H366" s="12">
        <v>5494.3333333333303</v>
      </c>
      <c r="I366" s="11">
        <v>108</v>
      </c>
      <c r="J366" s="11">
        <v>70</v>
      </c>
      <c r="K366" s="11">
        <v>561</v>
      </c>
      <c r="L366" s="11">
        <v>1.9656615907298398E-2</v>
      </c>
      <c r="M366" s="11">
        <v>1.965661590729844</v>
      </c>
      <c r="N366" s="11">
        <v>0.64814814814814803</v>
      </c>
      <c r="O366" s="11">
        <v>0.10210519929624499</v>
      </c>
      <c r="P366" s="11">
        <v>0.23479729729729701</v>
      </c>
      <c r="Q366" s="11">
        <v>0.41379310344827602</v>
      </c>
      <c r="R366" s="11">
        <v>0.18344519015659999</v>
      </c>
      <c r="S366" s="10" t="s">
        <v>84</v>
      </c>
      <c r="T366" s="10" t="s">
        <v>84</v>
      </c>
      <c r="U366" s="10"/>
      <c r="V366" s="10"/>
      <c r="W366" s="10"/>
      <c r="X366" s="10"/>
      <c r="Y366" s="10"/>
      <c r="Z366" s="10"/>
      <c r="AA366" s="10"/>
    </row>
    <row r="367" spans="1:27" ht="12.5" x14ac:dyDescent="0.25">
      <c r="A367" s="10" t="s">
        <v>77</v>
      </c>
      <c r="B367" s="10" t="s">
        <v>1152</v>
      </c>
      <c r="C367" s="10" t="s">
        <v>76</v>
      </c>
      <c r="D367" s="11">
        <v>2024</v>
      </c>
      <c r="E367" s="10" t="s">
        <v>124</v>
      </c>
      <c r="F367" s="10" t="s">
        <v>83</v>
      </c>
      <c r="G367" s="10" t="s">
        <v>84</v>
      </c>
      <c r="H367" s="12">
        <v>14415.25</v>
      </c>
      <c r="I367" s="11">
        <v>282</v>
      </c>
      <c r="J367" s="11">
        <v>304</v>
      </c>
      <c r="K367" s="11">
        <v>282</v>
      </c>
      <c r="L367" s="11">
        <v>1.9562615979604899E-2</v>
      </c>
      <c r="M367" s="11">
        <v>1.9562615979604934</v>
      </c>
      <c r="N367" s="11">
        <v>1.07801418439716</v>
      </c>
      <c r="O367" s="11">
        <v>1.9562615979604899E-2</v>
      </c>
      <c r="P367" s="11">
        <v>0.23226351351351401</v>
      </c>
      <c r="Q367" s="11">
        <v>0.17857142857142899</v>
      </c>
      <c r="R367" s="11">
        <v>0.18120805369127499</v>
      </c>
      <c r="S367" s="10" t="s">
        <v>84</v>
      </c>
      <c r="T367" s="10" t="s">
        <v>84</v>
      </c>
      <c r="U367" s="10"/>
      <c r="V367" s="10"/>
      <c r="W367" s="10"/>
      <c r="X367" s="10"/>
      <c r="Y367" s="10"/>
      <c r="Z367" s="10"/>
      <c r="AA367" s="10"/>
    </row>
    <row r="368" spans="1:27" ht="12.5" x14ac:dyDescent="0.25">
      <c r="A368" s="10" t="s">
        <v>92</v>
      </c>
      <c r="B368" s="10" t="s">
        <v>1154</v>
      </c>
      <c r="C368" s="10" t="s">
        <v>76</v>
      </c>
      <c r="D368" s="11">
        <v>2024</v>
      </c>
      <c r="E368" s="10" t="s">
        <v>124</v>
      </c>
      <c r="F368" s="10" t="s">
        <v>83</v>
      </c>
      <c r="G368" s="10" t="s">
        <v>84</v>
      </c>
      <c r="H368" s="12">
        <v>14835.5</v>
      </c>
      <c r="I368" s="11">
        <v>290</v>
      </c>
      <c r="J368" s="11">
        <v>290</v>
      </c>
      <c r="K368" s="11">
        <v>6727</v>
      </c>
      <c r="L368" s="11">
        <v>1.95477065147787E-2</v>
      </c>
      <c r="M368" s="11">
        <v>1.9547706514778738</v>
      </c>
      <c r="N368" s="11">
        <v>1</v>
      </c>
      <c r="O368" s="11">
        <v>0.45343938525833299</v>
      </c>
      <c r="P368" s="11">
        <v>0.231418918918919</v>
      </c>
      <c r="Q368" s="11">
        <v>0.55555555555555602</v>
      </c>
      <c r="R368" s="11">
        <v>0.17897091722595099</v>
      </c>
      <c r="S368" s="10" t="s">
        <v>84</v>
      </c>
      <c r="T368" s="10" t="s">
        <v>84</v>
      </c>
      <c r="U368" s="10"/>
      <c r="V368" s="10"/>
      <c r="W368" s="10"/>
      <c r="X368" s="10"/>
      <c r="Y368" s="10"/>
      <c r="Z368" s="10"/>
      <c r="AA368" s="10"/>
    </row>
    <row r="369" spans="1:27" ht="12.5" x14ac:dyDescent="0.25">
      <c r="A369" s="10" t="s">
        <v>34</v>
      </c>
      <c r="B369" s="10" t="s">
        <v>1156</v>
      </c>
      <c r="C369" s="10" t="s">
        <v>76</v>
      </c>
      <c r="D369" s="11">
        <v>2024</v>
      </c>
      <c r="E369" s="10" t="s">
        <v>124</v>
      </c>
      <c r="F369" s="10" t="s">
        <v>83</v>
      </c>
      <c r="G369" s="10" t="s">
        <v>84</v>
      </c>
      <c r="H369" s="12">
        <v>4661.9166666666697</v>
      </c>
      <c r="I369" s="11">
        <v>91</v>
      </c>
      <c r="J369" s="11">
        <v>83</v>
      </c>
      <c r="K369" s="11">
        <v>6561</v>
      </c>
      <c r="L369" s="11">
        <v>1.95198684375168E-2</v>
      </c>
      <c r="M369" s="11">
        <v>1.9519868437516745</v>
      </c>
      <c r="N369" s="11">
        <v>0.91208791208791196</v>
      </c>
      <c r="O369" s="11">
        <v>1.40736106394008</v>
      </c>
      <c r="P369" s="11">
        <v>0.22972972972972999</v>
      </c>
      <c r="Q369" s="11">
        <v>0.42857142857142899</v>
      </c>
      <c r="R369" s="11">
        <v>0.17673378076062601</v>
      </c>
      <c r="S369" s="10" t="s">
        <v>84</v>
      </c>
      <c r="T369" s="10" t="s">
        <v>84</v>
      </c>
      <c r="U369" s="10"/>
      <c r="V369" s="10"/>
      <c r="W369" s="10"/>
      <c r="X369" s="10"/>
      <c r="Y369" s="10"/>
      <c r="Z369" s="10"/>
      <c r="AA369" s="10"/>
    </row>
    <row r="370" spans="1:27" ht="12.5" x14ac:dyDescent="0.25">
      <c r="A370" s="10" t="s">
        <v>82</v>
      </c>
      <c r="B370" s="10" t="s">
        <v>1158</v>
      </c>
      <c r="C370" s="10" t="s">
        <v>76</v>
      </c>
      <c r="D370" s="11">
        <v>2024</v>
      </c>
      <c r="E370" s="10" t="s">
        <v>124</v>
      </c>
      <c r="F370" s="10" t="s">
        <v>83</v>
      </c>
      <c r="G370" s="10" t="s">
        <v>84</v>
      </c>
      <c r="H370" s="12">
        <v>1426</v>
      </c>
      <c r="I370" s="11">
        <v>27</v>
      </c>
      <c r="J370" s="11">
        <v>20</v>
      </c>
      <c r="K370" s="11">
        <v>135</v>
      </c>
      <c r="L370" s="11">
        <v>1.89340813464236E-2</v>
      </c>
      <c r="M370" s="11">
        <v>1.8934081346423561</v>
      </c>
      <c r="N370" s="11">
        <v>0.74074074074074103</v>
      </c>
      <c r="O370" s="11">
        <v>9.4670406732117796E-2</v>
      </c>
      <c r="P370" s="11">
        <v>0.22381756756756799</v>
      </c>
      <c r="Q370" s="11">
        <v>0.39655172413793099</v>
      </c>
      <c r="R370" s="11">
        <v>0.17449664429530201</v>
      </c>
      <c r="S370" s="10" t="s">
        <v>84</v>
      </c>
      <c r="T370" s="10" t="s">
        <v>84</v>
      </c>
      <c r="U370" s="10"/>
      <c r="V370" s="10"/>
      <c r="W370" s="10"/>
      <c r="X370" s="10"/>
      <c r="Y370" s="10"/>
      <c r="Z370" s="10"/>
      <c r="AA370" s="10"/>
    </row>
    <row r="371" spans="1:27" ht="12.5" x14ac:dyDescent="0.25">
      <c r="A371" s="10" t="s">
        <v>52</v>
      </c>
      <c r="B371" s="10" t="s">
        <v>1161</v>
      </c>
      <c r="C371" s="10" t="s">
        <v>76</v>
      </c>
      <c r="D371" s="11">
        <v>2024</v>
      </c>
      <c r="E371" s="10" t="s">
        <v>124</v>
      </c>
      <c r="F371" s="10" t="s">
        <v>83</v>
      </c>
      <c r="G371" s="10" t="s">
        <v>84</v>
      </c>
      <c r="H371" s="12">
        <v>10232</v>
      </c>
      <c r="I371" s="11">
        <v>192</v>
      </c>
      <c r="J371" s="11">
        <v>123</v>
      </c>
      <c r="K371" s="11">
        <v>192</v>
      </c>
      <c r="L371" s="11">
        <v>1.8764659890539499E-2</v>
      </c>
      <c r="M371" s="11">
        <v>1.8764659890539486</v>
      </c>
      <c r="N371" s="11">
        <v>0.640625</v>
      </c>
      <c r="O371" s="11">
        <v>1.8764659890539499E-2</v>
      </c>
      <c r="P371" s="11">
        <v>0.222972972972973</v>
      </c>
      <c r="Q371" s="11">
        <v>0.12765957446808501</v>
      </c>
      <c r="R371" s="11">
        <v>0.17225950782997801</v>
      </c>
      <c r="S371" s="10" t="s">
        <v>84</v>
      </c>
      <c r="T371" s="10" t="s">
        <v>84</v>
      </c>
      <c r="U371" s="10"/>
      <c r="V371" s="10"/>
      <c r="W371" s="10"/>
      <c r="X371" s="10"/>
      <c r="Y371" s="10"/>
      <c r="Z371" s="10"/>
      <c r="AA371" s="10"/>
    </row>
    <row r="372" spans="1:27" ht="12.5" x14ac:dyDescent="0.25">
      <c r="A372" s="10" t="s">
        <v>29</v>
      </c>
      <c r="B372" s="10" t="s">
        <v>1163</v>
      </c>
      <c r="C372" s="10" t="s">
        <v>76</v>
      </c>
      <c r="D372" s="11">
        <v>2024</v>
      </c>
      <c r="E372" s="10" t="s">
        <v>124</v>
      </c>
      <c r="F372" s="10" t="s">
        <v>83</v>
      </c>
      <c r="G372" s="10" t="s">
        <v>84</v>
      </c>
      <c r="H372" s="12">
        <v>5737.0833333333303</v>
      </c>
      <c r="I372" s="11">
        <v>106</v>
      </c>
      <c r="J372" s="11">
        <v>92</v>
      </c>
      <c r="K372" s="11">
        <v>582</v>
      </c>
      <c r="L372" s="11">
        <v>1.8476287312077899E-2</v>
      </c>
      <c r="M372" s="11">
        <v>1.8476287312077864</v>
      </c>
      <c r="N372" s="11">
        <v>0.86792452830188704</v>
      </c>
      <c r="O372" s="11">
        <v>0.101445275619144</v>
      </c>
      <c r="P372" s="11">
        <v>0.22212837837837801</v>
      </c>
      <c r="Q372" s="11">
        <v>0.14285714285714299</v>
      </c>
      <c r="R372" s="11">
        <v>0.17002237136465301</v>
      </c>
      <c r="S372" s="10" t="s">
        <v>84</v>
      </c>
      <c r="T372" s="10" t="s">
        <v>84</v>
      </c>
      <c r="U372" s="10"/>
      <c r="V372" s="10"/>
      <c r="W372" s="10"/>
      <c r="X372" s="10"/>
      <c r="Y372" s="10"/>
      <c r="Z372" s="10"/>
      <c r="AA372" s="10"/>
    </row>
    <row r="373" spans="1:27" ht="12.5" x14ac:dyDescent="0.25">
      <c r="A373" s="10" t="s">
        <v>53</v>
      </c>
      <c r="B373" s="10" t="s">
        <v>1164</v>
      </c>
      <c r="C373" s="10" t="s">
        <v>76</v>
      </c>
      <c r="D373" s="11">
        <v>2024</v>
      </c>
      <c r="E373" s="10" t="s">
        <v>124</v>
      </c>
      <c r="F373" s="10" t="s">
        <v>83</v>
      </c>
      <c r="G373" s="10" t="s">
        <v>84</v>
      </c>
      <c r="H373" s="12">
        <v>16049.25</v>
      </c>
      <c r="I373" s="11">
        <v>284</v>
      </c>
      <c r="J373" s="11">
        <v>212</v>
      </c>
      <c r="K373" s="11">
        <v>16687</v>
      </c>
      <c r="L373" s="11">
        <v>1.7695530943813601E-2</v>
      </c>
      <c r="M373" s="11">
        <v>1.7695530943813573</v>
      </c>
      <c r="N373" s="11">
        <v>0.74647887323943696</v>
      </c>
      <c r="O373" s="11">
        <v>1.03973705936414</v>
      </c>
      <c r="P373" s="11">
        <v>0.21790540540540501</v>
      </c>
      <c r="Q373" s="11">
        <v>0.77500000000000002</v>
      </c>
      <c r="R373" s="11">
        <v>0.16778523489932901</v>
      </c>
      <c r="S373" s="10" t="s">
        <v>84</v>
      </c>
      <c r="T373" s="10" t="s">
        <v>84</v>
      </c>
      <c r="U373" s="10"/>
      <c r="V373" s="10"/>
      <c r="W373" s="10"/>
      <c r="X373" s="10"/>
      <c r="Y373" s="10"/>
      <c r="Z373" s="10"/>
      <c r="AA373" s="10"/>
    </row>
    <row r="374" spans="1:27" ht="12.5" x14ac:dyDescent="0.25">
      <c r="A374" s="10" t="s">
        <v>92</v>
      </c>
      <c r="B374" s="10" t="s">
        <v>1165</v>
      </c>
      <c r="C374" s="10" t="s">
        <v>76</v>
      </c>
      <c r="D374" s="11">
        <v>2024</v>
      </c>
      <c r="E374" s="10" t="s">
        <v>124</v>
      </c>
      <c r="F374" s="10" t="s">
        <v>83</v>
      </c>
      <c r="G374" s="10" t="s">
        <v>84</v>
      </c>
      <c r="H374" s="12">
        <v>13458.5</v>
      </c>
      <c r="I374" s="11">
        <v>236</v>
      </c>
      <c r="J374" s="11">
        <v>226</v>
      </c>
      <c r="K374" s="11">
        <v>629</v>
      </c>
      <c r="L374" s="11">
        <v>1.7535386558680401E-2</v>
      </c>
      <c r="M374" s="11">
        <v>1.7535386558680386</v>
      </c>
      <c r="N374" s="11">
        <v>0.95762711864406802</v>
      </c>
      <c r="O374" s="11">
        <v>4.6736263328008301E-2</v>
      </c>
      <c r="P374" s="11">
        <v>0.21706081081081099</v>
      </c>
      <c r="Q374" s="11">
        <v>0.5</v>
      </c>
      <c r="R374" s="11">
        <v>0.165548098434004</v>
      </c>
      <c r="S374" s="10" t="s">
        <v>84</v>
      </c>
      <c r="T374" s="10" t="s">
        <v>84</v>
      </c>
      <c r="U374" s="10"/>
      <c r="V374" s="10"/>
      <c r="W374" s="10"/>
      <c r="X374" s="10"/>
      <c r="Y374" s="10"/>
      <c r="Z374" s="10"/>
      <c r="AA374" s="10"/>
    </row>
    <row r="375" spans="1:27" ht="12.5" x14ac:dyDescent="0.25">
      <c r="A375" s="10" t="s">
        <v>88</v>
      </c>
      <c r="B375" s="10" t="s">
        <v>1167</v>
      </c>
      <c r="C375" s="10" t="s">
        <v>76</v>
      </c>
      <c r="D375" s="11">
        <v>2024</v>
      </c>
      <c r="E375" s="10" t="s">
        <v>124</v>
      </c>
      <c r="F375" s="10" t="s">
        <v>83</v>
      </c>
      <c r="G375" s="10" t="s">
        <v>84</v>
      </c>
      <c r="H375" s="12">
        <v>17858.083333333299</v>
      </c>
      <c r="I375" s="11">
        <v>308</v>
      </c>
      <c r="J375" s="11">
        <v>276</v>
      </c>
      <c r="K375" s="11">
        <v>27312</v>
      </c>
      <c r="L375" s="11">
        <v>1.72470916531729E-2</v>
      </c>
      <c r="M375" s="11">
        <v>1.7247091653172966</v>
      </c>
      <c r="N375" s="11">
        <v>0.89610389610389596</v>
      </c>
      <c r="O375" s="11">
        <v>1.5293914520501899</v>
      </c>
      <c r="P375" s="11">
        <v>0.21621621621621601</v>
      </c>
      <c r="Q375" s="11">
        <v>0.33333333333333298</v>
      </c>
      <c r="R375" s="11">
        <v>0.16331096196868</v>
      </c>
      <c r="S375" s="10" t="s">
        <v>84</v>
      </c>
      <c r="T375" s="10" t="s">
        <v>84</v>
      </c>
      <c r="U375" s="10"/>
      <c r="V375" s="10"/>
      <c r="W375" s="10"/>
      <c r="X375" s="10"/>
      <c r="Y375" s="10"/>
      <c r="Z375" s="10"/>
      <c r="AA375" s="10"/>
    </row>
    <row r="376" spans="1:27" ht="12.5" x14ac:dyDescent="0.25">
      <c r="A376" s="10" t="s">
        <v>82</v>
      </c>
      <c r="B376" s="10" t="s">
        <v>1169</v>
      </c>
      <c r="C376" s="10" t="s">
        <v>76</v>
      </c>
      <c r="D376" s="11">
        <v>2024</v>
      </c>
      <c r="E376" s="10" t="s">
        <v>124</v>
      </c>
      <c r="F376" s="10" t="s">
        <v>83</v>
      </c>
      <c r="G376" s="10" t="s">
        <v>84</v>
      </c>
      <c r="H376" s="12">
        <v>14537.75</v>
      </c>
      <c r="I376" s="11">
        <v>248</v>
      </c>
      <c r="J376" s="11">
        <v>248</v>
      </c>
      <c r="K376" s="11">
        <v>4863</v>
      </c>
      <c r="L376" s="11">
        <v>1.7059035958109099E-2</v>
      </c>
      <c r="M376" s="11">
        <v>1.7059035958109061</v>
      </c>
      <c r="N376" s="11">
        <v>1</v>
      </c>
      <c r="O376" s="11">
        <v>0.33450843493663002</v>
      </c>
      <c r="P376" s="11">
        <v>0.21368243243243201</v>
      </c>
      <c r="Q376" s="11">
        <v>0.36206896551724099</v>
      </c>
      <c r="R376" s="11">
        <v>0.161073825503356</v>
      </c>
      <c r="S376" s="10" t="s">
        <v>84</v>
      </c>
      <c r="T376" s="10" t="s">
        <v>84</v>
      </c>
      <c r="U376" s="10"/>
      <c r="V376" s="10"/>
      <c r="W376" s="10"/>
      <c r="X376" s="10"/>
      <c r="Y376" s="10"/>
      <c r="Z376" s="10"/>
      <c r="AA376" s="10"/>
    </row>
    <row r="377" spans="1:27" ht="12.5" x14ac:dyDescent="0.25">
      <c r="A377" s="10" t="s">
        <v>82</v>
      </c>
      <c r="B377" s="10" t="s">
        <v>1170</v>
      </c>
      <c r="C377" s="10" t="s">
        <v>76</v>
      </c>
      <c r="D377" s="11">
        <v>2024</v>
      </c>
      <c r="E377" s="10" t="s">
        <v>124</v>
      </c>
      <c r="F377" s="10" t="s">
        <v>83</v>
      </c>
      <c r="G377" s="10" t="s">
        <v>84</v>
      </c>
      <c r="H377" s="12">
        <v>9877.9166666666697</v>
      </c>
      <c r="I377" s="11">
        <v>160</v>
      </c>
      <c r="J377" s="11">
        <v>158</v>
      </c>
      <c r="K377" s="11">
        <v>1563</v>
      </c>
      <c r="L377" s="11">
        <v>1.6197747500738199E-2</v>
      </c>
      <c r="M377" s="11">
        <v>1.6197747500738175</v>
      </c>
      <c r="N377" s="11">
        <v>0.98750000000000004</v>
      </c>
      <c r="O377" s="11">
        <v>0.15823174589783601</v>
      </c>
      <c r="P377" s="11">
        <v>0.201858108108108</v>
      </c>
      <c r="Q377" s="11">
        <v>0.34482758620689702</v>
      </c>
      <c r="R377" s="11">
        <v>0.158836689038031</v>
      </c>
      <c r="S377" s="10" t="s">
        <v>84</v>
      </c>
      <c r="T377" s="10" t="s">
        <v>84</v>
      </c>
      <c r="U377" s="10"/>
      <c r="V377" s="10"/>
      <c r="W377" s="10"/>
      <c r="X377" s="10"/>
      <c r="Y377" s="10"/>
      <c r="Z377" s="10"/>
      <c r="AA377" s="10"/>
    </row>
    <row r="378" spans="1:27" ht="12.5" x14ac:dyDescent="0.25">
      <c r="A378" s="10" t="s">
        <v>49</v>
      </c>
      <c r="B378" s="10" t="s">
        <v>1173</v>
      </c>
      <c r="C378" s="10" t="s">
        <v>76</v>
      </c>
      <c r="D378" s="11">
        <v>2024</v>
      </c>
      <c r="E378" s="10" t="s">
        <v>124</v>
      </c>
      <c r="F378" s="10" t="s">
        <v>83</v>
      </c>
      <c r="G378" s="10" t="s">
        <v>84</v>
      </c>
      <c r="H378" s="12">
        <v>15014.166666666701</v>
      </c>
      <c r="I378" s="11">
        <v>242</v>
      </c>
      <c r="J378" s="11">
        <v>221</v>
      </c>
      <c r="K378" s="11">
        <v>7222</v>
      </c>
      <c r="L378" s="11">
        <v>1.6118110673253E-2</v>
      </c>
      <c r="M378" s="11">
        <v>1.6118110673253003</v>
      </c>
      <c r="N378" s="11">
        <v>0.91322314049586795</v>
      </c>
      <c r="O378" s="11">
        <v>0.481012377199312</v>
      </c>
      <c r="P378" s="11">
        <v>0.200168918918919</v>
      </c>
      <c r="Q378" s="11">
        <v>0.30769230769230799</v>
      </c>
      <c r="R378" s="11">
        <v>0.156599552572707</v>
      </c>
      <c r="S378" s="10" t="s">
        <v>84</v>
      </c>
      <c r="T378" s="10" t="s">
        <v>84</v>
      </c>
      <c r="U378" s="10"/>
      <c r="V378" s="10"/>
      <c r="W378" s="10"/>
      <c r="X378" s="10"/>
      <c r="Y378" s="10"/>
      <c r="Z378" s="10"/>
      <c r="AA378" s="10"/>
    </row>
    <row r="379" spans="1:27" ht="12.5" x14ac:dyDescent="0.25">
      <c r="A379" s="10" t="s">
        <v>29</v>
      </c>
      <c r="B379" s="10" t="s">
        <v>1175</v>
      </c>
      <c r="C379" s="10" t="s">
        <v>76</v>
      </c>
      <c r="D379" s="11">
        <v>2024</v>
      </c>
      <c r="E379" s="10" t="s">
        <v>124</v>
      </c>
      <c r="F379" s="10" t="s">
        <v>83</v>
      </c>
      <c r="G379" s="10" t="s">
        <v>84</v>
      </c>
      <c r="H379" s="12">
        <v>70892</v>
      </c>
      <c r="I379" s="11">
        <v>1140</v>
      </c>
      <c r="J379" s="11">
        <v>732</v>
      </c>
      <c r="K379" s="11">
        <v>5676</v>
      </c>
      <c r="L379" s="11">
        <v>1.6080798961801E-2</v>
      </c>
      <c r="M379" s="11">
        <v>1.6080798961801048</v>
      </c>
      <c r="N379" s="11">
        <v>0.64210526315789496</v>
      </c>
      <c r="O379" s="11">
        <v>8.0065451672967303E-2</v>
      </c>
      <c r="P379" s="11">
        <v>0.19932432432432401</v>
      </c>
      <c r="Q379" s="11">
        <v>0.122448979591837</v>
      </c>
      <c r="R379" s="11">
        <v>0.15436241610738299</v>
      </c>
      <c r="S379" s="10" t="s">
        <v>84</v>
      </c>
      <c r="T379" s="10" t="s">
        <v>84</v>
      </c>
      <c r="U379" s="10"/>
      <c r="V379" s="10"/>
      <c r="W379" s="10"/>
      <c r="X379" s="10"/>
      <c r="Y379" s="10"/>
      <c r="Z379" s="10"/>
      <c r="AA379" s="10"/>
    </row>
    <row r="380" spans="1:27" ht="12.5" x14ac:dyDescent="0.25">
      <c r="A380" s="10" t="s">
        <v>29</v>
      </c>
      <c r="B380" s="10" t="s">
        <v>1177</v>
      </c>
      <c r="C380" s="10" t="s">
        <v>76</v>
      </c>
      <c r="D380" s="11">
        <v>2024</v>
      </c>
      <c r="E380" s="10" t="s">
        <v>124</v>
      </c>
      <c r="F380" s="10" t="s">
        <v>83</v>
      </c>
      <c r="G380" s="10" t="s">
        <v>84</v>
      </c>
      <c r="H380" s="12">
        <v>73520</v>
      </c>
      <c r="I380" s="11">
        <v>1176</v>
      </c>
      <c r="J380" s="11">
        <v>768</v>
      </c>
      <c r="K380" s="11">
        <v>5880</v>
      </c>
      <c r="L380" s="11">
        <v>1.5995647442872699E-2</v>
      </c>
      <c r="M380" s="11">
        <v>1.5995647442872689</v>
      </c>
      <c r="N380" s="11">
        <v>0.65306122448979598</v>
      </c>
      <c r="O380" s="11">
        <v>7.9978237214363396E-2</v>
      </c>
      <c r="P380" s="11">
        <v>0.197635135135135</v>
      </c>
      <c r="Q380" s="11">
        <v>0.102040816326531</v>
      </c>
      <c r="R380" s="11">
        <v>0.15212527964205799</v>
      </c>
      <c r="S380" s="10" t="s">
        <v>84</v>
      </c>
      <c r="T380" s="10" t="s">
        <v>84</v>
      </c>
      <c r="U380" s="10"/>
      <c r="V380" s="10"/>
      <c r="W380" s="10"/>
      <c r="X380" s="10"/>
      <c r="Y380" s="10"/>
      <c r="Z380" s="10"/>
      <c r="AA380" s="10"/>
    </row>
    <row r="381" spans="1:27" ht="12.5" x14ac:dyDescent="0.25">
      <c r="A381" s="10" t="s">
        <v>29</v>
      </c>
      <c r="B381" s="10" t="s">
        <v>1179</v>
      </c>
      <c r="C381" s="10" t="s">
        <v>76</v>
      </c>
      <c r="D381" s="11">
        <v>2024</v>
      </c>
      <c r="E381" s="10" t="s">
        <v>124</v>
      </c>
      <c r="F381" s="10" t="s">
        <v>83</v>
      </c>
      <c r="G381" s="10" t="s">
        <v>84</v>
      </c>
      <c r="H381" s="12">
        <v>40000</v>
      </c>
      <c r="I381" s="11">
        <v>636</v>
      </c>
      <c r="J381" s="11">
        <v>420</v>
      </c>
      <c r="K381" s="11">
        <v>3204</v>
      </c>
      <c r="L381" s="11">
        <v>1.5900000000000001E-2</v>
      </c>
      <c r="M381" s="11">
        <v>1.59</v>
      </c>
      <c r="N381" s="11">
        <v>0.660377358490566</v>
      </c>
      <c r="O381" s="11">
        <v>8.0100000000000005E-2</v>
      </c>
      <c r="P381" s="11">
        <v>0.19679054054054099</v>
      </c>
      <c r="Q381" s="11">
        <v>8.1632653061224497E-2</v>
      </c>
      <c r="R381" s="11">
        <v>0.14988814317673399</v>
      </c>
      <c r="S381" s="10" t="s">
        <v>84</v>
      </c>
      <c r="T381" s="10" t="s">
        <v>84</v>
      </c>
      <c r="U381" s="10"/>
      <c r="V381" s="10"/>
      <c r="W381" s="10"/>
      <c r="X381" s="10"/>
      <c r="Y381" s="10"/>
      <c r="Z381" s="10"/>
      <c r="AA381" s="10"/>
    </row>
    <row r="382" spans="1:27" ht="12.5" x14ac:dyDescent="0.25">
      <c r="A382" s="10" t="s">
        <v>53</v>
      </c>
      <c r="B382" s="10" t="s">
        <v>1182</v>
      </c>
      <c r="C382" s="10" t="s">
        <v>76</v>
      </c>
      <c r="D382" s="11">
        <v>2024</v>
      </c>
      <c r="E382" s="10" t="s">
        <v>124</v>
      </c>
      <c r="F382" s="10" t="s">
        <v>125</v>
      </c>
      <c r="G382" s="10" t="s">
        <v>84</v>
      </c>
      <c r="H382" s="12">
        <v>505.41666666666703</v>
      </c>
      <c r="I382" s="11">
        <v>8</v>
      </c>
      <c r="J382" s="11">
        <v>8</v>
      </c>
      <c r="K382" s="11">
        <v>787</v>
      </c>
      <c r="L382" s="11">
        <v>1.5828524319868101E-2</v>
      </c>
      <c r="M382" s="11">
        <v>1.5828524319868083</v>
      </c>
      <c r="N382" s="11">
        <v>1</v>
      </c>
      <c r="O382" s="11">
        <v>1.5571310799670199</v>
      </c>
      <c r="P382" s="11">
        <v>0.195945945945946</v>
      </c>
      <c r="Q382" s="11">
        <v>0.75</v>
      </c>
      <c r="R382" s="11">
        <v>0.14765100671140899</v>
      </c>
      <c r="S382" s="10" t="s">
        <v>84</v>
      </c>
      <c r="T382" s="10" t="s">
        <v>84</v>
      </c>
      <c r="U382" s="10"/>
      <c r="V382" s="10"/>
      <c r="W382" s="10"/>
      <c r="X382" s="10"/>
      <c r="Y382" s="10"/>
      <c r="Z382" s="10"/>
      <c r="AA382" s="10"/>
    </row>
    <row r="383" spans="1:27" ht="12.5" x14ac:dyDescent="0.25">
      <c r="A383" s="10" t="s">
        <v>65</v>
      </c>
      <c r="B383" s="10" t="s">
        <v>1186</v>
      </c>
      <c r="C383" s="10" t="s">
        <v>76</v>
      </c>
      <c r="D383" s="11">
        <v>2024</v>
      </c>
      <c r="E383" s="10" t="s">
        <v>124</v>
      </c>
      <c r="F383" s="10" t="s">
        <v>83</v>
      </c>
      <c r="G383" s="10" t="s">
        <v>84</v>
      </c>
      <c r="H383" s="12">
        <v>8030.5833333333303</v>
      </c>
      <c r="I383" s="11">
        <v>127</v>
      </c>
      <c r="J383" s="11">
        <v>127</v>
      </c>
      <c r="K383" s="11">
        <v>0</v>
      </c>
      <c r="L383" s="11">
        <v>1.5814542322579301E-2</v>
      </c>
      <c r="M383" s="11">
        <v>1.581454232257931</v>
      </c>
      <c r="N383" s="11">
        <v>1</v>
      </c>
      <c r="O383" s="11">
        <v>0</v>
      </c>
      <c r="P383" s="11">
        <v>0.19510135135135101</v>
      </c>
      <c r="Q383" s="11">
        <v>7.69230769230769E-2</v>
      </c>
      <c r="R383" s="11">
        <v>0.14541387024608499</v>
      </c>
      <c r="S383" s="10" t="s">
        <v>84</v>
      </c>
      <c r="T383" s="10" t="s">
        <v>84</v>
      </c>
      <c r="U383" s="10"/>
      <c r="V383" s="10"/>
      <c r="W383" s="10"/>
      <c r="X383" s="10"/>
      <c r="Y383" s="10"/>
      <c r="Z383" s="10"/>
      <c r="AA383" s="10"/>
    </row>
    <row r="384" spans="1:27" ht="12.5" x14ac:dyDescent="0.25">
      <c r="A384" s="10" t="s">
        <v>36</v>
      </c>
      <c r="B384" s="10" t="s">
        <v>1188</v>
      </c>
      <c r="C384" s="10" t="s">
        <v>76</v>
      </c>
      <c r="D384" s="11">
        <v>2024</v>
      </c>
      <c r="E384" s="10" t="s">
        <v>124</v>
      </c>
      <c r="F384" s="10" t="s">
        <v>125</v>
      </c>
      <c r="G384" s="10" t="s">
        <v>84</v>
      </c>
      <c r="H384" s="12">
        <v>5280</v>
      </c>
      <c r="I384" s="11">
        <v>83</v>
      </c>
      <c r="J384" s="11">
        <v>94</v>
      </c>
      <c r="K384" s="11">
        <v>188</v>
      </c>
      <c r="L384" s="11">
        <v>1.5719696969697002E-2</v>
      </c>
      <c r="M384" s="11">
        <v>1.571969696969697</v>
      </c>
      <c r="N384" s="11">
        <v>1.13253012048193</v>
      </c>
      <c r="O384" s="11">
        <v>3.5606060606060599E-2</v>
      </c>
      <c r="P384" s="11">
        <v>0.193412162162162</v>
      </c>
      <c r="Q384" s="11">
        <v>8.5106382978723402E-2</v>
      </c>
      <c r="R384" s="11">
        <v>0.14317673378076101</v>
      </c>
      <c r="S384" s="10" t="s">
        <v>84</v>
      </c>
      <c r="T384" s="10" t="s">
        <v>84</v>
      </c>
      <c r="U384" s="10"/>
      <c r="V384" s="10"/>
      <c r="W384" s="10"/>
      <c r="X384" s="10"/>
      <c r="Y384" s="10"/>
      <c r="Z384" s="10"/>
      <c r="AA384" s="10"/>
    </row>
    <row r="385" spans="1:27" ht="12.5" x14ac:dyDescent="0.25">
      <c r="A385" s="10" t="s">
        <v>42</v>
      </c>
      <c r="B385" s="10" t="s">
        <v>1189</v>
      </c>
      <c r="C385" s="10" t="s">
        <v>76</v>
      </c>
      <c r="D385" s="11">
        <v>2024</v>
      </c>
      <c r="E385" s="10" t="s">
        <v>124</v>
      </c>
      <c r="F385" s="10" t="s">
        <v>125</v>
      </c>
      <c r="G385" s="10" t="s">
        <v>84</v>
      </c>
      <c r="H385" s="12">
        <v>3706</v>
      </c>
      <c r="I385" s="11">
        <v>58</v>
      </c>
      <c r="J385" s="11">
        <v>58</v>
      </c>
      <c r="K385" s="11">
        <v>7011</v>
      </c>
      <c r="L385" s="11">
        <v>1.5650296815974098E-2</v>
      </c>
      <c r="M385" s="11">
        <v>1.5650296815974094</v>
      </c>
      <c r="N385" s="11">
        <v>1</v>
      </c>
      <c r="O385" s="11">
        <v>1.8917970858068001</v>
      </c>
      <c r="P385" s="11">
        <v>0.19256756756756799</v>
      </c>
      <c r="Q385" s="11">
        <v>0.14285714285714299</v>
      </c>
      <c r="R385" s="11">
        <v>0.14093959731543601</v>
      </c>
      <c r="S385" s="10" t="s">
        <v>84</v>
      </c>
      <c r="T385" s="10" t="s">
        <v>84</v>
      </c>
      <c r="U385" s="10"/>
      <c r="V385" s="10"/>
      <c r="W385" s="10"/>
      <c r="X385" s="10"/>
      <c r="Y385" s="10"/>
      <c r="Z385" s="10"/>
      <c r="AA385" s="10"/>
    </row>
    <row r="386" spans="1:27" ht="12.5" x14ac:dyDescent="0.25">
      <c r="A386" s="10" t="s">
        <v>49</v>
      </c>
      <c r="B386" s="10" t="s">
        <v>1193</v>
      </c>
      <c r="C386" s="10" t="s">
        <v>76</v>
      </c>
      <c r="D386" s="11">
        <v>2024</v>
      </c>
      <c r="E386" s="10" t="s">
        <v>124</v>
      </c>
      <c r="F386" s="10" t="s">
        <v>83</v>
      </c>
      <c r="G386" s="10" t="s">
        <v>84</v>
      </c>
      <c r="H386" s="12">
        <v>2266.1666666666702</v>
      </c>
      <c r="I386" s="11">
        <v>35</v>
      </c>
      <c r="J386" s="11">
        <v>31</v>
      </c>
      <c r="K386" s="11">
        <v>492</v>
      </c>
      <c r="L386" s="11">
        <v>1.5444583363977299E-2</v>
      </c>
      <c r="M386" s="11">
        <v>1.5444583363977324</v>
      </c>
      <c r="N386" s="11">
        <v>0.88571428571428601</v>
      </c>
      <c r="O386" s="11">
        <v>0.21710671471648199</v>
      </c>
      <c r="P386" s="11">
        <v>0.18918918918918901</v>
      </c>
      <c r="Q386" s="11">
        <v>0.269230769230769</v>
      </c>
      <c r="R386" s="11">
        <v>0.13870246085011201</v>
      </c>
      <c r="S386" s="10" t="s">
        <v>84</v>
      </c>
      <c r="T386" s="10" t="s">
        <v>84</v>
      </c>
      <c r="U386" s="10"/>
      <c r="V386" s="10"/>
      <c r="W386" s="10"/>
      <c r="X386" s="10"/>
      <c r="Y386" s="10"/>
      <c r="Z386" s="10"/>
      <c r="AA386" s="10"/>
    </row>
    <row r="387" spans="1:27" ht="12.5" x14ac:dyDescent="0.25">
      <c r="A387" s="10" t="s">
        <v>42</v>
      </c>
      <c r="B387" s="10" t="s">
        <v>1195</v>
      </c>
      <c r="C387" s="10" t="s">
        <v>76</v>
      </c>
      <c r="D387" s="11">
        <v>2024</v>
      </c>
      <c r="E387" s="10" t="s">
        <v>124</v>
      </c>
      <c r="F387" s="10" t="s">
        <v>83</v>
      </c>
      <c r="G387" s="10" t="s">
        <v>84</v>
      </c>
      <c r="H387" s="12">
        <v>8139.5833333333303</v>
      </c>
      <c r="I387" s="11">
        <v>124</v>
      </c>
      <c r="J387" s="11">
        <v>124</v>
      </c>
      <c r="K387" s="11">
        <v>10636</v>
      </c>
      <c r="L387" s="11">
        <v>1.5234195034553401E-2</v>
      </c>
      <c r="M387" s="11">
        <v>1.5234195034553371</v>
      </c>
      <c r="N387" s="11">
        <v>1</v>
      </c>
      <c r="O387" s="11">
        <v>1.30670079344766</v>
      </c>
      <c r="P387" s="11">
        <v>0.18581081081081099</v>
      </c>
      <c r="Q387" s="11">
        <v>9.5238095238095205E-2</v>
      </c>
      <c r="R387" s="11">
        <v>0.13646532438478701</v>
      </c>
      <c r="S387" s="10" t="s">
        <v>84</v>
      </c>
      <c r="T387" s="10" t="s">
        <v>84</v>
      </c>
      <c r="U387" s="10"/>
      <c r="V387" s="10"/>
      <c r="W387" s="10"/>
      <c r="X387" s="10"/>
      <c r="Y387" s="10"/>
      <c r="Z387" s="10"/>
      <c r="AA387" s="10"/>
    </row>
    <row r="388" spans="1:27" ht="12.5" x14ac:dyDescent="0.25">
      <c r="A388" s="10" t="s">
        <v>82</v>
      </c>
      <c r="B388" s="10" t="s">
        <v>1197</v>
      </c>
      <c r="C388" s="10" t="s">
        <v>76</v>
      </c>
      <c r="D388" s="11">
        <v>2024</v>
      </c>
      <c r="E388" s="10" t="s">
        <v>124</v>
      </c>
      <c r="F388" s="10" t="s">
        <v>83</v>
      </c>
      <c r="G388" s="10" t="s">
        <v>84</v>
      </c>
      <c r="H388" s="12">
        <v>11927.416666666701</v>
      </c>
      <c r="I388" s="11">
        <v>179</v>
      </c>
      <c r="J388" s="11">
        <v>176</v>
      </c>
      <c r="K388" s="11">
        <v>6599</v>
      </c>
      <c r="L388" s="11">
        <v>1.50074408400813E-2</v>
      </c>
      <c r="M388" s="11">
        <v>1.5007440840081283</v>
      </c>
      <c r="N388" s="11">
        <v>0.983240223463687</v>
      </c>
      <c r="O388" s="11">
        <v>0.55326314024411505</v>
      </c>
      <c r="P388" s="11">
        <v>0.18243243243243201</v>
      </c>
      <c r="Q388" s="11">
        <v>0.32758620689655199</v>
      </c>
      <c r="R388" s="11">
        <v>0.134228187919463</v>
      </c>
      <c r="S388" s="10" t="s">
        <v>84</v>
      </c>
      <c r="T388" s="10" t="s">
        <v>84</v>
      </c>
      <c r="U388" s="10"/>
      <c r="V388" s="10"/>
      <c r="W388" s="10"/>
      <c r="X388" s="10"/>
      <c r="Y388" s="10"/>
      <c r="Z388" s="10"/>
      <c r="AA388" s="10"/>
    </row>
    <row r="389" spans="1:27" ht="12.5" x14ac:dyDescent="0.25">
      <c r="A389" s="10" t="s">
        <v>45</v>
      </c>
      <c r="B389" s="10" t="s">
        <v>1200</v>
      </c>
      <c r="C389" s="10" t="s">
        <v>76</v>
      </c>
      <c r="D389" s="11">
        <v>2024</v>
      </c>
      <c r="E389" s="10" t="s">
        <v>124</v>
      </c>
      <c r="F389" s="10" t="s">
        <v>83</v>
      </c>
      <c r="G389" s="10" t="s">
        <v>84</v>
      </c>
      <c r="H389" s="12">
        <v>2873</v>
      </c>
      <c r="I389" s="11">
        <v>42</v>
      </c>
      <c r="J389" s="11">
        <v>40</v>
      </c>
      <c r="K389" s="11">
        <v>1331</v>
      </c>
      <c r="L389" s="11">
        <v>1.46188652975983E-2</v>
      </c>
      <c r="M389" s="11">
        <v>1.4618865297598329</v>
      </c>
      <c r="N389" s="11">
        <v>0.952380952380952</v>
      </c>
      <c r="O389" s="11">
        <v>0.46327880264531801</v>
      </c>
      <c r="P389" s="11">
        <v>0.177364864864865</v>
      </c>
      <c r="Q389" s="11">
        <v>0</v>
      </c>
      <c r="R389" s="11">
        <v>0.131991051454139</v>
      </c>
      <c r="S389" s="10" t="s">
        <v>84</v>
      </c>
      <c r="T389" s="10" t="s">
        <v>84</v>
      </c>
      <c r="U389" s="10"/>
      <c r="V389" s="10"/>
      <c r="W389" s="10"/>
      <c r="X389" s="10"/>
      <c r="Y389" s="10"/>
      <c r="Z389" s="10"/>
      <c r="AA389" s="10"/>
    </row>
    <row r="390" spans="1:27" ht="12.5" x14ac:dyDescent="0.25">
      <c r="A390" s="10" t="s">
        <v>34</v>
      </c>
      <c r="B390" s="10" t="s">
        <v>1202</v>
      </c>
      <c r="C390" s="10" t="s">
        <v>76</v>
      </c>
      <c r="D390" s="11">
        <v>2024</v>
      </c>
      <c r="E390" s="10" t="s">
        <v>124</v>
      </c>
      <c r="F390" s="10" t="s">
        <v>83</v>
      </c>
      <c r="G390" s="10" t="s">
        <v>84</v>
      </c>
      <c r="H390" s="12">
        <v>1245.8333333333301</v>
      </c>
      <c r="I390" s="11">
        <v>18</v>
      </c>
      <c r="J390" s="11">
        <v>18</v>
      </c>
      <c r="K390" s="11">
        <v>1717</v>
      </c>
      <c r="L390" s="11">
        <v>1.44481605351171E-2</v>
      </c>
      <c r="M390" s="11">
        <v>1.4448160535117094</v>
      </c>
      <c r="N390" s="11">
        <v>1</v>
      </c>
      <c r="O390" s="11">
        <v>1.37819397993311</v>
      </c>
      <c r="P390" s="11">
        <v>0.17229729729729701</v>
      </c>
      <c r="Q390" s="11">
        <v>0.32653061224489799</v>
      </c>
      <c r="R390" s="11">
        <v>0.129753914988814</v>
      </c>
      <c r="S390" s="10" t="s">
        <v>84</v>
      </c>
      <c r="T390" s="10" t="s">
        <v>84</v>
      </c>
      <c r="U390" s="10"/>
      <c r="V390" s="10"/>
      <c r="W390" s="10"/>
      <c r="X390" s="10"/>
      <c r="Y390" s="10"/>
      <c r="Z390" s="10"/>
      <c r="AA390" s="10"/>
    </row>
    <row r="391" spans="1:27" ht="12.5" x14ac:dyDescent="0.25">
      <c r="A391" s="10" t="s">
        <v>53</v>
      </c>
      <c r="B391" s="10" t="s">
        <v>1205</v>
      </c>
      <c r="C391" s="10" t="s">
        <v>76</v>
      </c>
      <c r="D391" s="11">
        <v>2024</v>
      </c>
      <c r="E391" s="10" t="s">
        <v>124</v>
      </c>
      <c r="F391" s="10" t="s">
        <v>125</v>
      </c>
      <c r="G391" s="10" t="s">
        <v>84</v>
      </c>
      <c r="H391" s="12">
        <v>2250.3333333333298</v>
      </c>
      <c r="I391" s="11">
        <v>31</v>
      </c>
      <c r="J391" s="11">
        <v>24</v>
      </c>
      <c r="K391" s="11">
        <v>3447</v>
      </c>
      <c r="L391" s="11">
        <v>1.3775736927862501E-2</v>
      </c>
      <c r="M391" s="11">
        <v>1.3775736927862559</v>
      </c>
      <c r="N391" s="11">
        <v>0.77419354838709697</v>
      </c>
      <c r="O391" s="11">
        <v>1.5317730706562001</v>
      </c>
      <c r="P391" s="11">
        <v>0.164695945945946</v>
      </c>
      <c r="Q391" s="11">
        <v>0.72499999999999998</v>
      </c>
      <c r="R391" s="11">
        <v>0.12751677852349</v>
      </c>
      <c r="S391" s="10" t="s">
        <v>84</v>
      </c>
      <c r="T391" s="10" t="s">
        <v>84</v>
      </c>
      <c r="U391" s="10"/>
      <c r="V391" s="10"/>
      <c r="W391" s="10"/>
      <c r="X391" s="10"/>
      <c r="Y391" s="10"/>
      <c r="Z391" s="10"/>
      <c r="AA391" s="10"/>
    </row>
    <row r="392" spans="1:27" ht="12.5" x14ac:dyDescent="0.25">
      <c r="A392" s="10" t="s">
        <v>34</v>
      </c>
      <c r="B392" s="10" t="s">
        <v>1207</v>
      </c>
      <c r="C392" s="10" t="s">
        <v>76</v>
      </c>
      <c r="D392" s="11">
        <v>2024</v>
      </c>
      <c r="E392" s="10" t="s">
        <v>124</v>
      </c>
      <c r="F392" s="10" t="s">
        <v>83</v>
      </c>
      <c r="G392" s="10" t="s">
        <v>84</v>
      </c>
      <c r="H392" s="12">
        <v>8662</v>
      </c>
      <c r="I392" s="11">
        <v>115</v>
      </c>
      <c r="J392" s="11">
        <v>124</v>
      </c>
      <c r="K392" s="11">
        <v>19865</v>
      </c>
      <c r="L392" s="11">
        <v>1.3276379589009501E-2</v>
      </c>
      <c r="M392" s="11">
        <v>1.3276379589009466</v>
      </c>
      <c r="N392" s="11">
        <v>1.07826086956522</v>
      </c>
      <c r="O392" s="11">
        <v>2.2933502655275899</v>
      </c>
      <c r="P392" s="11">
        <v>0.16131756756756799</v>
      </c>
      <c r="Q392" s="11">
        <v>0.30612244897959201</v>
      </c>
      <c r="R392" s="11">
        <v>0.125279642058166</v>
      </c>
      <c r="S392" s="10" t="s">
        <v>84</v>
      </c>
      <c r="T392" s="10" t="s">
        <v>84</v>
      </c>
      <c r="U392" s="10"/>
      <c r="V392" s="10"/>
      <c r="W392" s="10"/>
      <c r="X392" s="10"/>
      <c r="Y392" s="10"/>
      <c r="Z392" s="10"/>
      <c r="AA392" s="10"/>
    </row>
    <row r="393" spans="1:27" ht="12.5" x14ac:dyDescent="0.25">
      <c r="A393" s="10" t="s">
        <v>53</v>
      </c>
      <c r="B393" s="10" t="s">
        <v>1210</v>
      </c>
      <c r="C393" s="10" t="s">
        <v>76</v>
      </c>
      <c r="D393" s="11">
        <v>2024</v>
      </c>
      <c r="E393" s="10" t="s">
        <v>124</v>
      </c>
      <c r="F393" s="10" t="s">
        <v>125</v>
      </c>
      <c r="G393" s="10" t="s">
        <v>84</v>
      </c>
      <c r="H393" s="12">
        <v>453.33333333333297</v>
      </c>
      <c r="I393" s="11">
        <v>6</v>
      </c>
      <c r="J393" s="11">
        <v>6</v>
      </c>
      <c r="K393" s="11">
        <v>150</v>
      </c>
      <c r="L393" s="11">
        <v>1.32352941176471E-2</v>
      </c>
      <c r="M393" s="11">
        <v>1.323529411764707</v>
      </c>
      <c r="N393" s="11">
        <v>1</v>
      </c>
      <c r="O393" s="11">
        <v>0.33088235294117602</v>
      </c>
      <c r="P393" s="11">
        <v>0.160472972972973</v>
      </c>
      <c r="Q393" s="11">
        <v>0.67500000000000004</v>
      </c>
      <c r="R393" s="11">
        <v>0.12304250559284099</v>
      </c>
      <c r="S393" s="10" t="s">
        <v>84</v>
      </c>
      <c r="T393" s="10" t="s">
        <v>84</v>
      </c>
      <c r="U393" s="10"/>
      <c r="V393" s="10"/>
      <c r="W393" s="10"/>
      <c r="X393" s="10"/>
      <c r="Y393" s="10"/>
      <c r="Z393" s="10"/>
      <c r="AA393" s="10"/>
    </row>
    <row r="394" spans="1:27" ht="12.5" x14ac:dyDescent="0.25">
      <c r="A394" s="10" t="s">
        <v>6</v>
      </c>
      <c r="B394" s="10" t="s">
        <v>1213</v>
      </c>
      <c r="C394" s="10" t="s">
        <v>76</v>
      </c>
      <c r="D394" s="11">
        <v>2024</v>
      </c>
      <c r="E394" s="10" t="s">
        <v>124</v>
      </c>
      <c r="F394" s="10" t="s">
        <v>125</v>
      </c>
      <c r="G394" s="10" t="s">
        <v>84</v>
      </c>
      <c r="H394" s="12">
        <v>685.41666666666697</v>
      </c>
      <c r="I394" s="11">
        <v>9</v>
      </c>
      <c r="J394" s="11">
        <v>7</v>
      </c>
      <c r="K394" s="11">
        <v>452</v>
      </c>
      <c r="L394" s="11">
        <v>1.3130699088145899E-2</v>
      </c>
      <c r="M394" s="11">
        <v>1.3130699088145892</v>
      </c>
      <c r="N394" s="11">
        <v>0.77777777777777801</v>
      </c>
      <c r="O394" s="11">
        <v>0.65945288753799403</v>
      </c>
      <c r="P394" s="11">
        <v>0.15709459459459499</v>
      </c>
      <c r="Q394" s="11">
        <v>0.29032258064516098</v>
      </c>
      <c r="R394" s="11">
        <v>0.12080536912751701</v>
      </c>
      <c r="S394" s="10" t="s">
        <v>84</v>
      </c>
      <c r="T394" s="10" t="s">
        <v>84</v>
      </c>
      <c r="U394" s="10"/>
      <c r="V394" s="10"/>
      <c r="W394" s="10"/>
      <c r="X394" s="10"/>
      <c r="Y394" s="10"/>
      <c r="Z394" s="10"/>
      <c r="AA394" s="10"/>
    </row>
    <row r="395" spans="1:27" ht="12.5" x14ac:dyDescent="0.25">
      <c r="A395" s="10" t="s">
        <v>26</v>
      </c>
      <c r="B395" s="10" t="s">
        <v>1215</v>
      </c>
      <c r="C395" s="10" t="s">
        <v>76</v>
      </c>
      <c r="D395" s="11">
        <v>2024</v>
      </c>
      <c r="E395" s="10" t="s">
        <v>124</v>
      </c>
      <c r="F395" s="10" t="s">
        <v>83</v>
      </c>
      <c r="G395" s="10" t="s">
        <v>84</v>
      </c>
      <c r="H395" s="12">
        <v>12929.333333333299</v>
      </c>
      <c r="I395" s="11">
        <v>169</v>
      </c>
      <c r="J395" s="11">
        <v>166</v>
      </c>
      <c r="K395" s="11">
        <v>3150</v>
      </c>
      <c r="L395" s="11">
        <v>1.30710529029597E-2</v>
      </c>
      <c r="M395" s="11">
        <v>1.3071052902959712</v>
      </c>
      <c r="N395" s="11">
        <v>0.98224852071005897</v>
      </c>
      <c r="O395" s="11">
        <v>0.24363205114983999</v>
      </c>
      <c r="P395" s="11">
        <v>0.15540540540540501</v>
      </c>
      <c r="Q395" s="11">
        <v>3.8461538461538498E-2</v>
      </c>
      <c r="R395" s="11">
        <v>0.11856823266219201</v>
      </c>
      <c r="S395" s="10" t="s">
        <v>84</v>
      </c>
      <c r="T395" s="10" t="s">
        <v>84</v>
      </c>
      <c r="U395" s="10"/>
      <c r="V395" s="10"/>
      <c r="W395" s="10"/>
      <c r="X395" s="10"/>
      <c r="Y395" s="10"/>
      <c r="Z395" s="10"/>
      <c r="AA395" s="10"/>
    </row>
    <row r="396" spans="1:27" ht="12.5" x14ac:dyDescent="0.25">
      <c r="A396" s="10" t="s">
        <v>53</v>
      </c>
      <c r="B396" s="10" t="s">
        <v>1217</v>
      </c>
      <c r="C396" s="10" t="s">
        <v>76</v>
      </c>
      <c r="D396" s="11">
        <v>2024</v>
      </c>
      <c r="E396" s="10" t="s">
        <v>124</v>
      </c>
      <c r="F396" s="10" t="s">
        <v>125</v>
      </c>
      <c r="G396" s="10" t="s">
        <v>84</v>
      </c>
      <c r="H396" s="12">
        <v>690.16666666666697</v>
      </c>
      <c r="I396" s="11">
        <v>9</v>
      </c>
      <c r="J396" s="11">
        <v>8</v>
      </c>
      <c r="K396" s="11">
        <v>773</v>
      </c>
      <c r="L396" s="11">
        <v>1.30403284230862E-2</v>
      </c>
      <c r="M396" s="11">
        <v>1.3040328423086205</v>
      </c>
      <c r="N396" s="11">
        <v>0.88888888888888895</v>
      </c>
      <c r="O396" s="11">
        <v>1.12001931900507</v>
      </c>
      <c r="P396" s="11">
        <v>0.15456081081081099</v>
      </c>
      <c r="Q396" s="11">
        <v>0.65</v>
      </c>
      <c r="R396" s="11">
        <v>0.116331096196868</v>
      </c>
      <c r="S396" s="10" t="s">
        <v>84</v>
      </c>
      <c r="T396" s="10" t="s">
        <v>84</v>
      </c>
      <c r="U396" s="10"/>
      <c r="V396" s="10"/>
      <c r="W396" s="10"/>
      <c r="X396" s="10"/>
      <c r="Y396" s="10"/>
      <c r="Z396" s="10"/>
      <c r="AA396" s="10"/>
    </row>
    <row r="397" spans="1:27" ht="12.5" x14ac:dyDescent="0.25">
      <c r="A397" s="10" t="s">
        <v>86</v>
      </c>
      <c r="B397" s="10" t="s">
        <v>1219</v>
      </c>
      <c r="C397" s="10" t="s">
        <v>76</v>
      </c>
      <c r="D397" s="11">
        <v>2024</v>
      </c>
      <c r="E397" s="10" t="s">
        <v>124</v>
      </c>
      <c r="F397" s="10" t="s">
        <v>83</v>
      </c>
      <c r="G397" s="10" t="s">
        <v>84</v>
      </c>
      <c r="H397" s="12">
        <v>30684.416666666701</v>
      </c>
      <c r="I397" s="11">
        <v>397</v>
      </c>
      <c r="J397" s="11">
        <v>380</v>
      </c>
      <c r="K397" s="11">
        <v>15061</v>
      </c>
      <c r="L397" s="11">
        <v>1.2938163508621399E-2</v>
      </c>
      <c r="M397" s="11">
        <v>1.2938163508621354</v>
      </c>
      <c r="N397" s="11">
        <v>0.957178841309824</v>
      </c>
      <c r="O397" s="11">
        <v>0.49083546751472701</v>
      </c>
      <c r="P397" s="11">
        <v>0.15287162162162199</v>
      </c>
      <c r="Q397" s="11">
        <v>2.1739130434782601E-2</v>
      </c>
      <c r="R397" s="11">
        <v>0.114093959731544</v>
      </c>
      <c r="S397" s="10" t="s">
        <v>84</v>
      </c>
      <c r="T397" s="10" t="s">
        <v>84</v>
      </c>
      <c r="U397" s="10"/>
      <c r="V397" s="10"/>
      <c r="W397" s="10"/>
      <c r="X397" s="10"/>
      <c r="Y397" s="10"/>
      <c r="Z397" s="10"/>
      <c r="AA397" s="10"/>
    </row>
    <row r="398" spans="1:27" ht="12.5" x14ac:dyDescent="0.25">
      <c r="A398" s="10" t="s">
        <v>29</v>
      </c>
      <c r="B398" s="10" t="s">
        <v>1220</v>
      </c>
      <c r="C398" s="10" t="s">
        <v>76</v>
      </c>
      <c r="D398" s="11">
        <v>2024</v>
      </c>
      <c r="E398" s="10" t="s">
        <v>124</v>
      </c>
      <c r="F398" s="10" t="s">
        <v>83</v>
      </c>
      <c r="G398" s="10" t="s">
        <v>84</v>
      </c>
      <c r="H398" s="12">
        <v>15368.416666666701</v>
      </c>
      <c r="I398" s="11">
        <v>198</v>
      </c>
      <c r="J398" s="11">
        <v>187</v>
      </c>
      <c r="K398" s="11">
        <v>567</v>
      </c>
      <c r="L398" s="11">
        <v>1.2883565320652201E-2</v>
      </c>
      <c r="M398" s="11">
        <v>1.2883565320652175</v>
      </c>
      <c r="N398" s="11">
        <v>0.94444444444444398</v>
      </c>
      <c r="O398" s="11">
        <v>3.6893846145503999E-2</v>
      </c>
      <c r="P398" s="11">
        <v>0.152027027027027</v>
      </c>
      <c r="Q398" s="11">
        <v>6.1224489795918401E-2</v>
      </c>
      <c r="R398" s="11">
        <v>0.111856823266219</v>
      </c>
      <c r="S398" s="10" t="s">
        <v>84</v>
      </c>
      <c r="T398" s="10" t="s">
        <v>84</v>
      </c>
      <c r="U398" s="10"/>
      <c r="V398" s="10"/>
      <c r="W398" s="10"/>
      <c r="X398" s="10"/>
      <c r="Y398" s="10"/>
      <c r="Z398" s="10"/>
      <c r="AA398" s="10"/>
    </row>
    <row r="399" spans="1:27" ht="12.5" x14ac:dyDescent="0.25">
      <c r="A399" s="10" t="s">
        <v>53</v>
      </c>
      <c r="B399" s="10" t="s">
        <v>1222</v>
      </c>
      <c r="C399" s="10" t="s">
        <v>76</v>
      </c>
      <c r="D399" s="11">
        <v>2024</v>
      </c>
      <c r="E399" s="10" t="s">
        <v>124</v>
      </c>
      <c r="F399" s="10" t="s">
        <v>125</v>
      </c>
      <c r="G399" s="10" t="s">
        <v>84</v>
      </c>
      <c r="H399" s="12">
        <v>1180.5833333333301</v>
      </c>
      <c r="I399" s="11">
        <v>15</v>
      </c>
      <c r="J399" s="11">
        <v>15</v>
      </c>
      <c r="K399" s="11">
        <v>85</v>
      </c>
      <c r="L399" s="11">
        <v>1.2705583398037699E-2</v>
      </c>
      <c r="M399" s="11">
        <v>1.270558339803773</v>
      </c>
      <c r="N399" s="11">
        <v>1</v>
      </c>
      <c r="O399" s="11">
        <v>7.1998305922213596E-2</v>
      </c>
      <c r="P399" s="11">
        <v>0.147804054054054</v>
      </c>
      <c r="Q399" s="11">
        <v>0.625</v>
      </c>
      <c r="R399" s="11">
        <v>0.109619686800895</v>
      </c>
      <c r="S399" s="10" t="s">
        <v>84</v>
      </c>
      <c r="T399" s="10" t="s">
        <v>84</v>
      </c>
      <c r="U399" s="10"/>
      <c r="V399" s="10"/>
      <c r="W399" s="10"/>
      <c r="X399" s="10"/>
      <c r="Y399" s="10"/>
      <c r="Z399" s="10"/>
      <c r="AA399" s="10"/>
    </row>
    <row r="400" spans="1:27" ht="12.5" x14ac:dyDescent="0.25">
      <c r="A400" s="10" t="s">
        <v>82</v>
      </c>
      <c r="B400" s="10" t="s">
        <v>1225</v>
      </c>
      <c r="C400" s="10" t="s">
        <v>76</v>
      </c>
      <c r="D400" s="11">
        <v>2024</v>
      </c>
      <c r="E400" s="10" t="s">
        <v>124</v>
      </c>
      <c r="F400" s="10" t="s">
        <v>83</v>
      </c>
      <c r="G400" s="10" t="s">
        <v>84</v>
      </c>
      <c r="H400" s="12">
        <v>1899.4166666666699</v>
      </c>
      <c r="I400" s="11">
        <v>24</v>
      </c>
      <c r="J400" s="11">
        <v>23</v>
      </c>
      <c r="K400" s="11">
        <v>2642</v>
      </c>
      <c r="L400" s="11">
        <v>1.26354582547273E-2</v>
      </c>
      <c r="M400" s="11">
        <v>1.2635458254727308</v>
      </c>
      <c r="N400" s="11">
        <v>0.95833333333333304</v>
      </c>
      <c r="O400" s="11">
        <v>1.3909533628745701</v>
      </c>
      <c r="P400" s="11">
        <v>0.146114864864865</v>
      </c>
      <c r="Q400" s="11">
        <v>0.29310344827586199</v>
      </c>
      <c r="R400" s="11">
        <v>0.10738255033557</v>
      </c>
      <c r="S400" s="10" t="s">
        <v>84</v>
      </c>
      <c r="T400" s="10" t="s">
        <v>84</v>
      </c>
      <c r="U400" s="10"/>
      <c r="V400" s="10"/>
      <c r="W400" s="10"/>
      <c r="X400" s="10"/>
      <c r="Y400" s="10"/>
      <c r="Z400" s="10"/>
      <c r="AA400" s="10"/>
    </row>
    <row r="401" spans="1:27" ht="12.5" x14ac:dyDescent="0.25">
      <c r="A401" s="10" t="s">
        <v>49</v>
      </c>
      <c r="B401" s="10" t="s">
        <v>1227</v>
      </c>
      <c r="C401" s="10" t="s">
        <v>76</v>
      </c>
      <c r="D401" s="11">
        <v>2024</v>
      </c>
      <c r="E401" s="10" t="s">
        <v>124</v>
      </c>
      <c r="F401" s="10" t="s">
        <v>83</v>
      </c>
      <c r="G401" s="10" t="s">
        <v>84</v>
      </c>
      <c r="H401" s="12">
        <v>5989.3333333333303</v>
      </c>
      <c r="I401" s="11">
        <v>74</v>
      </c>
      <c r="J401" s="11">
        <v>73</v>
      </c>
      <c r="K401" s="11">
        <v>2848</v>
      </c>
      <c r="L401" s="11">
        <v>1.23552983081033E-2</v>
      </c>
      <c r="M401" s="11">
        <v>1.23552983081033</v>
      </c>
      <c r="N401" s="11">
        <v>0.98648648648648696</v>
      </c>
      <c r="O401" s="11">
        <v>0.47551202137132698</v>
      </c>
      <c r="P401" s="11">
        <v>0.14020270270270299</v>
      </c>
      <c r="Q401" s="11">
        <v>0.19230769230769201</v>
      </c>
      <c r="R401" s="11">
        <v>0.10514541387024599</v>
      </c>
      <c r="S401" s="10" t="s">
        <v>84</v>
      </c>
      <c r="T401" s="10" t="s">
        <v>84</v>
      </c>
      <c r="U401" s="10"/>
      <c r="V401" s="10"/>
      <c r="W401" s="10"/>
      <c r="X401" s="10"/>
      <c r="Y401" s="10"/>
      <c r="Z401" s="10"/>
      <c r="AA401" s="10"/>
    </row>
    <row r="402" spans="1:27" ht="12.5" x14ac:dyDescent="0.25">
      <c r="A402" s="10" t="s">
        <v>103</v>
      </c>
      <c r="B402" s="10" t="s">
        <v>1230</v>
      </c>
      <c r="C402" s="10" t="s">
        <v>76</v>
      </c>
      <c r="D402" s="11">
        <v>2024</v>
      </c>
      <c r="E402" s="10" t="s">
        <v>124</v>
      </c>
      <c r="F402" s="10" t="s">
        <v>125</v>
      </c>
      <c r="G402" s="10" t="s">
        <v>84</v>
      </c>
      <c r="H402" s="12">
        <v>593.08333333333303</v>
      </c>
      <c r="I402" s="11">
        <v>7</v>
      </c>
      <c r="J402" s="11">
        <v>5</v>
      </c>
      <c r="K402" s="11">
        <v>328</v>
      </c>
      <c r="L402" s="11">
        <v>1.18027258676409E-2</v>
      </c>
      <c r="M402" s="11">
        <v>1.1802725867640866</v>
      </c>
      <c r="N402" s="11">
        <v>0.71428571428571397</v>
      </c>
      <c r="O402" s="11">
        <v>0.55304201208374304</v>
      </c>
      <c r="P402" s="11">
        <v>0.135135135135135</v>
      </c>
      <c r="Q402" s="11">
        <v>8.6956521739130405E-2</v>
      </c>
      <c r="R402" s="11">
        <v>0.10290827740492201</v>
      </c>
      <c r="S402" s="10" t="s">
        <v>84</v>
      </c>
      <c r="T402" s="10" t="s">
        <v>84</v>
      </c>
      <c r="U402" s="10"/>
      <c r="V402" s="10"/>
      <c r="W402" s="10"/>
      <c r="X402" s="10"/>
      <c r="Y402" s="10"/>
      <c r="Z402" s="10"/>
      <c r="AA402" s="10"/>
    </row>
    <row r="403" spans="1:27" ht="12.5" x14ac:dyDescent="0.25">
      <c r="A403" s="10" t="s">
        <v>53</v>
      </c>
      <c r="B403" s="10" t="s">
        <v>1232</v>
      </c>
      <c r="C403" s="10" t="s">
        <v>76</v>
      </c>
      <c r="D403" s="11">
        <v>2024</v>
      </c>
      <c r="E403" s="10" t="s">
        <v>124</v>
      </c>
      <c r="F403" s="10" t="s">
        <v>83</v>
      </c>
      <c r="G403" s="10" t="s">
        <v>84</v>
      </c>
      <c r="H403" s="12">
        <v>2736.9166666666702</v>
      </c>
      <c r="I403" s="11">
        <v>31</v>
      </c>
      <c r="J403" s="11">
        <v>33</v>
      </c>
      <c r="K403" s="11">
        <v>2334</v>
      </c>
      <c r="L403" s="11">
        <v>1.13266144992845E-2</v>
      </c>
      <c r="M403" s="11">
        <v>1.132661449928446</v>
      </c>
      <c r="N403" s="11">
        <v>1.06451612903226</v>
      </c>
      <c r="O403" s="11">
        <v>0.85278445939774095</v>
      </c>
      <c r="P403" s="11">
        <v>0.130912162162162</v>
      </c>
      <c r="Q403" s="11">
        <v>0.57499999999999996</v>
      </c>
      <c r="R403" s="11">
        <v>0.100671140939597</v>
      </c>
      <c r="S403" s="10" t="s">
        <v>84</v>
      </c>
      <c r="T403" s="10" t="s">
        <v>84</v>
      </c>
      <c r="U403" s="10"/>
      <c r="V403" s="10"/>
      <c r="W403" s="10"/>
      <c r="X403" s="10"/>
      <c r="Y403" s="10"/>
      <c r="Z403" s="10"/>
      <c r="AA403" s="10"/>
    </row>
    <row r="404" spans="1:27" ht="12.5" x14ac:dyDescent="0.25">
      <c r="A404" s="10" t="s">
        <v>82</v>
      </c>
      <c r="B404" s="10" t="s">
        <v>1235</v>
      </c>
      <c r="C404" s="10" t="s">
        <v>76</v>
      </c>
      <c r="D404" s="11">
        <v>2024</v>
      </c>
      <c r="E404" s="10" t="s">
        <v>124</v>
      </c>
      <c r="F404" s="10" t="s">
        <v>83</v>
      </c>
      <c r="G404" s="10" t="s">
        <v>84</v>
      </c>
      <c r="H404" s="12">
        <v>4976.9166666666697</v>
      </c>
      <c r="I404" s="11">
        <v>56</v>
      </c>
      <c r="J404" s="11">
        <v>56</v>
      </c>
      <c r="K404" s="11">
        <v>961</v>
      </c>
      <c r="L404" s="11">
        <v>1.1251946486278299E-2</v>
      </c>
      <c r="M404" s="11">
        <v>1.1251946486278313</v>
      </c>
      <c r="N404" s="11">
        <v>1</v>
      </c>
      <c r="O404" s="11">
        <v>0.19309143880916901</v>
      </c>
      <c r="P404" s="11">
        <v>0.13006756756756799</v>
      </c>
      <c r="Q404" s="11">
        <v>0.27586206896551702</v>
      </c>
      <c r="R404" s="11">
        <v>9.8434004474272904E-2</v>
      </c>
      <c r="S404" s="10" t="s">
        <v>84</v>
      </c>
      <c r="T404" s="10" t="s">
        <v>84</v>
      </c>
      <c r="U404" s="10"/>
      <c r="V404" s="10"/>
      <c r="W404" s="10"/>
      <c r="X404" s="10"/>
      <c r="Y404" s="10"/>
      <c r="Z404" s="10"/>
      <c r="AA404" s="10"/>
    </row>
    <row r="405" spans="1:27" ht="12.5" x14ac:dyDescent="0.25">
      <c r="A405" s="10" t="s">
        <v>110</v>
      </c>
      <c r="B405" s="10" t="s">
        <v>1237</v>
      </c>
      <c r="C405" s="10" t="s">
        <v>76</v>
      </c>
      <c r="D405" s="11">
        <v>2024</v>
      </c>
      <c r="E405" s="10" t="s">
        <v>124</v>
      </c>
      <c r="F405" s="10" t="s">
        <v>83</v>
      </c>
      <c r="G405" s="10" t="s">
        <v>84</v>
      </c>
      <c r="H405" s="12">
        <v>11047.583333333299</v>
      </c>
      <c r="I405" s="11">
        <v>124</v>
      </c>
      <c r="J405" s="11">
        <v>62</v>
      </c>
      <c r="K405" s="11">
        <v>20633</v>
      </c>
      <c r="L405" s="11">
        <v>1.12241742160804E-2</v>
      </c>
      <c r="M405" s="11">
        <v>1.1224174216080474</v>
      </c>
      <c r="N405" s="11">
        <v>0.5</v>
      </c>
      <c r="O405" s="11">
        <v>1.8676482790353801</v>
      </c>
      <c r="P405" s="11">
        <v>0.129222972972973</v>
      </c>
      <c r="Q405" s="11">
        <v>0.21212121212121199</v>
      </c>
      <c r="R405" s="11">
        <v>9.61968680089485E-2</v>
      </c>
      <c r="S405" s="10" t="s">
        <v>84</v>
      </c>
      <c r="T405" s="10" t="s">
        <v>84</v>
      </c>
      <c r="U405" s="10"/>
      <c r="V405" s="10"/>
      <c r="W405" s="10"/>
      <c r="X405" s="10"/>
      <c r="Y405" s="10"/>
      <c r="Z405" s="10"/>
      <c r="AA405" s="10"/>
    </row>
    <row r="406" spans="1:27" ht="12.5" x14ac:dyDescent="0.25">
      <c r="A406" s="10" t="s">
        <v>62</v>
      </c>
      <c r="B406" s="10" t="s">
        <v>1238</v>
      </c>
      <c r="C406" s="10" t="s">
        <v>76</v>
      </c>
      <c r="D406" s="11">
        <v>2024</v>
      </c>
      <c r="E406" s="10" t="s">
        <v>124</v>
      </c>
      <c r="F406" s="10" t="s">
        <v>83</v>
      </c>
      <c r="G406" s="10" t="s">
        <v>84</v>
      </c>
      <c r="H406" s="12">
        <v>13812.5</v>
      </c>
      <c r="I406" s="11">
        <v>153</v>
      </c>
      <c r="J406" s="11">
        <v>38</v>
      </c>
      <c r="K406" s="11">
        <v>14248</v>
      </c>
      <c r="L406" s="11">
        <v>1.1076923076923101E-2</v>
      </c>
      <c r="M406" s="11">
        <v>1.1076923076923075</v>
      </c>
      <c r="N406" s="11">
        <v>0.24836601307189499</v>
      </c>
      <c r="O406" s="11">
        <v>1.03152941176471</v>
      </c>
      <c r="P406" s="11">
        <v>0.12753378378378399</v>
      </c>
      <c r="Q406" s="11">
        <v>0.11111111111111099</v>
      </c>
      <c r="R406" s="11">
        <v>9.3959731543624206E-2</v>
      </c>
      <c r="S406" s="10" t="s">
        <v>84</v>
      </c>
      <c r="T406" s="10" t="s">
        <v>84</v>
      </c>
      <c r="U406" s="10"/>
      <c r="V406" s="10"/>
      <c r="W406" s="10"/>
      <c r="X406" s="10"/>
      <c r="Y406" s="10"/>
      <c r="Z406" s="10"/>
      <c r="AA406" s="10"/>
    </row>
    <row r="407" spans="1:27" ht="12.5" x14ac:dyDescent="0.25">
      <c r="A407" s="10" t="s">
        <v>34</v>
      </c>
      <c r="B407" s="10" t="s">
        <v>1239</v>
      </c>
      <c r="C407" s="10" t="s">
        <v>76</v>
      </c>
      <c r="D407" s="11">
        <v>2024</v>
      </c>
      <c r="E407" s="10" t="s">
        <v>124</v>
      </c>
      <c r="F407" s="10" t="s">
        <v>125</v>
      </c>
      <c r="G407" s="10" t="s">
        <v>84</v>
      </c>
      <c r="H407" s="12">
        <v>196</v>
      </c>
      <c r="I407" s="11">
        <v>2</v>
      </c>
      <c r="J407" s="11">
        <v>2</v>
      </c>
      <c r="K407" s="11">
        <v>54</v>
      </c>
      <c r="L407" s="11">
        <v>1.02040816326531E-2</v>
      </c>
      <c r="M407" s="11">
        <v>1.0204081632653061</v>
      </c>
      <c r="N407" s="11">
        <v>1</v>
      </c>
      <c r="O407" s="11">
        <v>0.27551020408163301</v>
      </c>
      <c r="P407" s="11">
        <v>0.11824324324324299</v>
      </c>
      <c r="Q407" s="11">
        <v>0.24489795918367299</v>
      </c>
      <c r="R407" s="11">
        <v>9.1722595078299801E-2</v>
      </c>
      <c r="S407" s="10" t="s">
        <v>84</v>
      </c>
      <c r="T407" s="10" t="s">
        <v>84</v>
      </c>
      <c r="U407" s="10"/>
      <c r="V407" s="10"/>
      <c r="W407" s="10"/>
      <c r="X407" s="10"/>
      <c r="Y407" s="10"/>
      <c r="Z407" s="10"/>
      <c r="AA407" s="10"/>
    </row>
    <row r="408" spans="1:27" ht="12.5" x14ac:dyDescent="0.25">
      <c r="A408" s="10" t="s">
        <v>92</v>
      </c>
      <c r="B408" s="10" t="s">
        <v>1242</v>
      </c>
      <c r="C408" s="10" t="s">
        <v>76</v>
      </c>
      <c r="D408" s="11">
        <v>2024</v>
      </c>
      <c r="E408" s="10" t="s">
        <v>124</v>
      </c>
      <c r="F408" s="10" t="s">
        <v>83</v>
      </c>
      <c r="G408" s="10" t="s">
        <v>84</v>
      </c>
      <c r="H408" s="12">
        <v>15193</v>
      </c>
      <c r="I408" s="11">
        <v>150</v>
      </c>
      <c r="J408" s="11">
        <v>128</v>
      </c>
      <c r="K408" s="11">
        <v>2458</v>
      </c>
      <c r="L408" s="11">
        <v>9.8729678141249305E-3</v>
      </c>
      <c r="M408" s="11">
        <v>0.98729678141249255</v>
      </c>
      <c r="N408" s="11">
        <v>0.85333333333333306</v>
      </c>
      <c r="O408" s="11">
        <v>0.16178503258079399</v>
      </c>
      <c r="P408" s="11">
        <v>0.115709459459459</v>
      </c>
      <c r="Q408" s="11">
        <v>0.38888888888888901</v>
      </c>
      <c r="R408" s="11">
        <v>8.9485458612975396E-2</v>
      </c>
      <c r="S408" s="10" t="s">
        <v>84</v>
      </c>
      <c r="T408" s="10" t="s">
        <v>84</v>
      </c>
      <c r="U408" s="10"/>
      <c r="V408" s="10"/>
      <c r="W408" s="10"/>
      <c r="X408" s="10"/>
      <c r="Y408" s="10"/>
      <c r="Z408" s="10"/>
      <c r="AA408" s="10"/>
    </row>
    <row r="409" spans="1:27" ht="12.5" x14ac:dyDescent="0.25">
      <c r="A409" s="10" t="s">
        <v>92</v>
      </c>
      <c r="B409" s="10" t="s">
        <v>1244</v>
      </c>
      <c r="C409" s="10" t="s">
        <v>76</v>
      </c>
      <c r="D409" s="11">
        <v>2024</v>
      </c>
      <c r="E409" s="10" t="s">
        <v>124</v>
      </c>
      <c r="F409" s="10" t="s">
        <v>83</v>
      </c>
      <c r="G409" s="10" t="s">
        <v>84</v>
      </c>
      <c r="H409" s="12">
        <v>10539</v>
      </c>
      <c r="I409" s="11">
        <v>103</v>
      </c>
      <c r="J409" s="11">
        <v>103</v>
      </c>
      <c r="K409" s="11">
        <v>974</v>
      </c>
      <c r="L409" s="11">
        <v>9.7732232659645101E-3</v>
      </c>
      <c r="M409" s="11">
        <v>0.97732232659645135</v>
      </c>
      <c r="N409" s="11">
        <v>1</v>
      </c>
      <c r="O409" s="11">
        <v>9.2418635544169306E-2</v>
      </c>
      <c r="P409" s="11">
        <v>0.114864864864865</v>
      </c>
      <c r="Q409" s="11">
        <v>0.33333333333333298</v>
      </c>
      <c r="R409" s="11">
        <v>8.7248322147651006E-2</v>
      </c>
      <c r="S409" s="10" t="s">
        <v>84</v>
      </c>
      <c r="T409" s="10" t="s">
        <v>84</v>
      </c>
      <c r="U409" s="10"/>
      <c r="V409" s="10"/>
      <c r="W409" s="10"/>
      <c r="X409" s="10"/>
      <c r="Y409" s="10"/>
      <c r="Z409" s="10"/>
      <c r="AA409" s="10"/>
    </row>
    <row r="410" spans="1:27" ht="12.5" x14ac:dyDescent="0.25">
      <c r="A410" s="10" t="s">
        <v>82</v>
      </c>
      <c r="B410" s="10" t="s">
        <v>1246</v>
      </c>
      <c r="C410" s="10" t="s">
        <v>76</v>
      </c>
      <c r="D410" s="11">
        <v>2024</v>
      </c>
      <c r="E410" s="10" t="s">
        <v>124</v>
      </c>
      <c r="F410" s="10" t="s">
        <v>83</v>
      </c>
      <c r="G410" s="10" t="s">
        <v>84</v>
      </c>
      <c r="H410" s="12">
        <v>2254</v>
      </c>
      <c r="I410" s="11">
        <v>22</v>
      </c>
      <c r="J410" s="11">
        <v>22</v>
      </c>
      <c r="K410" s="11">
        <v>309</v>
      </c>
      <c r="L410" s="11">
        <v>9.7604259094942296E-3</v>
      </c>
      <c r="M410" s="11">
        <v>0.97604259094942325</v>
      </c>
      <c r="N410" s="11">
        <v>1</v>
      </c>
      <c r="O410" s="11">
        <v>0.13708961845607801</v>
      </c>
      <c r="P410" s="11">
        <v>0.113175675675676</v>
      </c>
      <c r="Q410" s="11">
        <v>0.24137931034482801</v>
      </c>
      <c r="R410" s="11">
        <v>8.5011185682326601E-2</v>
      </c>
      <c r="S410" s="10" t="s">
        <v>84</v>
      </c>
      <c r="T410" s="10" t="s">
        <v>84</v>
      </c>
      <c r="U410" s="10"/>
      <c r="V410" s="10"/>
      <c r="W410" s="10"/>
      <c r="X410" s="10"/>
      <c r="Y410" s="10"/>
      <c r="Z410" s="10"/>
      <c r="AA410" s="10"/>
    </row>
    <row r="411" spans="1:27" ht="12.5" x14ac:dyDescent="0.25">
      <c r="A411" s="10" t="s">
        <v>6</v>
      </c>
      <c r="B411" s="10" t="s">
        <v>1248</v>
      </c>
      <c r="C411" s="10" t="s">
        <v>76</v>
      </c>
      <c r="D411" s="11">
        <v>2024</v>
      </c>
      <c r="E411" s="10" t="s">
        <v>124</v>
      </c>
      <c r="F411" s="10" t="s">
        <v>125</v>
      </c>
      <c r="G411" s="10" t="s">
        <v>84</v>
      </c>
      <c r="H411" s="12">
        <v>1043.4166666666699</v>
      </c>
      <c r="I411" s="11">
        <v>10</v>
      </c>
      <c r="J411" s="11">
        <v>7</v>
      </c>
      <c r="K411" s="11">
        <v>45</v>
      </c>
      <c r="L411" s="11">
        <v>9.5838990495966808E-3</v>
      </c>
      <c r="M411" s="11">
        <v>0.95838990495966481</v>
      </c>
      <c r="N411" s="11">
        <v>0.7</v>
      </c>
      <c r="O411" s="11">
        <v>4.3127545723185001E-2</v>
      </c>
      <c r="P411" s="11">
        <v>0.112331081081081</v>
      </c>
      <c r="Q411" s="11">
        <v>0.16129032258064499</v>
      </c>
      <c r="R411" s="11">
        <v>8.2774049217002196E-2</v>
      </c>
      <c r="S411" s="10" t="s">
        <v>84</v>
      </c>
      <c r="T411" s="10" t="s">
        <v>84</v>
      </c>
      <c r="U411" s="10"/>
      <c r="V411" s="10"/>
      <c r="W411" s="10"/>
      <c r="X411" s="10"/>
      <c r="Y411" s="10"/>
      <c r="Z411" s="10"/>
      <c r="AA411" s="10"/>
    </row>
    <row r="412" spans="1:27" ht="12.5" x14ac:dyDescent="0.25">
      <c r="A412" s="10" t="s">
        <v>53</v>
      </c>
      <c r="B412" s="10" t="s">
        <v>1250</v>
      </c>
      <c r="C412" s="10" t="s">
        <v>76</v>
      </c>
      <c r="D412" s="11">
        <v>2024</v>
      </c>
      <c r="E412" s="10" t="s">
        <v>124</v>
      </c>
      <c r="F412" s="10" t="s">
        <v>125</v>
      </c>
      <c r="G412" s="10" t="s">
        <v>84</v>
      </c>
      <c r="H412" s="12">
        <v>420</v>
      </c>
      <c r="I412" s="11">
        <v>4</v>
      </c>
      <c r="J412" s="11">
        <v>4</v>
      </c>
      <c r="K412" s="11">
        <v>47</v>
      </c>
      <c r="L412" s="11">
        <v>9.5238095238095195E-3</v>
      </c>
      <c r="M412" s="11">
        <v>0.95238095238095244</v>
      </c>
      <c r="N412" s="11">
        <v>1</v>
      </c>
      <c r="O412" s="11">
        <v>0.11190476190476201</v>
      </c>
      <c r="P412" s="11">
        <v>0.110641891891892</v>
      </c>
      <c r="Q412" s="11">
        <v>0.52500000000000002</v>
      </c>
      <c r="R412" s="11">
        <v>8.0536912751677805E-2</v>
      </c>
      <c r="S412" s="10" t="s">
        <v>84</v>
      </c>
      <c r="T412" s="10" t="s">
        <v>84</v>
      </c>
      <c r="U412" s="10"/>
      <c r="V412" s="10"/>
      <c r="W412" s="10"/>
      <c r="X412" s="10"/>
      <c r="Y412" s="10"/>
      <c r="Z412" s="10"/>
      <c r="AA412" s="10"/>
    </row>
    <row r="413" spans="1:27" ht="12.5" x14ac:dyDescent="0.25">
      <c r="A413" s="10" t="s">
        <v>53</v>
      </c>
      <c r="B413" s="10" t="s">
        <v>1252</v>
      </c>
      <c r="C413" s="10" t="s">
        <v>76</v>
      </c>
      <c r="D413" s="11">
        <v>2024</v>
      </c>
      <c r="E413" s="10" t="s">
        <v>124</v>
      </c>
      <c r="F413" s="10" t="s">
        <v>125</v>
      </c>
      <c r="G413" s="10" t="s">
        <v>84</v>
      </c>
      <c r="H413" s="12">
        <v>872.5</v>
      </c>
      <c r="I413" s="11">
        <v>8</v>
      </c>
      <c r="J413" s="11">
        <v>8</v>
      </c>
      <c r="K413" s="11">
        <v>266</v>
      </c>
      <c r="L413" s="11">
        <v>9.1690544412607392E-3</v>
      </c>
      <c r="M413" s="11">
        <v>0.91690544412607444</v>
      </c>
      <c r="N413" s="11">
        <v>1</v>
      </c>
      <c r="O413" s="11">
        <v>0.30487106017192001</v>
      </c>
      <c r="P413" s="11">
        <v>0.107263513513514</v>
      </c>
      <c r="Q413" s="11">
        <v>0.5</v>
      </c>
      <c r="R413" s="11">
        <v>7.8299776286353498E-2</v>
      </c>
      <c r="S413" s="10" t="s">
        <v>84</v>
      </c>
      <c r="T413" s="10" t="s">
        <v>84</v>
      </c>
      <c r="U413" s="10"/>
      <c r="V413" s="10"/>
      <c r="W413" s="10"/>
      <c r="X413" s="10"/>
      <c r="Y413" s="10"/>
      <c r="Z413" s="10"/>
      <c r="AA413" s="10"/>
    </row>
    <row r="414" spans="1:27" ht="12.5" x14ac:dyDescent="0.25">
      <c r="A414" s="10" t="s">
        <v>82</v>
      </c>
      <c r="B414" s="10" t="s">
        <v>1255</v>
      </c>
      <c r="C414" s="10" t="s">
        <v>76</v>
      </c>
      <c r="D414" s="11">
        <v>2024</v>
      </c>
      <c r="E414" s="10" t="s">
        <v>124</v>
      </c>
      <c r="F414" s="10" t="s">
        <v>83</v>
      </c>
      <c r="G414" s="10" t="s">
        <v>84</v>
      </c>
      <c r="H414" s="12">
        <v>1101</v>
      </c>
      <c r="I414" s="11">
        <v>10</v>
      </c>
      <c r="J414" s="11">
        <v>9</v>
      </c>
      <c r="K414" s="11">
        <v>554</v>
      </c>
      <c r="L414" s="11">
        <v>9.0826521344232504E-3</v>
      </c>
      <c r="M414" s="11">
        <v>0.90826521344232525</v>
      </c>
      <c r="N414" s="11">
        <v>0.9</v>
      </c>
      <c r="O414" s="11">
        <v>0.50317892824704802</v>
      </c>
      <c r="P414" s="11">
        <v>0.105574324324324</v>
      </c>
      <c r="Q414" s="11">
        <v>0.22413793103448301</v>
      </c>
      <c r="R414" s="11">
        <v>7.6062639821029093E-2</v>
      </c>
      <c r="S414" s="10" t="s">
        <v>84</v>
      </c>
      <c r="T414" s="10" t="s">
        <v>84</v>
      </c>
      <c r="U414" s="10"/>
      <c r="V414" s="10"/>
      <c r="W414" s="10"/>
      <c r="X414" s="10"/>
      <c r="Y414" s="10"/>
      <c r="Z414" s="10"/>
      <c r="AA414" s="10"/>
    </row>
    <row r="415" spans="1:27" ht="12.5" x14ac:dyDescent="0.25">
      <c r="A415" s="10" t="s">
        <v>53</v>
      </c>
      <c r="B415" s="10" t="s">
        <v>1257</v>
      </c>
      <c r="C415" s="10" t="s">
        <v>76</v>
      </c>
      <c r="D415" s="11">
        <v>2024</v>
      </c>
      <c r="E415" s="10" t="s">
        <v>124</v>
      </c>
      <c r="F415" s="10" t="s">
        <v>125</v>
      </c>
      <c r="G415" s="10" t="s">
        <v>84</v>
      </c>
      <c r="H415" s="12">
        <v>582.91666666666697</v>
      </c>
      <c r="I415" s="11">
        <v>5</v>
      </c>
      <c r="J415" s="11">
        <v>5</v>
      </c>
      <c r="K415" s="11">
        <v>2985</v>
      </c>
      <c r="L415" s="11">
        <v>8.5775553967119399E-3</v>
      </c>
      <c r="M415" s="11">
        <v>0.85775553967119333</v>
      </c>
      <c r="N415" s="11">
        <v>1</v>
      </c>
      <c r="O415" s="11">
        <v>5.1208005718370302</v>
      </c>
      <c r="P415" s="11">
        <v>9.9662162162162199E-2</v>
      </c>
      <c r="Q415" s="11">
        <v>0.47499999999999998</v>
      </c>
      <c r="R415" s="11">
        <v>7.3825503355704702E-2</v>
      </c>
      <c r="S415" s="10" t="s">
        <v>84</v>
      </c>
      <c r="T415" s="10" t="s">
        <v>84</v>
      </c>
      <c r="U415" s="10"/>
      <c r="V415" s="10"/>
      <c r="W415" s="10"/>
      <c r="X415" s="10"/>
      <c r="Y415" s="10"/>
      <c r="Z415" s="10"/>
      <c r="AA415" s="10"/>
    </row>
    <row r="416" spans="1:27" ht="12.5" x14ac:dyDescent="0.25">
      <c r="A416" s="10" t="s">
        <v>55</v>
      </c>
      <c r="B416" s="10" t="s">
        <v>1259</v>
      </c>
      <c r="C416" s="10" t="s">
        <v>76</v>
      </c>
      <c r="D416" s="11">
        <v>2024</v>
      </c>
      <c r="E416" s="10" t="s">
        <v>124</v>
      </c>
      <c r="F416" s="10" t="s">
        <v>125</v>
      </c>
      <c r="G416" s="10" t="s">
        <v>84</v>
      </c>
      <c r="H416" s="12">
        <v>1060.3333333333301</v>
      </c>
      <c r="I416" s="11">
        <v>9</v>
      </c>
      <c r="J416" s="11">
        <v>9</v>
      </c>
      <c r="K416" s="11">
        <v>347</v>
      </c>
      <c r="L416" s="11">
        <v>8.4878968877711396E-3</v>
      </c>
      <c r="M416" s="11">
        <v>0.84878968877711669</v>
      </c>
      <c r="N416" s="11">
        <v>1</v>
      </c>
      <c r="O416" s="11">
        <v>0.32725558000628702</v>
      </c>
      <c r="P416" s="11">
        <v>9.8817567567567599E-2</v>
      </c>
      <c r="Q416" s="11">
        <v>9.0909090909090898E-2</v>
      </c>
      <c r="R416" s="11">
        <v>7.1588366890380298E-2</v>
      </c>
      <c r="S416" s="10" t="s">
        <v>84</v>
      </c>
      <c r="T416" s="10" t="s">
        <v>84</v>
      </c>
      <c r="U416" s="10"/>
      <c r="V416" s="10"/>
      <c r="W416" s="10"/>
      <c r="X416" s="10"/>
      <c r="Y416" s="10"/>
      <c r="Z416" s="10"/>
      <c r="AA416" s="10"/>
    </row>
    <row r="417" spans="1:27" ht="12.5" x14ac:dyDescent="0.25">
      <c r="A417" s="10" t="s">
        <v>34</v>
      </c>
      <c r="B417" s="10" t="s">
        <v>1262</v>
      </c>
      <c r="C417" s="10" t="s">
        <v>76</v>
      </c>
      <c r="D417" s="11">
        <v>2024</v>
      </c>
      <c r="E417" s="10" t="s">
        <v>124</v>
      </c>
      <c r="F417" s="10" t="s">
        <v>125</v>
      </c>
      <c r="G417" s="10" t="s">
        <v>84</v>
      </c>
      <c r="H417" s="12">
        <v>359</v>
      </c>
      <c r="I417" s="11">
        <v>3</v>
      </c>
      <c r="J417" s="11">
        <v>1</v>
      </c>
      <c r="K417" s="11">
        <v>12</v>
      </c>
      <c r="L417" s="11">
        <v>8.3565459610027894E-3</v>
      </c>
      <c r="M417" s="11">
        <v>0.83565459610027859</v>
      </c>
      <c r="N417" s="11">
        <v>0.33333333333333298</v>
      </c>
      <c r="O417" s="11">
        <v>3.3426183844011102E-2</v>
      </c>
      <c r="P417" s="11">
        <v>9.7972972972972999E-2</v>
      </c>
      <c r="Q417" s="11">
        <v>0.22448979591836701</v>
      </c>
      <c r="R417" s="11">
        <v>6.9351230425055893E-2</v>
      </c>
      <c r="S417" s="10" t="s">
        <v>84</v>
      </c>
      <c r="T417" s="10" t="s">
        <v>84</v>
      </c>
      <c r="U417" s="10"/>
      <c r="V417" s="10"/>
      <c r="W417" s="10"/>
      <c r="X417" s="10"/>
      <c r="Y417" s="10"/>
      <c r="Z417" s="10"/>
      <c r="AA417" s="10"/>
    </row>
    <row r="418" spans="1:27" ht="12.5" x14ac:dyDescent="0.25">
      <c r="A418" s="10" t="s">
        <v>82</v>
      </c>
      <c r="B418" s="10" t="s">
        <v>1264</v>
      </c>
      <c r="C418" s="10" t="s">
        <v>76</v>
      </c>
      <c r="D418" s="11">
        <v>2024</v>
      </c>
      <c r="E418" s="10" t="s">
        <v>124</v>
      </c>
      <c r="F418" s="10" t="s">
        <v>83</v>
      </c>
      <c r="G418" s="10" t="s">
        <v>84</v>
      </c>
      <c r="H418" s="12">
        <v>2336.8333333333298</v>
      </c>
      <c r="I418" s="11">
        <v>19</v>
      </c>
      <c r="J418" s="11">
        <v>16</v>
      </c>
      <c r="K418" s="11">
        <v>494</v>
      </c>
      <c r="L418" s="11">
        <v>8.1306611511304493E-3</v>
      </c>
      <c r="M418" s="11">
        <v>0.81306611511304594</v>
      </c>
      <c r="N418" s="11">
        <v>0.84210526315789502</v>
      </c>
      <c r="O418" s="11">
        <v>0.21139718992939199</v>
      </c>
      <c r="P418" s="11">
        <v>9.45945945945946E-2</v>
      </c>
      <c r="Q418" s="11">
        <v>0.18965517241379301</v>
      </c>
      <c r="R418" s="11">
        <v>6.7114093959731502E-2</v>
      </c>
      <c r="S418" s="10" t="s">
        <v>84</v>
      </c>
      <c r="T418" s="10" t="s">
        <v>84</v>
      </c>
      <c r="U418" s="10"/>
      <c r="V418" s="10"/>
      <c r="W418" s="10"/>
      <c r="X418" s="10"/>
      <c r="Y418" s="10"/>
      <c r="Z418" s="10"/>
      <c r="AA418" s="10"/>
    </row>
    <row r="419" spans="1:27" ht="12.5" x14ac:dyDescent="0.25">
      <c r="A419" s="10" t="s">
        <v>53</v>
      </c>
      <c r="B419" s="10" t="s">
        <v>1268</v>
      </c>
      <c r="C419" s="10" t="s">
        <v>76</v>
      </c>
      <c r="D419" s="11">
        <v>2024</v>
      </c>
      <c r="E419" s="10" t="s">
        <v>124</v>
      </c>
      <c r="F419" s="10" t="s">
        <v>125</v>
      </c>
      <c r="G419" s="10" t="s">
        <v>84</v>
      </c>
      <c r="H419" s="12">
        <v>621.75</v>
      </c>
      <c r="I419" s="11">
        <v>5</v>
      </c>
      <c r="J419" s="11">
        <v>5</v>
      </c>
      <c r="K419" s="11">
        <v>30</v>
      </c>
      <c r="L419" s="11">
        <v>8.0418174507438708E-3</v>
      </c>
      <c r="M419" s="11">
        <v>0.80418174507438678</v>
      </c>
      <c r="N419" s="11">
        <v>1</v>
      </c>
      <c r="O419" s="11">
        <v>4.82509047044632E-2</v>
      </c>
      <c r="P419" s="11">
        <v>9.375E-2</v>
      </c>
      <c r="Q419" s="11">
        <v>0.45</v>
      </c>
      <c r="R419" s="11">
        <v>6.4876957494407195E-2</v>
      </c>
      <c r="S419" s="10" t="s">
        <v>84</v>
      </c>
      <c r="T419" s="10" t="s">
        <v>84</v>
      </c>
      <c r="U419" s="10"/>
      <c r="V419" s="10"/>
      <c r="W419" s="10"/>
      <c r="X419" s="10"/>
      <c r="Y419" s="10"/>
      <c r="Z419" s="10"/>
      <c r="AA419" s="10"/>
    </row>
    <row r="420" spans="1:27" ht="12.5" x14ac:dyDescent="0.25">
      <c r="A420" s="10" t="s">
        <v>82</v>
      </c>
      <c r="B420" s="10" t="s">
        <v>1270</v>
      </c>
      <c r="C420" s="10" t="s">
        <v>76</v>
      </c>
      <c r="D420" s="11">
        <v>2024</v>
      </c>
      <c r="E420" s="10" t="s">
        <v>124</v>
      </c>
      <c r="F420" s="10" t="s">
        <v>83</v>
      </c>
      <c r="G420" s="10" t="s">
        <v>84</v>
      </c>
      <c r="H420" s="12">
        <v>1649.1666666666699</v>
      </c>
      <c r="I420" s="11">
        <v>13</v>
      </c>
      <c r="J420" s="11">
        <v>13</v>
      </c>
      <c r="K420" s="11">
        <v>387</v>
      </c>
      <c r="L420" s="11">
        <v>7.8827690752905494E-3</v>
      </c>
      <c r="M420" s="11">
        <v>0.78827690752905355</v>
      </c>
      <c r="N420" s="11">
        <v>1</v>
      </c>
      <c r="O420" s="11">
        <v>0.23466397170288</v>
      </c>
      <c r="P420" s="11">
        <v>9.12162162162162E-2</v>
      </c>
      <c r="Q420" s="11">
        <v>0.15517241379310301</v>
      </c>
      <c r="R420" s="11">
        <v>6.2639821029082804E-2</v>
      </c>
      <c r="S420" s="10" t="s">
        <v>84</v>
      </c>
      <c r="T420" s="10" t="s">
        <v>84</v>
      </c>
      <c r="U420" s="10"/>
      <c r="V420" s="10"/>
      <c r="W420" s="10"/>
      <c r="X420" s="10"/>
      <c r="Y420" s="10"/>
      <c r="Z420" s="10"/>
      <c r="AA420" s="10"/>
    </row>
    <row r="421" spans="1:27" ht="12.5" x14ac:dyDescent="0.25">
      <c r="A421" s="10" t="s">
        <v>55</v>
      </c>
      <c r="B421" s="10" t="s">
        <v>1272</v>
      </c>
      <c r="C421" s="10" t="s">
        <v>76</v>
      </c>
      <c r="D421" s="11">
        <v>2024</v>
      </c>
      <c r="E421" s="10" t="s">
        <v>124</v>
      </c>
      <c r="F421" s="10" t="s">
        <v>125</v>
      </c>
      <c r="G421" s="10" t="s">
        <v>84</v>
      </c>
      <c r="H421" s="12">
        <v>520</v>
      </c>
      <c r="I421" s="11">
        <v>4</v>
      </c>
      <c r="J421" s="11">
        <v>4</v>
      </c>
      <c r="K421" s="11">
        <v>490</v>
      </c>
      <c r="L421" s="11">
        <v>7.6923076923076901E-3</v>
      </c>
      <c r="M421" s="11">
        <v>0.76923076923076927</v>
      </c>
      <c r="N421" s="11">
        <v>1</v>
      </c>
      <c r="O421" s="11">
        <v>0.94230769230769196</v>
      </c>
      <c r="P421" s="11">
        <v>8.7837837837837801E-2</v>
      </c>
      <c r="Q421" s="11">
        <v>4.5454545454545497E-2</v>
      </c>
      <c r="R421" s="11">
        <v>6.0402684563758399E-2</v>
      </c>
      <c r="S421" s="10" t="s">
        <v>84</v>
      </c>
      <c r="T421" s="10" t="s">
        <v>84</v>
      </c>
      <c r="U421" s="10"/>
      <c r="V421" s="10"/>
      <c r="W421" s="10"/>
      <c r="X421" s="10"/>
      <c r="Y421" s="10"/>
      <c r="Z421" s="10"/>
      <c r="AA421" s="10"/>
    </row>
    <row r="422" spans="1:27" ht="12.5" x14ac:dyDescent="0.25">
      <c r="A422" s="10" t="s">
        <v>82</v>
      </c>
      <c r="B422" s="10" t="s">
        <v>1274</v>
      </c>
      <c r="C422" s="10" t="s">
        <v>76</v>
      </c>
      <c r="D422" s="11">
        <v>2024</v>
      </c>
      <c r="E422" s="10" t="s">
        <v>124</v>
      </c>
      <c r="F422" s="10" t="s">
        <v>83</v>
      </c>
      <c r="G422" s="10" t="s">
        <v>84</v>
      </c>
      <c r="H422" s="12">
        <v>6119.9166666666697</v>
      </c>
      <c r="I422" s="11">
        <v>47</v>
      </c>
      <c r="J422" s="11">
        <v>47</v>
      </c>
      <c r="K422" s="11">
        <v>799</v>
      </c>
      <c r="L422" s="11">
        <v>7.6798431351189399E-3</v>
      </c>
      <c r="M422" s="11">
        <v>0.76798431351189378</v>
      </c>
      <c r="N422" s="11">
        <v>1</v>
      </c>
      <c r="O422" s="11">
        <v>0.13055733329702199</v>
      </c>
      <c r="P422" s="11">
        <v>8.6993243243243201E-2</v>
      </c>
      <c r="Q422" s="11">
        <v>0.13793103448275901</v>
      </c>
      <c r="R422" s="11">
        <v>5.8165548098434001E-2</v>
      </c>
      <c r="S422" s="10" t="s">
        <v>84</v>
      </c>
      <c r="T422" s="10" t="s">
        <v>84</v>
      </c>
      <c r="U422" s="10"/>
      <c r="V422" s="10"/>
      <c r="W422" s="10"/>
      <c r="X422" s="10"/>
      <c r="Y422" s="10"/>
      <c r="Z422" s="10"/>
      <c r="AA422" s="10"/>
    </row>
    <row r="423" spans="1:27" ht="12.5" x14ac:dyDescent="0.25">
      <c r="A423" s="10" t="s">
        <v>53</v>
      </c>
      <c r="B423" s="10" t="s">
        <v>1276</v>
      </c>
      <c r="C423" s="10" t="s">
        <v>76</v>
      </c>
      <c r="D423" s="11">
        <v>2024</v>
      </c>
      <c r="E423" s="10" t="s">
        <v>124</v>
      </c>
      <c r="F423" s="10" t="s">
        <v>125</v>
      </c>
      <c r="G423" s="10" t="s">
        <v>84</v>
      </c>
      <c r="H423" s="12">
        <v>2888.75</v>
      </c>
      <c r="I423" s="11">
        <v>22</v>
      </c>
      <c r="J423" s="11">
        <v>22</v>
      </c>
      <c r="K423" s="11">
        <v>895</v>
      </c>
      <c r="L423" s="11">
        <v>7.6157507572479502E-3</v>
      </c>
      <c r="M423" s="11">
        <v>0.76157507572479455</v>
      </c>
      <c r="N423" s="11">
        <v>1</v>
      </c>
      <c r="O423" s="11">
        <v>0.30982258762440501</v>
      </c>
      <c r="P423" s="11">
        <v>8.6148648648648601E-2</v>
      </c>
      <c r="Q423" s="11">
        <v>0.42499999999999999</v>
      </c>
      <c r="R423" s="11">
        <v>5.5928411633109597E-2</v>
      </c>
      <c r="S423" s="10" t="s">
        <v>84</v>
      </c>
      <c r="T423" s="10" t="s">
        <v>84</v>
      </c>
      <c r="U423" s="10"/>
      <c r="V423" s="10"/>
      <c r="W423" s="10"/>
      <c r="X423" s="10"/>
      <c r="Y423" s="10"/>
      <c r="Z423" s="10"/>
      <c r="AA423" s="10"/>
    </row>
    <row r="424" spans="1:27" ht="12.5" x14ac:dyDescent="0.25">
      <c r="A424" s="10" t="s">
        <v>32</v>
      </c>
      <c r="B424" s="10" t="s">
        <v>1280</v>
      </c>
      <c r="C424" s="10" t="s">
        <v>76</v>
      </c>
      <c r="D424" s="11">
        <v>2024</v>
      </c>
      <c r="E424" s="10" t="s">
        <v>124</v>
      </c>
      <c r="F424" s="10" t="s">
        <v>125</v>
      </c>
      <c r="G424" s="10" t="s">
        <v>84</v>
      </c>
      <c r="H424" s="12">
        <v>5512.5833333333303</v>
      </c>
      <c r="I424" s="11">
        <v>41</v>
      </c>
      <c r="J424" s="11">
        <v>33</v>
      </c>
      <c r="K424" s="11">
        <v>7394</v>
      </c>
      <c r="L424" s="11">
        <v>7.4375292890508102E-3</v>
      </c>
      <c r="M424" s="11">
        <v>0.74375292890508116</v>
      </c>
      <c r="N424" s="11">
        <v>0.80487804878048796</v>
      </c>
      <c r="O424" s="11">
        <v>1.3412949161766301</v>
      </c>
      <c r="P424" s="11">
        <v>8.3614864864864899E-2</v>
      </c>
      <c r="Q424" s="11">
        <v>0</v>
      </c>
      <c r="R424" s="11">
        <v>5.3691275167785199E-2</v>
      </c>
      <c r="S424" s="10" t="s">
        <v>84</v>
      </c>
      <c r="T424" s="10" t="s">
        <v>84</v>
      </c>
      <c r="U424" s="10"/>
      <c r="V424" s="10"/>
      <c r="W424" s="10"/>
      <c r="X424" s="10"/>
      <c r="Y424" s="10"/>
      <c r="Z424" s="10"/>
      <c r="AA424" s="10"/>
    </row>
    <row r="425" spans="1:27" ht="12.5" x14ac:dyDescent="0.25">
      <c r="A425" s="10" t="s">
        <v>82</v>
      </c>
      <c r="B425" s="10" t="s">
        <v>1281</v>
      </c>
      <c r="C425" s="10" t="s">
        <v>76</v>
      </c>
      <c r="D425" s="11">
        <v>2024</v>
      </c>
      <c r="E425" s="10" t="s">
        <v>124</v>
      </c>
      <c r="F425" s="10" t="s">
        <v>83</v>
      </c>
      <c r="G425" s="10" t="s">
        <v>84</v>
      </c>
      <c r="H425" s="12">
        <v>1488</v>
      </c>
      <c r="I425" s="11">
        <v>11</v>
      </c>
      <c r="J425" s="11">
        <v>11</v>
      </c>
      <c r="K425" s="11">
        <v>284</v>
      </c>
      <c r="L425" s="11">
        <v>7.3924731182795703E-3</v>
      </c>
      <c r="M425" s="11">
        <v>0.739247311827957</v>
      </c>
      <c r="N425" s="11">
        <v>1</v>
      </c>
      <c r="O425" s="11">
        <v>0.19086021505376299</v>
      </c>
      <c r="P425" s="11">
        <v>8.2770270270270299E-2</v>
      </c>
      <c r="Q425" s="11">
        <v>0.12068965517241401</v>
      </c>
      <c r="R425" s="11">
        <v>5.1454138702460801E-2</v>
      </c>
      <c r="S425" s="10" t="s">
        <v>84</v>
      </c>
      <c r="T425" s="10" t="s">
        <v>84</v>
      </c>
      <c r="U425" s="10"/>
      <c r="V425" s="10"/>
      <c r="W425" s="10"/>
      <c r="X425" s="10"/>
      <c r="Y425" s="10"/>
      <c r="Z425" s="10"/>
      <c r="AA425" s="10"/>
    </row>
    <row r="426" spans="1:27" ht="12.5" x14ac:dyDescent="0.25">
      <c r="A426" s="10" t="s">
        <v>43</v>
      </c>
      <c r="B426" s="10" t="s">
        <v>1284</v>
      </c>
      <c r="C426" s="10" t="s">
        <v>76</v>
      </c>
      <c r="D426" s="11">
        <v>2024</v>
      </c>
      <c r="E426" s="10" t="s">
        <v>124</v>
      </c>
      <c r="F426" s="10" t="s">
        <v>83</v>
      </c>
      <c r="G426" s="10" t="s">
        <v>84</v>
      </c>
      <c r="H426" s="12">
        <v>17996</v>
      </c>
      <c r="I426" s="11">
        <v>125</v>
      </c>
      <c r="J426" s="11">
        <v>125</v>
      </c>
      <c r="K426" s="11">
        <v>2481</v>
      </c>
      <c r="L426" s="11">
        <v>6.9459879973327397E-3</v>
      </c>
      <c r="M426" s="11">
        <v>0.6945987997332741</v>
      </c>
      <c r="N426" s="11">
        <v>1</v>
      </c>
      <c r="O426" s="11">
        <v>0.13786396977106</v>
      </c>
      <c r="P426" s="11">
        <v>7.85472972972973E-2</v>
      </c>
      <c r="Q426" s="11">
        <v>0.30769230769230799</v>
      </c>
      <c r="R426" s="11">
        <v>4.9217002237136501E-2</v>
      </c>
      <c r="S426" s="10" t="s">
        <v>84</v>
      </c>
      <c r="T426" s="10" t="s">
        <v>84</v>
      </c>
      <c r="U426" s="10"/>
      <c r="V426" s="10"/>
      <c r="W426" s="10"/>
      <c r="X426" s="10"/>
      <c r="Y426" s="10"/>
      <c r="Z426" s="10"/>
      <c r="AA426" s="10"/>
    </row>
    <row r="427" spans="1:27" ht="12.5" x14ac:dyDescent="0.25">
      <c r="A427" s="10" t="s">
        <v>92</v>
      </c>
      <c r="B427" s="10" t="s">
        <v>1285</v>
      </c>
      <c r="C427" s="10" t="s">
        <v>76</v>
      </c>
      <c r="D427" s="11">
        <v>2024</v>
      </c>
      <c r="E427" s="10" t="s">
        <v>124</v>
      </c>
      <c r="F427" s="10" t="s">
        <v>83</v>
      </c>
      <c r="G427" s="10" t="s">
        <v>84</v>
      </c>
      <c r="H427" s="12">
        <v>6698.0833333333303</v>
      </c>
      <c r="I427" s="11">
        <v>46</v>
      </c>
      <c r="J427" s="11">
        <v>45</v>
      </c>
      <c r="K427" s="11">
        <v>288</v>
      </c>
      <c r="L427" s="11">
        <v>6.8676362641053998E-3</v>
      </c>
      <c r="M427" s="11">
        <v>0.68676362641054067</v>
      </c>
      <c r="N427" s="11">
        <v>0.97826086956521696</v>
      </c>
      <c r="O427" s="11">
        <v>4.2997374870920799E-2</v>
      </c>
      <c r="P427" s="11">
        <v>7.68581081081081E-2</v>
      </c>
      <c r="Q427" s="11">
        <v>0.27777777777777801</v>
      </c>
      <c r="R427" s="11">
        <v>4.6979865771812103E-2</v>
      </c>
      <c r="S427" s="10" t="s">
        <v>84</v>
      </c>
      <c r="T427" s="10" t="s">
        <v>84</v>
      </c>
      <c r="U427" s="10"/>
      <c r="V427" s="10"/>
      <c r="W427" s="10"/>
      <c r="X427" s="10"/>
      <c r="Y427" s="10"/>
      <c r="Z427" s="10"/>
      <c r="AA427" s="10"/>
    </row>
    <row r="428" spans="1:27" ht="12.5" x14ac:dyDescent="0.25">
      <c r="A428" s="10" t="s">
        <v>82</v>
      </c>
      <c r="B428" s="10" t="s">
        <v>1288</v>
      </c>
      <c r="C428" s="10" t="s">
        <v>76</v>
      </c>
      <c r="D428" s="11">
        <v>2024</v>
      </c>
      <c r="E428" s="10" t="s">
        <v>124</v>
      </c>
      <c r="F428" s="10" t="s">
        <v>83</v>
      </c>
      <c r="G428" s="10" t="s">
        <v>84</v>
      </c>
      <c r="H428" s="12">
        <v>6438.5833333333303</v>
      </c>
      <c r="I428" s="11">
        <v>44</v>
      </c>
      <c r="J428" s="11">
        <v>44</v>
      </c>
      <c r="K428" s="11">
        <v>160</v>
      </c>
      <c r="L428" s="11">
        <v>6.8338014314743203E-3</v>
      </c>
      <c r="M428" s="11">
        <v>0.6833801431474319</v>
      </c>
      <c r="N428" s="11">
        <v>1</v>
      </c>
      <c r="O428" s="11">
        <v>2.4850187023543E-2</v>
      </c>
      <c r="P428" s="11">
        <v>7.60135135135135E-2</v>
      </c>
      <c r="Q428" s="11">
        <v>0.10344827586206901</v>
      </c>
      <c r="R428" s="11">
        <v>4.4742729306487698E-2</v>
      </c>
      <c r="S428" s="10" t="s">
        <v>84</v>
      </c>
      <c r="T428" s="10" t="s">
        <v>84</v>
      </c>
      <c r="U428" s="10"/>
      <c r="V428" s="10"/>
      <c r="W428" s="10"/>
      <c r="X428" s="10"/>
      <c r="Y428" s="10"/>
      <c r="Z428" s="10"/>
      <c r="AA428" s="10"/>
    </row>
    <row r="429" spans="1:27" ht="12.5" x14ac:dyDescent="0.25">
      <c r="A429" s="10" t="s">
        <v>6</v>
      </c>
      <c r="B429" s="10" t="s">
        <v>1291</v>
      </c>
      <c r="C429" s="10" t="s">
        <v>76</v>
      </c>
      <c r="D429" s="11">
        <v>2024</v>
      </c>
      <c r="E429" s="10" t="s">
        <v>124</v>
      </c>
      <c r="F429" s="10" t="s">
        <v>125</v>
      </c>
      <c r="G429" s="10" t="s">
        <v>84</v>
      </c>
      <c r="H429" s="12">
        <v>443.25</v>
      </c>
      <c r="I429" s="11">
        <v>3</v>
      </c>
      <c r="J429" s="11">
        <v>3</v>
      </c>
      <c r="K429" s="11">
        <v>680</v>
      </c>
      <c r="L429" s="11">
        <v>6.7681895093062603E-3</v>
      </c>
      <c r="M429" s="11">
        <v>0.67681895093062605</v>
      </c>
      <c r="N429" s="11">
        <v>1</v>
      </c>
      <c r="O429" s="11">
        <v>1.53412295544275</v>
      </c>
      <c r="P429" s="11">
        <v>7.4324324324324301E-2</v>
      </c>
      <c r="Q429" s="11">
        <v>0.12903225806451599</v>
      </c>
      <c r="R429" s="11">
        <v>4.25055928411633E-2</v>
      </c>
      <c r="S429" s="10" t="s">
        <v>84</v>
      </c>
      <c r="T429" s="10" t="s">
        <v>84</v>
      </c>
      <c r="U429" s="10"/>
      <c r="V429" s="10"/>
      <c r="W429" s="10"/>
      <c r="X429" s="10"/>
      <c r="Y429" s="10"/>
      <c r="Z429" s="10"/>
      <c r="AA429" s="10"/>
    </row>
    <row r="430" spans="1:27" ht="12.5" x14ac:dyDescent="0.25">
      <c r="A430" s="10" t="s">
        <v>6</v>
      </c>
      <c r="B430" s="10" t="s">
        <v>1294</v>
      </c>
      <c r="C430" s="10" t="s">
        <v>76</v>
      </c>
      <c r="D430" s="11">
        <v>2024</v>
      </c>
      <c r="E430" s="10" t="s">
        <v>124</v>
      </c>
      <c r="F430" s="10" t="s">
        <v>125</v>
      </c>
      <c r="G430" s="10" t="s">
        <v>84</v>
      </c>
      <c r="H430" s="12">
        <v>443.5</v>
      </c>
      <c r="I430" s="11">
        <v>3</v>
      </c>
      <c r="J430" s="11">
        <v>4</v>
      </c>
      <c r="K430" s="11">
        <v>3</v>
      </c>
      <c r="L430" s="11">
        <v>6.7643742953776799E-3</v>
      </c>
      <c r="M430" s="11">
        <v>0.67643742953776775</v>
      </c>
      <c r="N430" s="11">
        <v>1.3333333333333299</v>
      </c>
      <c r="O430" s="11">
        <v>6.7643742953776799E-3</v>
      </c>
      <c r="P430" s="11">
        <v>7.3479729729729701E-2</v>
      </c>
      <c r="Q430" s="11">
        <v>9.6774193548387094E-2</v>
      </c>
      <c r="R430" s="11">
        <v>4.0268456375838903E-2</v>
      </c>
      <c r="S430" s="10" t="s">
        <v>84</v>
      </c>
      <c r="T430" s="10" t="s">
        <v>84</v>
      </c>
      <c r="U430" s="10"/>
      <c r="V430" s="10"/>
      <c r="W430" s="10"/>
      <c r="X430" s="10"/>
      <c r="Y430" s="10"/>
      <c r="Z430" s="10"/>
      <c r="AA430" s="10"/>
    </row>
    <row r="431" spans="1:27" ht="12.5" x14ac:dyDescent="0.25">
      <c r="A431" s="10" t="s">
        <v>49</v>
      </c>
      <c r="B431" s="10" t="s">
        <v>1296</v>
      </c>
      <c r="C431" s="10" t="s">
        <v>76</v>
      </c>
      <c r="D431" s="11">
        <v>2024</v>
      </c>
      <c r="E431" s="10" t="s">
        <v>124</v>
      </c>
      <c r="F431" s="10" t="s">
        <v>83</v>
      </c>
      <c r="G431" s="10" t="s">
        <v>84</v>
      </c>
      <c r="H431" s="12">
        <v>2084.0833333333298</v>
      </c>
      <c r="I431" s="11">
        <v>14</v>
      </c>
      <c r="J431" s="11">
        <v>11</v>
      </c>
      <c r="K431" s="11">
        <v>883</v>
      </c>
      <c r="L431" s="11">
        <v>6.7175816705985804E-3</v>
      </c>
      <c r="M431" s="11">
        <v>0.67175816705985958</v>
      </c>
      <c r="N431" s="11">
        <v>0.78571428571428603</v>
      </c>
      <c r="O431" s="11">
        <v>0.42368747250989602</v>
      </c>
      <c r="P431" s="11">
        <v>7.1790540540540501E-2</v>
      </c>
      <c r="Q431" s="11">
        <v>7.69230769230769E-2</v>
      </c>
      <c r="R431" s="11">
        <v>3.8031319910514498E-2</v>
      </c>
      <c r="S431" s="10" t="s">
        <v>84</v>
      </c>
      <c r="T431" s="10" t="s">
        <v>84</v>
      </c>
      <c r="U431" s="10"/>
      <c r="V431" s="10"/>
      <c r="W431" s="10"/>
      <c r="X431" s="10"/>
      <c r="Y431" s="10"/>
      <c r="Z431" s="10"/>
      <c r="AA431" s="10"/>
    </row>
    <row r="432" spans="1:27" ht="12.5" x14ac:dyDescent="0.25">
      <c r="A432" s="10" t="s">
        <v>92</v>
      </c>
      <c r="B432" s="10" t="s">
        <v>1298</v>
      </c>
      <c r="C432" s="10" t="s">
        <v>76</v>
      </c>
      <c r="D432" s="11">
        <v>2024</v>
      </c>
      <c r="E432" s="10" t="s">
        <v>124</v>
      </c>
      <c r="F432" s="10" t="s">
        <v>83</v>
      </c>
      <c r="G432" s="10" t="s">
        <v>84</v>
      </c>
      <c r="H432" s="12">
        <v>13976.333333333299</v>
      </c>
      <c r="I432" s="11">
        <v>88</v>
      </c>
      <c r="J432" s="11">
        <v>79</v>
      </c>
      <c r="K432" s="11">
        <v>3802</v>
      </c>
      <c r="L432" s="11">
        <v>6.2963581292184399E-3</v>
      </c>
      <c r="M432" s="11">
        <v>0.62963581292184567</v>
      </c>
      <c r="N432" s="11">
        <v>0.89772727272727304</v>
      </c>
      <c r="O432" s="11">
        <v>0.27203129099191498</v>
      </c>
      <c r="P432" s="11">
        <v>6.6722972972972999E-2</v>
      </c>
      <c r="Q432" s="11">
        <v>0.22222222222222199</v>
      </c>
      <c r="R432" s="11">
        <v>3.5794183445190197E-2</v>
      </c>
      <c r="S432" s="10" t="s">
        <v>84</v>
      </c>
      <c r="T432" s="10" t="s">
        <v>84</v>
      </c>
      <c r="U432" s="10"/>
      <c r="V432" s="10"/>
      <c r="W432" s="10"/>
      <c r="X432" s="10"/>
      <c r="Y432" s="10"/>
      <c r="Z432" s="10"/>
      <c r="AA432" s="10"/>
    </row>
    <row r="433" spans="1:27" ht="12.5" x14ac:dyDescent="0.25">
      <c r="A433" s="10" t="s">
        <v>53</v>
      </c>
      <c r="B433" s="10" t="s">
        <v>1301</v>
      </c>
      <c r="C433" s="10" t="s">
        <v>76</v>
      </c>
      <c r="D433" s="11">
        <v>2024</v>
      </c>
      <c r="E433" s="10" t="s">
        <v>124</v>
      </c>
      <c r="F433" s="10" t="s">
        <v>125</v>
      </c>
      <c r="G433" s="10" t="s">
        <v>84</v>
      </c>
      <c r="H433" s="12">
        <v>1026</v>
      </c>
      <c r="I433" s="11">
        <v>6</v>
      </c>
      <c r="J433" s="11">
        <v>5</v>
      </c>
      <c r="K433" s="11">
        <v>406</v>
      </c>
      <c r="L433" s="11">
        <v>5.8479532163742704E-3</v>
      </c>
      <c r="M433" s="11">
        <v>0.58479532163742687</v>
      </c>
      <c r="N433" s="11">
        <v>0.83333333333333304</v>
      </c>
      <c r="O433" s="11">
        <v>0.39571150097465901</v>
      </c>
      <c r="P433" s="11">
        <v>6.25E-2</v>
      </c>
      <c r="Q433" s="11">
        <v>0.35</v>
      </c>
      <c r="R433" s="11">
        <v>3.35570469798658E-2</v>
      </c>
      <c r="S433" s="10" t="s">
        <v>84</v>
      </c>
      <c r="T433" s="10" t="s">
        <v>84</v>
      </c>
      <c r="U433" s="10"/>
      <c r="V433" s="10"/>
      <c r="W433" s="10"/>
      <c r="X433" s="10"/>
      <c r="Y433" s="10"/>
      <c r="Z433" s="10"/>
      <c r="AA433" s="10"/>
    </row>
    <row r="434" spans="1:27" ht="12.5" x14ac:dyDescent="0.25">
      <c r="A434" s="10" t="s">
        <v>92</v>
      </c>
      <c r="B434" s="10" t="s">
        <v>1305</v>
      </c>
      <c r="C434" s="10" t="s">
        <v>76</v>
      </c>
      <c r="D434" s="11">
        <v>2024</v>
      </c>
      <c r="E434" s="10" t="s">
        <v>124</v>
      </c>
      <c r="F434" s="10" t="s">
        <v>83</v>
      </c>
      <c r="G434" s="10" t="s">
        <v>84</v>
      </c>
      <c r="H434" s="12">
        <v>11529.083333333299</v>
      </c>
      <c r="I434" s="11">
        <v>65</v>
      </c>
      <c r="J434" s="11">
        <v>63</v>
      </c>
      <c r="K434" s="11">
        <v>1137</v>
      </c>
      <c r="L434" s="11">
        <v>5.6379157059321004E-3</v>
      </c>
      <c r="M434" s="11">
        <v>0.56379157059321161</v>
      </c>
      <c r="N434" s="11">
        <v>0.96923076923076901</v>
      </c>
      <c r="O434" s="11">
        <v>9.8620156271458398E-2</v>
      </c>
      <c r="P434" s="11">
        <v>5.99662162162162E-2</v>
      </c>
      <c r="Q434" s="11">
        <v>0.16666666666666699</v>
      </c>
      <c r="R434" s="11">
        <v>3.1319910514541402E-2</v>
      </c>
      <c r="S434" s="10" t="s">
        <v>84</v>
      </c>
      <c r="T434" s="10" t="s">
        <v>84</v>
      </c>
      <c r="U434" s="10"/>
      <c r="V434" s="10"/>
      <c r="W434" s="10"/>
      <c r="X434" s="10"/>
      <c r="Y434" s="10"/>
      <c r="Z434" s="10"/>
      <c r="AA434" s="10"/>
    </row>
    <row r="435" spans="1:27" ht="12.5" x14ac:dyDescent="0.25">
      <c r="A435" s="10" t="s">
        <v>10</v>
      </c>
      <c r="B435" s="10" t="s">
        <v>1308</v>
      </c>
      <c r="C435" s="10" t="s">
        <v>76</v>
      </c>
      <c r="D435" s="11">
        <v>2024</v>
      </c>
      <c r="E435" s="10" t="s">
        <v>124</v>
      </c>
      <c r="F435" s="10" t="s">
        <v>125</v>
      </c>
      <c r="G435" s="10" t="s">
        <v>84</v>
      </c>
      <c r="H435" s="12">
        <v>546.33333333333303</v>
      </c>
      <c r="I435" s="11">
        <v>3</v>
      </c>
      <c r="J435" s="11">
        <v>3</v>
      </c>
      <c r="K435" s="11">
        <v>183</v>
      </c>
      <c r="L435" s="11">
        <v>5.4911531421598502E-3</v>
      </c>
      <c r="M435" s="11">
        <v>0.54911531421598558</v>
      </c>
      <c r="N435" s="11">
        <v>1</v>
      </c>
      <c r="O435" s="11">
        <v>0.33496034167175098</v>
      </c>
      <c r="P435" s="11">
        <v>5.8277027027027001E-2</v>
      </c>
      <c r="Q435" s="11">
        <v>3.3333333333333298E-2</v>
      </c>
      <c r="R435" s="11">
        <v>2.9082774049217001E-2</v>
      </c>
      <c r="S435" s="10" t="s">
        <v>84</v>
      </c>
      <c r="T435" s="10" t="s">
        <v>84</v>
      </c>
      <c r="U435" s="10"/>
      <c r="V435" s="10"/>
      <c r="W435" s="10"/>
      <c r="X435" s="10"/>
      <c r="Y435" s="10"/>
      <c r="Z435" s="10"/>
      <c r="AA435" s="10"/>
    </row>
    <row r="436" spans="1:27" ht="12.5" x14ac:dyDescent="0.25">
      <c r="A436" s="10" t="s">
        <v>53</v>
      </c>
      <c r="B436" s="10" t="s">
        <v>1310</v>
      </c>
      <c r="C436" s="10" t="s">
        <v>76</v>
      </c>
      <c r="D436" s="11">
        <v>2024</v>
      </c>
      <c r="E436" s="10" t="s">
        <v>124</v>
      </c>
      <c r="F436" s="10" t="s">
        <v>125</v>
      </c>
      <c r="G436" s="10" t="s">
        <v>84</v>
      </c>
      <c r="H436" s="12">
        <v>1101.6666666666699</v>
      </c>
      <c r="I436" s="11">
        <v>6</v>
      </c>
      <c r="J436" s="11">
        <v>10</v>
      </c>
      <c r="K436" s="11">
        <v>290</v>
      </c>
      <c r="L436" s="11">
        <v>5.4462934947049901E-3</v>
      </c>
      <c r="M436" s="11">
        <v>0.54462934947049768</v>
      </c>
      <c r="N436" s="11">
        <v>1.6666666666666701</v>
      </c>
      <c r="O436" s="11">
        <v>0.26323751891074099</v>
      </c>
      <c r="P436" s="11">
        <v>5.7432432432432401E-2</v>
      </c>
      <c r="Q436" s="11">
        <v>0.32500000000000001</v>
      </c>
      <c r="R436" s="11">
        <v>2.68456375838926E-2</v>
      </c>
      <c r="S436" s="10" t="s">
        <v>84</v>
      </c>
      <c r="T436" s="10" t="s">
        <v>84</v>
      </c>
      <c r="U436" s="10"/>
      <c r="V436" s="10"/>
      <c r="W436" s="10"/>
      <c r="X436" s="10"/>
      <c r="Y436" s="10"/>
      <c r="Z436" s="10"/>
      <c r="AA436" s="10"/>
    </row>
    <row r="437" spans="1:27" ht="12.5" x14ac:dyDescent="0.25">
      <c r="A437" s="10" t="s">
        <v>6</v>
      </c>
      <c r="B437" s="10" t="s">
        <v>1312</v>
      </c>
      <c r="C437" s="10" t="s">
        <v>76</v>
      </c>
      <c r="D437" s="11">
        <v>2024</v>
      </c>
      <c r="E437" s="10" t="s">
        <v>124</v>
      </c>
      <c r="F437" s="10" t="s">
        <v>125</v>
      </c>
      <c r="G437" s="10" t="s">
        <v>84</v>
      </c>
      <c r="H437" s="12">
        <v>700</v>
      </c>
      <c r="I437" s="11">
        <v>3</v>
      </c>
      <c r="J437" s="11">
        <v>3</v>
      </c>
      <c r="K437" s="11">
        <v>525</v>
      </c>
      <c r="L437" s="11">
        <v>4.2857142857142903E-3</v>
      </c>
      <c r="M437" s="11">
        <v>0.4285714285714286</v>
      </c>
      <c r="N437" s="11">
        <v>1</v>
      </c>
      <c r="O437" s="11">
        <v>0.75</v>
      </c>
      <c r="P437" s="11">
        <v>4.56081081081081E-2</v>
      </c>
      <c r="Q437" s="11">
        <v>3.2258064516128997E-2</v>
      </c>
      <c r="R437" s="11">
        <v>2.4608501118568198E-2</v>
      </c>
      <c r="S437" s="10" t="s">
        <v>84</v>
      </c>
      <c r="T437" s="10" t="s">
        <v>84</v>
      </c>
      <c r="U437" s="10"/>
      <c r="V437" s="10"/>
      <c r="W437" s="10"/>
      <c r="X437" s="10"/>
      <c r="Y437" s="10"/>
      <c r="Z437" s="10"/>
      <c r="AA437" s="10"/>
    </row>
    <row r="438" spans="1:27" ht="12.5" x14ac:dyDescent="0.25">
      <c r="A438" s="10" t="s">
        <v>82</v>
      </c>
      <c r="B438" s="10" t="s">
        <v>1315</v>
      </c>
      <c r="C438" s="10" t="s">
        <v>76</v>
      </c>
      <c r="D438" s="11">
        <v>2024</v>
      </c>
      <c r="E438" s="10" t="s">
        <v>124</v>
      </c>
      <c r="F438" s="10" t="s">
        <v>83</v>
      </c>
      <c r="G438" s="10" t="s">
        <v>84</v>
      </c>
      <c r="H438" s="12">
        <v>984.16666666666697</v>
      </c>
      <c r="I438" s="11">
        <v>4</v>
      </c>
      <c r="J438" s="11">
        <v>4</v>
      </c>
      <c r="K438" s="11">
        <v>205</v>
      </c>
      <c r="L438" s="11">
        <v>4.0643522438611303E-3</v>
      </c>
      <c r="M438" s="11">
        <v>0.4064352243861134</v>
      </c>
      <c r="N438" s="11">
        <v>1</v>
      </c>
      <c r="O438" s="11">
        <v>0.208298052497883</v>
      </c>
      <c r="P438" s="11">
        <v>4.3918918918918901E-2</v>
      </c>
      <c r="Q438" s="11">
        <v>3.4482758620689703E-2</v>
      </c>
      <c r="R438" s="11">
        <v>2.2371364653243801E-2</v>
      </c>
      <c r="S438" s="10" t="s">
        <v>84</v>
      </c>
      <c r="T438" s="10" t="s">
        <v>84</v>
      </c>
      <c r="U438" s="10"/>
      <c r="V438" s="10"/>
      <c r="W438" s="10"/>
      <c r="X438" s="10"/>
      <c r="Y438" s="10"/>
      <c r="Z438" s="10"/>
      <c r="AA438" s="10"/>
    </row>
    <row r="439" spans="1:27" ht="12.5" x14ac:dyDescent="0.25">
      <c r="A439" s="10" t="s">
        <v>49</v>
      </c>
      <c r="B439" s="10" t="s">
        <v>1318</v>
      </c>
      <c r="C439" s="10" t="s">
        <v>76</v>
      </c>
      <c r="D439" s="11">
        <v>2024</v>
      </c>
      <c r="E439" s="10" t="s">
        <v>124</v>
      </c>
      <c r="F439" s="10" t="s">
        <v>83</v>
      </c>
      <c r="G439" s="10" t="s">
        <v>84</v>
      </c>
      <c r="H439" s="12">
        <v>1307.6666666666699</v>
      </c>
      <c r="I439" s="11">
        <v>5</v>
      </c>
      <c r="J439" s="11">
        <v>4</v>
      </c>
      <c r="K439" s="11">
        <v>123</v>
      </c>
      <c r="L439" s="11">
        <v>3.82360438439969E-3</v>
      </c>
      <c r="M439" s="11">
        <v>0.38236043843996842</v>
      </c>
      <c r="N439" s="11">
        <v>0.8</v>
      </c>
      <c r="O439" s="11">
        <v>9.4060667856232502E-2</v>
      </c>
      <c r="P439" s="11">
        <v>4.2229729729729701E-2</v>
      </c>
      <c r="Q439" s="11">
        <v>0</v>
      </c>
      <c r="R439" s="11">
        <v>2.01342281879195E-2</v>
      </c>
      <c r="S439" s="10" t="s">
        <v>84</v>
      </c>
      <c r="T439" s="10" t="s">
        <v>84</v>
      </c>
      <c r="U439" s="10"/>
      <c r="V439" s="10"/>
      <c r="W439" s="10"/>
      <c r="X439" s="10"/>
      <c r="Y439" s="10"/>
      <c r="Z439" s="10"/>
      <c r="AA439" s="10"/>
    </row>
    <row r="440" spans="1:27" ht="12.5" x14ac:dyDescent="0.25">
      <c r="A440" s="10" t="s">
        <v>103</v>
      </c>
      <c r="B440" s="10" t="s">
        <v>1321</v>
      </c>
      <c r="C440" s="10" t="s">
        <v>76</v>
      </c>
      <c r="D440" s="11">
        <v>2024</v>
      </c>
      <c r="E440" s="10" t="s">
        <v>124</v>
      </c>
      <c r="F440" s="10" t="s">
        <v>83</v>
      </c>
      <c r="G440" s="10" t="s">
        <v>84</v>
      </c>
      <c r="H440" s="12">
        <v>29459.416666666701</v>
      </c>
      <c r="I440" s="11">
        <v>105</v>
      </c>
      <c r="J440" s="11">
        <v>73</v>
      </c>
      <c r="K440" s="11">
        <v>3805</v>
      </c>
      <c r="L440" s="11">
        <v>3.5642253608778201E-3</v>
      </c>
      <c r="M440" s="11">
        <v>0.35642253608778135</v>
      </c>
      <c r="N440" s="11">
        <v>0.69523809523809499</v>
      </c>
      <c r="O440" s="11">
        <v>0.12916073807752501</v>
      </c>
      <c r="P440" s="11">
        <v>3.7162162162162199E-2</v>
      </c>
      <c r="Q440" s="11">
        <v>4.3478260869565202E-2</v>
      </c>
      <c r="R440" s="11">
        <v>1.7897091722595099E-2</v>
      </c>
      <c r="S440" s="10" t="s">
        <v>84</v>
      </c>
      <c r="T440" s="10" t="s">
        <v>84</v>
      </c>
      <c r="U440" s="10"/>
      <c r="V440" s="10"/>
      <c r="W440" s="10"/>
      <c r="X440" s="10"/>
      <c r="Y440" s="10"/>
      <c r="Z440" s="10"/>
      <c r="AA440" s="10"/>
    </row>
    <row r="441" spans="1:27" ht="12.5" x14ac:dyDescent="0.25">
      <c r="A441" s="10" t="s">
        <v>92</v>
      </c>
      <c r="B441" s="10" t="s">
        <v>1324</v>
      </c>
      <c r="C441" s="10" t="s">
        <v>76</v>
      </c>
      <c r="D441" s="11">
        <v>2024</v>
      </c>
      <c r="E441" s="10" t="s">
        <v>124</v>
      </c>
      <c r="F441" s="10" t="s">
        <v>125</v>
      </c>
      <c r="G441" s="10" t="s">
        <v>84</v>
      </c>
      <c r="H441" s="12">
        <v>10470</v>
      </c>
      <c r="I441" s="11">
        <v>31</v>
      </c>
      <c r="J441" s="11">
        <v>30</v>
      </c>
      <c r="K441" s="11">
        <v>1074</v>
      </c>
      <c r="L441" s="11">
        <v>2.9608404966571201E-3</v>
      </c>
      <c r="M441" s="11">
        <v>0.29608404966571156</v>
      </c>
      <c r="N441" s="11">
        <v>0.967741935483871</v>
      </c>
      <c r="O441" s="11">
        <v>0.102578796561605</v>
      </c>
      <c r="P441" s="11">
        <v>3.37837837837838E-2</v>
      </c>
      <c r="Q441" s="11">
        <v>5.5555555555555601E-2</v>
      </c>
      <c r="R441" s="11">
        <v>1.5659955257270701E-2</v>
      </c>
      <c r="S441" s="10" t="s">
        <v>84</v>
      </c>
      <c r="T441" s="10" t="s">
        <v>84</v>
      </c>
      <c r="U441" s="10"/>
      <c r="V441" s="10"/>
      <c r="W441" s="10"/>
      <c r="X441" s="10"/>
      <c r="Y441" s="10"/>
      <c r="Z441" s="10"/>
      <c r="AA441" s="10"/>
    </row>
    <row r="442" spans="1:27" ht="12.5" x14ac:dyDescent="0.25">
      <c r="A442" s="10" t="s">
        <v>53</v>
      </c>
      <c r="B442" s="10" t="s">
        <v>1326</v>
      </c>
      <c r="C442" s="10" t="s">
        <v>76</v>
      </c>
      <c r="D442" s="11">
        <v>2024</v>
      </c>
      <c r="E442" s="10" t="s">
        <v>124</v>
      </c>
      <c r="F442" s="10" t="s">
        <v>125</v>
      </c>
      <c r="G442" s="10" t="s">
        <v>84</v>
      </c>
      <c r="H442" s="12">
        <v>1155.5833333333301</v>
      </c>
      <c r="I442" s="11">
        <v>3</v>
      </c>
      <c r="J442" s="11">
        <v>2</v>
      </c>
      <c r="K442" s="11">
        <v>240</v>
      </c>
      <c r="L442" s="11">
        <v>2.5960914401096098E-3</v>
      </c>
      <c r="M442" s="11">
        <v>0.25960914401096202</v>
      </c>
      <c r="N442" s="11">
        <v>0.66666666666666696</v>
      </c>
      <c r="O442" s="11">
        <v>0.20768731520876901</v>
      </c>
      <c r="P442" s="11">
        <v>2.95608108108108E-2</v>
      </c>
      <c r="Q442" s="11">
        <v>0.2</v>
      </c>
      <c r="R442" s="11">
        <v>1.34228187919463E-2</v>
      </c>
      <c r="S442" s="10" t="s">
        <v>84</v>
      </c>
      <c r="T442" s="10" t="s">
        <v>84</v>
      </c>
      <c r="U442" s="10"/>
      <c r="V442" s="10"/>
      <c r="W442" s="10"/>
      <c r="X442" s="10"/>
      <c r="Y442" s="10"/>
      <c r="Z442" s="10"/>
      <c r="AA442" s="10"/>
    </row>
    <row r="443" spans="1:27" ht="12.5" x14ac:dyDescent="0.25">
      <c r="A443" s="10" t="s">
        <v>53</v>
      </c>
      <c r="B443" s="10" t="s">
        <v>1329</v>
      </c>
      <c r="C443" s="10" t="s">
        <v>76</v>
      </c>
      <c r="D443" s="11">
        <v>2024</v>
      </c>
      <c r="E443" s="10" t="s">
        <v>124</v>
      </c>
      <c r="F443" s="10" t="s">
        <v>125</v>
      </c>
      <c r="G443" s="10" t="s">
        <v>84</v>
      </c>
      <c r="H443" s="12">
        <v>890.16666666666697</v>
      </c>
      <c r="I443" s="11">
        <v>2</v>
      </c>
      <c r="J443" s="11">
        <v>1</v>
      </c>
      <c r="K443" s="11">
        <v>516</v>
      </c>
      <c r="L443" s="11">
        <v>2.2467702677401199E-3</v>
      </c>
      <c r="M443" s="11">
        <v>0.2246770267740123</v>
      </c>
      <c r="N443" s="11">
        <v>0.5</v>
      </c>
      <c r="O443" s="11">
        <v>0.57966672907695205</v>
      </c>
      <c r="P443" s="11">
        <v>2.5337837837837801E-2</v>
      </c>
      <c r="Q443" s="11">
        <v>0.17499999999999999</v>
      </c>
      <c r="R443" s="11">
        <v>1.11856823266219E-2</v>
      </c>
      <c r="S443" s="10" t="s">
        <v>84</v>
      </c>
      <c r="T443" s="10" t="s">
        <v>84</v>
      </c>
      <c r="U443" s="10"/>
      <c r="V443" s="10"/>
      <c r="W443" s="10"/>
      <c r="X443" s="10"/>
      <c r="Y443" s="10"/>
      <c r="Z443" s="10"/>
      <c r="AA443" s="10"/>
    </row>
    <row r="444" spans="1:27" ht="12.5" x14ac:dyDescent="0.25">
      <c r="A444" s="10" t="s">
        <v>82</v>
      </c>
      <c r="B444" s="10" t="s">
        <v>1331</v>
      </c>
      <c r="C444" s="10" t="s">
        <v>76</v>
      </c>
      <c r="D444" s="11">
        <v>2024</v>
      </c>
      <c r="E444" s="10" t="s">
        <v>124</v>
      </c>
      <c r="F444" s="10" t="s">
        <v>83</v>
      </c>
      <c r="G444" s="10" t="s">
        <v>84</v>
      </c>
      <c r="H444" s="12">
        <v>1051.8333333333301</v>
      </c>
      <c r="I444" s="11">
        <v>2</v>
      </c>
      <c r="J444" s="11">
        <v>2</v>
      </c>
      <c r="K444" s="11">
        <v>440</v>
      </c>
      <c r="L444" s="11">
        <v>1.9014419267944899E-3</v>
      </c>
      <c r="M444" s="11">
        <v>0.19014419267944915</v>
      </c>
      <c r="N444" s="11">
        <v>1</v>
      </c>
      <c r="O444" s="11">
        <v>0.41831722389478698</v>
      </c>
      <c r="P444" s="11">
        <v>2.1959459459459499E-2</v>
      </c>
      <c r="Q444" s="11">
        <v>0</v>
      </c>
      <c r="R444" s="11">
        <v>8.9485458612975407E-3</v>
      </c>
      <c r="S444" s="10" t="s">
        <v>84</v>
      </c>
      <c r="T444" s="10" t="s">
        <v>84</v>
      </c>
      <c r="U444" s="10"/>
      <c r="V444" s="10"/>
      <c r="W444" s="10"/>
      <c r="X444" s="10"/>
      <c r="Y444" s="10"/>
      <c r="Z444" s="10"/>
      <c r="AA444" s="10"/>
    </row>
    <row r="445" spans="1:27" ht="12.5" x14ac:dyDescent="0.25">
      <c r="A445" s="10" t="s">
        <v>103</v>
      </c>
      <c r="B445" s="10" t="s">
        <v>1334</v>
      </c>
      <c r="C445" s="10" t="s">
        <v>76</v>
      </c>
      <c r="D445" s="11">
        <v>2024</v>
      </c>
      <c r="E445" s="10" t="s">
        <v>124</v>
      </c>
      <c r="F445" s="10" t="s">
        <v>83</v>
      </c>
      <c r="G445" s="10" t="s">
        <v>84</v>
      </c>
      <c r="H445" s="12">
        <v>1440137.83333333</v>
      </c>
      <c r="I445" s="11">
        <v>940</v>
      </c>
      <c r="J445" s="11">
        <v>769</v>
      </c>
      <c r="K445" s="11">
        <v>9030</v>
      </c>
      <c r="L445" s="11">
        <v>6.5271530144047599E-4</v>
      </c>
      <c r="M445" s="11">
        <v>6.5271530144047712E-2</v>
      </c>
      <c r="N445" s="11">
        <v>0.81808510638297904</v>
      </c>
      <c r="O445" s="11">
        <v>6.2702331617101002E-3</v>
      </c>
      <c r="P445" s="11">
        <v>1.0979729729729701E-2</v>
      </c>
      <c r="Q445" s="11">
        <v>0</v>
      </c>
      <c r="R445" s="11">
        <v>6.7114093959731499E-3</v>
      </c>
      <c r="S445" s="10" t="s">
        <v>84</v>
      </c>
      <c r="T445" s="10" t="s">
        <v>84</v>
      </c>
      <c r="U445" s="10"/>
      <c r="V445" s="10"/>
      <c r="W445" s="10"/>
      <c r="X445" s="10"/>
      <c r="Y445" s="10"/>
      <c r="Z445" s="10"/>
      <c r="AA445" s="10"/>
    </row>
    <row r="446" spans="1:27" ht="12.5" x14ac:dyDescent="0.25">
      <c r="A446" s="10"/>
      <c r="B446" s="10"/>
      <c r="C446" s="10"/>
      <c r="D446" s="11"/>
      <c r="E446" s="10"/>
      <c r="F446" s="10"/>
      <c r="G446" s="10"/>
      <c r="H446" s="12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2.5" x14ac:dyDescent="0.25">
      <c r="A447" s="10"/>
      <c r="B447" s="10"/>
      <c r="C447" s="10"/>
      <c r="D447" s="11"/>
      <c r="E447" s="10"/>
      <c r="F447" s="10"/>
      <c r="G447" s="10"/>
      <c r="H447" s="12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2.5" x14ac:dyDescent="0.25">
      <c r="A448" s="10"/>
      <c r="B448" s="10"/>
      <c r="C448" s="10"/>
      <c r="D448" s="11"/>
      <c r="E448" s="10"/>
      <c r="F448" s="10"/>
      <c r="G448" s="10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2.5" x14ac:dyDescent="0.25">
      <c r="A449" s="10"/>
      <c r="B449" s="10"/>
      <c r="C449" s="10"/>
      <c r="D449" s="11"/>
      <c r="E449" s="10"/>
      <c r="F449" s="10"/>
      <c r="G449" s="10"/>
      <c r="H449" s="12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2.5" x14ac:dyDescent="0.25">
      <c r="A450" s="10"/>
      <c r="B450" s="10"/>
      <c r="C450" s="10"/>
      <c r="D450" s="11"/>
      <c r="E450" s="10"/>
      <c r="F450" s="10"/>
      <c r="G450" s="10"/>
      <c r="H450" s="12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2.5" x14ac:dyDescent="0.25">
      <c r="A451" s="10"/>
      <c r="B451" s="10"/>
      <c r="C451" s="10"/>
      <c r="D451" s="11"/>
      <c r="E451" s="10"/>
      <c r="F451" s="10"/>
      <c r="G451" s="10"/>
      <c r="H451" s="12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2.5" x14ac:dyDescent="0.25">
      <c r="A452" s="10"/>
      <c r="B452" s="10"/>
      <c r="C452" s="10"/>
      <c r="D452" s="11"/>
      <c r="E452" s="10"/>
      <c r="F452" s="10"/>
      <c r="G452" s="10"/>
      <c r="H452" s="12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2.5" x14ac:dyDescent="0.25">
      <c r="A453" s="10"/>
      <c r="B453" s="10"/>
      <c r="C453" s="10"/>
      <c r="D453" s="11"/>
      <c r="E453" s="10"/>
      <c r="F453" s="10"/>
      <c r="G453" s="10"/>
      <c r="H453" s="12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2.5" x14ac:dyDescent="0.25">
      <c r="A454" s="10"/>
      <c r="B454" s="10"/>
      <c r="C454" s="10"/>
      <c r="D454" s="11"/>
      <c r="E454" s="10"/>
      <c r="F454" s="10"/>
      <c r="G454" s="10"/>
      <c r="H454" s="12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2.5" x14ac:dyDescent="0.25">
      <c r="A455" s="10"/>
      <c r="B455" s="10"/>
      <c r="C455" s="10"/>
      <c r="D455" s="11"/>
      <c r="E455" s="10"/>
      <c r="F455" s="10"/>
      <c r="G455" s="10"/>
      <c r="H455" s="12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2.5" x14ac:dyDescent="0.25">
      <c r="A456" s="10"/>
      <c r="B456" s="10"/>
      <c r="C456" s="10"/>
      <c r="D456" s="11"/>
      <c r="E456" s="10"/>
      <c r="F456" s="10"/>
      <c r="G456" s="10"/>
      <c r="H456" s="12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2.5" x14ac:dyDescent="0.25">
      <c r="A457" s="10"/>
      <c r="B457" s="10"/>
      <c r="C457" s="10"/>
      <c r="D457" s="11"/>
      <c r="E457" s="10"/>
      <c r="F457" s="10"/>
      <c r="G457" s="10"/>
      <c r="H457" s="12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2.5" x14ac:dyDescent="0.25">
      <c r="A458" s="10"/>
      <c r="B458" s="10"/>
      <c r="C458" s="10"/>
      <c r="D458" s="11"/>
      <c r="E458" s="10"/>
      <c r="F458" s="10"/>
      <c r="G458" s="10"/>
      <c r="H458" s="12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2.5" x14ac:dyDescent="0.25">
      <c r="A459" s="10"/>
      <c r="B459" s="10"/>
      <c r="C459" s="10"/>
      <c r="D459" s="11"/>
      <c r="E459" s="10"/>
      <c r="F459" s="10"/>
      <c r="G459" s="10"/>
      <c r="H459" s="12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2.5" x14ac:dyDescent="0.25">
      <c r="A460" s="10"/>
      <c r="B460" s="10"/>
      <c r="C460" s="10"/>
      <c r="D460" s="11"/>
      <c r="E460" s="10"/>
      <c r="F460" s="10"/>
      <c r="G460" s="10"/>
      <c r="H460" s="12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2.5" x14ac:dyDescent="0.25">
      <c r="A461" s="10"/>
      <c r="B461" s="10"/>
      <c r="C461" s="10"/>
      <c r="D461" s="11"/>
      <c r="E461" s="10"/>
      <c r="F461" s="10"/>
      <c r="G461" s="10"/>
      <c r="H461" s="12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2.5" x14ac:dyDescent="0.25">
      <c r="A462" s="10"/>
      <c r="B462" s="10"/>
      <c r="C462" s="10"/>
      <c r="D462" s="11"/>
      <c r="E462" s="10"/>
      <c r="F462" s="10"/>
      <c r="G462" s="10"/>
      <c r="H462" s="12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2.5" x14ac:dyDescent="0.25">
      <c r="A463" s="10"/>
      <c r="B463" s="10"/>
      <c r="C463" s="10"/>
      <c r="D463" s="11"/>
      <c r="E463" s="10"/>
      <c r="F463" s="10"/>
      <c r="G463" s="10"/>
      <c r="H463" s="12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2.5" x14ac:dyDescent="0.25">
      <c r="A464" s="10"/>
      <c r="B464" s="10"/>
      <c r="C464" s="10"/>
      <c r="D464" s="11"/>
      <c r="E464" s="10"/>
      <c r="F464" s="10"/>
      <c r="G464" s="10"/>
      <c r="H464" s="12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2.5" x14ac:dyDescent="0.25">
      <c r="A465" s="10"/>
      <c r="B465" s="10"/>
      <c r="C465" s="10"/>
      <c r="D465" s="11"/>
      <c r="E465" s="10"/>
      <c r="F465" s="10"/>
      <c r="G465" s="10"/>
      <c r="H465" s="12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2.5" x14ac:dyDescent="0.25">
      <c r="A466" s="10"/>
      <c r="B466" s="10"/>
      <c r="C466" s="10"/>
      <c r="D466" s="11"/>
      <c r="E466" s="10"/>
      <c r="F466" s="10"/>
      <c r="G466" s="10"/>
      <c r="H466" s="12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2.5" x14ac:dyDescent="0.25">
      <c r="A467" s="10"/>
      <c r="B467" s="10"/>
      <c r="C467" s="10"/>
      <c r="D467" s="11"/>
      <c r="E467" s="10"/>
      <c r="F467" s="10"/>
      <c r="G467" s="10"/>
      <c r="H467" s="12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2.5" x14ac:dyDescent="0.25">
      <c r="A468" s="10"/>
      <c r="B468" s="10"/>
      <c r="C468" s="10"/>
      <c r="D468" s="11"/>
      <c r="E468" s="10"/>
      <c r="F468" s="10"/>
      <c r="G468" s="10"/>
      <c r="H468" s="12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2.5" x14ac:dyDescent="0.25">
      <c r="A469" s="10"/>
      <c r="B469" s="10"/>
      <c r="C469" s="10"/>
      <c r="D469" s="11"/>
      <c r="E469" s="10"/>
      <c r="F469" s="10"/>
      <c r="G469" s="10"/>
      <c r="H469" s="12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2.5" x14ac:dyDescent="0.25">
      <c r="A470" s="10"/>
      <c r="B470" s="10"/>
      <c r="C470" s="10"/>
      <c r="D470" s="11"/>
      <c r="E470" s="10"/>
      <c r="F470" s="10"/>
      <c r="G470" s="10"/>
      <c r="H470" s="12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2.5" x14ac:dyDescent="0.25">
      <c r="A471" s="10"/>
      <c r="B471" s="10"/>
      <c r="C471" s="10"/>
      <c r="D471" s="11"/>
      <c r="E471" s="10"/>
      <c r="F471" s="10"/>
      <c r="G471" s="10"/>
      <c r="H471" s="12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2.5" x14ac:dyDescent="0.25">
      <c r="A472" s="10"/>
      <c r="B472" s="10"/>
      <c r="C472" s="10"/>
      <c r="D472" s="11"/>
      <c r="E472" s="10"/>
      <c r="F472" s="10"/>
      <c r="G472" s="10"/>
      <c r="H472" s="12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2.5" x14ac:dyDescent="0.25">
      <c r="A473" s="10"/>
      <c r="B473" s="10"/>
      <c r="C473" s="10"/>
      <c r="D473" s="11"/>
      <c r="E473" s="10"/>
      <c r="F473" s="10"/>
      <c r="G473" s="10"/>
      <c r="H473" s="12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2.5" x14ac:dyDescent="0.25">
      <c r="A474" s="10"/>
      <c r="B474" s="10"/>
      <c r="C474" s="10"/>
      <c r="D474" s="11"/>
      <c r="E474" s="10"/>
      <c r="F474" s="10"/>
      <c r="G474" s="10"/>
      <c r="H474" s="12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2.5" x14ac:dyDescent="0.25">
      <c r="A475" s="10"/>
      <c r="B475" s="10"/>
      <c r="C475" s="10"/>
      <c r="D475" s="11"/>
      <c r="E475" s="10"/>
      <c r="F475" s="10"/>
      <c r="G475" s="10"/>
      <c r="H475" s="12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2.5" x14ac:dyDescent="0.25">
      <c r="A476" s="10"/>
      <c r="B476" s="10"/>
      <c r="C476" s="10"/>
      <c r="D476" s="11"/>
      <c r="E476" s="10"/>
      <c r="F476" s="10"/>
      <c r="G476" s="10"/>
      <c r="H476" s="12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2.5" x14ac:dyDescent="0.25">
      <c r="A477" s="10"/>
      <c r="B477" s="10"/>
      <c r="C477" s="10"/>
      <c r="D477" s="11"/>
      <c r="E477" s="10"/>
      <c r="F477" s="10"/>
      <c r="G477" s="10"/>
      <c r="H477" s="12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2.5" x14ac:dyDescent="0.25">
      <c r="A478" s="10"/>
      <c r="B478" s="10"/>
      <c r="C478" s="10"/>
      <c r="D478" s="11"/>
      <c r="E478" s="10"/>
      <c r="F478" s="10"/>
      <c r="G478" s="10"/>
      <c r="H478" s="12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2.5" x14ac:dyDescent="0.25">
      <c r="A479" s="10"/>
      <c r="B479" s="10"/>
      <c r="C479" s="10"/>
      <c r="D479" s="11"/>
      <c r="E479" s="10"/>
      <c r="F479" s="10"/>
      <c r="G479" s="10"/>
      <c r="H479" s="12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2.5" x14ac:dyDescent="0.25">
      <c r="A480" s="10"/>
      <c r="B480" s="10"/>
      <c r="C480" s="10"/>
      <c r="D480" s="11"/>
      <c r="E480" s="10"/>
      <c r="F480" s="10"/>
      <c r="G480" s="10"/>
      <c r="H480" s="12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2.5" x14ac:dyDescent="0.25">
      <c r="A481" s="10"/>
      <c r="B481" s="10"/>
      <c r="C481" s="10"/>
      <c r="D481" s="11"/>
      <c r="E481" s="10"/>
      <c r="F481" s="10"/>
      <c r="G481" s="10"/>
      <c r="H481" s="12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2.5" x14ac:dyDescent="0.25">
      <c r="A482" s="10"/>
      <c r="B482" s="10"/>
      <c r="C482" s="10"/>
      <c r="D482" s="11"/>
      <c r="E482" s="10"/>
      <c r="F482" s="10"/>
      <c r="G482" s="10"/>
      <c r="H482" s="12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2.5" x14ac:dyDescent="0.25">
      <c r="A483" s="10"/>
      <c r="B483" s="10"/>
      <c r="C483" s="10"/>
      <c r="D483" s="11"/>
      <c r="E483" s="10"/>
      <c r="F483" s="10"/>
      <c r="G483" s="10"/>
      <c r="H483" s="12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2.5" x14ac:dyDescent="0.25">
      <c r="A484" s="10"/>
      <c r="B484" s="10"/>
      <c r="C484" s="10"/>
      <c r="D484" s="11"/>
      <c r="E484" s="10"/>
      <c r="F484" s="10"/>
      <c r="G484" s="10"/>
      <c r="H484" s="12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2.5" x14ac:dyDescent="0.25">
      <c r="A485" s="10"/>
      <c r="B485" s="10"/>
      <c r="C485" s="10"/>
      <c r="D485" s="11"/>
      <c r="E485" s="10"/>
      <c r="F485" s="10"/>
      <c r="G485" s="10"/>
      <c r="H485" s="12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2.5" x14ac:dyDescent="0.25">
      <c r="A486" s="10"/>
      <c r="B486" s="10"/>
      <c r="C486" s="10"/>
      <c r="D486" s="11"/>
      <c r="E486" s="10"/>
      <c r="F486" s="10"/>
      <c r="G486" s="10"/>
      <c r="H486" s="12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2.5" x14ac:dyDescent="0.25">
      <c r="A487" s="10"/>
      <c r="B487" s="10"/>
      <c r="C487" s="10"/>
      <c r="D487" s="11"/>
      <c r="E487" s="10"/>
      <c r="F487" s="10"/>
      <c r="G487" s="10"/>
      <c r="H487" s="12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2.5" x14ac:dyDescent="0.25">
      <c r="A488" s="10"/>
      <c r="B488" s="10"/>
      <c r="C488" s="10"/>
      <c r="D488" s="11"/>
      <c r="E488" s="10"/>
      <c r="F488" s="10"/>
      <c r="G488" s="10"/>
      <c r="H488" s="12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2.5" x14ac:dyDescent="0.25">
      <c r="A489" s="10"/>
      <c r="B489" s="10"/>
      <c r="C489" s="10"/>
      <c r="D489" s="11"/>
      <c r="E489" s="10"/>
      <c r="F489" s="10"/>
      <c r="G489" s="10"/>
      <c r="H489" s="12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2.5" x14ac:dyDescent="0.25">
      <c r="A490" s="10"/>
      <c r="B490" s="10"/>
      <c r="C490" s="10"/>
      <c r="D490" s="11"/>
      <c r="E490" s="10"/>
      <c r="F490" s="10"/>
      <c r="G490" s="10"/>
      <c r="H490" s="12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2.5" x14ac:dyDescent="0.25">
      <c r="A491" s="10"/>
      <c r="B491" s="10"/>
      <c r="C491" s="10"/>
      <c r="D491" s="11"/>
      <c r="E491" s="10"/>
      <c r="F491" s="10"/>
      <c r="G491" s="10"/>
      <c r="H491" s="12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2.5" x14ac:dyDescent="0.25">
      <c r="A492" s="10"/>
      <c r="B492" s="10"/>
      <c r="C492" s="10"/>
      <c r="D492" s="11"/>
      <c r="E492" s="10"/>
      <c r="F492" s="10"/>
      <c r="G492" s="10"/>
      <c r="H492" s="12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2.5" x14ac:dyDescent="0.25">
      <c r="A493" s="10"/>
      <c r="B493" s="10"/>
      <c r="C493" s="10"/>
      <c r="D493" s="11"/>
      <c r="E493" s="10"/>
      <c r="F493" s="10"/>
      <c r="G493" s="10"/>
      <c r="H493" s="12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2.5" x14ac:dyDescent="0.25">
      <c r="A494" s="10"/>
      <c r="B494" s="10"/>
      <c r="C494" s="10"/>
      <c r="D494" s="11"/>
      <c r="E494" s="10"/>
      <c r="F494" s="10"/>
      <c r="G494" s="10"/>
      <c r="H494" s="12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2.5" x14ac:dyDescent="0.25">
      <c r="A495" s="10"/>
      <c r="B495" s="10"/>
      <c r="C495" s="10"/>
      <c r="D495" s="11"/>
      <c r="E495" s="10"/>
      <c r="F495" s="10"/>
      <c r="G495" s="10"/>
      <c r="H495" s="12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2.5" x14ac:dyDescent="0.25">
      <c r="A496" s="10"/>
      <c r="B496" s="10"/>
      <c r="C496" s="10"/>
      <c r="D496" s="11"/>
      <c r="E496" s="10"/>
      <c r="F496" s="10"/>
      <c r="G496" s="10"/>
      <c r="H496" s="12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2.5" x14ac:dyDescent="0.25">
      <c r="A497" s="10"/>
      <c r="B497" s="10"/>
      <c r="C497" s="10"/>
      <c r="D497" s="11"/>
      <c r="E497" s="10"/>
      <c r="F497" s="10"/>
      <c r="G497" s="10"/>
      <c r="H497" s="12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2.5" x14ac:dyDescent="0.25">
      <c r="A498" s="10"/>
      <c r="B498" s="10"/>
      <c r="C498" s="10"/>
      <c r="D498" s="11"/>
      <c r="E498" s="10"/>
      <c r="F498" s="10"/>
      <c r="G498" s="10"/>
      <c r="H498" s="12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2.5" x14ac:dyDescent="0.25">
      <c r="A499" s="10"/>
      <c r="B499" s="10"/>
      <c r="C499" s="10"/>
      <c r="D499" s="11"/>
      <c r="E499" s="10"/>
      <c r="F499" s="10"/>
      <c r="G499" s="10"/>
      <c r="H499" s="12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2.5" x14ac:dyDescent="0.25">
      <c r="A500" s="10"/>
      <c r="B500" s="10"/>
      <c r="C500" s="10"/>
      <c r="D500" s="11"/>
      <c r="E500" s="10"/>
      <c r="F500" s="10"/>
      <c r="G500" s="10"/>
      <c r="H500" s="12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2.5" x14ac:dyDescent="0.25">
      <c r="A501" s="10"/>
      <c r="B501" s="10"/>
      <c r="C501" s="10"/>
      <c r="D501" s="11"/>
      <c r="E501" s="10"/>
      <c r="F501" s="10"/>
      <c r="G501" s="10"/>
      <c r="H501" s="12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2.5" x14ac:dyDescent="0.25">
      <c r="A502" s="10"/>
      <c r="B502" s="10"/>
      <c r="C502" s="10"/>
      <c r="D502" s="11"/>
      <c r="E502" s="10"/>
      <c r="F502" s="10"/>
      <c r="G502" s="10"/>
      <c r="H502" s="12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2.5" x14ac:dyDescent="0.25">
      <c r="A503" s="10"/>
      <c r="B503" s="10"/>
      <c r="C503" s="10"/>
      <c r="D503" s="11"/>
      <c r="E503" s="10"/>
      <c r="F503" s="10"/>
      <c r="G503" s="10"/>
      <c r="H503" s="12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2.5" x14ac:dyDescent="0.25">
      <c r="A504" s="10"/>
      <c r="B504" s="10"/>
      <c r="C504" s="10"/>
      <c r="D504" s="11"/>
      <c r="E504" s="10"/>
      <c r="F504" s="10"/>
      <c r="G504" s="10"/>
      <c r="H504" s="12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2.5" x14ac:dyDescent="0.25">
      <c r="A505" s="10"/>
      <c r="B505" s="10"/>
      <c r="C505" s="10"/>
      <c r="D505" s="11"/>
      <c r="E505" s="10"/>
      <c r="F505" s="10"/>
      <c r="G505" s="10"/>
      <c r="H505" s="12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2.5" x14ac:dyDescent="0.25">
      <c r="A506" s="10"/>
      <c r="B506" s="10"/>
      <c r="C506" s="10"/>
      <c r="D506" s="11"/>
      <c r="E506" s="10"/>
      <c r="F506" s="10"/>
      <c r="G506" s="10"/>
      <c r="H506" s="12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2.5" x14ac:dyDescent="0.25">
      <c r="A507" s="10"/>
      <c r="B507" s="10"/>
      <c r="C507" s="10"/>
      <c r="D507" s="11"/>
      <c r="E507" s="10"/>
      <c r="F507" s="10"/>
      <c r="G507" s="10"/>
      <c r="H507" s="12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2.5" x14ac:dyDescent="0.25">
      <c r="A508" s="10"/>
      <c r="B508" s="10"/>
      <c r="C508" s="10"/>
      <c r="D508" s="11"/>
      <c r="E508" s="10"/>
      <c r="F508" s="10"/>
      <c r="G508" s="10"/>
      <c r="H508" s="12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2.5" x14ac:dyDescent="0.25">
      <c r="A509" s="10"/>
      <c r="B509" s="10"/>
      <c r="C509" s="10"/>
      <c r="D509" s="11"/>
      <c r="E509" s="10"/>
      <c r="F509" s="10"/>
      <c r="G509" s="10"/>
      <c r="H509" s="12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2.5" x14ac:dyDescent="0.25">
      <c r="A510" s="10"/>
      <c r="B510" s="10"/>
      <c r="C510" s="10"/>
      <c r="D510" s="11"/>
      <c r="E510" s="10"/>
      <c r="F510" s="10"/>
      <c r="G510" s="10"/>
      <c r="H510" s="12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2.5" x14ac:dyDescent="0.25">
      <c r="A511" s="10"/>
      <c r="B511" s="10"/>
      <c r="C511" s="10"/>
      <c r="D511" s="11"/>
      <c r="E511" s="10"/>
      <c r="F511" s="10"/>
      <c r="G511" s="10"/>
      <c r="H511" s="12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2.5" x14ac:dyDescent="0.25">
      <c r="A512" s="10"/>
      <c r="B512" s="10"/>
      <c r="C512" s="10"/>
      <c r="D512" s="11"/>
      <c r="E512" s="10"/>
      <c r="F512" s="10"/>
      <c r="G512" s="10"/>
      <c r="H512" s="12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2.5" x14ac:dyDescent="0.25">
      <c r="A513" s="10"/>
      <c r="B513" s="10"/>
      <c r="C513" s="10"/>
      <c r="D513" s="11"/>
      <c r="E513" s="10"/>
      <c r="F513" s="10"/>
      <c r="G513" s="10"/>
      <c r="H513" s="12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2.5" x14ac:dyDescent="0.25">
      <c r="A514" s="10"/>
      <c r="B514" s="10"/>
      <c r="C514" s="10"/>
      <c r="D514" s="11"/>
      <c r="E514" s="10"/>
      <c r="F514" s="10"/>
      <c r="G514" s="10"/>
      <c r="H514" s="12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2.5" x14ac:dyDescent="0.25">
      <c r="A515" s="10"/>
      <c r="B515" s="10"/>
      <c r="C515" s="10"/>
      <c r="D515" s="11"/>
      <c r="E515" s="10"/>
      <c r="F515" s="10"/>
      <c r="G515" s="10"/>
      <c r="H515" s="12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2.5" x14ac:dyDescent="0.25">
      <c r="A516" s="10"/>
      <c r="B516" s="10"/>
      <c r="C516" s="10"/>
      <c r="D516" s="11"/>
      <c r="E516" s="10"/>
      <c r="F516" s="10"/>
      <c r="G516" s="10"/>
      <c r="H516" s="12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2.5" x14ac:dyDescent="0.25">
      <c r="A517" s="10"/>
      <c r="B517" s="10"/>
      <c r="C517" s="10"/>
      <c r="D517" s="11"/>
      <c r="E517" s="10"/>
      <c r="F517" s="10"/>
      <c r="G517" s="10"/>
      <c r="H517" s="12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2.5" x14ac:dyDescent="0.25">
      <c r="A518" s="10"/>
      <c r="B518" s="10"/>
      <c r="C518" s="10"/>
      <c r="D518" s="11"/>
      <c r="E518" s="10"/>
      <c r="F518" s="10"/>
      <c r="G518" s="10"/>
      <c r="H518" s="12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2.5" x14ac:dyDescent="0.25">
      <c r="A519" s="10"/>
      <c r="B519" s="10"/>
      <c r="C519" s="10"/>
      <c r="D519" s="11"/>
      <c r="E519" s="10"/>
      <c r="F519" s="10"/>
      <c r="G519" s="10"/>
      <c r="H519" s="12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2.5" x14ac:dyDescent="0.25">
      <c r="A520" s="10"/>
      <c r="B520" s="10"/>
      <c r="C520" s="10"/>
      <c r="D520" s="11"/>
      <c r="E520" s="10"/>
      <c r="F520" s="10"/>
      <c r="G520" s="10"/>
      <c r="H520" s="12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2.5" x14ac:dyDescent="0.25">
      <c r="A521" s="10"/>
      <c r="B521" s="10"/>
      <c r="C521" s="10"/>
      <c r="D521" s="11"/>
      <c r="E521" s="10"/>
      <c r="F521" s="10"/>
      <c r="G521" s="10"/>
      <c r="H521" s="12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2.5" x14ac:dyDescent="0.25">
      <c r="A522" s="10"/>
      <c r="B522" s="10"/>
      <c r="C522" s="10"/>
      <c r="D522" s="11"/>
      <c r="E522" s="10"/>
      <c r="F522" s="10"/>
      <c r="G522" s="10"/>
      <c r="H522" s="12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2.5" x14ac:dyDescent="0.25">
      <c r="A523" s="10"/>
      <c r="B523" s="10"/>
      <c r="C523" s="10"/>
      <c r="D523" s="11"/>
      <c r="E523" s="10"/>
      <c r="F523" s="10"/>
      <c r="G523" s="10"/>
      <c r="H523" s="12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2.5" x14ac:dyDescent="0.25">
      <c r="A524" s="10"/>
      <c r="B524" s="10"/>
      <c r="C524" s="10"/>
      <c r="D524" s="11"/>
      <c r="E524" s="10"/>
      <c r="F524" s="10"/>
      <c r="G524" s="10"/>
      <c r="H524" s="12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2.5" x14ac:dyDescent="0.25">
      <c r="A525" s="10"/>
      <c r="B525" s="10"/>
      <c r="C525" s="10"/>
      <c r="D525" s="11"/>
      <c r="E525" s="10"/>
      <c r="F525" s="10"/>
      <c r="G525" s="10"/>
      <c r="H525" s="12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2.5" x14ac:dyDescent="0.25">
      <c r="A526" s="10"/>
      <c r="B526" s="10"/>
      <c r="C526" s="10"/>
      <c r="D526" s="11"/>
      <c r="E526" s="10"/>
      <c r="F526" s="10"/>
      <c r="G526" s="10"/>
      <c r="H526" s="12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2.5" x14ac:dyDescent="0.25">
      <c r="A527" s="10"/>
      <c r="B527" s="10"/>
      <c r="C527" s="10"/>
      <c r="D527" s="11"/>
      <c r="E527" s="10"/>
      <c r="F527" s="10"/>
      <c r="G527" s="10"/>
      <c r="H527" s="12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2.5" x14ac:dyDescent="0.25">
      <c r="A528" s="10"/>
      <c r="B528" s="10"/>
      <c r="C528" s="10"/>
      <c r="D528" s="11"/>
      <c r="E528" s="10"/>
      <c r="F528" s="10"/>
      <c r="G528" s="10"/>
      <c r="H528" s="12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2.5" x14ac:dyDescent="0.25">
      <c r="A529" s="10"/>
      <c r="B529" s="10"/>
      <c r="C529" s="10"/>
      <c r="D529" s="11"/>
      <c r="E529" s="10"/>
      <c r="F529" s="10"/>
      <c r="G529" s="10"/>
      <c r="H529" s="12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2.5" x14ac:dyDescent="0.25">
      <c r="A530" s="10"/>
      <c r="B530" s="10"/>
      <c r="C530" s="10"/>
      <c r="D530" s="11"/>
      <c r="E530" s="10"/>
      <c r="F530" s="10"/>
      <c r="G530" s="10"/>
      <c r="H530" s="12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2.5" x14ac:dyDescent="0.25">
      <c r="A531" s="10"/>
      <c r="B531" s="10"/>
      <c r="C531" s="10"/>
      <c r="D531" s="11"/>
      <c r="E531" s="10"/>
      <c r="F531" s="10"/>
      <c r="G531" s="10"/>
      <c r="H531" s="12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2.5" x14ac:dyDescent="0.25">
      <c r="A532" s="10"/>
      <c r="B532" s="10"/>
      <c r="C532" s="10"/>
      <c r="D532" s="11"/>
      <c r="E532" s="10"/>
      <c r="F532" s="10"/>
      <c r="G532" s="10"/>
      <c r="H532" s="12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2.5" x14ac:dyDescent="0.25">
      <c r="A533" s="10"/>
      <c r="B533" s="10"/>
      <c r="C533" s="10"/>
      <c r="D533" s="11"/>
      <c r="E533" s="10"/>
      <c r="F533" s="10"/>
      <c r="G533" s="10"/>
      <c r="H533" s="12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2.5" x14ac:dyDescent="0.25">
      <c r="A534" s="10"/>
      <c r="B534" s="10"/>
      <c r="C534" s="10"/>
      <c r="D534" s="11"/>
      <c r="E534" s="10"/>
      <c r="F534" s="10"/>
      <c r="G534" s="10"/>
      <c r="H534" s="12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2.5" x14ac:dyDescent="0.25">
      <c r="A535" s="10"/>
      <c r="B535" s="10"/>
      <c r="C535" s="10"/>
      <c r="D535" s="11"/>
      <c r="E535" s="10"/>
      <c r="F535" s="10"/>
      <c r="G535" s="10"/>
      <c r="H535" s="12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2.5" x14ac:dyDescent="0.25">
      <c r="A536" s="10"/>
      <c r="B536" s="10"/>
      <c r="C536" s="10"/>
      <c r="D536" s="11"/>
      <c r="E536" s="10"/>
      <c r="F536" s="10"/>
      <c r="G536" s="10"/>
      <c r="H536" s="12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2.5" x14ac:dyDescent="0.25">
      <c r="A537" s="10"/>
      <c r="B537" s="10"/>
      <c r="C537" s="10"/>
      <c r="D537" s="11"/>
      <c r="E537" s="10"/>
      <c r="F537" s="10"/>
      <c r="G537" s="10"/>
      <c r="H537" s="12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2.5" x14ac:dyDescent="0.25">
      <c r="A538" s="10"/>
      <c r="B538" s="10"/>
      <c r="C538" s="10"/>
      <c r="D538" s="11"/>
      <c r="E538" s="10"/>
      <c r="F538" s="10"/>
      <c r="G538" s="10"/>
      <c r="H538" s="12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2.5" x14ac:dyDescent="0.25">
      <c r="A539" s="10"/>
      <c r="B539" s="10"/>
      <c r="C539" s="10"/>
      <c r="D539" s="11"/>
      <c r="E539" s="10"/>
      <c r="F539" s="10"/>
      <c r="G539" s="10"/>
      <c r="H539" s="12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2.5" x14ac:dyDescent="0.25">
      <c r="A540" s="10"/>
      <c r="B540" s="10"/>
      <c r="C540" s="10"/>
      <c r="D540" s="11"/>
      <c r="E540" s="10"/>
      <c r="F540" s="10"/>
      <c r="G540" s="10"/>
      <c r="H540" s="12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2.5" x14ac:dyDescent="0.25">
      <c r="A541" s="10"/>
      <c r="B541" s="10"/>
      <c r="C541" s="10"/>
      <c r="D541" s="11"/>
      <c r="E541" s="10"/>
      <c r="F541" s="10"/>
      <c r="G541" s="10"/>
      <c r="H541" s="12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2.5" x14ac:dyDescent="0.25">
      <c r="A542" s="10"/>
      <c r="B542" s="10"/>
      <c r="C542" s="10"/>
      <c r="D542" s="11"/>
      <c r="E542" s="10"/>
      <c r="F542" s="10"/>
      <c r="G542" s="10"/>
      <c r="H542" s="12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2.5" x14ac:dyDescent="0.25">
      <c r="A543" s="10"/>
      <c r="B543" s="10"/>
      <c r="C543" s="10"/>
      <c r="D543" s="11"/>
      <c r="E543" s="10"/>
      <c r="F543" s="10"/>
      <c r="G543" s="10"/>
      <c r="H543" s="12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2.5" x14ac:dyDescent="0.25">
      <c r="A544" s="10"/>
      <c r="B544" s="10"/>
      <c r="C544" s="10"/>
      <c r="D544" s="11"/>
      <c r="E544" s="10"/>
      <c r="F544" s="10"/>
      <c r="G544" s="10"/>
      <c r="H544" s="12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2.5" x14ac:dyDescent="0.25">
      <c r="A545" s="10"/>
      <c r="B545" s="10"/>
      <c r="C545" s="10"/>
      <c r="D545" s="11"/>
      <c r="E545" s="10"/>
      <c r="F545" s="10"/>
      <c r="G545" s="10"/>
      <c r="H545" s="12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2.5" x14ac:dyDescent="0.25">
      <c r="A546" s="10"/>
      <c r="B546" s="10"/>
      <c r="C546" s="10"/>
      <c r="D546" s="11"/>
      <c r="E546" s="10"/>
      <c r="F546" s="10"/>
      <c r="G546" s="10"/>
      <c r="H546" s="12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2.5" x14ac:dyDescent="0.25">
      <c r="A547" s="10"/>
      <c r="B547" s="10"/>
      <c r="C547" s="10"/>
      <c r="D547" s="11"/>
      <c r="E547" s="10"/>
      <c r="F547" s="10"/>
      <c r="G547" s="10"/>
      <c r="H547" s="12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2.5" x14ac:dyDescent="0.25">
      <c r="A548" s="10"/>
      <c r="B548" s="10"/>
      <c r="C548" s="10"/>
      <c r="D548" s="11"/>
      <c r="E548" s="10"/>
      <c r="F548" s="10"/>
      <c r="G548" s="10"/>
      <c r="H548" s="12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2.5" x14ac:dyDescent="0.25">
      <c r="A549" s="10"/>
      <c r="B549" s="10"/>
      <c r="C549" s="10"/>
      <c r="D549" s="11"/>
      <c r="E549" s="10"/>
      <c r="F549" s="10"/>
      <c r="G549" s="10"/>
      <c r="H549" s="12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2.5" x14ac:dyDescent="0.25">
      <c r="A550" s="10"/>
      <c r="B550" s="10"/>
      <c r="C550" s="10"/>
      <c r="D550" s="11"/>
      <c r="E550" s="10"/>
      <c r="F550" s="10"/>
      <c r="G550" s="10"/>
      <c r="H550" s="12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2.5" x14ac:dyDescent="0.25">
      <c r="A551" s="10"/>
      <c r="B551" s="10"/>
      <c r="C551" s="10"/>
      <c r="D551" s="11"/>
      <c r="E551" s="10"/>
      <c r="F551" s="10"/>
      <c r="G551" s="10"/>
      <c r="H551" s="12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2.5" x14ac:dyDescent="0.25">
      <c r="A552" s="10"/>
      <c r="B552" s="10"/>
      <c r="C552" s="10"/>
      <c r="D552" s="11"/>
      <c r="E552" s="10"/>
      <c r="F552" s="10"/>
      <c r="G552" s="10"/>
      <c r="H552" s="12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2.5" x14ac:dyDescent="0.25">
      <c r="A553" s="10"/>
      <c r="B553" s="10"/>
      <c r="C553" s="10"/>
      <c r="D553" s="11"/>
      <c r="E553" s="10"/>
      <c r="F553" s="10"/>
      <c r="G553" s="10"/>
      <c r="H553" s="12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2.5" x14ac:dyDescent="0.25">
      <c r="A554" s="10"/>
      <c r="B554" s="10"/>
      <c r="C554" s="10"/>
      <c r="D554" s="11"/>
      <c r="E554" s="10"/>
      <c r="F554" s="10"/>
      <c r="G554" s="10"/>
      <c r="H554" s="12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2.5" x14ac:dyDescent="0.25">
      <c r="A555" s="10"/>
      <c r="B555" s="10"/>
      <c r="C555" s="10"/>
      <c r="D555" s="11"/>
      <c r="E555" s="10"/>
      <c r="F555" s="10"/>
      <c r="G555" s="10"/>
      <c r="H555" s="12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2.5" x14ac:dyDescent="0.25">
      <c r="A556" s="10"/>
      <c r="B556" s="10"/>
      <c r="C556" s="10"/>
      <c r="D556" s="11"/>
      <c r="E556" s="10"/>
      <c r="F556" s="10"/>
      <c r="G556" s="10"/>
      <c r="H556" s="12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2.5" x14ac:dyDescent="0.25">
      <c r="A557" s="10"/>
      <c r="B557" s="10"/>
      <c r="C557" s="10"/>
      <c r="D557" s="11"/>
      <c r="E557" s="10"/>
      <c r="F557" s="10"/>
      <c r="G557" s="10"/>
      <c r="H557" s="12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2.5" x14ac:dyDescent="0.25">
      <c r="A558" s="10"/>
      <c r="B558" s="10"/>
      <c r="C558" s="10"/>
      <c r="D558" s="11"/>
      <c r="E558" s="10"/>
      <c r="F558" s="10"/>
      <c r="G558" s="10"/>
      <c r="H558" s="12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2.5" x14ac:dyDescent="0.25">
      <c r="A559" s="10"/>
      <c r="B559" s="10"/>
      <c r="C559" s="10"/>
      <c r="D559" s="11"/>
      <c r="E559" s="10"/>
      <c r="F559" s="10"/>
      <c r="G559" s="10"/>
      <c r="H559" s="12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2.5" x14ac:dyDescent="0.25">
      <c r="A560" s="10"/>
      <c r="B560" s="10"/>
      <c r="C560" s="10"/>
      <c r="D560" s="11"/>
      <c r="E560" s="10"/>
      <c r="F560" s="10"/>
      <c r="G560" s="10"/>
      <c r="H560" s="12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2.5" x14ac:dyDescent="0.25">
      <c r="A561" s="10"/>
      <c r="B561" s="10"/>
      <c r="C561" s="10"/>
      <c r="D561" s="11"/>
      <c r="E561" s="10"/>
      <c r="F561" s="10"/>
      <c r="G561" s="10"/>
      <c r="H561" s="12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2.5" x14ac:dyDescent="0.25">
      <c r="A562" s="10"/>
      <c r="B562" s="10"/>
      <c r="C562" s="10"/>
      <c r="D562" s="11"/>
      <c r="E562" s="10"/>
      <c r="F562" s="10"/>
      <c r="G562" s="10"/>
      <c r="H562" s="12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2.5" x14ac:dyDescent="0.25">
      <c r="A563" s="10"/>
      <c r="B563" s="10"/>
      <c r="C563" s="10"/>
      <c r="D563" s="11"/>
      <c r="E563" s="10"/>
      <c r="F563" s="10"/>
      <c r="G563" s="10"/>
      <c r="H563" s="12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2.5" x14ac:dyDescent="0.25">
      <c r="A564" s="10"/>
      <c r="B564" s="10"/>
      <c r="C564" s="10"/>
      <c r="D564" s="11"/>
      <c r="E564" s="10"/>
      <c r="F564" s="10"/>
      <c r="G564" s="10"/>
      <c r="H564" s="12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2.5" x14ac:dyDescent="0.25">
      <c r="A565" s="10"/>
      <c r="B565" s="10"/>
      <c r="C565" s="10"/>
      <c r="D565" s="11"/>
      <c r="E565" s="10"/>
      <c r="F565" s="10"/>
      <c r="G565" s="10"/>
      <c r="H565" s="12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2.5" x14ac:dyDescent="0.25">
      <c r="A566" s="10"/>
      <c r="B566" s="10"/>
      <c r="C566" s="10"/>
      <c r="D566" s="11"/>
      <c r="E566" s="10"/>
      <c r="F566" s="10"/>
      <c r="G566" s="10"/>
      <c r="H566" s="12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2.5" x14ac:dyDescent="0.25">
      <c r="A567" s="10"/>
      <c r="B567" s="10"/>
      <c r="C567" s="10"/>
      <c r="D567" s="11"/>
      <c r="E567" s="10"/>
      <c r="F567" s="10"/>
      <c r="G567" s="10"/>
      <c r="H567" s="12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2.5" x14ac:dyDescent="0.25">
      <c r="A568" s="10"/>
      <c r="B568" s="10"/>
      <c r="C568" s="10"/>
      <c r="D568" s="11"/>
      <c r="E568" s="10"/>
      <c r="F568" s="10"/>
      <c r="G568" s="10"/>
      <c r="H568" s="12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2.5" x14ac:dyDescent="0.25">
      <c r="A569" s="10"/>
      <c r="B569" s="10"/>
      <c r="C569" s="10"/>
      <c r="D569" s="11"/>
      <c r="E569" s="10"/>
      <c r="F569" s="10"/>
      <c r="G569" s="10"/>
      <c r="H569" s="12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2.5" x14ac:dyDescent="0.25">
      <c r="A570" s="10"/>
      <c r="B570" s="10"/>
      <c r="C570" s="10"/>
      <c r="D570" s="11"/>
      <c r="E570" s="10"/>
      <c r="F570" s="10"/>
      <c r="G570" s="10"/>
      <c r="H570" s="12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2.5" x14ac:dyDescent="0.25">
      <c r="A571" s="10"/>
      <c r="B571" s="10"/>
      <c r="C571" s="10"/>
      <c r="D571" s="11"/>
      <c r="E571" s="10"/>
      <c r="F571" s="10"/>
      <c r="G571" s="10"/>
      <c r="H571" s="12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2.5" x14ac:dyDescent="0.25">
      <c r="A572" s="10"/>
      <c r="B572" s="10"/>
      <c r="C572" s="10"/>
      <c r="D572" s="11"/>
      <c r="E572" s="10"/>
      <c r="F572" s="10"/>
      <c r="G572" s="10"/>
      <c r="H572" s="12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2.5" x14ac:dyDescent="0.25">
      <c r="A573" s="10"/>
      <c r="B573" s="10"/>
      <c r="C573" s="10"/>
      <c r="D573" s="11"/>
      <c r="E573" s="10"/>
      <c r="F573" s="10"/>
      <c r="G573" s="10"/>
      <c r="H573" s="12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2.5" x14ac:dyDescent="0.25">
      <c r="A574" s="10"/>
      <c r="B574" s="10"/>
      <c r="C574" s="10"/>
      <c r="D574" s="11"/>
      <c r="E574" s="10"/>
      <c r="F574" s="10"/>
      <c r="G574" s="10"/>
      <c r="H574" s="12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2.5" x14ac:dyDescent="0.25">
      <c r="A575" s="10"/>
      <c r="B575" s="10"/>
      <c r="C575" s="10"/>
      <c r="D575" s="11"/>
      <c r="E575" s="10"/>
      <c r="F575" s="10"/>
      <c r="G575" s="10"/>
      <c r="H575" s="12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2.5" x14ac:dyDescent="0.25">
      <c r="A576" s="10"/>
      <c r="B576" s="10"/>
      <c r="C576" s="10"/>
      <c r="D576" s="11"/>
      <c r="E576" s="10"/>
      <c r="F576" s="10"/>
      <c r="G576" s="10"/>
      <c r="H576" s="12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2.5" x14ac:dyDescent="0.25">
      <c r="A577" s="10"/>
      <c r="B577" s="10"/>
      <c r="C577" s="10"/>
      <c r="D577" s="11"/>
      <c r="E577" s="10"/>
      <c r="F577" s="10"/>
      <c r="G577" s="10"/>
      <c r="H577" s="12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2.5" x14ac:dyDescent="0.25">
      <c r="A578" s="10"/>
      <c r="B578" s="10"/>
      <c r="C578" s="10"/>
      <c r="D578" s="11"/>
      <c r="E578" s="10"/>
      <c r="F578" s="10"/>
      <c r="G578" s="10"/>
      <c r="H578" s="12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2.5" x14ac:dyDescent="0.25">
      <c r="A579" s="10"/>
      <c r="B579" s="10"/>
      <c r="C579" s="10"/>
      <c r="D579" s="11"/>
      <c r="E579" s="10"/>
      <c r="F579" s="10"/>
      <c r="G579" s="10"/>
      <c r="H579" s="12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2.5" x14ac:dyDescent="0.25">
      <c r="A580" s="10"/>
      <c r="B580" s="10"/>
      <c r="C580" s="10"/>
      <c r="D580" s="11"/>
      <c r="E580" s="10"/>
      <c r="F580" s="10"/>
      <c r="G580" s="10"/>
      <c r="H580" s="12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2.5" x14ac:dyDescent="0.25">
      <c r="A581" s="10"/>
      <c r="B581" s="10"/>
      <c r="C581" s="10"/>
      <c r="D581" s="11"/>
      <c r="E581" s="10"/>
      <c r="F581" s="10"/>
      <c r="G581" s="10"/>
      <c r="H581" s="12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2.5" x14ac:dyDescent="0.25">
      <c r="A582" s="10"/>
      <c r="B582" s="10"/>
      <c r="C582" s="10"/>
      <c r="D582" s="11"/>
      <c r="E582" s="10"/>
      <c r="F582" s="10"/>
      <c r="G582" s="10"/>
      <c r="H582" s="12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2.5" x14ac:dyDescent="0.25">
      <c r="A583" s="10"/>
      <c r="B583" s="10"/>
      <c r="C583" s="10"/>
      <c r="D583" s="11"/>
      <c r="E583" s="10"/>
      <c r="F583" s="10"/>
      <c r="G583" s="10"/>
      <c r="H583" s="12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2.5" x14ac:dyDescent="0.25">
      <c r="A584" s="10"/>
      <c r="B584" s="10"/>
      <c r="C584" s="10"/>
      <c r="D584" s="11"/>
      <c r="E584" s="10"/>
      <c r="F584" s="10"/>
      <c r="G584" s="10"/>
      <c r="H584" s="12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2.5" x14ac:dyDescent="0.25">
      <c r="A585" s="10"/>
      <c r="B585" s="10"/>
      <c r="C585" s="10"/>
      <c r="D585" s="11"/>
      <c r="E585" s="10"/>
      <c r="F585" s="10"/>
      <c r="G585" s="10"/>
      <c r="H585" s="12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2.5" x14ac:dyDescent="0.25">
      <c r="A586" s="10"/>
      <c r="B586" s="10"/>
      <c r="C586" s="10"/>
      <c r="D586" s="11"/>
      <c r="E586" s="10"/>
      <c r="F586" s="10"/>
      <c r="G586" s="10"/>
      <c r="H586" s="12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2.5" x14ac:dyDescent="0.25">
      <c r="A587" s="10"/>
      <c r="B587" s="10"/>
      <c r="C587" s="10"/>
      <c r="D587" s="11"/>
      <c r="E587" s="10"/>
      <c r="F587" s="10"/>
      <c r="G587" s="10"/>
      <c r="H587" s="12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2.5" x14ac:dyDescent="0.25">
      <c r="A588" s="10"/>
      <c r="B588" s="10"/>
      <c r="C588" s="10"/>
      <c r="D588" s="11"/>
      <c r="E588" s="10"/>
      <c r="F588" s="10"/>
      <c r="G588" s="10"/>
      <c r="H588" s="12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2.5" x14ac:dyDescent="0.25">
      <c r="A589" s="10"/>
      <c r="B589" s="10"/>
      <c r="C589" s="10"/>
      <c r="D589" s="11"/>
      <c r="E589" s="10"/>
      <c r="F589" s="10"/>
      <c r="G589" s="10"/>
      <c r="H589" s="12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2.5" x14ac:dyDescent="0.25">
      <c r="A590" s="10"/>
      <c r="B590" s="10"/>
      <c r="C590" s="10"/>
      <c r="D590" s="11"/>
      <c r="E590" s="10"/>
      <c r="F590" s="10"/>
      <c r="G590" s="10"/>
      <c r="H590" s="12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2.5" x14ac:dyDescent="0.25">
      <c r="A591" s="10"/>
      <c r="B591" s="10"/>
      <c r="C591" s="10"/>
      <c r="D591" s="11"/>
      <c r="E591" s="10"/>
      <c r="F591" s="10"/>
      <c r="G591" s="10"/>
      <c r="H591" s="12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2.5" x14ac:dyDescent="0.25">
      <c r="A592" s="10"/>
      <c r="B592" s="10"/>
      <c r="C592" s="10"/>
      <c r="D592" s="11"/>
      <c r="E592" s="10"/>
      <c r="F592" s="10"/>
      <c r="G592" s="10"/>
      <c r="H592" s="12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2.5" x14ac:dyDescent="0.25">
      <c r="A593" s="10"/>
      <c r="B593" s="10"/>
      <c r="C593" s="10"/>
      <c r="D593" s="11"/>
      <c r="E593" s="10"/>
      <c r="F593" s="10"/>
      <c r="G593" s="10"/>
      <c r="H593" s="12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2.5" x14ac:dyDescent="0.25">
      <c r="A594" s="10"/>
      <c r="B594" s="10"/>
      <c r="C594" s="10"/>
      <c r="D594" s="11"/>
      <c r="E594" s="10"/>
      <c r="F594" s="10"/>
      <c r="G594" s="10"/>
      <c r="H594" s="12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2.5" x14ac:dyDescent="0.25">
      <c r="A595" s="10"/>
      <c r="B595" s="10"/>
      <c r="C595" s="10"/>
      <c r="D595" s="11"/>
      <c r="E595" s="10"/>
      <c r="F595" s="10"/>
      <c r="G595" s="10"/>
      <c r="H595" s="12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2.5" x14ac:dyDescent="0.25">
      <c r="A596" s="10"/>
      <c r="B596" s="10"/>
      <c r="C596" s="10"/>
      <c r="D596" s="11"/>
      <c r="E596" s="10"/>
      <c r="F596" s="10"/>
      <c r="G596" s="10"/>
      <c r="H596" s="12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2.5" x14ac:dyDescent="0.25">
      <c r="A597" s="10"/>
      <c r="B597" s="10"/>
      <c r="C597" s="10"/>
      <c r="D597" s="11"/>
      <c r="E597" s="10"/>
      <c r="F597" s="10"/>
      <c r="G597" s="10"/>
      <c r="H597" s="12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2.5" x14ac:dyDescent="0.25">
      <c r="A598" s="10"/>
      <c r="B598" s="10"/>
      <c r="C598" s="10"/>
      <c r="D598" s="11"/>
      <c r="E598" s="10"/>
      <c r="F598" s="10"/>
      <c r="G598" s="10"/>
      <c r="H598" s="12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2.5" x14ac:dyDescent="0.25">
      <c r="A599" s="10"/>
      <c r="B599" s="10"/>
      <c r="C599" s="10"/>
      <c r="D599" s="11"/>
      <c r="E599" s="10"/>
      <c r="F599" s="10"/>
      <c r="G599" s="10"/>
      <c r="H599" s="12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2.5" x14ac:dyDescent="0.25">
      <c r="A600" s="10"/>
      <c r="B600" s="10"/>
      <c r="C600" s="10"/>
      <c r="D600" s="11"/>
      <c r="E600" s="10"/>
      <c r="F600" s="10"/>
      <c r="G600" s="10"/>
      <c r="H600" s="12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2.5" x14ac:dyDescent="0.25">
      <c r="A601" s="10"/>
      <c r="B601" s="10"/>
      <c r="C601" s="10"/>
      <c r="D601" s="11"/>
      <c r="E601" s="10"/>
      <c r="F601" s="10"/>
      <c r="G601" s="10"/>
      <c r="H601" s="12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2.5" x14ac:dyDescent="0.25">
      <c r="A602" s="10"/>
      <c r="B602" s="10"/>
      <c r="C602" s="10"/>
      <c r="D602" s="11"/>
      <c r="E602" s="10"/>
      <c r="F602" s="10"/>
      <c r="G602" s="10"/>
      <c r="H602" s="12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2.5" x14ac:dyDescent="0.25">
      <c r="A603" s="10"/>
      <c r="B603" s="10"/>
      <c r="C603" s="10"/>
      <c r="D603" s="11"/>
      <c r="E603" s="10"/>
      <c r="F603" s="10"/>
      <c r="G603" s="10"/>
      <c r="H603" s="12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2.5" x14ac:dyDescent="0.25">
      <c r="A604" s="10"/>
      <c r="B604" s="10"/>
      <c r="C604" s="10"/>
      <c r="D604" s="11"/>
      <c r="E604" s="10"/>
      <c r="F604" s="10"/>
      <c r="G604" s="10"/>
      <c r="H604" s="12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2.5" x14ac:dyDescent="0.25">
      <c r="A605" s="10"/>
      <c r="B605" s="10"/>
      <c r="C605" s="10"/>
      <c r="D605" s="11"/>
      <c r="E605" s="10"/>
      <c r="F605" s="10"/>
      <c r="G605" s="10"/>
      <c r="H605" s="12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2.5" x14ac:dyDescent="0.25">
      <c r="A606" s="10"/>
      <c r="B606" s="10"/>
      <c r="C606" s="10"/>
      <c r="D606" s="11"/>
      <c r="E606" s="10"/>
      <c r="F606" s="10"/>
      <c r="G606" s="10"/>
      <c r="H606" s="12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2.5" x14ac:dyDescent="0.25">
      <c r="A607" s="10"/>
      <c r="B607" s="10"/>
      <c r="C607" s="10"/>
      <c r="D607" s="11"/>
      <c r="E607" s="10"/>
      <c r="F607" s="10"/>
      <c r="G607" s="10"/>
      <c r="H607" s="12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2.5" x14ac:dyDescent="0.25">
      <c r="A608" s="10"/>
      <c r="B608" s="10"/>
      <c r="C608" s="10"/>
      <c r="D608" s="11"/>
      <c r="E608" s="10"/>
      <c r="F608" s="10"/>
      <c r="G608" s="10"/>
      <c r="H608" s="12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2.5" x14ac:dyDescent="0.25">
      <c r="A609" s="10"/>
      <c r="B609" s="10"/>
      <c r="C609" s="10"/>
      <c r="D609" s="11"/>
      <c r="E609" s="10"/>
      <c r="F609" s="10"/>
      <c r="G609" s="10"/>
      <c r="H609" s="12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2.5" x14ac:dyDescent="0.25">
      <c r="A610" s="10"/>
      <c r="B610" s="10"/>
      <c r="C610" s="10"/>
      <c r="D610" s="11"/>
      <c r="E610" s="10"/>
      <c r="F610" s="10"/>
      <c r="G610" s="10"/>
      <c r="H610" s="12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2.5" x14ac:dyDescent="0.25">
      <c r="A611" s="10"/>
      <c r="B611" s="10"/>
      <c r="C611" s="10"/>
      <c r="D611" s="11"/>
      <c r="E611" s="10"/>
      <c r="F611" s="10"/>
      <c r="G611" s="10"/>
      <c r="H611" s="12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2.5" x14ac:dyDescent="0.25">
      <c r="A612" s="10"/>
      <c r="B612" s="10"/>
      <c r="C612" s="10"/>
      <c r="D612" s="11"/>
      <c r="E612" s="10"/>
      <c r="F612" s="10"/>
      <c r="G612" s="10"/>
      <c r="H612" s="12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2.5" x14ac:dyDescent="0.25">
      <c r="A613" s="10"/>
      <c r="B613" s="10"/>
      <c r="C613" s="10"/>
      <c r="D613" s="11"/>
      <c r="E613" s="10"/>
      <c r="F613" s="10"/>
      <c r="G613" s="10"/>
      <c r="H613" s="12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2.5" x14ac:dyDescent="0.25">
      <c r="A614" s="10"/>
      <c r="B614" s="10"/>
      <c r="C614" s="10"/>
      <c r="D614" s="11"/>
      <c r="E614" s="10"/>
      <c r="F614" s="10"/>
      <c r="G614" s="10"/>
      <c r="H614" s="12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2.5" x14ac:dyDescent="0.25">
      <c r="A615" s="10"/>
      <c r="B615" s="10"/>
      <c r="C615" s="10"/>
      <c r="D615" s="11"/>
      <c r="E615" s="10"/>
      <c r="F615" s="10"/>
      <c r="G615" s="10"/>
      <c r="H615" s="12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2.5" x14ac:dyDescent="0.25">
      <c r="A616" s="10"/>
      <c r="B616" s="10"/>
      <c r="C616" s="10"/>
      <c r="D616" s="11"/>
      <c r="E616" s="10"/>
      <c r="F616" s="10"/>
      <c r="G616" s="10"/>
      <c r="H616" s="12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2.5" x14ac:dyDescent="0.25">
      <c r="A617" s="10"/>
      <c r="B617" s="10"/>
      <c r="C617" s="10"/>
      <c r="D617" s="11"/>
      <c r="E617" s="10"/>
      <c r="F617" s="10"/>
      <c r="G617" s="10"/>
      <c r="H617" s="12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2.5" x14ac:dyDescent="0.25">
      <c r="A618" s="10"/>
      <c r="B618" s="10"/>
      <c r="C618" s="10"/>
      <c r="D618" s="11"/>
      <c r="E618" s="10"/>
      <c r="F618" s="10"/>
      <c r="G618" s="10"/>
      <c r="H618" s="12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2.5" x14ac:dyDescent="0.25">
      <c r="A619" s="10"/>
      <c r="B619" s="10"/>
      <c r="C619" s="10"/>
      <c r="D619" s="11"/>
      <c r="E619" s="10"/>
      <c r="F619" s="10"/>
      <c r="G619" s="10"/>
      <c r="H619" s="12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2.5" x14ac:dyDescent="0.25">
      <c r="A620" s="10"/>
      <c r="B620" s="10"/>
      <c r="C620" s="10"/>
      <c r="D620" s="11"/>
      <c r="E620" s="10"/>
      <c r="F620" s="10"/>
      <c r="G620" s="10"/>
      <c r="H620" s="12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2.5" x14ac:dyDescent="0.25">
      <c r="A621" s="10"/>
      <c r="B621" s="10"/>
      <c r="C621" s="10"/>
      <c r="D621" s="11"/>
      <c r="E621" s="10"/>
      <c r="F621" s="10"/>
      <c r="G621" s="10"/>
      <c r="H621" s="12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2.5" x14ac:dyDescent="0.25">
      <c r="A622" s="10"/>
      <c r="B622" s="10"/>
      <c r="C622" s="10"/>
      <c r="D622" s="11"/>
      <c r="E622" s="10"/>
      <c r="F622" s="10"/>
      <c r="G622" s="10"/>
      <c r="H622" s="12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2.5" x14ac:dyDescent="0.25">
      <c r="A623" s="10"/>
      <c r="B623" s="10"/>
      <c r="C623" s="10"/>
      <c r="D623" s="11"/>
      <c r="E623" s="10"/>
      <c r="F623" s="10"/>
      <c r="G623" s="10"/>
      <c r="H623" s="12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2.5" x14ac:dyDescent="0.25">
      <c r="A624" s="10"/>
      <c r="B624" s="10"/>
      <c r="C624" s="10"/>
      <c r="D624" s="11"/>
      <c r="E624" s="10"/>
      <c r="F624" s="10"/>
      <c r="G624" s="10"/>
      <c r="H624" s="12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2.5" x14ac:dyDescent="0.25">
      <c r="A625" s="10"/>
      <c r="B625" s="10"/>
      <c r="C625" s="10"/>
      <c r="D625" s="11"/>
      <c r="E625" s="10"/>
      <c r="F625" s="10"/>
      <c r="G625" s="10"/>
      <c r="H625" s="12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2.5" x14ac:dyDescent="0.25">
      <c r="A626" s="10"/>
      <c r="B626" s="10"/>
      <c r="C626" s="10"/>
      <c r="D626" s="11"/>
      <c r="E626" s="10"/>
      <c r="F626" s="10"/>
      <c r="G626" s="10"/>
      <c r="H626" s="12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2.5" x14ac:dyDescent="0.25">
      <c r="A627" s="10"/>
      <c r="B627" s="10"/>
      <c r="C627" s="10"/>
      <c r="D627" s="11"/>
      <c r="E627" s="10"/>
      <c r="F627" s="10"/>
      <c r="G627" s="10"/>
      <c r="H627" s="12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2.5" x14ac:dyDescent="0.25">
      <c r="A628" s="10"/>
      <c r="B628" s="10"/>
      <c r="C628" s="10"/>
      <c r="D628" s="11"/>
      <c r="E628" s="10"/>
      <c r="F628" s="10"/>
      <c r="G628" s="10"/>
      <c r="H628" s="12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2.5" x14ac:dyDescent="0.25">
      <c r="A629" s="10"/>
      <c r="B629" s="10"/>
      <c r="C629" s="10"/>
      <c r="D629" s="11"/>
      <c r="E629" s="10"/>
      <c r="F629" s="10"/>
      <c r="G629" s="10"/>
      <c r="H629" s="12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2.5" x14ac:dyDescent="0.25">
      <c r="A630" s="10"/>
      <c r="B630" s="10"/>
      <c r="C630" s="10"/>
      <c r="D630" s="11"/>
      <c r="E630" s="10"/>
      <c r="F630" s="10"/>
      <c r="G630" s="10"/>
      <c r="H630" s="12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2.5" x14ac:dyDescent="0.25">
      <c r="A631" s="10"/>
      <c r="B631" s="10"/>
      <c r="C631" s="10"/>
      <c r="D631" s="11"/>
      <c r="E631" s="10"/>
      <c r="F631" s="10"/>
      <c r="G631" s="10"/>
      <c r="H631" s="12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2.5" x14ac:dyDescent="0.25">
      <c r="A632" s="10"/>
      <c r="B632" s="10"/>
      <c r="C632" s="10"/>
      <c r="D632" s="11"/>
      <c r="E632" s="10"/>
      <c r="F632" s="10"/>
      <c r="G632" s="10"/>
      <c r="H632" s="12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2.5" x14ac:dyDescent="0.25">
      <c r="A633" s="10"/>
      <c r="B633" s="10"/>
      <c r="C633" s="10"/>
      <c r="D633" s="11"/>
      <c r="E633" s="10"/>
      <c r="F633" s="10"/>
      <c r="G633" s="10"/>
      <c r="H633" s="12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2.5" x14ac:dyDescent="0.25">
      <c r="A634" s="10"/>
      <c r="B634" s="10"/>
      <c r="C634" s="10"/>
      <c r="D634" s="11"/>
      <c r="E634" s="10"/>
      <c r="F634" s="10"/>
      <c r="G634" s="10"/>
      <c r="H634" s="12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2.5" x14ac:dyDescent="0.25">
      <c r="A635" s="10"/>
      <c r="B635" s="10"/>
      <c r="C635" s="10"/>
      <c r="D635" s="11"/>
      <c r="E635" s="10"/>
      <c r="F635" s="10"/>
      <c r="G635" s="10"/>
      <c r="H635" s="12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2.5" x14ac:dyDescent="0.25">
      <c r="A636" s="10"/>
      <c r="B636" s="10"/>
      <c r="C636" s="10"/>
      <c r="D636" s="11"/>
      <c r="E636" s="10"/>
      <c r="F636" s="10"/>
      <c r="G636" s="10"/>
      <c r="H636" s="12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2.5" x14ac:dyDescent="0.25">
      <c r="A637" s="10"/>
      <c r="B637" s="10"/>
      <c r="C637" s="10"/>
      <c r="D637" s="11"/>
      <c r="E637" s="10"/>
      <c r="F637" s="10"/>
      <c r="G637" s="10"/>
      <c r="H637" s="12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2.5" x14ac:dyDescent="0.25">
      <c r="A638" s="10"/>
      <c r="B638" s="10"/>
      <c r="C638" s="10"/>
      <c r="D638" s="11"/>
      <c r="E638" s="10"/>
      <c r="F638" s="10"/>
      <c r="G638" s="10"/>
      <c r="H638" s="12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2.5" x14ac:dyDescent="0.25">
      <c r="A639" s="10"/>
      <c r="B639" s="10"/>
      <c r="C639" s="10"/>
      <c r="D639" s="11"/>
      <c r="E639" s="10"/>
      <c r="F639" s="10"/>
      <c r="G639" s="10"/>
      <c r="H639" s="12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2.5" x14ac:dyDescent="0.25">
      <c r="A640" s="10"/>
      <c r="B640" s="10"/>
      <c r="C640" s="10"/>
      <c r="D640" s="11"/>
      <c r="E640" s="10"/>
      <c r="F640" s="10"/>
      <c r="G640" s="10"/>
      <c r="H640" s="12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2.5" x14ac:dyDescent="0.25">
      <c r="A641" s="10"/>
      <c r="B641" s="10"/>
      <c r="C641" s="10"/>
      <c r="D641" s="11"/>
      <c r="E641" s="10"/>
      <c r="F641" s="10"/>
      <c r="G641" s="10"/>
      <c r="H641" s="12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2.5" x14ac:dyDescent="0.25">
      <c r="A642" s="10"/>
      <c r="B642" s="10"/>
      <c r="C642" s="10"/>
      <c r="D642" s="11"/>
      <c r="E642" s="10"/>
      <c r="F642" s="10"/>
      <c r="G642" s="10"/>
      <c r="H642" s="12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2.5" x14ac:dyDescent="0.25">
      <c r="A643" s="10"/>
      <c r="B643" s="10"/>
      <c r="C643" s="10"/>
      <c r="D643" s="11"/>
      <c r="E643" s="10"/>
      <c r="F643" s="10"/>
      <c r="G643" s="10"/>
      <c r="H643" s="12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2.5" x14ac:dyDescent="0.25">
      <c r="A644" s="10"/>
      <c r="B644" s="10"/>
      <c r="C644" s="10"/>
      <c r="D644" s="11"/>
      <c r="E644" s="10"/>
      <c r="F644" s="10"/>
      <c r="G644" s="10"/>
      <c r="H644" s="12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2.5" x14ac:dyDescent="0.25">
      <c r="A645" s="10"/>
      <c r="B645" s="10"/>
      <c r="C645" s="10"/>
      <c r="D645" s="11"/>
      <c r="E645" s="10"/>
      <c r="F645" s="10"/>
      <c r="G645" s="10"/>
      <c r="H645" s="12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2.5" x14ac:dyDescent="0.25">
      <c r="A646" s="10"/>
      <c r="B646" s="10"/>
      <c r="C646" s="10"/>
      <c r="D646" s="11"/>
      <c r="E646" s="10"/>
      <c r="F646" s="10"/>
      <c r="G646" s="10"/>
      <c r="H646" s="12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2.5" x14ac:dyDescent="0.25">
      <c r="A647" s="10"/>
      <c r="B647" s="10"/>
      <c r="C647" s="10"/>
      <c r="D647" s="11"/>
      <c r="E647" s="10"/>
      <c r="F647" s="10"/>
      <c r="G647" s="10"/>
      <c r="H647" s="12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2.5" x14ac:dyDescent="0.25">
      <c r="A648" s="10"/>
      <c r="B648" s="10"/>
      <c r="C648" s="10"/>
      <c r="D648" s="11"/>
      <c r="E648" s="10"/>
      <c r="F648" s="10"/>
      <c r="G648" s="10"/>
      <c r="H648" s="12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2.5" x14ac:dyDescent="0.25">
      <c r="A649" s="10"/>
      <c r="B649" s="10"/>
      <c r="C649" s="10"/>
      <c r="D649" s="11"/>
      <c r="E649" s="10"/>
      <c r="F649" s="10"/>
      <c r="G649" s="10"/>
      <c r="H649" s="12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2.5" x14ac:dyDescent="0.25">
      <c r="A650" s="10"/>
      <c r="B650" s="10"/>
      <c r="C650" s="10"/>
      <c r="D650" s="11"/>
      <c r="E650" s="10"/>
      <c r="F650" s="10"/>
      <c r="G650" s="10"/>
      <c r="H650" s="12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2.5" x14ac:dyDescent="0.25">
      <c r="A651" s="10"/>
      <c r="B651" s="10"/>
      <c r="C651" s="10"/>
      <c r="D651" s="11"/>
      <c r="E651" s="10"/>
      <c r="F651" s="10"/>
      <c r="G651" s="10"/>
      <c r="H651" s="12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2.5" x14ac:dyDescent="0.25">
      <c r="A652" s="10"/>
      <c r="B652" s="10"/>
      <c r="C652" s="10"/>
      <c r="D652" s="11"/>
      <c r="E652" s="10"/>
      <c r="F652" s="10"/>
      <c r="G652" s="10"/>
      <c r="H652" s="12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2.5" x14ac:dyDescent="0.25">
      <c r="A653" s="10"/>
      <c r="B653" s="10"/>
      <c r="C653" s="10"/>
      <c r="D653" s="11"/>
      <c r="E653" s="10"/>
      <c r="F653" s="10"/>
      <c r="G653" s="10"/>
      <c r="H653" s="12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2.5" x14ac:dyDescent="0.25">
      <c r="A654" s="10"/>
      <c r="B654" s="10"/>
      <c r="C654" s="10"/>
      <c r="D654" s="11"/>
      <c r="E654" s="10"/>
      <c r="F654" s="10"/>
      <c r="G654" s="10"/>
      <c r="H654" s="12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2.5" x14ac:dyDescent="0.25">
      <c r="A655" s="10"/>
      <c r="B655" s="10"/>
      <c r="C655" s="10"/>
      <c r="D655" s="11"/>
      <c r="E655" s="10"/>
      <c r="F655" s="10"/>
      <c r="G655" s="10"/>
      <c r="H655" s="12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2.5" x14ac:dyDescent="0.25">
      <c r="A656" s="10"/>
      <c r="B656" s="10"/>
      <c r="C656" s="10"/>
      <c r="D656" s="11"/>
      <c r="E656" s="10"/>
      <c r="F656" s="10"/>
      <c r="G656" s="10"/>
      <c r="H656" s="12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2.5" x14ac:dyDescent="0.25">
      <c r="A657" s="10"/>
      <c r="B657" s="10"/>
      <c r="C657" s="10"/>
      <c r="D657" s="11"/>
      <c r="E657" s="10"/>
      <c r="F657" s="10"/>
      <c r="G657" s="10"/>
      <c r="H657" s="12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2.5" x14ac:dyDescent="0.25">
      <c r="A658" s="10"/>
      <c r="B658" s="10"/>
      <c r="C658" s="10"/>
      <c r="D658" s="11"/>
      <c r="E658" s="10"/>
      <c r="F658" s="10"/>
      <c r="G658" s="10"/>
      <c r="H658" s="12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2.5" x14ac:dyDescent="0.25">
      <c r="A659" s="10"/>
      <c r="B659" s="10"/>
      <c r="C659" s="10"/>
      <c r="D659" s="11"/>
      <c r="E659" s="10"/>
      <c r="F659" s="10"/>
      <c r="G659" s="10"/>
      <c r="H659" s="12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2.5" x14ac:dyDescent="0.25">
      <c r="A660" s="10"/>
      <c r="B660" s="10"/>
      <c r="C660" s="10"/>
      <c r="D660" s="11"/>
      <c r="E660" s="10"/>
      <c r="F660" s="10"/>
      <c r="G660" s="10"/>
      <c r="H660" s="12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2.5" x14ac:dyDescent="0.25">
      <c r="A661" s="10"/>
      <c r="B661" s="10"/>
      <c r="C661" s="10"/>
      <c r="D661" s="11"/>
      <c r="E661" s="10"/>
      <c r="F661" s="10"/>
      <c r="G661" s="10"/>
      <c r="H661" s="12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2.5" x14ac:dyDescent="0.25">
      <c r="A662" s="10"/>
      <c r="B662" s="10"/>
      <c r="C662" s="10"/>
      <c r="D662" s="11"/>
      <c r="E662" s="10"/>
      <c r="F662" s="10"/>
      <c r="G662" s="10"/>
      <c r="H662" s="12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2.5" x14ac:dyDescent="0.25">
      <c r="A663" s="10"/>
      <c r="B663" s="10"/>
      <c r="C663" s="10"/>
      <c r="D663" s="11"/>
      <c r="E663" s="10"/>
      <c r="F663" s="10"/>
      <c r="G663" s="10"/>
      <c r="H663" s="12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2.5" x14ac:dyDescent="0.25">
      <c r="A664" s="10"/>
      <c r="B664" s="10"/>
      <c r="C664" s="10"/>
      <c r="D664" s="11"/>
      <c r="E664" s="10"/>
      <c r="F664" s="10"/>
      <c r="G664" s="10"/>
      <c r="H664" s="12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2.5" x14ac:dyDescent="0.25">
      <c r="A665" s="10"/>
      <c r="B665" s="10"/>
      <c r="C665" s="10"/>
      <c r="D665" s="11"/>
      <c r="E665" s="10"/>
      <c r="F665" s="10"/>
      <c r="G665" s="10"/>
      <c r="H665" s="12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2.5" x14ac:dyDescent="0.25">
      <c r="A666" s="10"/>
      <c r="B666" s="10"/>
      <c r="C666" s="10"/>
      <c r="D666" s="11"/>
      <c r="E666" s="10"/>
      <c r="F666" s="10"/>
      <c r="G666" s="10"/>
      <c r="H666" s="12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2.5" x14ac:dyDescent="0.25">
      <c r="A667" s="10"/>
      <c r="B667" s="10"/>
      <c r="C667" s="10"/>
      <c r="D667" s="11"/>
      <c r="E667" s="10"/>
      <c r="F667" s="10"/>
      <c r="G667" s="10"/>
      <c r="H667" s="12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2.5" x14ac:dyDescent="0.25">
      <c r="A668" s="10"/>
      <c r="B668" s="10"/>
      <c r="C668" s="10"/>
      <c r="D668" s="11"/>
      <c r="E668" s="10"/>
      <c r="F668" s="10"/>
      <c r="G668" s="10"/>
      <c r="H668" s="12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2.5" x14ac:dyDescent="0.25">
      <c r="A669" s="10"/>
      <c r="B669" s="10"/>
      <c r="C669" s="10"/>
      <c r="D669" s="11"/>
      <c r="E669" s="10"/>
      <c r="F669" s="10"/>
      <c r="G669" s="10"/>
      <c r="H669" s="12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2.5" x14ac:dyDescent="0.25">
      <c r="A670" s="10"/>
      <c r="B670" s="10"/>
      <c r="C670" s="10"/>
      <c r="D670" s="11"/>
      <c r="E670" s="10"/>
      <c r="F670" s="10"/>
      <c r="G670" s="10"/>
      <c r="H670" s="12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2.5" x14ac:dyDescent="0.25">
      <c r="A671" s="10"/>
      <c r="B671" s="10"/>
      <c r="C671" s="10"/>
      <c r="D671" s="11"/>
      <c r="E671" s="10"/>
      <c r="F671" s="10"/>
      <c r="G671" s="10"/>
      <c r="H671" s="12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2.5" x14ac:dyDescent="0.25">
      <c r="A672" s="10"/>
      <c r="B672" s="10"/>
      <c r="C672" s="10"/>
      <c r="D672" s="11"/>
      <c r="E672" s="10"/>
      <c r="F672" s="10"/>
      <c r="G672" s="10"/>
      <c r="H672" s="12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2.5" x14ac:dyDescent="0.25">
      <c r="A673" s="10"/>
      <c r="B673" s="10"/>
      <c r="C673" s="10"/>
      <c r="D673" s="11"/>
      <c r="E673" s="10"/>
      <c r="F673" s="10"/>
      <c r="G673" s="10"/>
      <c r="H673" s="12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2.5" x14ac:dyDescent="0.25">
      <c r="A674" s="10"/>
      <c r="B674" s="10"/>
      <c r="C674" s="10"/>
      <c r="D674" s="11"/>
      <c r="E674" s="10"/>
      <c r="F674" s="10"/>
      <c r="G674" s="10"/>
      <c r="H674" s="12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2.5" x14ac:dyDescent="0.25">
      <c r="A675" s="10"/>
      <c r="B675" s="10"/>
      <c r="C675" s="10"/>
      <c r="D675" s="11"/>
      <c r="E675" s="10"/>
      <c r="F675" s="10"/>
      <c r="G675" s="10"/>
      <c r="H675" s="12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2.5" x14ac:dyDescent="0.25">
      <c r="A676" s="10"/>
      <c r="B676" s="10"/>
      <c r="C676" s="10"/>
      <c r="D676" s="11"/>
      <c r="E676" s="10"/>
      <c r="F676" s="10"/>
      <c r="G676" s="10"/>
      <c r="H676" s="12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2.5" x14ac:dyDescent="0.25">
      <c r="A677" s="10"/>
      <c r="B677" s="10"/>
      <c r="C677" s="10"/>
      <c r="D677" s="11"/>
      <c r="E677" s="10"/>
      <c r="F677" s="10"/>
      <c r="G677" s="10"/>
      <c r="H677" s="12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2.5" x14ac:dyDescent="0.25">
      <c r="A678" s="10"/>
      <c r="B678" s="10"/>
      <c r="C678" s="10"/>
      <c r="D678" s="11"/>
      <c r="E678" s="10"/>
      <c r="F678" s="10"/>
      <c r="G678" s="10"/>
      <c r="H678" s="12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2.5" x14ac:dyDescent="0.25">
      <c r="A679" s="10"/>
      <c r="B679" s="10"/>
      <c r="C679" s="10"/>
      <c r="D679" s="11"/>
      <c r="E679" s="10"/>
      <c r="F679" s="10"/>
      <c r="G679" s="10"/>
      <c r="H679" s="12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2.5" x14ac:dyDescent="0.25">
      <c r="A680" s="10"/>
      <c r="B680" s="10"/>
      <c r="C680" s="10"/>
      <c r="D680" s="11"/>
      <c r="E680" s="10"/>
      <c r="F680" s="10"/>
      <c r="G680" s="10"/>
      <c r="H680" s="12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2.5" x14ac:dyDescent="0.25">
      <c r="A681" s="10"/>
      <c r="B681" s="10"/>
      <c r="C681" s="10"/>
      <c r="D681" s="11"/>
      <c r="E681" s="10"/>
      <c r="F681" s="10"/>
      <c r="G681" s="10"/>
      <c r="H681" s="12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2.5" x14ac:dyDescent="0.25">
      <c r="A682" s="10"/>
      <c r="B682" s="10"/>
      <c r="C682" s="10"/>
      <c r="D682" s="11"/>
      <c r="E682" s="10"/>
      <c r="F682" s="10"/>
      <c r="G682" s="10"/>
      <c r="H682" s="12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2.5" x14ac:dyDescent="0.25">
      <c r="A683" s="10"/>
      <c r="B683" s="10"/>
      <c r="C683" s="10"/>
      <c r="D683" s="11"/>
      <c r="E683" s="10"/>
      <c r="F683" s="10"/>
      <c r="G683" s="10"/>
      <c r="H683" s="12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2.5" x14ac:dyDescent="0.25">
      <c r="A684" s="10"/>
      <c r="B684" s="10"/>
      <c r="C684" s="10"/>
      <c r="D684" s="11"/>
      <c r="E684" s="10"/>
      <c r="F684" s="10"/>
      <c r="G684" s="10"/>
      <c r="H684" s="12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2.5" x14ac:dyDescent="0.25">
      <c r="A685" s="10"/>
      <c r="B685" s="10"/>
      <c r="C685" s="10"/>
      <c r="D685" s="11"/>
      <c r="E685" s="10"/>
      <c r="F685" s="10"/>
      <c r="G685" s="10"/>
      <c r="H685" s="12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2.5" x14ac:dyDescent="0.25">
      <c r="A686" s="10"/>
      <c r="B686" s="10"/>
      <c r="C686" s="10"/>
      <c r="D686" s="11"/>
      <c r="E686" s="10"/>
      <c r="F686" s="10"/>
      <c r="G686" s="10"/>
      <c r="H686" s="12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2.5" x14ac:dyDescent="0.25">
      <c r="A687" s="10"/>
      <c r="B687" s="10"/>
      <c r="C687" s="10"/>
      <c r="D687" s="11"/>
      <c r="E687" s="10"/>
      <c r="F687" s="10"/>
      <c r="G687" s="10"/>
      <c r="H687" s="12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2.5" x14ac:dyDescent="0.25">
      <c r="A688" s="10"/>
      <c r="B688" s="10"/>
      <c r="C688" s="10"/>
      <c r="D688" s="11"/>
      <c r="E688" s="10"/>
      <c r="F688" s="10"/>
      <c r="G688" s="10"/>
      <c r="H688" s="12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2.5" x14ac:dyDescent="0.25">
      <c r="A689" s="10"/>
      <c r="B689" s="10"/>
      <c r="C689" s="10"/>
      <c r="D689" s="11"/>
      <c r="E689" s="10"/>
      <c r="F689" s="10"/>
      <c r="G689" s="10"/>
      <c r="H689" s="12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2.5" x14ac:dyDescent="0.25">
      <c r="A690" s="10"/>
      <c r="B690" s="10"/>
      <c r="C690" s="10"/>
      <c r="D690" s="11"/>
      <c r="E690" s="10"/>
      <c r="F690" s="10"/>
      <c r="G690" s="10"/>
      <c r="H690" s="12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2.5" x14ac:dyDescent="0.25">
      <c r="A691" s="10"/>
      <c r="B691" s="10"/>
      <c r="C691" s="10"/>
      <c r="D691" s="11"/>
      <c r="E691" s="10"/>
      <c r="F691" s="10"/>
      <c r="G691" s="10"/>
      <c r="H691" s="12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2.5" x14ac:dyDescent="0.25">
      <c r="A692" s="10"/>
      <c r="B692" s="10"/>
      <c r="C692" s="10"/>
      <c r="D692" s="11"/>
      <c r="E692" s="10"/>
      <c r="F692" s="10"/>
      <c r="G692" s="10"/>
      <c r="H692" s="12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2.5" x14ac:dyDescent="0.25">
      <c r="A693" s="10"/>
      <c r="B693" s="10"/>
      <c r="C693" s="10"/>
      <c r="D693" s="11"/>
      <c r="E693" s="10"/>
      <c r="F693" s="10"/>
      <c r="G693" s="10"/>
      <c r="H693" s="12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2.5" x14ac:dyDescent="0.25">
      <c r="A694" s="10"/>
      <c r="B694" s="10"/>
      <c r="C694" s="10"/>
      <c r="D694" s="11"/>
      <c r="E694" s="10"/>
      <c r="F694" s="10"/>
      <c r="G694" s="10"/>
      <c r="H694" s="12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2.5" x14ac:dyDescent="0.25">
      <c r="A695" s="10"/>
      <c r="B695" s="10"/>
      <c r="C695" s="10"/>
      <c r="D695" s="11"/>
      <c r="E695" s="10"/>
      <c r="F695" s="10"/>
      <c r="G695" s="10"/>
      <c r="H695" s="12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2.5" x14ac:dyDescent="0.25">
      <c r="A696" s="10"/>
      <c r="B696" s="10"/>
      <c r="C696" s="10"/>
      <c r="D696" s="11"/>
      <c r="E696" s="10"/>
      <c r="F696" s="10"/>
      <c r="G696" s="10"/>
      <c r="H696" s="12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2.5" x14ac:dyDescent="0.25">
      <c r="A697" s="10"/>
      <c r="B697" s="10"/>
      <c r="C697" s="10"/>
      <c r="D697" s="11"/>
      <c r="E697" s="10"/>
      <c r="F697" s="10"/>
      <c r="G697" s="10"/>
      <c r="H697" s="12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2.5" x14ac:dyDescent="0.25">
      <c r="A698" s="10"/>
      <c r="B698" s="10"/>
      <c r="C698" s="10"/>
      <c r="D698" s="11"/>
      <c r="E698" s="10"/>
      <c r="F698" s="10"/>
      <c r="G698" s="10"/>
      <c r="H698" s="12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2.5" x14ac:dyDescent="0.25">
      <c r="A699" s="10"/>
      <c r="B699" s="10"/>
      <c r="C699" s="10"/>
      <c r="D699" s="11"/>
      <c r="E699" s="10"/>
      <c r="F699" s="10"/>
      <c r="G699" s="10"/>
      <c r="H699" s="12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2.5" x14ac:dyDescent="0.25">
      <c r="A700" s="10"/>
      <c r="B700" s="10"/>
      <c r="C700" s="10"/>
      <c r="D700" s="11"/>
      <c r="E700" s="10"/>
      <c r="F700" s="10"/>
      <c r="G700" s="10"/>
      <c r="H700" s="12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2.5" x14ac:dyDescent="0.25">
      <c r="A701" s="10"/>
      <c r="B701" s="10"/>
      <c r="C701" s="10"/>
      <c r="D701" s="11"/>
      <c r="E701" s="10"/>
      <c r="F701" s="10"/>
      <c r="G701" s="10"/>
      <c r="H701" s="12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2.5" x14ac:dyDescent="0.25">
      <c r="A702" s="10"/>
      <c r="B702" s="10"/>
      <c r="C702" s="10"/>
      <c r="D702" s="11"/>
      <c r="E702" s="10"/>
      <c r="F702" s="10"/>
      <c r="G702" s="10"/>
      <c r="H702" s="12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2.5" x14ac:dyDescent="0.25">
      <c r="A703" s="10"/>
      <c r="B703" s="10"/>
      <c r="C703" s="10"/>
      <c r="D703" s="11"/>
      <c r="E703" s="10"/>
      <c r="F703" s="10"/>
      <c r="G703" s="10"/>
      <c r="H703" s="12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2.5" x14ac:dyDescent="0.25">
      <c r="A704" s="10"/>
      <c r="B704" s="10"/>
      <c r="C704" s="10"/>
      <c r="D704" s="11"/>
      <c r="E704" s="10"/>
      <c r="F704" s="10"/>
      <c r="G704" s="10"/>
      <c r="H704" s="12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2.5" x14ac:dyDescent="0.25">
      <c r="A705" s="10"/>
      <c r="B705" s="10"/>
      <c r="C705" s="10"/>
      <c r="D705" s="11"/>
      <c r="E705" s="10"/>
      <c r="F705" s="10"/>
      <c r="G705" s="10"/>
      <c r="H705" s="12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2.5" x14ac:dyDescent="0.25">
      <c r="A706" s="10"/>
      <c r="B706" s="10"/>
      <c r="C706" s="10"/>
      <c r="D706" s="11"/>
      <c r="E706" s="10"/>
      <c r="F706" s="10"/>
      <c r="G706" s="10"/>
      <c r="H706" s="12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2.5" x14ac:dyDescent="0.25">
      <c r="A707" s="10"/>
      <c r="B707" s="10"/>
      <c r="C707" s="10"/>
      <c r="D707" s="11"/>
      <c r="E707" s="10"/>
      <c r="F707" s="10"/>
      <c r="G707" s="10"/>
      <c r="H707" s="12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2.5" x14ac:dyDescent="0.25">
      <c r="A708" s="10"/>
      <c r="B708" s="10"/>
      <c r="C708" s="10"/>
      <c r="D708" s="11"/>
      <c r="E708" s="10"/>
      <c r="F708" s="10"/>
      <c r="G708" s="10"/>
      <c r="H708" s="12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2.5" x14ac:dyDescent="0.25">
      <c r="A709" s="10"/>
      <c r="B709" s="10"/>
      <c r="C709" s="10"/>
      <c r="D709" s="11"/>
      <c r="E709" s="10"/>
      <c r="F709" s="10"/>
      <c r="G709" s="10"/>
      <c r="H709" s="12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2.5" x14ac:dyDescent="0.25">
      <c r="A710" s="10"/>
      <c r="B710" s="10"/>
      <c r="C710" s="10"/>
      <c r="D710" s="11"/>
      <c r="E710" s="10"/>
      <c r="F710" s="10"/>
      <c r="G710" s="10"/>
      <c r="H710" s="12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2.5" x14ac:dyDescent="0.25">
      <c r="A711" s="10"/>
      <c r="B711" s="10"/>
      <c r="C711" s="10"/>
      <c r="D711" s="11"/>
      <c r="E711" s="10"/>
      <c r="F711" s="10"/>
      <c r="G711" s="10"/>
      <c r="H711" s="12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2.5" x14ac:dyDescent="0.25">
      <c r="A712" s="10"/>
      <c r="B712" s="10"/>
      <c r="C712" s="10"/>
      <c r="D712" s="11"/>
      <c r="E712" s="10"/>
      <c r="F712" s="10"/>
      <c r="G712" s="10"/>
      <c r="H712" s="12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2.5" x14ac:dyDescent="0.25">
      <c r="A713" s="10"/>
      <c r="B713" s="10"/>
      <c r="C713" s="10"/>
      <c r="D713" s="11"/>
      <c r="E713" s="10"/>
      <c r="F713" s="10"/>
      <c r="G713" s="10"/>
      <c r="H713" s="12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2.5" x14ac:dyDescent="0.25">
      <c r="A714" s="10"/>
      <c r="B714" s="10"/>
      <c r="C714" s="10"/>
      <c r="D714" s="11"/>
      <c r="E714" s="10"/>
      <c r="F714" s="10"/>
      <c r="G714" s="10"/>
      <c r="H714" s="12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2.5" x14ac:dyDescent="0.25">
      <c r="A715" s="10"/>
      <c r="B715" s="10"/>
      <c r="C715" s="10"/>
      <c r="D715" s="11"/>
      <c r="E715" s="10"/>
      <c r="F715" s="10"/>
      <c r="G715" s="10"/>
      <c r="H715" s="12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2.5" x14ac:dyDescent="0.25">
      <c r="A716" s="10"/>
      <c r="B716" s="10"/>
      <c r="C716" s="10"/>
      <c r="D716" s="11"/>
      <c r="E716" s="10"/>
      <c r="F716" s="10"/>
      <c r="G716" s="10"/>
      <c r="H716" s="12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2.5" x14ac:dyDescent="0.25">
      <c r="A717" s="10"/>
      <c r="B717" s="10"/>
      <c r="C717" s="10"/>
      <c r="D717" s="11"/>
      <c r="E717" s="10"/>
      <c r="F717" s="10"/>
      <c r="G717" s="10"/>
      <c r="H717" s="12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2.5" x14ac:dyDescent="0.25">
      <c r="A718" s="10"/>
      <c r="B718" s="10"/>
      <c r="C718" s="10"/>
      <c r="D718" s="11"/>
      <c r="E718" s="10"/>
      <c r="F718" s="10"/>
      <c r="G718" s="10"/>
      <c r="H718" s="12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2.5" x14ac:dyDescent="0.25">
      <c r="A719" s="10"/>
      <c r="B719" s="10"/>
      <c r="C719" s="10"/>
      <c r="D719" s="11"/>
      <c r="E719" s="10"/>
      <c r="F719" s="10"/>
      <c r="G719" s="10"/>
      <c r="H719" s="12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2.5" x14ac:dyDescent="0.25">
      <c r="A720" s="10"/>
      <c r="B720" s="10"/>
      <c r="C720" s="10"/>
      <c r="D720" s="11"/>
      <c r="E720" s="10"/>
      <c r="F720" s="10"/>
      <c r="G720" s="10"/>
      <c r="H720" s="12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2.5" x14ac:dyDescent="0.25">
      <c r="A721" s="10"/>
      <c r="B721" s="10"/>
      <c r="C721" s="10"/>
      <c r="D721" s="11"/>
      <c r="E721" s="10"/>
      <c r="F721" s="10"/>
      <c r="G721" s="10"/>
      <c r="H721" s="12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2.5" x14ac:dyDescent="0.25">
      <c r="A722" s="10"/>
      <c r="B722" s="10"/>
      <c r="C722" s="10"/>
      <c r="D722" s="11"/>
      <c r="E722" s="10"/>
      <c r="F722" s="10"/>
      <c r="G722" s="10"/>
      <c r="H722" s="12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2.5" x14ac:dyDescent="0.25">
      <c r="A723" s="10"/>
      <c r="B723" s="10"/>
      <c r="C723" s="10"/>
      <c r="D723" s="11"/>
      <c r="E723" s="10"/>
      <c r="F723" s="10"/>
      <c r="G723" s="10"/>
      <c r="H723" s="12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2.5" x14ac:dyDescent="0.25">
      <c r="A724" s="10"/>
      <c r="B724" s="10"/>
      <c r="C724" s="10"/>
      <c r="D724" s="11"/>
      <c r="E724" s="10"/>
      <c r="F724" s="10"/>
      <c r="G724" s="10"/>
      <c r="H724" s="12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2.5" x14ac:dyDescent="0.25">
      <c r="A725" s="10"/>
      <c r="B725" s="10"/>
      <c r="C725" s="10"/>
      <c r="D725" s="11"/>
      <c r="E725" s="10"/>
      <c r="F725" s="10"/>
      <c r="G725" s="10"/>
      <c r="H725" s="12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2.5" x14ac:dyDescent="0.25">
      <c r="A726" s="10"/>
      <c r="B726" s="10"/>
      <c r="C726" s="10"/>
      <c r="D726" s="11"/>
      <c r="E726" s="10"/>
      <c r="F726" s="10"/>
      <c r="G726" s="10"/>
      <c r="H726" s="12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2.5" x14ac:dyDescent="0.25">
      <c r="A727" s="10"/>
      <c r="B727" s="10"/>
      <c r="C727" s="10"/>
      <c r="D727" s="11"/>
      <c r="E727" s="10"/>
      <c r="F727" s="10"/>
      <c r="G727" s="10"/>
      <c r="H727" s="12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2.5" x14ac:dyDescent="0.25">
      <c r="A728" s="10"/>
      <c r="B728" s="10"/>
      <c r="C728" s="10"/>
      <c r="D728" s="11"/>
      <c r="E728" s="10"/>
      <c r="F728" s="10"/>
      <c r="G728" s="10"/>
      <c r="H728" s="12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2.5" x14ac:dyDescent="0.25">
      <c r="A729" s="10"/>
      <c r="B729" s="10"/>
      <c r="C729" s="10"/>
      <c r="D729" s="11"/>
      <c r="E729" s="10"/>
      <c r="F729" s="10"/>
      <c r="G729" s="10"/>
      <c r="H729" s="12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2.5" x14ac:dyDescent="0.25">
      <c r="A730" s="10"/>
      <c r="B730" s="10"/>
      <c r="C730" s="10"/>
      <c r="D730" s="11"/>
      <c r="E730" s="10"/>
      <c r="F730" s="10"/>
      <c r="G730" s="10"/>
      <c r="H730" s="12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2.5" x14ac:dyDescent="0.25">
      <c r="A731" s="10"/>
      <c r="B731" s="10"/>
      <c r="C731" s="10"/>
      <c r="D731" s="11"/>
      <c r="E731" s="10"/>
      <c r="F731" s="10"/>
      <c r="G731" s="10"/>
      <c r="H731" s="12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2.5" x14ac:dyDescent="0.25">
      <c r="A732" s="10"/>
      <c r="B732" s="10"/>
      <c r="C732" s="10"/>
      <c r="D732" s="11"/>
      <c r="E732" s="10"/>
      <c r="F732" s="10"/>
      <c r="G732" s="10"/>
      <c r="H732" s="12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2.5" x14ac:dyDescent="0.25">
      <c r="A733" s="10"/>
      <c r="B733" s="10"/>
      <c r="C733" s="10"/>
      <c r="D733" s="11"/>
      <c r="E733" s="10"/>
      <c r="F733" s="10"/>
      <c r="G733" s="10"/>
      <c r="H733" s="12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2.5" x14ac:dyDescent="0.25">
      <c r="A734" s="10"/>
      <c r="B734" s="10"/>
      <c r="C734" s="10"/>
      <c r="D734" s="11"/>
      <c r="E734" s="10"/>
      <c r="F734" s="10"/>
      <c r="G734" s="10"/>
      <c r="H734" s="12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2.5" x14ac:dyDescent="0.25">
      <c r="A735" s="10"/>
      <c r="B735" s="10"/>
      <c r="C735" s="10"/>
      <c r="D735" s="11"/>
      <c r="E735" s="10"/>
      <c r="F735" s="10"/>
      <c r="G735" s="10"/>
      <c r="H735" s="12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2.5" x14ac:dyDescent="0.25">
      <c r="A736" s="10"/>
      <c r="B736" s="10"/>
      <c r="C736" s="10"/>
      <c r="D736" s="11"/>
      <c r="E736" s="10"/>
      <c r="F736" s="10"/>
      <c r="G736" s="10"/>
      <c r="H736" s="12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2.5" x14ac:dyDescent="0.25">
      <c r="A737" s="10"/>
      <c r="B737" s="10"/>
      <c r="C737" s="10"/>
      <c r="D737" s="11"/>
      <c r="E737" s="10"/>
      <c r="F737" s="10"/>
      <c r="G737" s="10"/>
      <c r="H737" s="12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2.5" x14ac:dyDescent="0.25">
      <c r="A738" s="10"/>
      <c r="B738" s="10"/>
      <c r="C738" s="10"/>
      <c r="D738" s="11"/>
      <c r="E738" s="10"/>
      <c r="F738" s="10"/>
      <c r="G738" s="10"/>
      <c r="H738" s="12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2.5" x14ac:dyDescent="0.25">
      <c r="A739" s="10"/>
      <c r="B739" s="10"/>
      <c r="C739" s="10"/>
      <c r="D739" s="11"/>
      <c r="E739" s="10"/>
      <c r="F739" s="10"/>
      <c r="G739" s="10"/>
      <c r="H739" s="12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2.5" x14ac:dyDescent="0.25">
      <c r="A740" s="10"/>
      <c r="B740" s="10"/>
      <c r="C740" s="10"/>
      <c r="D740" s="11"/>
      <c r="E740" s="10"/>
      <c r="F740" s="10"/>
      <c r="G740" s="10"/>
      <c r="H740" s="12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2.5" x14ac:dyDescent="0.25">
      <c r="A741" s="10"/>
      <c r="B741" s="10"/>
      <c r="C741" s="10"/>
      <c r="D741" s="11"/>
      <c r="E741" s="10"/>
      <c r="F741" s="10"/>
      <c r="G741" s="10"/>
      <c r="H741" s="12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2.5" x14ac:dyDescent="0.25">
      <c r="A742" s="10"/>
      <c r="B742" s="10"/>
      <c r="C742" s="10"/>
      <c r="D742" s="11"/>
      <c r="E742" s="10"/>
      <c r="F742" s="10"/>
      <c r="G742" s="10"/>
      <c r="H742" s="12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2.5" x14ac:dyDescent="0.25">
      <c r="A743" s="10"/>
      <c r="B743" s="10"/>
      <c r="C743" s="10"/>
      <c r="D743" s="11"/>
      <c r="E743" s="10"/>
      <c r="F743" s="10"/>
      <c r="G743" s="10"/>
      <c r="H743" s="12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2.5" x14ac:dyDescent="0.25">
      <c r="A744" s="10"/>
      <c r="B744" s="10"/>
      <c r="C744" s="10"/>
      <c r="D744" s="11"/>
      <c r="E744" s="10"/>
      <c r="F744" s="10"/>
      <c r="G744" s="10"/>
      <c r="H744" s="12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2.5" x14ac:dyDescent="0.25">
      <c r="A745" s="10"/>
      <c r="B745" s="10"/>
      <c r="C745" s="10"/>
      <c r="D745" s="11"/>
      <c r="E745" s="10"/>
      <c r="F745" s="10"/>
      <c r="G745" s="10"/>
      <c r="H745" s="12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2.5" x14ac:dyDescent="0.25">
      <c r="A746" s="10"/>
      <c r="B746" s="10"/>
      <c r="C746" s="10"/>
      <c r="D746" s="11"/>
      <c r="E746" s="10"/>
      <c r="F746" s="10"/>
      <c r="G746" s="10"/>
      <c r="H746" s="12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2.5" x14ac:dyDescent="0.25">
      <c r="A747" s="10"/>
      <c r="B747" s="10"/>
      <c r="C747" s="10"/>
      <c r="D747" s="11"/>
      <c r="E747" s="10"/>
      <c r="F747" s="10"/>
      <c r="G747" s="10"/>
      <c r="H747" s="12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2.5" x14ac:dyDescent="0.25">
      <c r="A748" s="10"/>
      <c r="B748" s="10"/>
      <c r="C748" s="10"/>
      <c r="D748" s="11"/>
      <c r="E748" s="10"/>
      <c r="F748" s="10"/>
      <c r="G748" s="10"/>
      <c r="H748" s="12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2.5" x14ac:dyDescent="0.25">
      <c r="A749" s="10"/>
      <c r="B749" s="10"/>
      <c r="C749" s="10"/>
      <c r="D749" s="11"/>
      <c r="E749" s="10"/>
      <c r="F749" s="10"/>
      <c r="G749" s="10"/>
      <c r="H749" s="12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2.5" x14ac:dyDescent="0.25">
      <c r="A750" s="10"/>
      <c r="B750" s="10"/>
      <c r="C750" s="10"/>
      <c r="D750" s="11"/>
      <c r="E750" s="10"/>
      <c r="F750" s="10"/>
      <c r="G750" s="10"/>
      <c r="H750" s="12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2.5" x14ac:dyDescent="0.25">
      <c r="A751" s="10"/>
      <c r="B751" s="10"/>
      <c r="C751" s="10"/>
      <c r="D751" s="11"/>
      <c r="E751" s="10"/>
      <c r="F751" s="10"/>
      <c r="G751" s="10"/>
      <c r="H751" s="12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2.5" x14ac:dyDescent="0.25">
      <c r="A752" s="10"/>
      <c r="B752" s="10"/>
      <c r="C752" s="10"/>
      <c r="D752" s="11"/>
      <c r="E752" s="10"/>
      <c r="F752" s="10"/>
      <c r="G752" s="10"/>
      <c r="H752" s="12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2.5" x14ac:dyDescent="0.25">
      <c r="A753" s="10"/>
      <c r="B753" s="10"/>
      <c r="C753" s="10"/>
      <c r="D753" s="11"/>
      <c r="E753" s="10"/>
      <c r="F753" s="10"/>
      <c r="G753" s="10"/>
      <c r="H753" s="12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2.5" x14ac:dyDescent="0.25">
      <c r="A754" s="10"/>
      <c r="B754" s="10"/>
      <c r="C754" s="10"/>
      <c r="D754" s="11"/>
      <c r="E754" s="10"/>
      <c r="F754" s="10"/>
      <c r="G754" s="10"/>
      <c r="H754" s="12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2.5" x14ac:dyDescent="0.25">
      <c r="A755" s="10"/>
      <c r="B755" s="10"/>
      <c r="C755" s="10"/>
      <c r="D755" s="11"/>
      <c r="E755" s="10"/>
      <c r="F755" s="10"/>
      <c r="G755" s="10"/>
      <c r="H755" s="12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2.5" x14ac:dyDescent="0.25">
      <c r="A756" s="10"/>
      <c r="B756" s="10"/>
      <c r="C756" s="10"/>
      <c r="D756" s="11"/>
      <c r="E756" s="10"/>
      <c r="F756" s="10"/>
      <c r="G756" s="10"/>
      <c r="H756" s="12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2.5" x14ac:dyDescent="0.25">
      <c r="A757" s="10"/>
      <c r="B757" s="10"/>
      <c r="C757" s="10"/>
      <c r="D757" s="11"/>
      <c r="E757" s="10"/>
      <c r="F757" s="10"/>
      <c r="G757" s="10"/>
      <c r="H757" s="12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2.5" x14ac:dyDescent="0.25">
      <c r="A758" s="10"/>
      <c r="B758" s="10"/>
      <c r="C758" s="10"/>
      <c r="D758" s="11"/>
      <c r="E758" s="10"/>
      <c r="F758" s="10"/>
      <c r="G758" s="10"/>
      <c r="H758" s="12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2.5" x14ac:dyDescent="0.25">
      <c r="A759" s="10"/>
      <c r="B759" s="10"/>
      <c r="C759" s="10"/>
      <c r="D759" s="11"/>
      <c r="E759" s="10"/>
      <c r="F759" s="10"/>
      <c r="G759" s="10"/>
      <c r="H759" s="12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2.5" x14ac:dyDescent="0.25">
      <c r="A760" s="10"/>
      <c r="B760" s="10"/>
      <c r="C760" s="10"/>
      <c r="D760" s="11"/>
      <c r="E760" s="10"/>
      <c r="F760" s="10"/>
      <c r="G760" s="10"/>
      <c r="H760" s="12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2.5" x14ac:dyDescent="0.25">
      <c r="A761" s="10"/>
      <c r="B761" s="10"/>
      <c r="C761" s="10"/>
      <c r="D761" s="11"/>
      <c r="E761" s="10"/>
      <c r="F761" s="10"/>
      <c r="G761" s="10"/>
      <c r="H761" s="12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2.5" x14ac:dyDescent="0.25">
      <c r="A762" s="10"/>
      <c r="B762" s="10"/>
      <c r="C762" s="10"/>
      <c r="D762" s="11"/>
      <c r="E762" s="10"/>
      <c r="F762" s="10"/>
      <c r="G762" s="10"/>
      <c r="H762" s="12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2.5" x14ac:dyDescent="0.25">
      <c r="A763" s="10"/>
      <c r="B763" s="10"/>
      <c r="C763" s="10"/>
      <c r="D763" s="11"/>
      <c r="E763" s="10"/>
      <c r="F763" s="10"/>
      <c r="G763" s="10"/>
      <c r="H763" s="12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2.5" x14ac:dyDescent="0.25">
      <c r="A764" s="10"/>
      <c r="B764" s="10"/>
      <c r="C764" s="10"/>
      <c r="D764" s="11"/>
      <c r="E764" s="10"/>
      <c r="F764" s="10"/>
      <c r="G764" s="10"/>
      <c r="H764" s="12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2.5" x14ac:dyDescent="0.25">
      <c r="A765" s="10"/>
      <c r="B765" s="10"/>
      <c r="C765" s="10"/>
      <c r="D765" s="11"/>
      <c r="E765" s="10"/>
      <c r="F765" s="10"/>
      <c r="G765" s="10"/>
      <c r="H765" s="12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2.5" x14ac:dyDescent="0.25">
      <c r="A766" s="10"/>
      <c r="B766" s="10"/>
      <c r="C766" s="10"/>
      <c r="D766" s="11"/>
      <c r="E766" s="10"/>
      <c r="F766" s="10"/>
      <c r="G766" s="10"/>
      <c r="H766" s="12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2.5" x14ac:dyDescent="0.25">
      <c r="A767" s="10"/>
      <c r="B767" s="10"/>
      <c r="C767" s="10"/>
      <c r="D767" s="11"/>
      <c r="E767" s="10"/>
      <c r="F767" s="10"/>
      <c r="G767" s="10"/>
      <c r="H767" s="12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2.5" x14ac:dyDescent="0.25">
      <c r="A768" s="10"/>
      <c r="B768" s="10"/>
      <c r="C768" s="10"/>
      <c r="D768" s="11"/>
      <c r="E768" s="10"/>
      <c r="F768" s="10"/>
      <c r="G768" s="10"/>
      <c r="H768" s="12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2.5" x14ac:dyDescent="0.25">
      <c r="A769" s="10"/>
      <c r="B769" s="10"/>
      <c r="C769" s="10"/>
      <c r="D769" s="11"/>
      <c r="E769" s="10"/>
      <c r="F769" s="10"/>
      <c r="G769" s="10"/>
      <c r="H769" s="12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2.5" x14ac:dyDescent="0.25">
      <c r="A770" s="10"/>
      <c r="B770" s="10"/>
      <c r="C770" s="10"/>
      <c r="D770" s="11"/>
      <c r="E770" s="10"/>
      <c r="F770" s="10"/>
      <c r="G770" s="10"/>
      <c r="H770" s="12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2.5" x14ac:dyDescent="0.25">
      <c r="A771" s="10"/>
      <c r="B771" s="10"/>
      <c r="C771" s="10"/>
      <c r="D771" s="11"/>
      <c r="E771" s="10"/>
      <c r="F771" s="10"/>
      <c r="G771" s="10"/>
      <c r="H771" s="12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2.5" x14ac:dyDescent="0.25">
      <c r="A772" s="10"/>
      <c r="B772" s="10"/>
      <c r="C772" s="10"/>
      <c r="D772" s="11"/>
      <c r="E772" s="10"/>
      <c r="F772" s="10"/>
      <c r="G772" s="10"/>
      <c r="H772" s="12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2.5" x14ac:dyDescent="0.25">
      <c r="A773" s="10"/>
      <c r="B773" s="10"/>
      <c r="C773" s="10"/>
      <c r="D773" s="11"/>
      <c r="E773" s="10"/>
      <c r="F773" s="10"/>
      <c r="G773" s="10"/>
      <c r="H773" s="12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2.5" x14ac:dyDescent="0.25">
      <c r="A774" s="10"/>
      <c r="B774" s="10"/>
      <c r="C774" s="10"/>
      <c r="D774" s="11"/>
      <c r="E774" s="10"/>
      <c r="F774" s="10"/>
      <c r="G774" s="10"/>
      <c r="H774" s="12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2.5" x14ac:dyDescent="0.25">
      <c r="A775" s="10"/>
      <c r="B775" s="10"/>
      <c r="C775" s="10"/>
      <c r="D775" s="11"/>
      <c r="E775" s="10"/>
      <c r="F775" s="10"/>
      <c r="G775" s="10"/>
      <c r="H775" s="12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2.5" x14ac:dyDescent="0.25">
      <c r="A776" s="10"/>
      <c r="B776" s="10"/>
      <c r="C776" s="10"/>
      <c r="D776" s="11"/>
      <c r="E776" s="10"/>
      <c r="F776" s="10"/>
      <c r="G776" s="10"/>
      <c r="H776" s="12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2.5" x14ac:dyDescent="0.25">
      <c r="A777" s="10"/>
      <c r="B777" s="10"/>
      <c r="C777" s="10"/>
      <c r="D777" s="11"/>
      <c r="E777" s="10"/>
      <c r="F777" s="10"/>
      <c r="G777" s="10"/>
      <c r="H777" s="12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2.5" x14ac:dyDescent="0.25">
      <c r="A778" s="10"/>
      <c r="B778" s="10"/>
      <c r="C778" s="10"/>
      <c r="D778" s="11"/>
      <c r="E778" s="10"/>
      <c r="F778" s="10"/>
      <c r="G778" s="10"/>
      <c r="H778" s="12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2.5" x14ac:dyDescent="0.25">
      <c r="A779" s="10"/>
      <c r="B779" s="10"/>
      <c r="C779" s="10"/>
      <c r="D779" s="11"/>
      <c r="E779" s="10"/>
      <c r="F779" s="10"/>
      <c r="G779" s="10"/>
      <c r="H779" s="12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2.5" x14ac:dyDescent="0.25">
      <c r="A780" s="10"/>
      <c r="B780" s="10"/>
      <c r="C780" s="10"/>
      <c r="D780" s="11"/>
      <c r="E780" s="10"/>
      <c r="F780" s="10"/>
      <c r="G780" s="10"/>
      <c r="H780" s="12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2.5" x14ac:dyDescent="0.25">
      <c r="A781" s="10"/>
      <c r="B781" s="10"/>
      <c r="C781" s="10"/>
      <c r="D781" s="11"/>
      <c r="E781" s="10"/>
      <c r="F781" s="10"/>
      <c r="G781" s="10"/>
      <c r="H781" s="12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2.5" x14ac:dyDescent="0.25">
      <c r="A782" s="10"/>
      <c r="B782" s="10"/>
      <c r="C782" s="10"/>
      <c r="D782" s="11"/>
      <c r="E782" s="10"/>
      <c r="F782" s="10"/>
      <c r="G782" s="10"/>
      <c r="H782" s="12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2.5" x14ac:dyDescent="0.25">
      <c r="A783" s="10"/>
      <c r="B783" s="10"/>
      <c r="C783" s="10"/>
      <c r="D783" s="11"/>
      <c r="E783" s="10"/>
      <c r="F783" s="10"/>
      <c r="G783" s="10"/>
      <c r="H783" s="12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2.5" x14ac:dyDescent="0.25">
      <c r="A784" s="10"/>
      <c r="B784" s="10"/>
      <c r="C784" s="10"/>
      <c r="D784" s="11"/>
      <c r="E784" s="10"/>
      <c r="F784" s="10"/>
      <c r="G784" s="10"/>
      <c r="H784" s="12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2.5" x14ac:dyDescent="0.25">
      <c r="A785" s="10"/>
      <c r="B785" s="10"/>
      <c r="C785" s="10"/>
      <c r="D785" s="11"/>
      <c r="E785" s="10"/>
      <c r="F785" s="10"/>
      <c r="G785" s="10"/>
      <c r="H785" s="12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2.5" x14ac:dyDescent="0.25">
      <c r="A786" s="10"/>
      <c r="B786" s="10"/>
      <c r="C786" s="10"/>
      <c r="D786" s="11"/>
      <c r="E786" s="10"/>
      <c r="F786" s="10"/>
      <c r="G786" s="10"/>
      <c r="H786" s="12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2.5" x14ac:dyDescent="0.25">
      <c r="A787" s="10"/>
      <c r="B787" s="10"/>
      <c r="C787" s="10"/>
      <c r="D787" s="11"/>
      <c r="E787" s="10"/>
      <c r="F787" s="10"/>
      <c r="G787" s="10"/>
      <c r="H787" s="12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2.5" x14ac:dyDescent="0.25">
      <c r="A788" s="10"/>
      <c r="B788" s="10"/>
      <c r="C788" s="10"/>
      <c r="D788" s="11"/>
      <c r="E788" s="10"/>
      <c r="F788" s="10"/>
      <c r="G788" s="10"/>
      <c r="H788" s="12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2.5" x14ac:dyDescent="0.25">
      <c r="A789" s="10"/>
      <c r="B789" s="10"/>
      <c r="C789" s="10"/>
      <c r="D789" s="11"/>
      <c r="E789" s="10"/>
      <c r="F789" s="10"/>
      <c r="G789" s="10"/>
      <c r="H789" s="12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2.5" x14ac:dyDescent="0.25">
      <c r="A790" s="10"/>
      <c r="B790" s="10"/>
      <c r="C790" s="10"/>
      <c r="D790" s="11"/>
      <c r="E790" s="10"/>
      <c r="F790" s="10"/>
      <c r="G790" s="10"/>
      <c r="H790" s="12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2.5" x14ac:dyDescent="0.25">
      <c r="A791" s="10"/>
      <c r="B791" s="10"/>
      <c r="C791" s="10"/>
      <c r="D791" s="11"/>
      <c r="E791" s="10"/>
      <c r="F791" s="10"/>
      <c r="G791" s="10"/>
      <c r="H791" s="12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2.5" x14ac:dyDescent="0.25">
      <c r="A792" s="10"/>
      <c r="B792" s="10"/>
      <c r="C792" s="10"/>
      <c r="D792" s="11"/>
      <c r="E792" s="10"/>
      <c r="F792" s="10"/>
      <c r="G792" s="10"/>
      <c r="H792" s="12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2.5" x14ac:dyDescent="0.25">
      <c r="A793" s="10"/>
      <c r="B793" s="10"/>
      <c r="C793" s="10"/>
      <c r="D793" s="11"/>
      <c r="E793" s="10"/>
      <c r="F793" s="10"/>
      <c r="G793" s="10"/>
      <c r="H793" s="12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2.5" x14ac:dyDescent="0.25">
      <c r="A794" s="10"/>
      <c r="B794" s="10"/>
      <c r="C794" s="10"/>
      <c r="D794" s="11"/>
      <c r="E794" s="10"/>
      <c r="F794" s="10"/>
      <c r="G794" s="10"/>
      <c r="H794" s="12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2.5" x14ac:dyDescent="0.25">
      <c r="A795" s="10"/>
      <c r="B795" s="10"/>
      <c r="C795" s="10"/>
      <c r="D795" s="11"/>
      <c r="E795" s="10"/>
      <c r="F795" s="10"/>
      <c r="G795" s="10"/>
      <c r="H795" s="12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2.5" x14ac:dyDescent="0.25">
      <c r="A796" s="10"/>
      <c r="B796" s="10"/>
      <c r="C796" s="10"/>
      <c r="D796" s="11"/>
      <c r="E796" s="10"/>
      <c r="F796" s="10"/>
      <c r="G796" s="10"/>
      <c r="H796" s="12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2.5" x14ac:dyDescent="0.25">
      <c r="A797" s="10"/>
      <c r="B797" s="10"/>
      <c r="C797" s="10"/>
      <c r="D797" s="11"/>
      <c r="E797" s="10"/>
      <c r="F797" s="10"/>
      <c r="G797" s="10"/>
      <c r="H797" s="12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2.5" x14ac:dyDescent="0.25">
      <c r="A798" s="10"/>
      <c r="B798" s="10"/>
      <c r="C798" s="10"/>
      <c r="D798" s="11"/>
      <c r="E798" s="10"/>
      <c r="F798" s="10"/>
      <c r="G798" s="10"/>
      <c r="H798" s="12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2.5" x14ac:dyDescent="0.25">
      <c r="A799" s="10"/>
      <c r="B799" s="10"/>
      <c r="C799" s="10"/>
      <c r="D799" s="11"/>
      <c r="E799" s="10"/>
      <c r="F799" s="10"/>
      <c r="G799" s="10"/>
      <c r="H799" s="12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2.5" x14ac:dyDescent="0.25">
      <c r="A800" s="10"/>
      <c r="B800" s="10"/>
      <c r="C800" s="10"/>
      <c r="D800" s="11"/>
      <c r="E800" s="10"/>
      <c r="F800" s="10"/>
      <c r="G800" s="10"/>
      <c r="H800" s="12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2.5" x14ac:dyDescent="0.25">
      <c r="A801" s="10"/>
      <c r="B801" s="10"/>
      <c r="C801" s="10"/>
      <c r="D801" s="11"/>
      <c r="E801" s="10"/>
      <c r="F801" s="10"/>
      <c r="G801" s="10"/>
      <c r="H801" s="12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2.5" x14ac:dyDescent="0.25">
      <c r="A802" s="10"/>
      <c r="B802" s="10"/>
      <c r="C802" s="10"/>
      <c r="D802" s="11"/>
      <c r="E802" s="10"/>
      <c r="F802" s="10"/>
      <c r="G802" s="10"/>
      <c r="H802" s="12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2.5" x14ac:dyDescent="0.25">
      <c r="A803" s="10"/>
      <c r="B803" s="10"/>
      <c r="C803" s="10"/>
      <c r="D803" s="11"/>
      <c r="E803" s="10"/>
      <c r="F803" s="10"/>
      <c r="G803" s="10"/>
      <c r="H803" s="12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2.5" x14ac:dyDescent="0.25">
      <c r="A804" s="10"/>
      <c r="B804" s="10"/>
      <c r="C804" s="10"/>
      <c r="D804" s="11"/>
      <c r="E804" s="10"/>
      <c r="F804" s="10"/>
      <c r="G804" s="10"/>
      <c r="H804" s="12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2.5" x14ac:dyDescent="0.25">
      <c r="A805" s="10"/>
      <c r="B805" s="10"/>
      <c r="C805" s="10"/>
      <c r="D805" s="11"/>
      <c r="E805" s="10"/>
      <c r="F805" s="10"/>
      <c r="G805" s="10"/>
      <c r="H805" s="12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2.5" x14ac:dyDescent="0.25">
      <c r="A806" s="10"/>
      <c r="B806" s="10"/>
      <c r="C806" s="10"/>
      <c r="D806" s="11"/>
      <c r="E806" s="10"/>
      <c r="F806" s="10"/>
      <c r="G806" s="10"/>
      <c r="H806" s="12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2.5" x14ac:dyDescent="0.25">
      <c r="A807" s="10"/>
      <c r="B807" s="10"/>
      <c r="C807" s="10"/>
      <c r="D807" s="11"/>
      <c r="E807" s="10"/>
      <c r="F807" s="10"/>
      <c r="G807" s="10"/>
      <c r="H807" s="12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2.5" x14ac:dyDescent="0.25">
      <c r="A808" s="10"/>
      <c r="B808" s="10"/>
      <c r="C808" s="10"/>
      <c r="D808" s="11"/>
      <c r="E808" s="10"/>
      <c r="F808" s="10"/>
      <c r="G808" s="10"/>
      <c r="H808" s="12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2.5" x14ac:dyDescent="0.25">
      <c r="A809" s="10"/>
      <c r="B809" s="10"/>
      <c r="C809" s="10"/>
      <c r="D809" s="11"/>
      <c r="E809" s="10"/>
      <c r="F809" s="10"/>
      <c r="G809" s="10"/>
      <c r="H809" s="12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2.5" x14ac:dyDescent="0.25">
      <c r="A810" s="10"/>
      <c r="B810" s="10"/>
      <c r="C810" s="10"/>
      <c r="D810" s="11"/>
      <c r="E810" s="10"/>
      <c r="F810" s="10"/>
      <c r="G810" s="10"/>
      <c r="H810" s="12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2.5" x14ac:dyDescent="0.25">
      <c r="A811" s="10"/>
      <c r="B811" s="10"/>
      <c r="C811" s="10"/>
      <c r="D811" s="11"/>
      <c r="E811" s="10"/>
      <c r="F811" s="10"/>
      <c r="G811" s="10"/>
      <c r="H811" s="12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2.5" x14ac:dyDescent="0.25">
      <c r="A812" s="10"/>
      <c r="B812" s="10"/>
      <c r="C812" s="10"/>
      <c r="D812" s="11"/>
      <c r="E812" s="10"/>
      <c r="F812" s="10"/>
      <c r="G812" s="10"/>
      <c r="H812" s="12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2.5" x14ac:dyDescent="0.25">
      <c r="A813" s="10"/>
      <c r="B813" s="10"/>
      <c r="C813" s="10"/>
      <c r="D813" s="11"/>
      <c r="E813" s="10"/>
      <c r="F813" s="10"/>
      <c r="G813" s="10"/>
      <c r="H813" s="12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2.5" x14ac:dyDescent="0.25">
      <c r="A814" s="10"/>
      <c r="B814" s="10"/>
      <c r="C814" s="10"/>
      <c r="D814" s="11"/>
      <c r="E814" s="10"/>
      <c r="F814" s="10"/>
      <c r="G814" s="10"/>
      <c r="H814" s="12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2.5" x14ac:dyDescent="0.25">
      <c r="A815" s="10"/>
      <c r="B815" s="10"/>
      <c r="C815" s="10"/>
      <c r="D815" s="11"/>
      <c r="E815" s="10"/>
      <c r="F815" s="10"/>
      <c r="G815" s="10"/>
      <c r="H815" s="12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2.5" x14ac:dyDescent="0.25">
      <c r="A816" s="10"/>
      <c r="B816" s="10"/>
      <c r="C816" s="10"/>
      <c r="D816" s="11"/>
      <c r="E816" s="10"/>
      <c r="F816" s="10"/>
      <c r="G816" s="10"/>
      <c r="H816" s="12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2.5" x14ac:dyDescent="0.25">
      <c r="A817" s="10"/>
      <c r="B817" s="10"/>
      <c r="C817" s="10"/>
      <c r="D817" s="11"/>
      <c r="E817" s="10"/>
      <c r="F817" s="10"/>
      <c r="G817" s="10"/>
      <c r="H817" s="12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2.5" x14ac:dyDescent="0.25">
      <c r="A818" s="10"/>
      <c r="B818" s="10"/>
      <c r="C818" s="10"/>
      <c r="D818" s="11"/>
      <c r="E818" s="10"/>
      <c r="F818" s="10"/>
      <c r="G818" s="10"/>
      <c r="H818" s="12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2.5" x14ac:dyDescent="0.25">
      <c r="A819" s="10"/>
      <c r="B819" s="10"/>
      <c r="C819" s="10"/>
      <c r="D819" s="11"/>
      <c r="E819" s="10"/>
      <c r="F819" s="10"/>
      <c r="G819" s="10"/>
      <c r="H819" s="12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2.5" x14ac:dyDescent="0.25">
      <c r="A820" s="10"/>
      <c r="B820" s="10"/>
      <c r="C820" s="10"/>
      <c r="D820" s="11"/>
      <c r="E820" s="10"/>
      <c r="F820" s="10"/>
      <c r="G820" s="10"/>
      <c r="H820" s="12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2.5" x14ac:dyDescent="0.25">
      <c r="A821" s="10"/>
      <c r="B821" s="10"/>
      <c r="C821" s="10"/>
      <c r="D821" s="11"/>
      <c r="E821" s="10"/>
      <c r="F821" s="10"/>
      <c r="G821" s="10"/>
      <c r="H821" s="12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2.5" x14ac:dyDescent="0.25">
      <c r="A822" s="10"/>
      <c r="B822" s="10"/>
      <c r="C822" s="10"/>
      <c r="D822" s="11"/>
      <c r="E822" s="10"/>
      <c r="F822" s="10"/>
      <c r="G822" s="10"/>
      <c r="H822" s="12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2.5" x14ac:dyDescent="0.25">
      <c r="A823" s="10"/>
      <c r="B823" s="10"/>
      <c r="C823" s="10"/>
      <c r="D823" s="11"/>
      <c r="E823" s="10"/>
      <c r="F823" s="10"/>
      <c r="G823" s="10"/>
      <c r="H823" s="12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2.5" x14ac:dyDescent="0.25">
      <c r="A824" s="10"/>
      <c r="B824" s="10"/>
      <c r="C824" s="10"/>
      <c r="D824" s="11"/>
      <c r="E824" s="10"/>
      <c r="F824" s="10"/>
      <c r="G824" s="10"/>
      <c r="H824" s="12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2.5" x14ac:dyDescent="0.25">
      <c r="A825" s="10"/>
      <c r="B825" s="10"/>
      <c r="C825" s="10"/>
      <c r="D825" s="11"/>
      <c r="E825" s="10"/>
      <c r="F825" s="10"/>
      <c r="G825" s="10"/>
      <c r="H825" s="12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2.5" x14ac:dyDescent="0.25">
      <c r="A826" s="10"/>
      <c r="B826" s="10"/>
      <c r="C826" s="10"/>
      <c r="D826" s="11"/>
      <c r="E826" s="10"/>
      <c r="F826" s="10"/>
      <c r="G826" s="10"/>
      <c r="H826" s="12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2.5" x14ac:dyDescent="0.25">
      <c r="A827" s="10"/>
      <c r="B827" s="10"/>
      <c r="C827" s="10"/>
      <c r="D827" s="11"/>
      <c r="E827" s="10"/>
      <c r="F827" s="10"/>
      <c r="G827" s="10"/>
      <c r="H827" s="12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2.5" x14ac:dyDescent="0.25">
      <c r="A828" s="10"/>
      <c r="B828" s="10"/>
      <c r="C828" s="10"/>
      <c r="D828" s="11"/>
      <c r="E828" s="10"/>
      <c r="F828" s="10"/>
      <c r="G828" s="10"/>
      <c r="H828" s="12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2.5" x14ac:dyDescent="0.25">
      <c r="A829" s="10"/>
      <c r="B829" s="10"/>
      <c r="C829" s="10"/>
      <c r="D829" s="11"/>
      <c r="E829" s="10"/>
      <c r="F829" s="10"/>
      <c r="G829" s="10"/>
      <c r="H829" s="12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2.5" x14ac:dyDescent="0.25">
      <c r="A830" s="10"/>
      <c r="B830" s="10"/>
      <c r="C830" s="10"/>
      <c r="D830" s="11"/>
      <c r="E830" s="10"/>
      <c r="F830" s="10"/>
      <c r="G830" s="10"/>
      <c r="H830" s="12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2.5" x14ac:dyDescent="0.25">
      <c r="A831" s="10"/>
      <c r="B831" s="10"/>
      <c r="C831" s="10"/>
      <c r="D831" s="11"/>
      <c r="E831" s="10"/>
      <c r="F831" s="10"/>
      <c r="G831" s="10"/>
      <c r="H831" s="12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2.5" x14ac:dyDescent="0.25">
      <c r="A832" s="10"/>
      <c r="B832" s="10"/>
      <c r="C832" s="10"/>
      <c r="D832" s="11"/>
      <c r="E832" s="10"/>
      <c r="F832" s="10"/>
      <c r="G832" s="10"/>
      <c r="H832" s="12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2.5" x14ac:dyDescent="0.25">
      <c r="A833" s="10"/>
      <c r="B833" s="10"/>
      <c r="C833" s="10"/>
      <c r="D833" s="11"/>
      <c r="E833" s="10"/>
      <c r="F833" s="10"/>
      <c r="G833" s="10"/>
      <c r="H833" s="12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2.5" x14ac:dyDescent="0.25">
      <c r="A834" s="10"/>
      <c r="B834" s="10"/>
      <c r="C834" s="10"/>
      <c r="D834" s="11"/>
      <c r="E834" s="10"/>
      <c r="F834" s="10"/>
      <c r="G834" s="10"/>
      <c r="H834" s="12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2.5" x14ac:dyDescent="0.25">
      <c r="A835" s="10"/>
      <c r="B835" s="10"/>
      <c r="C835" s="10"/>
      <c r="D835" s="11"/>
      <c r="E835" s="10"/>
      <c r="F835" s="10"/>
      <c r="G835" s="10"/>
      <c r="H835" s="12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2.5" x14ac:dyDescent="0.25">
      <c r="A836" s="10"/>
      <c r="B836" s="10"/>
      <c r="C836" s="10"/>
      <c r="D836" s="11"/>
      <c r="E836" s="10"/>
      <c r="F836" s="10"/>
      <c r="G836" s="10"/>
      <c r="H836" s="12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2.5" x14ac:dyDescent="0.25">
      <c r="A837" s="10"/>
      <c r="B837" s="10"/>
      <c r="C837" s="10"/>
      <c r="D837" s="11"/>
      <c r="E837" s="10"/>
      <c r="F837" s="10"/>
      <c r="G837" s="10"/>
      <c r="H837" s="12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2.5" x14ac:dyDescent="0.25">
      <c r="A838" s="10"/>
      <c r="B838" s="10"/>
      <c r="C838" s="10"/>
      <c r="D838" s="11"/>
      <c r="E838" s="10"/>
      <c r="F838" s="10"/>
      <c r="G838" s="10"/>
      <c r="H838" s="12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2.5" x14ac:dyDescent="0.25">
      <c r="A839" s="10"/>
      <c r="B839" s="10"/>
      <c r="C839" s="10"/>
      <c r="D839" s="11"/>
      <c r="E839" s="10"/>
      <c r="F839" s="10"/>
      <c r="G839" s="10"/>
      <c r="H839" s="12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2.5" x14ac:dyDescent="0.25">
      <c r="A840" s="10"/>
      <c r="B840" s="10"/>
      <c r="C840" s="10"/>
      <c r="D840" s="11"/>
      <c r="E840" s="10"/>
      <c r="F840" s="10"/>
      <c r="G840" s="10"/>
      <c r="H840" s="12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2.5" x14ac:dyDescent="0.25">
      <c r="A841" s="10"/>
      <c r="B841" s="10"/>
      <c r="C841" s="10"/>
      <c r="D841" s="11"/>
      <c r="E841" s="10"/>
      <c r="F841" s="10"/>
      <c r="G841" s="10"/>
      <c r="H841" s="12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2.5" x14ac:dyDescent="0.25">
      <c r="A842" s="10"/>
      <c r="B842" s="10"/>
      <c r="C842" s="10"/>
      <c r="D842" s="11"/>
      <c r="E842" s="10"/>
      <c r="F842" s="10"/>
      <c r="G842" s="10"/>
      <c r="H842" s="12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2.5" x14ac:dyDescent="0.25">
      <c r="A843" s="10"/>
      <c r="B843" s="10"/>
      <c r="C843" s="10"/>
      <c r="D843" s="11"/>
      <c r="E843" s="10"/>
      <c r="F843" s="10"/>
      <c r="G843" s="10"/>
      <c r="H843" s="12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2.5" x14ac:dyDescent="0.25">
      <c r="A844" s="10"/>
      <c r="B844" s="10"/>
      <c r="C844" s="10"/>
      <c r="D844" s="11"/>
      <c r="E844" s="10"/>
      <c r="F844" s="10"/>
      <c r="G844" s="10"/>
      <c r="H844" s="12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2.5" x14ac:dyDescent="0.25">
      <c r="A845" s="10"/>
      <c r="B845" s="10"/>
      <c r="C845" s="10"/>
      <c r="D845" s="11"/>
      <c r="E845" s="10"/>
      <c r="F845" s="10"/>
      <c r="G845" s="10"/>
      <c r="H845" s="12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2.5" x14ac:dyDescent="0.25">
      <c r="A846" s="10"/>
      <c r="B846" s="10"/>
      <c r="C846" s="10"/>
      <c r="D846" s="11"/>
      <c r="E846" s="10"/>
      <c r="F846" s="10"/>
      <c r="G846" s="10"/>
      <c r="H846" s="12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2.5" x14ac:dyDescent="0.25">
      <c r="A847" s="10"/>
      <c r="B847" s="10"/>
      <c r="C847" s="10"/>
      <c r="D847" s="11"/>
      <c r="E847" s="10"/>
      <c r="F847" s="10"/>
      <c r="G847" s="10"/>
      <c r="H847" s="12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2.5" x14ac:dyDescent="0.25">
      <c r="A848" s="10"/>
      <c r="B848" s="10"/>
      <c r="C848" s="10"/>
      <c r="D848" s="11"/>
      <c r="E848" s="10"/>
      <c r="F848" s="10"/>
      <c r="G848" s="10"/>
      <c r="H848" s="12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2.5" x14ac:dyDescent="0.25">
      <c r="A849" s="10"/>
      <c r="B849" s="10"/>
      <c r="C849" s="10"/>
      <c r="D849" s="11"/>
      <c r="E849" s="10"/>
      <c r="F849" s="10"/>
      <c r="G849" s="10"/>
      <c r="H849" s="12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2.5" x14ac:dyDescent="0.25">
      <c r="A850" s="10"/>
      <c r="B850" s="10"/>
      <c r="C850" s="10"/>
      <c r="D850" s="11"/>
      <c r="E850" s="10"/>
      <c r="F850" s="10"/>
      <c r="G850" s="10"/>
      <c r="H850" s="12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2.5" x14ac:dyDescent="0.25">
      <c r="A851" s="10"/>
      <c r="B851" s="10"/>
      <c r="C851" s="10"/>
      <c r="D851" s="11"/>
      <c r="E851" s="10"/>
      <c r="F851" s="10"/>
      <c r="G851" s="10"/>
      <c r="H851" s="12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2.5" x14ac:dyDescent="0.25">
      <c r="A852" s="10"/>
      <c r="B852" s="10"/>
      <c r="C852" s="10"/>
      <c r="D852" s="11"/>
      <c r="E852" s="10"/>
      <c r="F852" s="10"/>
      <c r="G852" s="10"/>
      <c r="H852" s="12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2.5" x14ac:dyDescent="0.25">
      <c r="A853" s="10"/>
      <c r="B853" s="10"/>
      <c r="C853" s="10"/>
      <c r="D853" s="11"/>
      <c r="E853" s="10"/>
      <c r="F853" s="10"/>
      <c r="G853" s="10"/>
      <c r="H853" s="12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2.5" x14ac:dyDescent="0.25">
      <c r="A854" s="10"/>
      <c r="B854" s="10"/>
      <c r="C854" s="10"/>
      <c r="D854" s="11"/>
      <c r="E854" s="10"/>
      <c r="F854" s="10"/>
      <c r="G854" s="10"/>
      <c r="H854" s="12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2.5" x14ac:dyDescent="0.25">
      <c r="A855" s="10"/>
      <c r="B855" s="10"/>
      <c r="C855" s="10"/>
      <c r="D855" s="11"/>
      <c r="E855" s="10"/>
      <c r="F855" s="10"/>
      <c r="G855" s="10"/>
      <c r="H855" s="12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2.5" x14ac:dyDescent="0.25">
      <c r="A856" s="10"/>
      <c r="B856" s="10"/>
      <c r="C856" s="10"/>
      <c r="D856" s="11"/>
      <c r="E856" s="10"/>
      <c r="F856" s="10"/>
      <c r="G856" s="10"/>
      <c r="H856" s="12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2.5" x14ac:dyDescent="0.25">
      <c r="A857" s="10"/>
      <c r="B857" s="10"/>
      <c r="C857" s="10"/>
      <c r="D857" s="11"/>
      <c r="E857" s="10"/>
      <c r="F857" s="10"/>
      <c r="G857" s="10"/>
      <c r="H857" s="12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2.5" x14ac:dyDescent="0.25">
      <c r="A858" s="10"/>
      <c r="B858" s="10"/>
      <c r="C858" s="10"/>
      <c r="D858" s="11"/>
      <c r="E858" s="10"/>
      <c r="F858" s="10"/>
      <c r="G858" s="10"/>
      <c r="H858" s="12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2.5" x14ac:dyDescent="0.25">
      <c r="A859" s="10"/>
      <c r="B859" s="10"/>
      <c r="C859" s="10"/>
      <c r="D859" s="11"/>
      <c r="E859" s="10"/>
      <c r="F859" s="10"/>
      <c r="G859" s="10"/>
      <c r="H859" s="12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2.5" x14ac:dyDescent="0.25">
      <c r="A860" s="10"/>
      <c r="B860" s="10"/>
      <c r="C860" s="10"/>
      <c r="D860" s="11"/>
      <c r="E860" s="10"/>
      <c r="F860" s="10"/>
      <c r="G860" s="10"/>
      <c r="H860" s="12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2.5" x14ac:dyDescent="0.25">
      <c r="A861" s="10"/>
      <c r="B861" s="10"/>
      <c r="C861" s="10"/>
      <c r="D861" s="11"/>
      <c r="E861" s="10"/>
      <c r="F861" s="10"/>
      <c r="G861" s="10"/>
      <c r="H861" s="12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2.5" x14ac:dyDescent="0.25">
      <c r="A862" s="10"/>
      <c r="B862" s="10"/>
      <c r="C862" s="10"/>
      <c r="D862" s="11"/>
      <c r="E862" s="10"/>
      <c r="F862" s="10"/>
      <c r="G862" s="10"/>
      <c r="H862" s="12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2.5" x14ac:dyDescent="0.25">
      <c r="A863" s="10"/>
      <c r="B863" s="10"/>
      <c r="C863" s="10"/>
      <c r="D863" s="11"/>
      <c r="E863" s="10"/>
      <c r="F863" s="10"/>
      <c r="G863" s="10"/>
      <c r="H863" s="12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2.5" x14ac:dyDescent="0.25">
      <c r="A864" s="10"/>
      <c r="B864" s="10"/>
      <c r="C864" s="10"/>
      <c r="D864" s="11"/>
      <c r="E864" s="10"/>
      <c r="F864" s="10"/>
      <c r="G864" s="10"/>
      <c r="H864" s="12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2.5" x14ac:dyDescent="0.25">
      <c r="A865" s="10"/>
      <c r="B865" s="10"/>
      <c r="C865" s="10"/>
      <c r="D865" s="11"/>
      <c r="E865" s="10"/>
      <c r="F865" s="10"/>
      <c r="G865" s="10"/>
      <c r="H865" s="12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2.5" x14ac:dyDescent="0.25">
      <c r="A866" s="10"/>
      <c r="B866" s="10"/>
      <c r="C866" s="10"/>
      <c r="D866" s="11"/>
      <c r="E866" s="10"/>
      <c r="F866" s="10"/>
      <c r="G866" s="10"/>
      <c r="H866" s="12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2.5" x14ac:dyDescent="0.25">
      <c r="A867" s="10"/>
      <c r="B867" s="10"/>
      <c r="C867" s="10"/>
      <c r="D867" s="11"/>
      <c r="E867" s="10"/>
      <c r="F867" s="10"/>
      <c r="G867" s="10"/>
      <c r="H867" s="12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2.5" x14ac:dyDescent="0.25">
      <c r="A868" s="10"/>
      <c r="B868" s="10"/>
      <c r="C868" s="10"/>
      <c r="D868" s="11"/>
      <c r="E868" s="10"/>
      <c r="F868" s="10"/>
      <c r="G868" s="10"/>
      <c r="H868" s="12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2.5" x14ac:dyDescent="0.25">
      <c r="A869" s="10"/>
      <c r="B869" s="10"/>
      <c r="C869" s="10"/>
      <c r="D869" s="11"/>
      <c r="E869" s="10"/>
      <c r="F869" s="10"/>
      <c r="G869" s="10"/>
      <c r="H869" s="12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2.5" x14ac:dyDescent="0.25">
      <c r="A870" s="10"/>
      <c r="B870" s="10"/>
      <c r="C870" s="10"/>
      <c r="D870" s="11"/>
      <c r="E870" s="10"/>
      <c r="F870" s="10"/>
      <c r="G870" s="10"/>
      <c r="H870" s="12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2.5" x14ac:dyDescent="0.25">
      <c r="A871" s="10"/>
      <c r="B871" s="10"/>
      <c r="C871" s="10"/>
      <c r="D871" s="11"/>
      <c r="E871" s="10"/>
      <c r="F871" s="10"/>
      <c r="G871" s="10"/>
      <c r="H871" s="12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2.5" x14ac:dyDescent="0.25">
      <c r="A872" s="10"/>
      <c r="B872" s="10"/>
      <c r="C872" s="10"/>
      <c r="D872" s="11"/>
      <c r="E872" s="10"/>
      <c r="F872" s="10"/>
      <c r="G872" s="10"/>
      <c r="H872" s="12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2.5" x14ac:dyDescent="0.25">
      <c r="A873" s="10"/>
      <c r="B873" s="10"/>
      <c r="C873" s="10"/>
      <c r="D873" s="11"/>
      <c r="E873" s="10"/>
      <c r="F873" s="10"/>
      <c r="G873" s="10"/>
      <c r="H873" s="12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2.5" x14ac:dyDescent="0.25">
      <c r="A874" s="10"/>
      <c r="B874" s="10"/>
      <c r="C874" s="10"/>
      <c r="D874" s="11"/>
      <c r="E874" s="10"/>
      <c r="F874" s="10"/>
      <c r="G874" s="10"/>
      <c r="H874" s="12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2.5" x14ac:dyDescent="0.25">
      <c r="A875" s="10"/>
      <c r="B875" s="10"/>
      <c r="C875" s="10"/>
      <c r="D875" s="11"/>
      <c r="E875" s="10"/>
      <c r="F875" s="10"/>
      <c r="G875" s="10"/>
      <c r="H875" s="12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2.5" x14ac:dyDescent="0.25">
      <c r="A876" s="10"/>
      <c r="B876" s="10"/>
      <c r="C876" s="10"/>
      <c r="D876" s="11"/>
      <c r="E876" s="10"/>
      <c r="F876" s="10"/>
      <c r="G876" s="10"/>
      <c r="H876" s="12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2.5" x14ac:dyDescent="0.25">
      <c r="A877" s="10"/>
      <c r="B877" s="10"/>
      <c r="C877" s="10"/>
      <c r="D877" s="11"/>
      <c r="E877" s="10"/>
      <c r="F877" s="10"/>
      <c r="G877" s="10"/>
      <c r="H877" s="12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2.5" x14ac:dyDescent="0.25">
      <c r="A878" s="10"/>
      <c r="B878" s="10"/>
      <c r="C878" s="10"/>
      <c r="D878" s="11"/>
      <c r="E878" s="10"/>
      <c r="F878" s="10"/>
      <c r="G878" s="10"/>
      <c r="H878" s="12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2.5" x14ac:dyDescent="0.25">
      <c r="A879" s="10"/>
      <c r="B879" s="10"/>
      <c r="C879" s="10"/>
      <c r="D879" s="11"/>
      <c r="E879" s="10"/>
      <c r="F879" s="10"/>
      <c r="G879" s="10"/>
      <c r="H879" s="12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2.5" x14ac:dyDescent="0.25">
      <c r="A880" s="10"/>
      <c r="B880" s="10"/>
      <c r="C880" s="10"/>
      <c r="D880" s="11"/>
      <c r="E880" s="10"/>
      <c r="F880" s="10"/>
      <c r="G880" s="10"/>
      <c r="H880" s="12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2.5" x14ac:dyDescent="0.25">
      <c r="A881" s="10"/>
      <c r="B881" s="10"/>
      <c r="C881" s="10"/>
      <c r="D881" s="11"/>
      <c r="E881" s="10"/>
      <c r="F881" s="10"/>
      <c r="G881" s="10"/>
      <c r="H881" s="12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2.5" x14ac:dyDescent="0.25">
      <c r="A882" s="10"/>
      <c r="B882" s="10"/>
      <c r="C882" s="10"/>
      <c r="D882" s="11"/>
      <c r="E882" s="10"/>
      <c r="F882" s="10"/>
      <c r="G882" s="10"/>
      <c r="H882" s="12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2.5" x14ac:dyDescent="0.25">
      <c r="A883" s="10"/>
      <c r="B883" s="10"/>
      <c r="C883" s="10"/>
      <c r="D883" s="11"/>
      <c r="E883" s="10"/>
      <c r="F883" s="10"/>
      <c r="G883" s="10"/>
      <c r="H883" s="12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2.5" x14ac:dyDescent="0.25">
      <c r="A884" s="10"/>
      <c r="B884" s="10"/>
      <c r="C884" s="10"/>
      <c r="D884" s="11"/>
      <c r="E884" s="10"/>
      <c r="F884" s="10"/>
      <c r="G884" s="10"/>
      <c r="H884" s="12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2.5" x14ac:dyDescent="0.25">
      <c r="A885" s="10"/>
      <c r="B885" s="10"/>
      <c r="C885" s="10"/>
      <c r="D885" s="11"/>
      <c r="E885" s="10"/>
      <c r="F885" s="10"/>
      <c r="G885" s="10"/>
      <c r="H885" s="12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2.5" x14ac:dyDescent="0.25">
      <c r="A886" s="10"/>
      <c r="B886" s="10"/>
      <c r="C886" s="10"/>
      <c r="D886" s="11"/>
      <c r="E886" s="10"/>
      <c r="F886" s="10"/>
      <c r="G886" s="10"/>
      <c r="H886" s="12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2.5" x14ac:dyDescent="0.25">
      <c r="A887" s="10"/>
      <c r="B887" s="10"/>
      <c r="C887" s="10"/>
      <c r="D887" s="11"/>
      <c r="E887" s="10"/>
      <c r="F887" s="10"/>
      <c r="G887" s="10"/>
      <c r="H887" s="12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2.5" x14ac:dyDescent="0.25">
      <c r="A888" s="10"/>
      <c r="B888" s="10"/>
      <c r="C888" s="10"/>
      <c r="D888" s="11"/>
      <c r="E888" s="10"/>
      <c r="F888" s="10"/>
      <c r="G888" s="10"/>
      <c r="H888" s="12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2.5" x14ac:dyDescent="0.25">
      <c r="A889" s="10"/>
      <c r="B889" s="10"/>
      <c r="C889" s="10"/>
      <c r="D889" s="11"/>
      <c r="E889" s="10"/>
      <c r="F889" s="10"/>
      <c r="G889" s="10"/>
      <c r="H889" s="12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2.5" x14ac:dyDescent="0.25">
      <c r="A890" s="10"/>
      <c r="B890" s="10"/>
      <c r="C890" s="10"/>
      <c r="D890" s="11"/>
      <c r="E890" s="10"/>
      <c r="F890" s="10"/>
      <c r="G890" s="10"/>
      <c r="H890" s="12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2.5" x14ac:dyDescent="0.25">
      <c r="A891" s="10"/>
      <c r="B891" s="10"/>
      <c r="C891" s="10"/>
      <c r="D891" s="11"/>
      <c r="E891" s="10"/>
      <c r="F891" s="10"/>
      <c r="G891" s="10"/>
      <c r="H891" s="12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2.5" x14ac:dyDescent="0.25">
      <c r="A892" s="10"/>
      <c r="B892" s="10"/>
      <c r="C892" s="10"/>
      <c r="D892" s="11"/>
      <c r="E892" s="10"/>
      <c r="F892" s="10"/>
      <c r="G892" s="10"/>
      <c r="H892" s="12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2.5" x14ac:dyDescent="0.25">
      <c r="A893" s="10"/>
      <c r="B893" s="10"/>
      <c r="C893" s="10"/>
      <c r="D893" s="11"/>
      <c r="E893" s="10"/>
      <c r="F893" s="10"/>
      <c r="G893" s="10"/>
      <c r="H893" s="12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2.5" x14ac:dyDescent="0.25">
      <c r="A894" s="10"/>
      <c r="B894" s="10"/>
      <c r="C894" s="10"/>
      <c r="D894" s="11"/>
      <c r="E894" s="10"/>
      <c r="F894" s="10"/>
      <c r="G894" s="10"/>
      <c r="H894" s="12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2.5" x14ac:dyDescent="0.25">
      <c r="A895" s="10"/>
      <c r="B895" s="10"/>
      <c r="C895" s="10"/>
      <c r="D895" s="11"/>
      <c r="E895" s="10"/>
      <c r="F895" s="10"/>
      <c r="G895" s="10"/>
      <c r="H895" s="12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2.5" x14ac:dyDescent="0.25">
      <c r="A896" s="10"/>
      <c r="B896" s="10"/>
      <c r="C896" s="10"/>
      <c r="D896" s="11"/>
      <c r="E896" s="10"/>
      <c r="F896" s="10"/>
      <c r="G896" s="10"/>
      <c r="H896" s="12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2.5" x14ac:dyDescent="0.25">
      <c r="A897" s="10"/>
      <c r="B897" s="10"/>
      <c r="C897" s="10"/>
      <c r="D897" s="11"/>
      <c r="E897" s="10"/>
      <c r="F897" s="10"/>
      <c r="G897" s="10"/>
      <c r="H897" s="12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2.5" x14ac:dyDescent="0.25">
      <c r="A898" s="10"/>
      <c r="B898" s="10"/>
      <c r="C898" s="10"/>
      <c r="D898" s="11"/>
      <c r="E898" s="10"/>
      <c r="F898" s="10"/>
      <c r="G898" s="10"/>
      <c r="H898" s="12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2.5" x14ac:dyDescent="0.25">
      <c r="A899" s="10"/>
      <c r="B899" s="10"/>
      <c r="C899" s="10"/>
      <c r="D899" s="11"/>
      <c r="E899" s="10"/>
      <c r="F899" s="10"/>
      <c r="G899" s="10"/>
      <c r="H899" s="12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2.5" x14ac:dyDescent="0.25">
      <c r="A900" s="10"/>
      <c r="B900" s="10"/>
      <c r="C900" s="10"/>
      <c r="D900" s="11"/>
      <c r="E900" s="10"/>
      <c r="F900" s="10"/>
      <c r="G900" s="10"/>
      <c r="H900" s="12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2.5" x14ac:dyDescent="0.25">
      <c r="A901" s="10"/>
      <c r="B901" s="10"/>
      <c r="C901" s="10"/>
      <c r="D901" s="11"/>
      <c r="E901" s="10"/>
      <c r="F901" s="10"/>
      <c r="G901" s="10"/>
      <c r="H901" s="12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2.5" x14ac:dyDescent="0.25">
      <c r="A902" s="10"/>
      <c r="B902" s="10"/>
      <c r="C902" s="10"/>
      <c r="D902" s="11"/>
      <c r="E902" s="10"/>
      <c r="F902" s="10"/>
      <c r="G902" s="10"/>
      <c r="H902" s="12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2.5" x14ac:dyDescent="0.25">
      <c r="A903" s="10"/>
      <c r="B903" s="10"/>
      <c r="C903" s="10"/>
      <c r="D903" s="11"/>
      <c r="E903" s="10"/>
      <c r="F903" s="10"/>
      <c r="G903" s="10"/>
      <c r="H903" s="12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2.5" x14ac:dyDescent="0.25">
      <c r="A904" s="10"/>
      <c r="B904" s="10"/>
      <c r="C904" s="10"/>
      <c r="D904" s="11"/>
      <c r="E904" s="10"/>
      <c r="F904" s="10"/>
      <c r="G904" s="10"/>
      <c r="H904" s="12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2.5" x14ac:dyDescent="0.25">
      <c r="A905" s="10"/>
      <c r="B905" s="10"/>
      <c r="C905" s="10"/>
      <c r="D905" s="11"/>
      <c r="E905" s="10"/>
      <c r="F905" s="10"/>
      <c r="G905" s="10"/>
      <c r="H905" s="12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2.5" x14ac:dyDescent="0.25">
      <c r="A906" s="10"/>
      <c r="B906" s="10"/>
      <c r="C906" s="10"/>
      <c r="D906" s="11"/>
      <c r="E906" s="10"/>
      <c r="F906" s="10"/>
      <c r="G906" s="10"/>
      <c r="H906" s="12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2.5" x14ac:dyDescent="0.25">
      <c r="A907" s="10"/>
      <c r="B907" s="10"/>
      <c r="C907" s="10"/>
      <c r="D907" s="11"/>
      <c r="E907" s="10"/>
      <c r="F907" s="10"/>
      <c r="G907" s="10"/>
      <c r="H907" s="12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2.5" x14ac:dyDescent="0.25">
      <c r="A908" s="10"/>
      <c r="B908" s="10"/>
      <c r="C908" s="10"/>
      <c r="D908" s="11"/>
      <c r="E908" s="10"/>
      <c r="F908" s="10"/>
      <c r="G908" s="10"/>
      <c r="H908" s="12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2.5" x14ac:dyDescent="0.25">
      <c r="A909" s="10"/>
      <c r="B909" s="10"/>
      <c r="C909" s="10"/>
      <c r="D909" s="11"/>
      <c r="E909" s="10"/>
      <c r="F909" s="10"/>
      <c r="G909" s="10"/>
      <c r="H909" s="12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2.5" x14ac:dyDescent="0.25">
      <c r="A910" s="10"/>
      <c r="B910" s="10"/>
      <c r="C910" s="10"/>
      <c r="D910" s="11"/>
      <c r="E910" s="10"/>
      <c r="F910" s="10"/>
      <c r="G910" s="10"/>
      <c r="H910" s="12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2.5" x14ac:dyDescent="0.25">
      <c r="A911" s="10"/>
      <c r="B911" s="10"/>
      <c r="C911" s="10"/>
      <c r="D911" s="11"/>
      <c r="E911" s="10"/>
      <c r="F911" s="10"/>
      <c r="G911" s="10"/>
      <c r="H911" s="12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2.5" x14ac:dyDescent="0.25">
      <c r="A912" s="10"/>
      <c r="B912" s="10"/>
      <c r="C912" s="10"/>
      <c r="D912" s="11"/>
      <c r="E912" s="10"/>
      <c r="F912" s="10"/>
      <c r="G912" s="10"/>
      <c r="H912" s="12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2.5" x14ac:dyDescent="0.25">
      <c r="A913" s="10"/>
      <c r="B913" s="10"/>
      <c r="C913" s="10"/>
      <c r="D913" s="11"/>
      <c r="E913" s="10"/>
      <c r="F913" s="10"/>
      <c r="G913" s="10"/>
      <c r="H913" s="12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2.5" x14ac:dyDescent="0.25">
      <c r="A914" s="10"/>
      <c r="B914" s="10"/>
      <c r="C914" s="10"/>
      <c r="D914" s="11"/>
      <c r="E914" s="10"/>
      <c r="F914" s="10"/>
      <c r="G914" s="10"/>
      <c r="H914" s="12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2.5" x14ac:dyDescent="0.25">
      <c r="A915" s="10"/>
      <c r="B915" s="10"/>
      <c r="C915" s="10"/>
      <c r="D915" s="11"/>
      <c r="E915" s="10"/>
      <c r="F915" s="10"/>
      <c r="G915" s="10"/>
      <c r="H915" s="12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2.5" x14ac:dyDescent="0.25">
      <c r="A916" s="10"/>
      <c r="B916" s="10"/>
      <c r="C916" s="10"/>
      <c r="D916" s="11"/>
      <c r="E916" s="10"/>
      <c r="F916" s="10"/>
      <c r="G916" s="10"/>
      <c r="H916" s="12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2.5" x14ac:dyDescent="0.25">
      <c r="A917" s="10"/>
      <c r="B917" s="10"/>
      <c r="C917" s="10"/>
      <c r="D917" s="11"/>
      <c r="E917" s="10"/>
      <c r="F917" s="10"/>
      <c r="G917" s="10"/>
      <c r="H917" s="12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2.5" x14ac:dyDescent="0.25">
      <c r="A918" s="10"/>
      <c r="B918" s="10"/>
      <c r="C918" s="10"/>
      <c r="D918" s="11"/>
      <c r="E918" s="10"/>
      <c r="F918" s="10"/>
      <c r="G918" s="10"/>
      <c r="H918" s="12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2.5" x14ac:dyDescent="0.25">
      <c r="A919" s="10"/>
      <c r="B919" s="10"/>
      <c r="C919" s="10"/>
      <c r="D919" s="11"/>
      <c r="E919" s="10"/>
      <c r="F919" s="10"/>
      <c r="G919" s="10"/>
      <c r="H919" s="12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2.5" x14ac:dyDescent="0.25">
      <c r="A920" s="10"/>
      <c r="B920" s="10"/>
      <c r="C920" s="10"/>
      <c r="D920" s="11"/>
      <c r="E920" s="10"/>
      <c r="F920" s="10"/>
      <c r="G920" s="10"/>
      <c r="H920" s="12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2.5" x14ac:dyDescent="0.25">
      <c r="A921" s="10"/>
      <c r="B921" s="10"/>
      <c r="C921" s="10"/>
      <c r="D921" s="11"/>
      <c r="E921" s="10"/>
      <c r="F921" s="10"/>
      <c r="G921" s="10"/>
      <c r="H921" s="12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2.5" x14ac:dyDescent="0.25">
      <c r="A922" s="10"/>
      <c r="B922" s="10"/>
      <c r="C922" s="10"/>
      <c r="D922" s="11"/>
      <c r="E922" s="10"/>
      <c r="F922" s="10"/>
      <c r="G922" s="10"/>
      <c r="H922" s="12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2.5" x14ac:dyDescent="0.25">
      <c r="A923" s="10"/>
      <c r="B923" s="10"/>
      <c r="C923" s="10"/>
      <c r="D923" s="11"/>
      <c r="E923" s="10"/>
      <c r="F923" s="10"/>
      <c r="G923" s="10"/>
      <c r="H923" s="12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2.5" x14ac:dyDescent="0.25">
      <c r="A924" s="10"/>
      <c r="B924" s="10"/>
      <c r="C924" s="10"/>
      <c r="D924" s="11"/>
      <c r="E924" s="10"/>
      <c r="F924" s="10"/>
      <c r="G924" s="10"/>
      <c r="H924" s="12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2.5" x14ac:dyDescent="0.25">
      <c r="A925" s="10"/>
      <c r="B925" s="10"/>
      <c r="C925" s="10"/>
      <c r="D925" s="11"/>
      <c r="E925" s="10"/>
      <c r="F925" s="10"/>
      <c r="G925" s="10"/>
      <c r="H925" s="12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2.5" x14ac:dyDescent="0.25">
      <c r="A926" s="10"/>
      <c r="B926" s="10"/>
      <c r="C926" s="10"/>
      <c r="D926" s="11"/>
      <c r="E926" s="10"/>
      <c r="F926" s="10"/>
      <c r="G926" s="10"/>
      <c r="H926" s="12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2.5" x14ac:dyDescent="0.25">
      <c r="A927" s="10"/>
      <c r="B927" s="10"/>
      <c r="C927" s="10"/>
      <c r="D927" s="11"/>
      <c r="E927" s="10"/>
      <c r="F927" s="10"/>
      <c r="G927" s="10"/>
      <c r="H927" s="12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2.5" x14ac:dyDescent="0.25">
      <c r="A928" s="10"/>
      <c r="B928" s="10"/>
      <c r="C928" s="10"/>
      <c r="D928" s="11"/>
      <c r="E928" s="10"/>
      <c r="F928" s="10"/>
      <c r="G928" s="10"/>
      <c r="H928" s="12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2.5" x14ac:dyDescent="0.25">
      <c r="A929" s="10"/>
      <c r="B929" s="10"/>
      <c r="C929" s="10"/>
      <c r="D929" s="11"/>
      <c r="E929" s="10"/>
      <c r="F929" s="10"/>
      <c r="G929" s="10"/>
      <c r="H929" s="12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2.5" x14ac:dyDescent="0.25">
      <c r="A930" s="10"/>
      <c r="B930" s="10"/>
      <c r="C930" s="10"/>
      <c r="D930" s="11"/>
      <c r="E930" s="10"/>
      <c r="F930" s="10"/>
      <c r="G930" s="10"/>
      <c r="H930" s="12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2.5" x14ac:dyDescent="0.25">
      <c r="A931" s="10"/>
      <c r="B931" s="10"/>
      <c r="C931" s="10"/>
      <c r="D931" s="11"/>
      <c r="E931" s="10"/>
      <c r="F931" s="10"/>
      <c r="G931" s="10"/>
      <c r="H931" s="12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2.5" x14ac:dyDescent="0.25">
      <c r="A932" s="10"/>
      <c r="B932" s="10"/>
      <c r="C932" s="10"/>
      <c r="D932" s="11"/>
      <c r="E932" s="10"/>
      <c r="F932" s="10"/>
      <c r="G932" s="10"/>
      <c r="H932" s="12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2.5" x14ac:dyDescent="0.25">
      <c r="A933" s="10"/>
      <c r="B933" s="10"/>
      <c r="C933" s="10"/>
      <c r="D933" s="11"/>
      <c r="E933" s="10"/>
      <c r="F933" s="10"/>
      <c r="G933" s="10"/>
      <c r="H933" s="12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2.5" x14ac:dyDescent="0.25">
      <c r="A934" s="10"/>
      <c r="B934" s="10"/>
      <c r="C934" s="10"/>
      <c r="D934" s="11"/>
      <c r="E934" s="10"/>
      <c r="F934" s="10"/>
      <c r="G934" s="10"/>
      <c r="H934" s="12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2.5" x14ac:dyDescent="0.25">
      <c r="A935" s="10"/>
      <c r="B935" s="10"/>
      <c r="C935" s="10"/>
      <c r="D935" s="11"/>
      <c r="E935" s="10"/>
      <c r="F935" s="10"/>
      <c r="G935" s="10"/>
      <c r="H935" s="12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2.5" x14ac:dyDescent="0.25">
      <c r="A936" s="10"/>
      <c r="B936" s="10"/>
      <c r="C936" s="10"/>
      <c r="D936" s="11"/>
      <c r="E936" s="10"/>
      <c r="F936" s="10"/>
      <c r="G936" s="10"/>
      <c r="H936" s="12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2.5" x14ac:dyDescent="0.25">
      <c r="A937" s="10"/>
      <c r="B937" s="10"/>
      <c r="C937" s="10"/>
      <c r="D937" s="11"/>
      <c r="E937" s="10"/>
      <c r="F937" s="10"/>
      <c r="G937" s="10"/>
      <c r="H937" s="12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2.5" x14ac:dyDescent="0.25">
      <c r="A938" s="10"/>
      <c r="B938" s="10"/>
      <c r="C938" s="10"/>
      <c r="D938" s="11"/>
      <c r="E938" s="10"/>
      <c r="F938" s="10"/>
      <c r="G938" s="10"/>
      <c r="H938" s="12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2.5" x14ac:dyDescent="0.25">
      <c r="A939" s="10"/>
      <c r="B939" s="10"/>
      <c r="C939" s="10"/>
      <c r="D939" s="11"/>
      <c r="E939" s="10"/>
      <c r="F939" s="10"/>
      <c r="G939" s="10"/>
      <c r="H939" s="12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2.5" x14ac:dyDescent="0.25">
      <c r="A940" s="10"/>
      <c r="B940" s="10"/>
      <c r="C940" s="10"/>
      <c r="D940" s="11"/>
      <c r="E940" s="10"/>
      <c r="F940" s="10"/>
      <c r="G940" s="10"/>
      <c r="H940" s="12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2.5" x14ac:dyDescent="0.25">
      <c r="A941" s="10"/>
      <c r="B941" s="10"/>
      <c r="C941" s="10"/>
      <c r="D941" s="11"/>
      <c r="E941" s="10"/>
      <c r="F941" s="10"/>
      <c r="G941" s="10"/>
      <c r="H941" s="12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2.5" x14ac:dyDescent="0.25">
      <c r="A942" s="10"/>
      <c r="B942" s="10"/>
      <c r="C942" s="10"/>
      <c r="D942" s="11"/>
      <c r="E942" s="10"/>
      <c r="F942" s="10"/>
      <c r="G942" s="10"/>
      <c r="H942" s="12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2.5" x14ac:dyDescent="0.25">
      <c r="A943" s="10"/>
      <c r="B943" s="10"/>
      <c r="C943" s="10"/>
      <c r="D943" s="11"/>
      <c r="E943" s="10"/>
      <c r="F943" s="10"/>
      <c r="G943" s="10"/>
      <c r="H943" s="12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2.5" x14ac:dyDescent="0.25">
      <c r="A944" s="10"/>
      <c r="B944" s="10"/>
      <c r="C944" s="10"/>
      <c r="D944" s="11"/>
      <c r="E944" s="10"/>
      <c r="F944" s="10"/>
      <c r="G944" s="10"/>
      <c r="H944" s="12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2.5" x14ac:dyDescent="0.25">
      <c r="A945" s="10"/>
      <c r="B945" s="10"/>
      <c r="C945" s="10"/>
      <c r="D945" s="11"/>
      <c r="E945" s="10"/>
      <c r="F945" s="10"/>
      <c r="G945" s="10"/>
      <c r="H945" s="12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2.5" x14ac:dyDescent="0.25">
      <c r="A946" s="10"/>
      <c r="B946" s="10"/>
      <c r="C946" s="10"/>
      <c r="D946" s="11"/>
      <c r="E946" s="10"/>
      <c r="F946" s="10"/>
      <c r="G946" s="10"/>
      <c r="H946" s="12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2.5" x14ac:dyDescent="0.25">
      <c r="A947" s="10"/>
      <c r="B947" s="10"/>
      <c r="C947" s="10"/>
      <c r="D947" s="11"/>
      <c r="E947" s="10"/>
      <c r="F947" s="10"/>
      <c r="G947" s="10"/>
      <c r="H947" s="12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2.5" x14ac:dyDescent="0.25">
      <c r="A948" s="10"/>
      <c r="B948" s="10"/>
      <c r="C948" s="10"/>
      <c r="D948" s="11"/>
      <c r="E948" s="10"/>
      <c r="F948" s="10"/>
      <c r="G948" s="10"/>
      <c r="H948" s="12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2.5" x14ac:dyDescent="0.25">
      <c r="A949" s="10"/>
      <c r="B949" s="10"/>
      <c r="C949" s="10"/>
      <c r="D949" s="11"/>
      <c r="E949" s="10"/>
      <c r="F949" s="10"/>
      <c r="G949" s="10"/>
      <c r="H949" s="12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2.5" x14ac:dyDescent="0.25">
      <c r="A950" s="10"/>
      <c r="B950" s="10"/>
      <c r="C950" s="10"/>
      <c r="D950" s="11"/>
      <c r="E950" s="10"/>
      <c r="F950" s="10"/>
      <c r="G950" s="10"/>
      <c r="H950" s="12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2.5" x14ac:dyDescent="0.25">
      <c r="A951" s="10"/>
      <c r="B951" s="10"/>
      <c r="C951" s="10"/>
      <c r="D951" s="11"/>
      <c r="E951" s="10"/>
      <c r="F951" s="10"/>
      <c r="G951" s="10"/>
      <c r="H951" s="12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2.5" x14ac:dyDescent="0.25">
      <c r="A952" s="10"/>
      <c r="B952" s="10"/>
      <c r="C952" s="10"/>
      <c r="D952" s="11"/>
      <c r="E952" s="10"/>
      <c r="F952" s="10"/>
      <c r="G952" s="10"/>
      <c r="H952" s="12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2.5" x14ac:dyDescent="0.25">
      <c r="A953" s="10"/>
      <c r="B953" s="10"/>
      <c r="C953" s="10"/>
      <c r="D953" s="11"/>
      <c r="E953" s="10"/>
      <c r="F953" s="10"/>
      <c r="G953" s="10"/>
      <c r="H953" s="12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2.5" x14ac:dyDescent="0.25">
      <c r="A954" s="10"/>
      <c r="B954" s="10"/>
      <c r="C954" s="10"/>
      <c r="D954" s="11"/>
      <c r="E954" s="10"/>
      <c r="F954" s="10"/>
      <c r="G954" s="10"/>
      <c r="H954" s="12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2.5" x14ac:dyDescent="0.25">
      <c r="A955" s="10"/>
      <c r="B955" s="10"/>
      <c r="C955" s="10"/>
      <c r="D955" s="11"/>
      <c r="E955" s="10"/>
      <c r="F955" s="10"/>
      <c r="G955" s="10"/>
      <c r="H955" s="12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2.5" x14ac:dyDescent="0.25">
      <c r="A956" s="10"/>
      <c r="B956" s="10"/>
      <c r="C956" s="10"/>
      <c r="D956" s="11"/>
      <c r="E956" s="10"/>
      <c r="F956" s="10"/>
      <c r="G956" s="10"/>
      <c r="H956" s="12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2.5" x14ac:dyDescent="0.25">
      <c r="A957" s="10"/>
      <c r="B957" s="10"/>
      <c r="C957" s="10"/>
      <c r="D957" s="11"/>
      <c r="E957" s="10"/>
      <c r="F957" s="10"/>
      <c r="G957" s="10"/>
      <c r="H957" s="12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2.5" x14ac:dyDescent="0.25">
      <c r="A958" s="10"/>
      <c r="B958" s="10"/>
      <c r="C958" s="10"/>
      <c r="D958" s="11"/>
      <c r="E958" s="10"/>
      <c r="F958" s="10"/>
      <c r="G958" s="10"/>
      <c r="H958" s="12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2.5" x14ac:dyDescent="0.25">
      <c r="A959" s="10"/>
      <c r="B959" s="10"/>
      <c r="C959" s="10"/>
      <c r="D959" s="11"/>
      <c r="E959" s="10"/>
      <c r="F959" s="10"/>
      <c r="G959" s="10"/>
      <c r="H959" s="12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2.5" x14ac:dyDescent="0.25">
      <c r="A960" s="10"/>
      <c r="B960" s="10"/>
      <c r="C960" s="10"/>
      <c r="D960" s="11"/>
      <c r="E960" s="10"/>
      <c r="F960" s="10"/>
      <c r="G960" s="10"/>
      <c r="H960" s="12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2.5" x14ac:dyDescent="0.25">
      <c r="A961" s="10"/>
      <c r="B961" s="10"/>
      <c r="C961" s="10"/>
      <c r="D961" s="11"/>
      <c r="E961" s="10"/>
      <c r="F961" s="10"/>
      <c r="G961" s="10"/>
      <c r="H961" s="12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2.5" x14ac:dyDescent="0.25">
      <c r="A962" s="10"/>
      <c r="B962" s="10"/>
      <c r="C962" s="10"/>
      <c r="D962" s="11"/>
      <c r="E962" s="10"/>
      <c r="F962" s="10"/>
      <c r="G962" s="10"/>
      <c r="H962" s="12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2.5" x14ac:dyDescent="0.25">
      <c r="A963" s="10"/>
      <c r="B963" s="10"/>
      <c r="C963" s="10"/>
      <c r="D963" s="11"/>
      <c r="E963" s="10"/>
      <c r="F963" s="10"/>
      <c r="G963" s="10"/>
      <c r="H963" s="12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2.5" x14ac:dyDescent="0.25">
      <c r="A964" s="10"/>
      <c r="B964" s="10"/>
      <c r="C964" s="10"/>
      <c r="D964" s="11"/>
      <c r="E964" s="10"/>
      <c r="F964" s="10"/>
      <c r="G964" s="10"/>
      <c r="H964" s="12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2.5" x14ac:dyDescent="0.25">
      <c r="A965" s="10"/>
      <c r="B965" s="10"/>
      <c r="C965" s="10"/>
      <c r="D965" s="11"/>
      <c r="E965" s="10"/>
      <c r="F965" s="10"/>
      <c r="G965" s="10"/>
      <c r="H965" s="12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2.5" x14ac:dyDescent="0.25">
      <c r="A966" s="10"/>
      <c r="B966" s="10"/>
      <c r="C966" s="10"/>
      <c r="D966" s="11"/>
      <c r="E966" s="10"/>
      <c r="F966" s="10"/>
      <c r="G966" s="10"/>
      <c r="H966" s="12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2.5" x14ac:dyDescent="0.25">
      <c r="A967" s="10"/>
      <c r="B967" s="10"/>
      <c r="C967" s="10"/>
      <c r="D967" s="11"/>
      <c r="E967" s="10"/>
      <c r="F967" s="10"/>
      <c r="G967" s="10"/>
      <c r="H967" s="12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2.5" x14ac:dyDescent="0.25">
      <c r="A968" s="10"/>
      <c r="B968" s="10"/>
      <c r="C968" s="10"/>
      <c r="D968" s="11"/>
      <c r="E968" s="10"/>
      <c r="F968" s="10"/>
      <c r="G968" s="10"/>
      <c r="H968" s="12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2.5" x14ac:dyDescent="0.25">
      <c r="A969" s="10"/>
      <c r="B969" s="10"/>
      <c r="C969" s="10"/>
      <c r="D969" s="11"/>
      <c r="E969" s="10"/>
      <c r="F969" s="10"/>
      <c r="G969" s="10"/>
      <c r="H969" s="12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2.5" x14ac:dyDescent="0.25">
      <c r="A970" s="10"/>
      <c r="B970" s="10"/>
      <c r="C970" s="10"/>
      <c r="D970" s="11"/>
      <c r="E970" s="10"/>
      <c r="F970" s="10"/>
      <c r="G970" s="10"/>
      <c r="H970" s="12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2.5" x14ac:dyDescent="0.25">
      <c r="A971" s="10"/>
      <c r="B971" s="10"/>
      <c r="C971" s="10"/>
      <c r="D971" s="11"/>
      <c r="E971" s="10"/>
      <c r="F971" s="10"/>
      <c r="G971" s="10"/>
      <c r="H971" s="12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2.5" x14ac:dyDescent="0.25">
      <c r="A972" s="10"/>
      <c r="B972" s="10"/>
      <c r="C972" s="10"/>
      <c r="D972" s="11"/>
      <c r="E972" s="10"/>
      <c r="F972" s="10"/>
      <c r="G972" s="10"/>
      <c r="H972" s="12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2.5" x14ac:dyDescent="0.25">
      <c r="A973" s="10"/>
      <c r="B973" s="10"/>
      <c r="C973" s="10"/>
      <c r="D973" s="11"/>
      <c r="E973" s="10"/>
      <c r="F973" s="10"/>
      <c r="G973" s="10"/>
      <c r="H973" s="12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2.5" x14ac:dyDescent="0.25">
      <c r="A974" s="10"/>
      <c r="B974" s="10"/>
      <c r="C974" s="10"/>
      <c r="D974" s="11"/>
      <c r="E974" s="10"/>
      <c r="F974" s="10"/>
      <c r="G974" s="10"/>
      <c r="H974" s="12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2.5" x14ac:dyDescent="0.25">
      <c r="A975" s="10"/>
      <c r="B975" s="10"/>
      <c r="C975" s="10"/>
      <c r="D975" s="11"/>
      <c r="E975" s="10"/>
      <c r="F975" s="10"/>
      <c r="G975" s="10"/>
      <c r="H975" s="12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2.5" x14ac:dyDescent="0.25">
      <c r="A976" s="10"/>
      <c r="B976" s="10"/>
      <c r="C976" s="10"/>
      <c r="D976" s="11"/>
      <c r="E976" s="10"/>
      <c r="F976" s="10"/>
      <c r="G976" s="10"/>
      <c r="H976" s="12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ht="12.5" x14ac:dyDescent="0.25">
      <c r="A977" s="10"/>
      <c r="B977" s="10"/>
      <c r="C977" s="10"/>
      <c r="D977" s="11"/>
      <c r="E977" s="10"/>
      <c r="F977" s="10"/>
      <c r="G977" s="10"/>
      <c r="H977" s="12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ht="12.5" x14ac:dyDescent="0.25">
      <c r="A978" s="10"/>
      <c r="B978" s="10"/>
      <c r="C978" s="10"/>
      <c r="D978" s="11"/>
      <c r="E978" s="10"/>
      <c r="F978" s="10"/>
      <c r="G978" s="10"/>
      <c r="H978" s="12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ht="12.5" x14ac:dyDescent="0.25">
      <c r="A979" s="10"/>
      <c r="B979" s="10"/>
      <c r="C979" s="10"/>
      <c r="D979" s="11"/>
      <c r="E979" s="10"/>
      <c r="F979" s="10"/>
      <c r="G979" s="10"/>
      <c r="H979" s="12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ht="12.5" x14ac:dyDescent="0.25">
      <c r="A980" s="10"/>
      <c r="B980" s="10"/>
      <c r="C980" s="10"/>
      <c r="D980" s="11"/>
      <c r="E980" s="10"/>
      <c r="F980" s="10"/>
      <c r="G980" s="10"/>
      <c r="H980" s="12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ht="12.5" x14ac:dyDescent="0.25">
      <c r="A981" s="10"/>
      <c r="B981" s="10"/>
      <c r="C981" s="10"/>
      <c r="D981" s="11"/>
      <c r="E981" s="10"/>
      <c r="F981" s="10"/>
      <c r="G981" s="10"/>
      <c r="H981" s="12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ht="12.5" x14ac:dyDescent="0.25">
      <c r="A982" s="10"/>
      <c r="B982" s="10"/>
      <c r="C982" s="10"/>
      <c r="D982" s="11"/>
      <c r="E982" s="10"/>
      <c r="F982" s="10"/>
      <c r="G982" s="10"/>
      <c r="H982" s="12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ht="12.5" x14ac:dyDescent="0.25">
      <c r="A983" s="10"/>
      <c r="B983" s="10"/>
      <c r="C983" s="10"/>
      <c r="D983" s="11"/>
      <c r="E983" s="10"/>
      <c r="F983" s="10"/>
      <c r="G983" s="10"/>
      <c r="H983" s="12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ht="12.5" x14ac:dyDescent="0.25">
      <c r="A984" s="10"/>
      <c r="B984" s="10"/>
      <c r="C984" s="10"/>
      <c r="D984" s="11"/>
      <c r="E984" s="10"/>
      <c r="F984" s="10"/>
      <c r="G984" s="10"/>
      <c r="H984" s="12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ht="12.5" x14ac:dyDescent="0.25">
      <c r="A985" s="10"/>
      <c r="B985" s="10"/>
      <c r="C985" s="10"/>
      <c r="D985" s="11"/>
      <c r="E985" s="10"/>
      <c r="F985" s="10"/>
      <c r="G985" s="10"/>
      <c r="H985" s="12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ht="12.5" x14ac:dyDescent="0.25">
      <c r="A986" s="10"/>
      <c r="B986" s="10"/>
      <c r="C986" s="10"/>
      <c r="D986" s="11"/>
      <c r="E986" s="10"/>
      <c r="F986" s="10"/>
      <c r="G986" s="10"/>
      <c r="H986" s="12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ht="12.5" x14ac:dyDescent="0.25">
      <c r="A987" s="10"/>
      <c r="B987" s="10"/>
      <c r="C987" s="10"/>
      <c r="D987" s="11"/>
      <c r="E987" s="10"/>
      <c r="F987" s="10"/>
      <c r="G987" s="10"/>
      <c r="H987" s="12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ht="12.5" x14ac:dyDescent="0.25">
      <c r="A988" s="10"/>
      <c r="B988" s="10"/>
      <c r="C988" s="10"/>
      <c r="D988" s="11"/>
      <c r="E988" s="10"/>
      <c r="F988" s="10"/>
      <c r="G988" s="10"/>
      <c r="H988" s="12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ht="12.5" x14ac:dyDescent="0.25">
      <c r="A989" s="10"/>
      <c r="B989" s="10"/>
      <c r="C989" s="10"/>
      <c r="D989" s="11"/>
      <c r="E989" s="10"/>
      <c r="F989" s="10"/>
      <c r="G989" s="10"/>
      <c r="H989" s="12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ht="12.5" x14ac:dyDescent="0.25">
      <c r="A990" s="10"/>
      <c r="B990" s="10"/>
      <c r="C990" s="10"/>
      <c r="D990" s="11"/>
      <c r="E990" s="10"/>
      <c r="F990" s="10"/>
      <c r="G990" s="10"/>
      <c r="H990" s="12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ht="12.5" x14ac:dyDescent="0.25">
      <c r="A991" s="10"/>
      <c r="B991" s="10"/>
      <c r="C991" s="10"/>
      <c r="D991" s="11"/>
      <c r="E991" s="10"/>
      <c r="F991" s="10"/>
      <c r="G991" s="10"/>
      <c r="H991" s="12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ht="12.5" x14ac:dyDescent="0.25">
      <c r="A992" s="10"/>
      <c r="B992" s="10"/>
      <c r="C992" s="10"/>
      <c r="D992" s="11"/>
      <c r="E992" s="10"/>
      <c r="F992" s="10"/>
      <c r="G992" s="10"/>
      <c r="H992" s="12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ht="12.5" x14ac:dyDescent="0.25">
      <c r="A993" s="10"/>
      <c r="B993" s="10"/>
      <c r="C993" s="10"/>
      <c r="D993" s="11"/>
      <c r="E993" s="10"/>
      <c r="F993" s="10"/>
      <c r="G993" s="10"/>
      <c r="H993" s="12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ht="12.5" x14ac:dyDescent="0.25">
      <c r="A994" s="10"/>
      <c r="B994" s="10"/>
      <c r="C994" s="10"/>
      <c r="D994" s="11"/>
      <c r="E994" s="10"/>
      <c r="F994" s="10"/>
      <c r="G994" s="10"/>
      <c r="H994" s="12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ht="12.5" x14ac:dyDescent="0.25">
      <c r="A995" s="10"/>
      <c r="B995" s="10"/>
      <c r="C995" s="10"/>
      <c r="D995" s="11"/>
      <c r="E995" s="10"/>
      <c r="F995" s="10"/>
      <c r="G995" s="10"/>
      <c r="H995" s="12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ht="12.5" x14ac:dyDescent="0.25">
      <c r="A996" s="10"/>
      <c r="B996" s="10"/>
      <c r="C996" s="10"/>
      <c r="D996" s="11"/>
      <c r="E996" s="10"/>
      <c r="F996" s="10"/>
      <c r="G996" s="10"/>
      <c r="H996" s="12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ht="12.5" x14ac:dyDescent="0.25">
      <c r="A997" s="10"/>
      <c r="B997" s="10"/>
      <c r="C997" s="10"/>
      <c r="D997" s="11"/>
      <c r="E997" s="10"/>
      <c r="F997" s="10"/>
      <c r="G997" s="10"/>
      <c r="H997" s="12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ht="12.5" x14ac:dyDescent="0.25">
      <c r="A998" s="10"/>
      <c r="B998" s="10"/>
      <c r="C998" s="10"/>
      <c r="D998" s="11"/>
      <c r="E998" s="10"/>
      <c r="F998" s="10"/>
      <c r="G998" s="10"/>
      <c r="H998" s="12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ht="12.5" x14ac:dyDescent="0.25">
      <c r="A999" s="10"/>
      <c r="B999" s="10"/>
      <c r="C999" s="10"/>
      <c r="D999" s="11"/>
      <c r="E999" s="10"/>
      <c r="F999" s="10"/>
      <c r="G999" s="10"/>
      <c r="H999" s="12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ht="12.5" x14ac:dyDescent="0.25">
      <c r="A1000" s="10"/>
      <c r="B1000" s="10"/>
      <c r="C1000" s="10"/>
      <c r="D1000" s="11"/>
      <c r="E1000" s="10"/>
      <c r="F1000" s="10"/>
      <c r="G1000" s="10"/>
      <c r="H1000" s="12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spans="1:27" ht="12.5" x14ac:dyDescent="0.25">
      <c r="A1001" s="10"/>
      <c r="B1001" s="10"/>
      <c r="C1001" s="10"/>
      <c r="D1001" s="11"/>
      <c r="E1001" s="10"/>
      <c r="F1001" s="10"/>
      <c r="G1001" s="10"/>
      <c r="H1001" s="12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spans="1:27" ht="12.5" x14ac:dyDescent="0.25">
      <c r="A1002" s="10"/>
      <c r="B1002" s="10"/>
      <c r="C1002" s="10"/>
      <c r="D1002" s="11"/>
      <c r="E1002" s="10"/>
      <c r="F1002" s="10"/>
      <c r="G1002" s="10"/>
      <c r="H1002" s="12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spans="1:27" ht="12.5" x14ac:dyDescent="0.25">
      <c r="A1003" s="10"/>
      <c r="B1003" s="10"/>
      <c r="C1003" s="10"/>
      <c r="D1003" s="11"/>
      <c r="E1003" s="10"/>
      <c r="F1003" s="10"/>
      <c r="G1003" s="10"/>
      <c r="H1003" s="12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spans="1:27" ht="12.5" x14ac:dyDescent="0.25">
      <c r="A1004" s="10"/>
      <c r="B1004" s="10"/>
      <c r="C1004" s="10"/>
      <c r="D1004" s="11"/>
      <c r="E1004" s="10"/>
      <c r="F1004" s="10"/>
      <c r="G1004" s="10"/>
      <c r="H1004" s="12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spans="1:27" ht="12.5" x14ac:dyDescent="0.25">
      <c r="A1005" s="10"/>
      <c r="B1005" s="10"/>
      <c r="C1005" s="10"/>
      <c r="D1005" s="11"/>
      <c r="E1005" s="10"/>
      <c r="F1005" s="10"/>
      <c r="G1005" s="10"/>
      <c r="H1005" s="12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spans="1:27" ht="12.5" x14ac:dyDescent="0.25">
      <c r="A1006" s="10"/>
      <c r="B1006" s="10"/>
      <c r="C1006" s="10"/>
      <c r="D1006" s="11"/>
      <c r="E1006" s="10"/>
      <c r="F1006" s="10"/>
      <c r="G1006" s="10"/>
      <c r="H1006" s="12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spans="1:27" ht="12.5" x14ac:dyDescent="0.25">
      <c r="A1007" s="10"/>
      <c r="B1007" s="10"/>
      <c r="C1007" s="10"/>
      <c r="D1007" s="11"/>
      <c r="E1007" s="10"/>
      <c r="F1007" s="10"/>
      <c r="G1007" s="10"/>
      <c r="H1007" s="12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spans="1:27" ht="12.5" x14ac:dyDescent="0.25">
      <c r="A1008" s="10"/>
      <c r="B1008" s="10"/>
      <c r="C1008" s="10"/>
      <c r="D1008" s="11"/>
      <c r="E1008" s="10"/>
      <c r="F1008" s="10"/>
      <c r="G1008" s="10"/>
      <c r="H1008" s="12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spans="1:27" ht="12.5" x14ac:dyDescent="0.25">
      <c r="A1009" s="10"/>
      <c r="B1009" s="10"/>
      <c r="C1009" s="10"/>
      <c r="D1009" s="11"/>
      <c r="E1009" s="10"/>
      <c r="F1009" s="10"/>
      <c r="G1009" s="10"/>
      <c r="H1009" s="12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spans="1:27" ht="12.5" x14ac:dyDescent="0.25">
      <c r="A1010" s="10"/>
      <c r="B1010" s="10"/>
      <c r="C1010" s="10"/>
      <c r="D1010" s="11"/>
      <c r="E1010" s="10"/>
      <c r="F1010" s="10"/>
      <c r="G1010" s="10"/>
      <c r="H1010" s="12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spans="1:27" ht="12.5" x14ac:dyDescent="0.25">
      <c r="A1011" s="10"/>
      <c r="B1011" s="10"/>
      <c r="C1011" s="10"/>
      <c r="D1011" s="11"/>
      <c r="E1011" s="10"/>
      <c r="F1011" s="10"/>
      <c r="G1011" s="10"/>
      <c r="H1011" s="12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spans="1:27" ht="12.5" x14ac:dyDescent="0.25">
      <c r="A1012" s="10"/>
      <c r="B1012" s="10"/>
      <c r="C1012" s="10"/>
      <c r="D1012" s="11"/>
      <c r="E1012" s="10"/>
      <c r="F1012" s="10"/>
      <c r="G1012" s="10"/>
      <c r="H1012" s="12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 spans="1:27" ht="12.5" x14ac:dyDescent="0.25">
      <c r="A1013" s="10"/>
      <c r="B1013" s="10"/>
      <c r="C1013" s="10"/>
      <c r="D1013" s="11"/>
      <c r="E1013" s="10"/>
      <c r="F1013" s="10"/>
      <c r="G1013" s="10"/>
      <c r="H1013" s="12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 spans="1:27" ht="12.5" x14ac:dyDescent="0.25">
      <c r="A1014" s="10"/>
      <c r="B1014" s="10"/>
      <c r="C1014" s="10"/>
      <c r="D1014" s="11"/>
      <c r="E1014" s="10"/>
      <c r="F1014" s="10"/>
      <c r="G1014" s="10"/>
      <c r="H1014" s="12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 spans="1:27" ht="12.5" x14ac:dyDescent="0.25">
      <c r="A1015" s="10"/>
      <c r="B1015" s="10"/>
      <c r="C1015" s="10"/>
      <c r="D1015" s="11"/>
      <c r="E1015" s="10"/>
      <c r="F1015" s="10"/>
      <c r="G1015" s="10"/>
      <c r="H1015" s="12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 spans="1:27" ht="12.5" x14ac:dyDescent="0.25">
      <c r="A1016" s="10"/>
      <c r="B1016" s="10"/>
      <c r="C1016" s="10"/>
      <c r="D1016" s="11"/>
      <c r="E1016" s="10"/>
      <c r="F1016" s="10"/>
      <c r="G1016" s="10"/>
      <c r="H1016" s="12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 spans="1:27" ht="12.5" x14ac:dyDescent="0.25">
      <c r="A1017" s="10"/>
      <c r="B1017" s="10"/>
      <c r="C1017" s="10"/>
      <c r="D1017" s="11"/>
      <c r="E1017" s="10"/>
      <c r="F1017" s="10"/>
      <c r="G1017" s="10"/>
      <c r="H1017" s="12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 spans="1:27" ht="12.5" x14ac:dyDescent="0.25">
      <c r="A1018" s="10"/>
      <c r="B1018" s="10"/>
      <c r="C1018" s="10"/>
      <c r="D1018" s="11"/>
      <c r="E1018" s="10"/>
      <c r="F1018" s="10"/>
      <c r="G1018" s="10"/>
      <c r="H1018" s="12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 spans="1:27" ht="12.5" x14ac:dyDescent="0.25">
      <c r="A1019" s="10"/>
      <c r="B1019" s="10"/>
      <c r="C1019" s="10"/>
      <c r="D1019" s="11"/>
      <c r="E1019" s="10"/>
      <c r="F1019" s="10"/>
      <c r="G1019" s="10"/>
      <c r="H1019" s="12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 spans="1:27" ht="12.5" x14ac:dyDescent="0.25">
      <c r="A1020" s="10"/>
      <c r="B1020" s="10"/>
      <c r="C1020" s="10"/>
      <c r="D1020" s="11"/>
      <c r="E1020" s="10"/>
      <c r="F1020" s="10"/>
      <c r="G1020" s="10"/>
      <c r="H1020" s="12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 spans="1:27" ht="12.5" x14ac:dyDescent="0.25">
      <c r="A1021" s="10"/>
      <c r="B1021" s="10"/>
      <c r="C1021" s="10"/>
      <c r="D1021" s="11"/>
      <c r="E1021" s="10"/>
      <c r="F1021" s="10"/>
      <c r="G1021" s="10"/>
      <c r="H1021" s="12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 spans="1:27" ht="12.5" x14ac:dyDescent="0.25">
      <c r="A1022" s="10"/>
      <c r="B1022" s="10"/>
      <c r="C1022" s="10"/>
      <c r="D1022" s="11"/>
      <c r="E1022" s="10"/>
      <c r="F1022" s="10"/>
      <c r="G1022" s="10"/>
      <c r="H1022" s="12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 spans="1:27" ht="12.5" x14ac:dyDescent="0.25">
      <c r="A1023" s="10"/>
      <c r="B1023" s="10"/>
      <c r="C1023" s="10"/>
      <c r="D1023" s="11"/>
      <c r="E1023" s="10"/>
      <c r="F1023" s="10"/>
      <c r="G1023" s="10"/>
      <c r="H1023" s="12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 spans="1:27" ht="12.5" x14ac:dyDescent="0.25">
      <c r="A1024" s="10"/>
      <c r="B1024" s="10"/>
      <c r="C1024" s="10"/>
      <c r="D1024" s="11"/>
      <c r="E1024" s="10"/>
      <c r="F1024" s="10"/>
      <c r="G1024" s="10"/>
      <c r="H1024" s="12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 spans="1:27" ht="12.5" x14ac:dyDescent="0.25">
      <c r="A1025" s="10"/>
      <c r="B1025" s="10"/>
      <c r="C1025" s="10"/>
      <c r="D1025" s="11"/>
      <c r="E1025" s="10"/>
      <c r="F1025" s="10"/>
      <c r="G1025" s="10"/>
      <c r="H1025" s="12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0"/>
      <c r="T1025" s="10"/>
      <c r="U1025" s="10"/>
      <c r="V1025" s="10"/>
      <c r="W1025" s="10"/>
      <c r="X1025" s="10"/>
      <c r="Y1025" s="10"/>
      <c r="Z1025" s="10"/>
      <c r="AA1025" s="10"/>
    </row>
    <row r="1026" spans="1:27" ht="12.5" x14ac:dyDescent="0.25">
      <c r="A1026" s="10"/>
      <c r="B1026" s="10"/>
      <c r="C1026" s="10"/>
      <c r="D1026" s="11"/>
      <c r="E1026" s="10"/>
      <c r="F1026" s="10"/>
      <c r="G1026" s="10"/>
      <c r="H1026" s="12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 spans="1:27" ht="12.5" x14ac:dyDescent="0.25">
      <c r="A1027" s="10"/>
      <c r="B1027" s="10"/>
      <c r="C1027" s="10"/>
      <c r="D1027" s="11"/>
      <c r="E1027" s="10"/>
      <c r="F1027" s="10"/>
      <c r="G1027" s="10"/>
      <c r="H1027" s="12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0"/>
      <c r="T1027" s="10"/>
      <c r="U1027" s="10"/>
      <c r="V1027" s="10"/>
      <c r="W1027" s="10"/>
      <c r="X1027" s="10"/>
      <c r="Y1027" s="10"/>
      <c r="Z1027" s="10"/>
      <c r="AA1027" s="10"/>
    </row>
    <row r="1028" spans="1:27" ht="12.5" x14ac:dyDescent="0.25">
      <c r="A1028" s="10"/>
      <c r="B1028" s="10"/>
      <c r="C1028" s="10"/>
      <c r="D1028" s="11"/>
      <c r="E1028" s="10"/>
      <c r="F1028" s="10"/>
      <c r="G1028" s="10"/>
      <c r="H1028" s="12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 spans="1:27" ht="12.5" x14ac:dyDescent="0.25">
      <c r="A1029" s="10"/>
      <c r="B1029" s="10"/>
      <c r="C1029" s="10"/>
      <c r="D1029" s="11"/>
      <c r="E1029" s="10"/>
      <c r="F1029" s="10"/>
      <c r="G1029" s="10"/>
      <c r="H1029" s="12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0"/>
      <c r="T1029" s="10"/>
      <c r="U1029" s="10"/>
      <c r="V1029" s="10"/>
      <c r="W1029" s="10"/>
      <c r="X1029" s="10"/>
      <c r="Y1029" s="10"/>
      <c r="Z1029" s="10"/>
      <c r="AA1029" s="10"/>
    </row>
    <row r="1030" spans="1:27" ht="12.5" x14ac:dyDescent="0.25">
      <c r="A1030" s="10"/>
      <c r="B1030" s="10"/>
      <c r="C1030" s="10"/>
      <c r="D1030" s="11"/>
      <c r="E1030" s="10"/>
      <c r="F1030" s="10"/>
      <c r="G1030" s="10"/>
      <c r="H1030" s="12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0"/>
      <c r="T1030" s="10"/>
      <c r="U1030" s="10"/>
      <c r="V1030" s="10"/>
      <c r="W1030" s="10"/>
      <c r="X1030" s="10"/>
      <c r="Y1030" s="10"/>
      <c r="Z1030" s="10"/>
      <c r="AA1030" s="10"/>
    </row>
    <row r="1031" spans="1:27" ht="12.5" x14ac:dyDescent="0.25">
      <c r="A1031" s="10"/>
      <c r="B1031" s="10"/>
      <c r="C1031" s="10"/>
      <c r="D1031" s="11"/>
      <c r="E1031" s="10"/>
      <c r="F1031" s="10"/>
      <c r="G1031" s="10"/>
      <c r="H1031" s="12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0"/>
      <c r="T1031" s="10"/>
      <c r="U1031" s="10"/>
      <c r="V1031" s="10"/>
      <c r="W1031" s="10"/>
      <c r="X1031" s="10"/>
      <c r="Y1031" s="10"/>
      <c r="Z1031" s="10"/>
      <c r="AA1031" s="10"/>
    </row>
    <row r="1032" spans="1:27" ht="12.5" x14ac:dyDescent="0.25">
      <c r="A1032" s="10"/>
      <c r="B1032" s="10"/>
      <c r="C1032" s="10"/>
      <c r="D1032" s="11"/>
      <c r="E1032" s="10"/>
      <c r="F1032" s="10"/>
      <c r="G1032" s="10"/>
      <c r="H1032" s="12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0"/>
      <c r="T1032" s="10"/>
      <c r="U1032" s="10"/>
      <c r="V1032" s="10"/>
      <c r="W1032" s="10"/>
      <c r="X1032" s="10"/>
      <c r="Y1032" s="10"/>
      <c r="Z1032" s="10"/>
      <c r="AA1032" s="10"/>
    </row>
    <row r="1033" spans="1:27" ht="12.5" x14ac:dyDescent="0.25">
      <c r="A1033" s="10"/>
      <c r="B1033" s="10"/>
      <c r="C1033" s="10"/>
      <c r="D1033" s="11"/>
      <c r="E1033" s="10"/>
      <c r="F1033" s="10"/>
      <c r="G1033" s="10"/>
      <c r="H1033" s="12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0"/>
      <c r="T1033" s="10"/>
      <c r="U1033" s="10"/>
      <c r="V1033" s="10"/>
      <c r="W1033" s="10"/>
      <c r="X1033" s="10"/>
      <c r="Y1033" s="10"/>
      <c r="Z1033" s="10"/>
      <c r="AA1033" s="10"/>
    </row>
    <row r="1034" spans="1:27" ht="12.5" x14ac:dyDescent="0.25">
      <c r="A1034" s="10"/>
      <c r="B1034" s="10"/>
      <c r="C1034" s="10"/>
      <c r="D1034" s="11"/>
      <c r="E1034" s="10"/>
      <c r="F1034" s="10"/>
      <c r="G1034" s="10"/>
      <c r="H1034" s="12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0"/>
      <c r="T1034" s="10"/>
      <c r="U1034" s="10"/>
      <c r="V1034" s="10"/>
      <c r="W1034" s="10"/>
      <c r="X1034" s="10"/>
      <c r="Y1034" s="10"/>
      <c r="Z1034" s="10"/>
      <c r="AA1034" s="10"/>
    </row>
    <row r="1035" spans="1:27" ht="12.5" x14ac:dyDescent="0.25">
      <c r="A1035" s="10"/>
      <c r="B1035" s="10"/>
      <c r="C1035" s="10"/>
      <c r="D1035" s="11"/>
      <c r="E1035" s="10"/>
      <c r="F1035" s="10"/>
      <c r="G1035" s="10"/>
      <c r="H1035" s="12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0"/>
      <c r="T1035" s="10"/>
      <c r="U1035" s="10"/>
      <c r="V1035" s="10"/>
      <c r="W1035" s="10"/>
      <c r="X1035" s="10"/>
      <c r="Y1035" s="10"/>
      <c r="Z1035" s="10"/>
      <c r="AA1035" s="10"/>
    </row>
    <row r="1036" spans="1:27" ht="12.5" x14ac:dyDescent="0.25">
      <c r="A1036" s="10"/>
      <c r="B1036" s="10"/>
      <c r="C1036" s="10"/>
      <c r="D1036" s="11"/>
      <c r="E1036" s="10"/>
      <c r="F1036" s="10"/>
      <c r="G1036" s="10"/>
      <c r="H1036" s="12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0"/>
      <c r="T1036" s="10"/>
      <c r="U1036" s="10"/>
      <c r="V1036" s="10"/>
      <c r="W1036" s="10"/>
      <c r="X1036" s="10"/>
      <c r="Y1036" s="10"/>
      <c r="Z1036" s="10"/>
      <c r="AA1036" s="10"/>
    </row>
    <row r="1037" spans="1:27" ht="12.5" x14ac:dyDescent="0.25">
      <c r="A1037" s="10"/>
      <c r="B1037" s="10"/>
      <c r="C1037" s="10"/>
      <c r="D1037" s="11"/>
      <c r="E1037" s="10"/>
      <c r="F1037" s="10"/>
      <c r="G1037" s="10"/>
      <c r="H1037" s="12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0"/>
      <c r="T1037" s="10"/>
      <c r="U1037" s="10"/>
      <c r="V1037" s="10"/>
      <c r="W1037" s="10"/>
      <c r="X1037" s="10"/>
      <c r="Y1037" s="10"/>
      <c r="Z1037" s="10"/>
      <c r="AA1037" s="10"/>
    </row>
    <row r="1038" spans="1:27" ht="12.5" x14ac:dyDescent="0.25">
      <c r="A1038" s="10"/>
      <c r="B1038" s="10"/>
      <c r="C1038" s="10"/>
      <c r="D1038" s="11"/>
      <c r="E1038" s="10"/>
      <c r="F1038" s="10"/>
      <c r="G1038" s="10"/>
      <c r="H1038" s="12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0"/>
      <c r="T1038" s="10"/>
      <c r="U1038" s="10"/>
      <c r="V1038" s="10"/>
      <c r="W1038" s="10"/>
      <c r="X1038" s="10"/>
      <c r="Y1038" s="10"/>
      <c r="Z1038" s="10"/>
      <c r="AA1038" s="10"/>
    </row>
    <row r="1039" spans="1:27" ht="12.5" x14ac:dyDescent="0.25">
      <c r="A1039" s="10"/>
      <c r="B1039" s="10"/>
      <c r="C1039" s="10"/>
      <c r="D1039" s="11"/>
      <c r="E1039" s="10"/>
      <c r="F1039" s="10"/>
      <c r="G1039" s="10"/>
      <c r="H1039" s="12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0"/>
      <c r="T1039" s="10"/>
      <c r="U1039" s="10"/>
      <c r="V1039" s="10"/>
      <c r="W1039" s="10"/>
      <c r="X1039" s="10"/>
      <c r="Y1039" s="10"/>
      <c r="Z1039" s="10"/>
      <c r="AA1039" s="10"/>
    </row>
    <row r="1040" spans="1:27" ht="12.5" x14ac:dyDescent="0.25">
      <c r="A1040" s="10"/>
      <c r="B1040" s="10"/>
      <c r="C1040" s="10"/>
      <c r="D1040" s="11"/>
      <c r="E1040" s="10"/>
      <c r="F1040" s="10"/>
      <c r="G1040" s="10"/>
      <c r="H1040" s="12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0"/>
      <c r="T1040" s="10"/>
      <c r="U1040" s="10"/>
      <c r="V1040" s="10"/>
      <c r="W1040" s="10"/>
      <c r="X1040" s="10"/>
      <c r="Y1040" s="10"/>
      <c r="Z1040" s="10"/>
      <c r="AA1040" s="10"/>
    </row>
    <row r="1041" spans="1:27" ht="12.5" x14ac:dyDescent="0.25">
      <c r="A1041" s="10"/>
      <c r="B1041" s="10"/>
      <c r="C1041" s="10"/>
      <c r="D1041" s="11"/>
      <c r="E1041" s="10"/>
      <c r="F1041" s="10"/>
      <c r="G1041" s="10"/>
      <c r="H1041" s="12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0"/>
      <c r="T1041" s="10"/>
      <c r="U1041" s="10"/>
      <c r="V1041" s="10"/>
      <c r="W1041" s="10"/>
      <c r="X1041" s="10"/>
      <c r="Y1041" s="10"/>
      <c r="Z1041" s="10"/>
      <c r="AA1041" s="10"/>
    </row>
    <row r="1042" spans="1:27" ht="12.5" x14ac:dyDescent="0.25">
      <c r="A1042" s="10"/>
      <c r="B1042" s="10"/>
      <c r="C1042" s="10"/>
      <c r="D1042" s="11"/>
      <c r="E1042" s="10"/>
      <c r="F1042" s="10"/>
      <c r="G1042" s="10"/>
      <c r="H1042" s="12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0"/>
      <c r="T1042" s="10"/>
      <c r="U1042" s="10"/>
      <c r="V1042" s="10"/>
      <c r="W1042" s="10"/>
      <c r="X1042" s="10"/>
      <c r="Y1042" s="10"/>
      <c r="Z1042" s="10"/>
      <c r="AA1042" s="10"/>
    </row>
    <row r="1043" spans="1:27" ht="12.5" x14ac:dyDescent="0.25">
      <c r="A1043" s="10"/>
      <c r="B1043" s="10"/>
      <c r="C1043" s="10"/>
      <c r="D1043" s="11"/>
      <c r="E1043" s="10"/>
      <c r="F1043" s="10"/>
      <c r="G1043" s="10"/>
      <c r="H1043" s="12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0"/>
      <c r="T1043" s="10"/>
      <c r="U1043" s="10"/>
      <c r="V1043" s="10"/>
      <c r="W1043" s="10"/>
      <c r="X1043" s="10"/>
      <c r="Y1043" s="10"/>
      <c r="Z1043" s="10"/>
      <c r="AA1043" s="10"/>
    </row>
    <row r="1044" spans="1:27" ht="12.5" x14ac:dyDescent="0.25">
      <c r="A1044" s="10"/>
      <c r="B1044" s="10"/>
      <c r="C1044" s="10"/>
      <c r="D1044" s="11"/>
      <c r="E1044" s="10"/>
      <c r="F1044" s="10"/>
      <c r="G1044" s="10"/>
      <c r="H1044" s="12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0"/>
      <c r="T1044" s="10"/>
      <c r="U1044" s="10"/>
      <c r="V1044" s="10"/>
      <c r="W1044" s="10"/>
      <c r="X1044" s="10"/>
      <c r="Y1044" s="10"/>
      <c r="Z1044" s="10"/>
      <c r="AA1044" s="10"/>
    </row>
    <row r="1045" spans="1:27" ht="12.5" x14ac:dyDescent="0.25">
      <c r="A1045" s="10"/>
      <c r="B1045" s="10"/>
      <c r="C1045" s="10"/>
      <c r="D1045" s="11"/>
      <c r="E1045" s="10"/>
      <c r="F1045" s="10"/>
      <c r="G1045" s="10"/>
      <c r="H1045" s="12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0"/>
      <c r="T1045" s="10"/>
      <c r="U1045" s="10"/>
      <c r="V1045" s="10"/>
      <c r="W1045" s="10"/>
      <c r="X1045" s="10"/>
      <c r="Y1045" s="10"/>
      <c r="Z1045" s="10"/>
      <c r="AA1045" s="10"/>
    </row>
    <row r="1046" spans="1:27" ht="12.5" x14ac:dyDescent="0.25">
      <c r="A1046" s="10"/>
      <c r="B1046" s="10"/>
      <c r="C1046" s="10"/>
      <c r="D1046" s="11"/>
      <c r="E1046" s="10"/>
      <c r="F1046" s="10"/>
      <c r="G1046" s="10"/>
      <c r="H1046" s="12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0"/>
      <c r="T1046" s="10"/>
      <c r="U1046" s="10"/>
      <c r="V1046" s="10"/>
      <c r="W1046" s="10"/>
      <c r="X1046" s="10"/>
      <c r="Y1046" s="10"/>
      <c r="Z1046" s="10"/>
      <c r="AA1046" s="10"/>
    </row>
    <row r="1047" spans="1:27" ht="12.5" x14ac:dyDescent="0.25">
      <c r="A1047" s="10"/>
      <c r="B1047" s="10"/>
      <c r="C1047" s="10"/>
      <c r="D1047" s="11"/>
      <c r="E1047" s="10"/>
      <c r="F1047" s="10"/>
      <c r="G1047" s="10"/>
      <c r="H1047" s="12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0"/>
      <c r="T1047" s="10"/>
      <c r="U1047" s="10"/>
      <c r="V1047" s="10"/>
      <c r="W1047" s="10"/>
      <c r="X1047" s="10"/>
      <c r="Y1047" s="10"/>
      <c r="Z1047" s="10"/>
      <c r="AA1047" s="10"/>
    </row>
    <row r="1048" spans="1:27" ht="12.5" x14ac:dyDescent="0.25">
      <c r="A1048" s="10"/>
      <c r="B1048" s="10"/>
      <c r="C1048" s="10"/>
      <c r="D1048" s="11"/>
      <c r="E1048" s="10"/>
      <c r="F1048" s="10"/>
      <c r="G1048" s="10"/>
      <c r="H1048" s="12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0"/>
      <c r="T1048" s="10"/>
      <c r="U1048" s="10"/>
      <c r="V1048" s="10"/>
      <c r="W1048" s="10"/>
      <c r="X1048" s="10"/>
      <c r="Y1048" s="10"/>
      <c r="Z1048" s="10"/>
      <c r="AA1048" s="10"/>
    </row>
    <row r="1049" spans="1:27" ht="12.5" x14ac:dyDescent="0.25">
      <c r="A1049" s="10"/>
      <c r="B1049" s="10"/>
      <c r="C1049" s="10"/>
      <c r="D1049" s="11"/>
      <c r="E1049" s="10"/>
      <c r="F1049" s="10"/>
      <c r="G1049" s="10"/>
      <c r="H1049" s="12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0"/>
      <c r="T1049" s="10"/>
      <c r="U1049" s="10"/>
      <c r="V1049" s="10"/>
      <c r="W1049" s="10"/>
      <c r="X1049" s="10"/>
      <c r="Y1049" s="10"/>
      <c r="Z1049" s="10"/>
      <c r="AA1049" s="10"/>
    </row>
    <row r="1050" spans="1:27" ht="12.5" x14ac:dyDescent="0.25">
      <c r="A1050" s="10"/>
      <c r="B1050" s="10"/>
      <c r="C1050" s="10"/>
      <c r="D1050" s="11"/>
      <c r="E1050" s="10"/>
      <c r="F1050" s="10"/>
      <c r="G1050" s="10"/>
      <c r="H1050" s="12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0"/>
      <c r="T1050" s="10"/>
      <c r="U1050" s="10"/>
      <c r="V1050" s="10"/>
      <c r="W1050" s="10"/>
      <c r="X1050" s="10"/>
      <c r="Y1050" s="10"/>
      <c r="Z1050" s="10"/>
      <c r="AA1050" s="10"/>
    </row>
    <row r="1051" spans="1:27" ht="12.5" x14ac:dyDescent="0.25">
      <c r="A1051" s="10"/>
      <c r="B1051" s="10"/>
      <c r="C1051" s="10"/>
      <c r="D1051" s="11"/>
      <c r="E1051" s="10"/>
      <c r="F1051" s="10"/>
      <c r="G1051" s="10"/>
      <c r="H1051" s="12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0"/>
      <c r="T1051" s="10"/>
      <c r="U1051" s="10"/>
      <c r="V1051" s="10"/>
      <c r="W1051" s="10"/>
      <c r="X1051" s="10"/>
      <c r="Y1051" s="10"/>
      <c r="Z1051" s="10"/>
      <c r="AA1051" s="10"/>
    </row>
    <row r="1052" spans="1:27" ht="12.5" x14ac:dyDescent="0.25">
      <c r="A1052" s="10"/>
      <c r="B1052" s="10"/>
      <c r="C1052" s="10"/>
      <c r="D1052" s="11"/>
      <c r="E1052" s="10"/>
      <c r="F1052" s="10"/>
      <c r="G1052" s="10"/>
      <c r="H1052" s="12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0"/>
      <c r="T1052" s="10"/>
      <c r="U1052" s="10"/>
      <c r="V1052" s="10"/>
      <c r="W1052" s="10"/>
      <c r="X1052" s="10"/>
      <c r="Y1052" s="10"/>
      <c r="Z1052" s="10"/>
      <c r="AA1052" s="10"/>
    </row>
    <row r="1053" spans="1:27" ht="12.5" x14ac:dyDescent="0.25">
      <c r="A1053" s="10"/>
      <c r="B1053" s="10"/>
      <c r="C1053" s="10"/>
      <c r="D1053" s="11"/>
      <c r="E1053" s="10"/>
      <c r="F1053" s="10"/>
      <c r="G1053" s="10"/>
      <c r="H1053" s="12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0"/>
      <c r="T1053" s="10"/>
      <c r="U1053" s="10"/>
      <c r="V1053" s="10"/>
      <c r="W1053" s="10"/>
      <c r="X1053" s="10"/>
      <c r="Y1053" s="10"/>
      <c r="Z1053" s="10"/>
      <c r="AA1053" s="10"/>
    </row>
    <row r="1054" spans="1:27" ht="12.5" x14ac:dyDescent="0.25">
      <c r="A1054" s="10"/>
      <c r="B1054" s="10"/>
      <c r="C1054" s="10"/>
      <c r="D1054" s="11"/>
      <c r="E1054" s="10"/>
      <c r="F1054" s="10"/>
      <c r="G1054" s="10"/>
      <c r="H1054" s="12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0"/>
      <c r="T1054" s="10"/>
      <c r="U1054" s="10"/>
      <c r="V1054" s="10"/>
      <c r="W1054" s="10"/>
      <c r="X1054" s="10"/>
      <c r="Y1054" s="10"/>
      <c r="Z1054" s="10"/>
      <c r="AA1054" s="10"/>
    </row>
    <row r="1055" spans="1:27" ht="12.5" x14ac:dyDescent="0.25">
      <c r="A1055" s="10"/>
      <c r="B1055" s="10"/>
      <c r="C1055" s="10"/>
      <c r="D1055" s="11"/>
      <c r="E1055" s="10"/>
      <c r="F1055" s="10"/>
      <c r="G1055" s="10"/>
      <c r="H1055" s="12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0"/>
      <c r="T1055" s="10"/>
      <c r="U1055" s="10"/>
      <c r="V1055" s="10"/>
      <c r="W1055" s="10"/>
      <c r="X1055" s="10"/>
      <c r="Y1055" s="10"/>
      <c r="Z1055" s="10"/>
      <c r="AA1055" s="10"/>
    </row>
    <row r="1056" spans="1:27" ht="12.5" x14ac:dyDescent="0.25">
      <c r="A1056" s="10"/>
      <c r="B1056" s="10"/>
      <c r="C1056" s="10"/>
      <c r="D1056" s="11"/>
      <c r="E1056" s="10"/>
      <c r="F1056" s="10"/>
      <c r="G1056" s="10"/>
      <c r="H1056" s="12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0"/>
      <c r="T1056" s="10"/>
      <c r="U1056" s="10"/>
      <c r="V1056" s="10"/>
      <c r="W1056" s="10"/>
      <c r="X1056" s="10"/>
      <c r="Y1056" s="10"/>
      <c r="Z1056" s="10"/>
      <c r="AA1056" s="10"/>
    </row>
    <row r="1057" spans="1:27" ht="12.5" x14ac:dyDescent="0.25">
      <c r="A1057" s="10"/>
      <c r="B1057" s="10"/>
      <c r="C1057" s="10"/>
      <c r="D1057" s="11"/>
      <c r="E1057" s="10"/>
      <c r="F1057" s="10"/>
      <c r="G1057" s="10"/>
      <c r="H1057" s="12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0"/>
      <c r="T1057" s="10"/>
      <c r="U1057" s="10"/>
      <c r="V1057" s="10"/>
      <c r="W1057" s="10"/>
      <c r="X1057" s="10"/>
      <c r="Y1057" s="10"/>
      <c r="Z1057" s="10"/>
      <c r="AA1057" s="10"/>
    </row>
    <row r="1058" spans="1:27" ht="12.5" x14ac:dyDescent="0.25">
      <c r="A1058" s="10"/>
      <c r="B1058" s="10"/>
      <c r="C1058" s="10"/>
      <c r="D1058" s="11"/>
      <c r="E1058" s="10"/>
      <c r="F1058" s="10"/>
      <c r="G1058" s="10"/>
      <c r="H1058" s="12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0"/>
      <c r="T1058" s="10"/>
      <c r="U1058" s="10"/>
      <c r="V1058" s="10"/>
      <c r="W1058" s="10"/>
      <c r="X1058" s="10"/>
      <c r="Y1058" s="10"/>
      <c r="Z1058" s="10"/>
      <c r="AA1058" s="10"/>
    </row>
    <row r="1059" spans="1:27" ht="12.5" x14ac:dyDescent="0.25">
      <c r="A1059" s="10"/>
      <c r="B1059" s="10"/>
      <c r="C1059" s="10"/>
      <c r="D1059" s="11"/>
      <c r="E1059" s="10"/>
      <c r="F1059" s="10"/>
      <c r="G1059" s="10"/>
      <c r="H1059" s="12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0"/>
      <c r="T1059" s="10"/>
      <c r="U1059" s="10"/>
      <c r="V1059" s="10"/>
      <c r="W1059" s="10"/>
      <c r="X1059" s="10"/>
      <c r="Y1059" s="10"/>
      <c r="Z1059" s="10"/>
      <c r="AA1059" s="10"/>
    </row>
    <row r="1060" spans="1:27" ht="12.5" x14ac:dyDescent="0.25">
      <c r="A1060" s="10"/>
      <c r="B1060" s="10"/>
      <c r="C1060" s="10"/>
      <c r="D1060" s="11"/>
      <c r="E1060" s="10"/>
      <c r="F1060" s="10"/>
      <c r="G1060" s="10"/>
      <c r="H1060" s="12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0"/>
      <c r="T1060" s="10"/>
      <c r="U1060" s="10"/>
      <c r="V1060" s="10"/>
      <c r="W1060" s="10"/>
      <c r="X1060" s="10"/>
      <c r="Y1060" s="10"/>
      <c r="Z1060" s="10"/>
      <c r="AA1060" s="10"/>
    </row>
    <row r="1061" spans="1:27" ht="12.5" x14ac:dyDescent="0.25">
      <c r="A1061" s="10"/>
      <c r="B1061" s="10"/>
      <c r="C1061" s="10"/>
      <c r="D1061" s="11"/>
      <c r="E1061" s="10"/>
      <c r="F1061" s="10"/>
      <c r="G1061" s="10"/>
      <c r="H1061" s="12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0"/>
      <c r="T1061" s="10"/>
      <c r="U1061" s="10"/>
      <c r="V1061" s="10"/>
      <c r="W1061" s="10"/>
      <c r="X1061" s="10"/>
      <c r="Y1061" s="10"/>
      <c r="Z1061" s="10"/>
      <c r="AA1061" s="10"/>
    </row>
    <row r="1062" spans="1:27" ht="12.5" x14ac:dyDescent="0.25">
      <c r="A1062" s="10"/>
      <c r="B1062" s="10"/>
      <c r="C1062" s="10"/>
      <c r="D1062" s="11"/>
      <c r="E1062" s="10"/>
      <c r="F1062" s="10"/>
      <c r="G1062" s="10"/>
      <c r="H1062" s="12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0"/>
      <c r="T1062" s="10"/>
      <c r="U1062" s="10"/>
      <c r="V1062" s="10"/>
      <c r="W1062" s="10"/>
      <c r="X1062" s="10"/>
      <c r="Y1062" s="10"/>
      <c r="Z1062" s="10"/>
      <c r="AA1062" s="10"/>
    </row>
    <row r="1063" spans="1:27" ht="12.5" x14ac:dyDescent="0.25">
      <c r="A1063" s="10"/>
      <c r="B1063" s="10"/>
      <c r="C1063" s="10"/>
      <c r="D1063" s="11"/>
      <c r="E1063" s="10"/>
      <c r="F1063" s="10"/>
      <c r="G1063" s="10"/>
      <c r="H1063" s="12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0"/>
      <c r="T1063" s="10"/>
      <c r="U1063" s="10"/>
      <c r="V1063" s="10"/>
      <c r="W1063" s="10"/>
      <c r="X1063" s="10"/>
      <c r="Y1063" s="10"/>
      <c r="Z1063" s="10"/>
      <c r="AA1063" s="10"/>
    </row>
    <row r="1064" spans="1:27" ht="12.5" x14ac:dyDescent="0.25">
      <c r="A1064" s="10"/>
      <c r="B1064" s="10"/>
      <c r="C1064" s="10"/>
      <c r="D1064" s="11"/>
      <c r="E1064" s="10"/>
      <c r="F1064" s="10"/>
      <c r="G1064" s="10"/>
      <c r="H1064" s="12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0"/>
      <c r="T1064" s="10"/>
      <c r="U1064" s="10"/>
      <c r="V1064" s="10"/>
      <c r="W1064" s="10"/>
      <c r="X1064" s="10"/>
      <c r="Y1064" s="10"/>
      <c r="Z1064" s="10"/>
      <c r="AA1064" s="10"/>
    </row>
    <row r="1065" spans="1:27" ht="12.5" x14ac:dyDescent="0.25">
      <c r="A1065" s="10"/>
      <c r="B1065" s="10"/>
      <c r="C1065" s="10"/>
      <c r="D1065" s="11"/>
      <c r="E1065" s="10"/>
      <c r="F1065" s="10"/>
      <c r="G1065" s="10"/>
      <c r="H1065" s="12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0"/>
      <c r="T1065" s="10"/>
      <c r="U1065" s="10"/>
      <c r="V1065" s="10"/>
      <c r="W1065" s="10"/>
      <c r="X1065" s="10"/>
      <c r="Y1065" s="10"/>
      <c r="Z1065" s="10"/>
      <c r="AA1065" s="10"/>
    </row>
    <row r="1066" spans="1:27" ht="12.5" x14ac:dyDescent="0.25">
      <c r="A1066" s="10"/>
      <c r="B1066" s="10"/>
      <c r="C1066" s="10"/>
      <c r="D1066" s="11"/>
      <c r="E1066" s="10"/>
      <c r="F1066" s="10"/>
      <c r="G1066" s="10"/>
      <c r="H1066" s="12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0"/>
      <c r="T1066" s="10"/>
      <c r="U1066" s="10"/>
      <c r="V1066" s="10"/>
      <c r="W1066" s="10"/>
      <c r="X1066" s="10"/>
      <c r="Y1066" s="10"/>
      <c r="Z1066" s="10"/>
      <c r="AA1066" s="10"/>
    </row>
    <row r="1067" spans="1:27" ht="12.5" x14ac:dyDescent="0.25">
      <c r="A1067" s="10"/>
      <c r="B1067" s="10"/>
      <c r="C1067" s="10"/>
      <c r="D1067" s="11"/>
      <c r="E1067" s="10"/>
      <c r="F1067" s="10"/>
      <c r="G1067" s="10"/>
      <c r="H1067" s="12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0"/>
      <c r="T1067" s="10"/>
      <c r="U1067" s="10"/>
      <c r="V1067" s="10"/>
      <c r="W1067" s="10"/>
      <c r="X1067" s="10"/>
      <c r="Y1067" s="10"/>
      <c r="Z1067" s="10"/>
      <c r="AA1067" s="10"/>
    </row>
    <row r="1068" spans="1:27" ht="12.5" x14ac:dyDescent="0.25">
      <c r="A1068" s="10"/>
      <c r="B1068" s="10"/>
      <c r="C1068" s="10"/>
      <c r="D1068" s="11"/>
      <c r="E1068" s="10"/>
      <c r="F1068" s="10"/>
      <c r="G1068" s="10"/>
      <c r="H1068" s="12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0"/>
      <c r="T1068" s="10"/>
      <c r="U1068" s="10"/>
      <c r="V1068" s="10"/>
      <c r="W1068" s="10"/>
      <c r="X1068" s="10"/>
      <c r="Y1068" s="10"/>
      <c r="Z1068" s="10"/>
      <c r="AA1068" s="10"/>
    </row>
    <row r="1069" spans="1:27" ht="12.5" x14ac:dyDescent="0.25">
      <c r="A1069" s="10"/>
      <c r="B1069" s="10"/>
      <c r="C1069" s="10"/>
      <c r="D1069" s="11"/>
      <c r="E1069" s="10"/>
      <c r="F1069" s="10"/>
      <c r="G1069" s="10"/>
      <c r="H1069" s="12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0"/>
      <c r="T1069" s="10"/>
      <c r="U1069" s="10"/>
      <c r="V1069" s="10"/>
      <c r="W1069" s="10"/>
      <c r="X1069" s="10"/>
      <c r="Y1069" s="10"/>
      <c r="Z1069" s="10"/>
      <c r="AA1069" s="10"/>
    </row>
    <row r="1070" spans="1:27" ht="12.5" x14ac:dyDescent="0.25">
      <c r="A1070" s="10"/>
      <c r="B1070" s="10"/>
      <c r="C1070" s="10"/>
      <c r="D1070" s="11"/>
      <c r="E1070" s="10"/>
      <c r="F1070" s="10"/>
      <c r="G1070" s="10"/>
      <c r="H1070" s="12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0"/>
      <c r="T1070" s="10"/>
      <c r="U1070" s="10"/>
      <c r="V1070" s="10"/>
      <c r="W1070" s="10"/>
      <c r="X1070" s="10"/>
      <c r="Y1070" s="10"/>
      <c r="Z1070" s="10"/>
      <c r="AA1070" s="10"/>
    </row>
    <row r="1071" spans="1:27" ht="12.5" x14ac:dyDescent="0.25">
      <c r="A1071" s="10"/>
      <c r="B1071" s="10"/>
      <c r="C1071" s="10"/>
      <c r="D1071" s="11"/>
      <c r="E1071" s="10"/>
      <c r="F1071" s="10"/>
      <c r="G1071" s="10"/>
      <c r="H1071" s="12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0"/>
      <c r="T1071" s="10"/>
      <c r="U1071" s="10"/>
      <c r="V1071" s="10"/>
      <c r="W1071" s="10"/>
      <c r="X1071" s="10"/>
      <c r="Y1071" s="10"/>
      <c r="Z1071" s="10"/>
      <c r="AA1071" s="10"/>
    </row>
    <row r="1072" spans="1:27" ht="12.5" x14ac:dyDescent="0.25">
      <c r="A1072" s="10"/>
      <c r="B1072" s="10"/>
      <c r="C1072" s="10"/>
      <c r="D1072" s="11"/>
      <c r="E1072" s="10"/>
      <c r="F1072" s="10"/>
      <c r="G1072" s="10"/>
      <c r="H1072" s="12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0"/>
      <c r="T1072" s="10"/>
      <c r="U1072" s="10"/>
      <c r="V1072" s="10"/>
      <c r="W1072" s="10"/>
      <c r="X1072" s="10"/>
      <c r="Y1072" s="10"/>
      <c r="Z1072" s="10"/>
      <c r="AA1072" s="10"/>
    </row>
    <row r="1073" spans="1:27" ht="12.5" x14ac:dyDescent="0.25">
      <c r="A1073" s="10"/>
      <c r="B1073" s="10"/>
      <c r="C1073" s="10"/>
      <c r="D1073" s="11"/>
      <c r="E1073" s="10"/>
      <c r="F1073" s="10"/>
      <c r="G1073" s="10"/>
      <c r="H1073" s="12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0"/>
      <c r="T1073" s="10"/>
      <c r="U1073" s="10"/>
      <c r="V1073" s="10"/>
      <c r="W1073" s="10"/>
      <c r="X1073" s="10"/>
      <c r="Y1073" s="10"/>
      <c r="Z1073" s="10"/>
      <c r="AA1073" s="10"/>
    </row>
    <row r="1074" spans="1:27" ht="12.5" x14ac:dyDescent="0.25">
      <c r="A1074" s="10"/>
      <c r="B1074" s="10"/>
      <c r="C1074" s="10"/>
      <c r="D1074" s="11"/>
      <c r="E1074" s="10"/>
      <c r="F1074" s="10"/>
      <c r="G1074" s="10"/>
      <c r="H1074" s="12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0"/>
      <c r="T1074" s="10"/>
      <c r="U1074" s="10"/>
      <c r="V1074" s="10"/>
      <c r="W1074" s="10"/>
      <c r="X1074" s="10"/>
      <c r="Y1074" s="10"/>
      <c r="Z1074" s="10"/>
      <c r="AA1074" s="10"/>
    </row>
    <row r="1075" spans="1:27" ht="12.5" x14ac:dyDescent="0.25">
      <c r="A1075" s="10"/>
      <c r="B1075" s="10"/>
      <c r="C1075" s="10"/>
      <c r="D1075" s="11"/>
      <c r="E1075" s="10"/>
      <c r="F1075" s="10"/>
      <c r="G1075" s="10"/>
      <c r="H1075" s="12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0"/>
      <c r="T1075" s="10"/>
      <c r="U1075" s="10"/>
      <c r="V1075" s="10"/>
      <c r="W1075" s="10"/>
      <c r="X1075" s="10"/>
      <c r="Y1075" s="10"/>
      <c r="Z1075" s="10"/>
      <c r="AA1075" s="10"/>
    </row>
    <row r="1076" spans="1:27" ht="12.5" x14ac:dyDescent="0.25">
      <c r="A1076" s="10"/>
      <c r="B1076" s="10"/>
      <c r="C1076" s="10"/>
      <c r="D1076" s="11"/>
      <c r="E1076" s="10"/>
      <c r="F1076" s="10"/>
      <c r="G1076" s="10"/>
      <c r="H1076" s="12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0"/>
      <c r="T1076" s="10"/>
      <c r="U1076" s="10"/>
      <c r="V1076" s="10"/>
      <c r="W1076" s="10"/>
      <c r="X1076" s="10"/>
      <c r="Y1076" s="10"/>
      <c r="Z1076" s="10"/>
      <c r="AA1076" s="10"/>
    </row>
    <row r="1077" spans="1:27" ht="12.5" x14ac:dyDescent="0.25">
      <c r="A1077" s="10"/>
      <c r="B1077" s="10"/>
      <c r="C1077" s="10"/>
      <c r="D1077" s="11"/>
      <c r="E1077" s="10"/>
      <c r="F1077" s="10"/>
      <c r="G1077" s="10"/>
      <c r="H1077" s="12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0"/>
      <c r="T1077" s="10"/>
      <c r="U1077" s="10"/>
      <c r="V1077" s="10"/>
      <c r="W1077" s="10"/>
      <c r="X1077" s="10"/>
      <c r="Y1077" s="10"/>
      <c r="Z1077" s="10"/>
      <c r="AA1077" s="10"/>
    </row>
    <row r="1078" spans="1:27" ht="12.5" x14ac:dyDescent="0.25">
      <c r="A1078" s="10"/>
      <c r="B1078" s="10"/>
      <c r="C1078" s="10"/>
      <c r="D1078" s="11"/>
      <c r="E1078" s="10"/>
      <c r="F1078" s="10"/>
      <c r="G1078" s="10"/>
      <c r="H1078" s="12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0"/>
      <c r="T1078" s="10"/>
      <c r="U1078" s="10"/>
      <c r="V1078" s="10"/>
      <c r="W1078" s="10"/>
      <c r="X1078" s="10"/>
      <c r="Y1078" s="10"/>
      <c r="Z1078" s="10"/>
      <c r="AA1078" s="10"/>
    </row>
    <row r="1079" spans="1:27" ht="12.5" x14ac:dyDescent="0.25">
      <c r="A1079" s="10"/>
      <c r="B1079" s="10"/>
      <c r="C1079" s="10"/>
      <c r="D1079" s="11"/>
      <c r="E1079" s="10"/>
      <c r="F1079" s="10"/>
      <c r="G1079" s="10"/>
      <c r="H1079" s="12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0"/>
      <c r="T1079" s="10"/>
      <c r="U1079" s="10"/>
      <c r="V1079" s="10"/>
      <c r="W1079" s="10"/>
      <c r="X1079" s="10"/>
      <c r="Y1079" s="10"/>
      <c r="Z1079" s="10"/>
      <c r="AA1079" s="10"/>
    </row>
    <row r="1080" spans="1:27" ht="12.5" x14ac:dyDescent="0.25">
      <c r="A1080" s="10"/>
      <c r="B1080" s="10"/>
      <c r="C1080" s="10"/>
      <c r="D1080" s="11"/>
      <c r="E1080" s="10"/>
      <c r="F1080" s="10"/>
      <c r="G1080" s="10"/>
      <c r="H1080" s="12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0"/>
      <c r="T1080" s="10"/>
      <c r="U1080" s="10"/>
      <c r="V1080" s="10"/>
      <c r="W1080" s="10"/>
      <c r="X1080" s="10"/>
      <c r="Y1080" s="10"/>
      <c r="Z1080" s="10"/>
      <c r="AA1080" s="10"/>
    </row>
    <row r="1081" spans="1:27" ht="12.5" x14ac:dyDescent="0.25">
      <c r="A1081" s="10"/>
      <c r="B1081" s="10"/>
      <c r="C1081" s="10"/>
      <c r="D1081" s="11"/>
      <c r="E1081" s="10"/>
      <c r="F1081" s="10"/>
      <c r="G1081" s="10"/>
      <c r="H1081" s="12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0"/>
      <c r="T1081" s="10"/>
      <c r="U1081" s="10"/>
      <c r="V1081" s="10"/>
      <c r="W1081" s="10"/>
      <c r="X1081" s="10"/>
      <c r="Y1081" s="10"/>
      <c r="Z1081" s="10"/>
      <c r="AA1081" s="10"/>
    </row>
    <row r="1082" spans="1:27" ht="12.5" x14ac:dyDescent="0.25">
      <c r="A1082" s="10"/>
      <c r="B1082" s="10"/>
      <c r="C1082" s="10"/>
      <c r="D1082" s="11"/>
      <c r="E1082" s="10"/>
      <c r="F1082" s="10"/>
      <c r="G1082" s="10"/>
      <c r="H1082" s="12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0"/>
      <c r="T1082" s="10"/>
      <c r="U1082" s="10"/>
      <c r="V1082" s="10"/>
      <c r="W1082" s="10"/>
      <c r="X1082" s="10"/>
      <c r="Y1082" s="10"/>
      <c r="Z1082" s="10"/>
      <c r="AA1082" s="10"/>
    </row>
    <row r="1083" spans="1:27" ht="12.5" x14ac:dyDescent="0.25">
      <c r="A1083" s="10"/>
      <c r="B1083" s="10"/>
      <c r="C1083" s="10"/>
      <c r="D1083" s="11"/>
      <c r="E1083" s="10"/>
      <c r="F1083" s="10"/>
      <c r="G1083" s="10"/>
      <c r="H1083" s="12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0"/>
      <c r="T1083" s="10"/>
      <c r="U1083" s="10"/>
      <c r="V1083" s="10"/>
      <c r="W1083" s="10"/>
      <c r="X1083" s="10"/>
      <c r="Y1083" s="10"/>
      <c r="Z1083" s="10"/>
      <c r="AA1083" s="10"/>
    </row>
    <row r="1084" spans="1:27" ht="12.5" x14ac:dyDescent="0.25">
      <c r="A1084" s="10"/>
      <c r="B1084" s="10"/>
      <c r="C1084" s="10"/>
      <c r="D1084" s="11"/>
      <c r="E1084" s="10"/>
      <c r="F1084" s="10"/>
      <c r="G1084" s="10"/>
      <c r="H1084" s="12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0"/>
      <c r="T1084" s="10"/>
      <c r="U1084" s="10"/>
      <c r="V1084" s="10"/>
      <c r="W1084" s="10"/>
      <c r="X1084" s="10"/>
      <c r="Y1084" s="10"/>
      <c r="Z1084" s="10"/>
      <c r="AA1084" s="10"/>
    </row>
    <row r="1085" spans="1:27" ht="12.5" x14ac:dyDescent="0.25">
      <c r="A1085" s="10"/>
      <c r="B1085" s="10"/>
      <c r="C1085" s="10"/>
      <c r="D1085" s="11"/>
      <c r="E1085" s="10"/>
      <c r="F1085" s="10"/>
      <c r="G1085" s="10"/>
      <c r="H1085" s="12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0"/>
      <c r="T1085" s="10"/>
      <c r="U1085" s="10"/>
      <c r="V1085" s="10"/>
      <c r="W1085" s="10"/>
      <c r="X1085" s="10"/>
      <c r="Y1085" s="10"/>
      <c r="Z1085" s="10"/>
      <c r="AA1085" s="10"/>
    </row>
    <row r="1086" spans="1:27" ht="12.5" x14ac:dyDescent="0.25">
      <c r="A1086" s="10"/>
      <c r="B1086" s="10"/>
      <c r="C1086" s="10"/>
      <c r="D1086" s="11"/>
      <c r="E1086" s="10"/>
      <c r="F1086" s="10"/>
      <c r="G1086" s="10"/>
      <c r="H1086" s="12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0"/>
      <c r="T1086" s="10"/>
      <c r="U1086" s="10"/>
      <c r="V1086" s="10"/>
      <c r="W1086" s="10"/>
      <c r="X1086" s="10"/>
      <c r="Y1086" s="10"/>
      <c r="Z1086" s="10"/>
      <c r="AA1086" s="10"/>
    </row>
    <row r="1087" spans="1:27" ht="12.5" x14ac:dyDescent="0.25">
      <c r="A1087" s="10"/>
      <c r="B1087" s="10"/>
      <c r="C1087" s="10"/>
      <c r="D1087" s="11"/>
      <c r="E1087" s="10"/>
      <c r="F1087" s="10"/>
      <c r="G1087" s="10"/>
      <c r="H1087" s="12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0"/>
      <c r="T1087" s="10"/>
      <c r="U1087" s="10"/>
      <c r="V1087" s="10"/>
      <c r="W1087" s="10"/>
      <c r="X1087" s="10"/>
      <c r="Y1087" s="10"/>
      <c r="Z1087" s="10"/>
      <c r="AA1087" s="10"/>
    </row>
    <row r="1088" spans="1:27" ht="12.5" x14ac:dyDescent="0.25">
      <c r="A1088" s="10"/>
      <c r="B1088" s="10"/>
      <c r="C1088" s="10"/>
      <c r="D1088" s="11"/>
      <c r="E1088" s="10"/>
      <c r="F1088" s="10"/>
      <c r="G1088" s="10"/>
      <c r="H1088" s="12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0"/>
      <c r="T1088" s="10"/>
      <c r="U1088" s="10"/>
      <c r="V1088" s="10"/>
      <c r="W1088" s="10"/>
      <c r="X1088" s="10"/>
      <c r="Y1088" s="10"/>
      <c r="Z1088" s="10"/>
      <c r="AA1088" s="10"/>
    </row>
    <row r="1089" spans="1:27" ht="12.5" x14ac:dyDescent="0.25">
      <c r="A1089" s="10"/>
      <c r="B1089" s="10"/>
      <c r="C1089" s="10"/>
      <c r="D1089" s="11"/>
      <c r="E1089" s="10"/>
      <c r="F1089" s="10"/>
      <c r="G1089" s="10"/>
      <c r="H1089" s="12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0"/>
      <c r="T1089" s="10"/>
      <c r="U1089" s="10"/>
      <c r="V1089" s="10"/>
      <c r="W1089" s="10"/>
      <c r="X1089" s="10"/>
      <c r="Y1089" s="10"/>
      <c r="Z1089" s="10"/>
      <c r="AA1089" s="10"/>
    </row>
    <row r="1090" spans="1:27" ht="12.5" x14ac:dyDescent="0.25">
      <c r="A1090" s="10"/>
      <c r="B1090" s="10"/>
      <c r="C1090" s="10"/>
      <c r="D1090" s="11"/>
      <c r="E1090" s="10"/>
      <c r="F1090" s="10"/>
      <c r="G1090" s="10"/>
      <c r="H1090" s="12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0"/>
      <c r="T1090" s="10"/>
      <c r="U1090" s="10"/>
      <c r="V1090" s="10"/>
      <c r="W1090" s="10"/>
      <c r="X1090" s="10"/>
      <c r="Y1090" s="10"/>
      <c r="Z1090" s="10"/>
      <c r="AA1090" s="10"/>
    </row>
    <row r="1091" spans="1:27" ht="12.5" x14ac:dyDescent="0.25">
      <c r="A1091" s="10"/>
      <c r="B1091" s="10"/>
      <c r="C1091" s="10"/>
      <c r="D1091" s="11"/>
      <c r="E1091" s="10"/>
      <c r="F1091" s="10"/>
      <c r="G1091" s="10"/>
      <c r="H1091" s="12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0"/>
      <c r="T1091" s="10"/>
      <c r="U1091" s="10"/>
      <c r="V1091" s="10"/>
      <c r="W1091" s="10"/>
      <c r="X1091" s="10"/>
      <c r="Y1091" s="10"/>
      <c r="Z1091" s="10"/>
      <c r="AA1091" s="10"/>
    </row>
    <row r="1092" spans="1:27" ht="12.5" x14ac:dyDescent="0.25">
      <c r="A1092" s="10"/>
      <c r="B1092" s="10"/>
      <c r="C1092" s="10"/>
      <c r="D1092" s="11"/>
      <c r="E1092" s="10"/>
      <c r="F1092" s="10"/>
      <c r="G1092" s="10"/>
      <c r="H1092" s="12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0"/>
      <c r="T1092" s="10"/>
      <c r="U1092" s="10"/>
      <c r="V1092" s="10"/>
      <c r="W1092" s="10"/>
      <c r="X1092" s="10"/>
      <c r="Y1092" s="10"/>
      <c r="Z1092" s="10"/>
      <c r="AA1092" s="10"/>
    </row>
    <row r="1093" spans="1:27" ht="12.5" x14ac:dyDescent="0.25">
      <c r="A1093" s="10"/>
      <c r="B1093" s="10"/>
      <c r="C1093" s="10"/>
      <c r="D1093" s="11"/>
      <c r="E1093" s="10"/>
      <c r="F1093" s="10"/>
      <c r="G1093" s="10"/>
      <c r="H1093" s="12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0"/>
      <c r="T1093" s="10"/>
      <c r="U1093" s="10"/>
      <c r="V1093" s="10"/>
      <c r="W1093" s="10"/>
      <c r="X1093" s="10"/>
      <c r="Y1093" s="10"/>
      <c r="Z1093" s="10"/>
      <c r="AA1093" s="10"/>
    </row>
    <row r="1094" spans="1:27" ht="12.5" x14ac:dyDescent="0.25">
      <c r="A1094" s="10"/>
      <c r="B1094" s="10"/>
      <c r="C1094" s="10"/>
      <c r="D1094" s="11"/>
      <c r="E1094" s="10"/>
      <c r="F1094" s="10"/>
      <c r="G1094" s="10"/>
      <c r="H1094" s="12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0"/>
      <c r="T1094" s="10"/>
      <c r="U1094" s="10"/>
      <c r="V1094" s="10"/>
      <c r="W1094" s="10"/>
      <c r="X1094" s="10"/>
      <c r="Y1094" s="10"/>
      <c r="Z1094" s="10"/>
      <c r="AA1094" s="10"/>
    </row>
    <row r="1095" spans="1:27" ht="12.5" x14ac:dyDescent="0.25">
      <c r="A1095" s="10"/>
      <c r="B1095" s="10"/>
      <c r="C1095" s="10"/>
      <c r="D1095" s="11"/>
      <c r="E1095" s="10"/>
      <c r="F1095" s="10"/>
      <c r="G1095" s="10"/>
      <c r="H1095" s="12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0"/>
      <c r="T1095" s="10"/>
      <c r="U1095" s="10"/>
      <c r="V1095" s="10"/>
      <c r="W1095" s="10"/>
      <c r="X1095" s="10"/>
      <c r="Y1095" s="10"/>
      <c r="Z1095" s="10"/>
      <c r="AA1095" s="10"/>
    </row>
    <row r="1096" spans="1:27" ht="12.5" x14ac:dyDescent="0.25">
      <c r="A1096" s="10"/>
      <c r="B1096" s="10"/>
      <c r="C1096" s="10"/>
      <c r="D1096" s="11"/>
      <c r="E1096" s="10"/>
      <c r="F1096" s="10"/>
      <c r="G1096" s="10"/>
      <c r="H1096" s="12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0"/>
      <c r="T1096" s="10"/>
      <c r="U1096" s="10"/>
      <c r="V1096" s="10"/>
      <c r="W1096" s="10"/>
      <c r="X1096" s="10"/>
      <c r="Y1096" s="10"/>
      <c r="Z1096" s="10"/>
      <c r="AA1096" s="10"/>
    </row>
    <row r="1097" spans="1:27" ht="12.5" x14ac:dyDescent="0.25">
      <c r="A1097" s="10"/>
      <c r="B1097" s="10"/>
      <c r="C1097" s="10"/>
      <c r="D1097" s="11"/>
      <c r="E1097" s="10"/>
      <c r="F1097" s="10"/>
      <c r="G1097" s="10"/>
      <c r="H1097" s="12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0"/>
      <c r="T1097" s="10"/>
      <c r="U1097" s="10"/>
      <c r="V1097" s="10"/>
      <c r="W1097" s="10"/>
      <c r="X1097" s="10"/>
      <c r="Y1097" s="10"/>
      <c r="Z1097" s="10"/>
      <c r="AA1097" s="10"/>
    </row>
    <row r="1098" spans="1:27" ht="12.5" x14ac:dyDescent="0.25">
      <c r="A1098" s="10"/>
      <c r="B1098" s="10"/>
      <c r="C1098" s="10"/>
      <c r="D1098" s="11"/>
      <c r="E1098" s="10"/>
      <c r="F1098" s="10"/>
      <c r="G1098" s="10"/>
      <c r="H1098" s="12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0"/>
      <c r="T1098" s="10"/>
      <c r="U1098" s="10"/>
      <c r="V1098" s="10"/>
      <c r="W1098" s="10"/>
      <c r="X1098" s="10"/>
      <c r="Y1098" s="10"/>
      <c r="Z1098" s="10"/>
      <c r="AA1098" s="10"/>
    </row>
    <row r="1099" spans="1:27" ht="12.5" x14ac:dyDescent="0.25">
      <c r="A1099" s="10"/>
      <c r="B1099" s="10"/>
      <c r="C1099" s="10"/>
      <c r="D1099" s="11"/>
      <c r="E1099" s="10"/>
      <c r="F1099" s="10"/>
      <c r="G1099" s="10"/>
      <c r="H1099" s="12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0"/>
      <c r="T1099" s="10"/>
      <c r="U1099" s="10"/>
      <c r="V1099" s="10"/>
      <c r="W1099" s="10"/>
      <c r="X1099" s="10"/>
      <c r="Y1099" s="10"/>
      <c r="Z1099" s="10"/>
      <c r="AA1099" s="10"/>
    </row>
    <row r="1100" spans="1:27" ht="12.5" x14ac:dyDescent="0.25">
      <c r="A1100" s="10"/>
      <c r="B1100" s="10"/>
      <c r="C1100" s="10"/>
      <c r="D1100" s="11"/>
      <c r="E1100" s="10"/>
      <c r="F1100" s="10"/>
      <c r="G1100" s="10"/>
      <c r="H1100" s="12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0"/>
      <c r="T1100" s="10"/>
      <c r="U1100" s="10"/>
      <c r="V1100" s="10"/>
      <c r="W1100" s="10"/>
      <c r="X1100" s="10"/>
      <c r="Y1100" s="10"/>
      <c r="Z1100" s="10"/>
      <c r="AA1100" s="10"/>
    </row>
    <row r="1101" spans="1:27" ht="12.5" x14ac:dyDescent="0.25">
      <c r="A1101" s="10"/>
      <c r="B1101" s="10"/>
      <c r="C1101" s="10"/>
      <c r="D1101" s="11"/>
      <c r="E1101" s="10"/>
      <c r="F1101" s="10"/>
      <c r="G1101" s="10"/>
      <c r="H1101" s="12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0"/>
      <c r="T1101" s="10"/>
      <c r="U1101" s="10"/>
      <c r="V1101" s="10"/>
      <c r="W1101" s="10"/>
      <c r="X1101" s="10"/>
      <c r="Y1101" s="10"/>
      <c r="Z1101" s="10"/>
      <c r="AA1101" s="10"/>
    </row>
    <row r="1102" spans="1:27" ht="12.5" x14ac:dyDescent="0.25">
      <c r="A1102" s="10"/>
      <c r="B1102" s="10"/>
      <c r="C1102" s="10"/>
      <c r="D1102" s="11"/>
      <c r="E1102" s="10"/>
      <c r="F1102" s="10"/>
      <c r="G1102" s="10"/>
      <c r="H1102" s="12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0"/>
      <c r="T1102" s="10"/>
      <c r="U1102" s="10"/>
      <c r="V1102" s="10"/>
      <c r="W1102" s="10"/>
      <c r="X1102" s="10"/>
      <c r="Y1102" s="10"/>
      <c r="Z1102" s="10"/>
      <c r="AA1102" s="10"/>
    </row>
    <row r="1103" spans="1:27" ht="12.5" x14ac:dyDescent="0.25">
      <c r="A1103" s="10"/>
      <c r="B1103" s="10"/>
      <c r="C1103" s="10"/>
      <c r="D1103" s="11"/>
      <c r="E1103" s="10"/>
      <c r="F1103" s="10"/>
      <c r="G1103" s="10"/>
      <c r="H1103" s="12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0"/>
      <c r="T1103" s="10"/>
      <c r="U1103" s="10"/>
      <c r="V1103" s="10"/>
      <c r="W1103" s="10"/>
      <c r="X1103" s="10"/>
      <c r="Y1103" s="10"/>
      <c r="Z1103" s="10"/>
      <c r="AA1103" s="10"/>
    </row>
    <row r="1104" spans="1:27" ht="12.5" x14ac:dyDescent="0.25">
      <c r="A1104" s="10"/>
      <c r="B1104" s="10"/>
      <c r="C1104" s="10"/>
      <c r="D1104" s="11"/>
      <c r="E1104" s="10"/>
      <c r="F1104" s="10"/>
      <c r="G1104" s="10"/>
      <c r="H1104" s="12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0"/>
      <c r="T1104" s="10"/>
      <c r="U1104" s="10"/>
      <c r="V1104" s="10"/>
      <c r="W1104" s="10"/>
      <c r="X1104" s="10"/>
      <c r="Y1104" s="10"/>
      <c r="Z1104" s="10"/>
      <c r="AA1104" s="10"/>
    </row>
    <row r="1105" spans="1:27" ht="12.5" x14ac:dyDescent="0.25">
      <c r="A1105" s="10"/>
      <c r="B1105" s="10"/>
      <c r="C1105" s="10"/>
      <c r="D1105" s="11"/>
      <c r="E1105" s="10"/>
      <c r="F1105" s="10"/>
      <c r="G1105" s="10"/>
      <c r="H1105" s="12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0"/>
      <c r="T1105" s="10"/>
      <c r="U1105" s="10"/>
      <c r="V1105" s="10"/>
      <c r="W1105" s="10"/>
      <c r="X1105" s="10"/>
      <c r="Y1105" s="10"/>
      <c r="Z1105" s="10"/>
      <c r="AA1105" s="10"/>
    </row>
    <row r="1106" spans="1:27" ht="12.5" x14ac:dyDescent="0.25">
      <c r="A1106" s="10"/>
      <c r="B1106" s="10"/>
      <c r="C1106" s="10"/>
      <c r="D1106" s="11"/>
      <c r="E1106" s="10"/>
      <c r="F1106" s="10"/>
      <c r="G1106" s="10"/>
      <c r="H1106" s="12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0"/>
      <c r="T1106" s="10"/>
      <c r="U1106" s="10"/>
      <c r="V1106" s="10"/>
      <c r="W1106" s="10"/>
      <c r="X1106" s="10"/>
      <c r="Y1106" s="10"/>
      <c r="Z1106" s="10"/>
      <c r="AA1106" s="10"/>
    </row>
    <row r="1107" spans="1:27" ht="12.5" x14ac:dyDescent="0.25">
      <c r="A1107" s="10"/>
      <c r="B1107" s="10"/>
      <c r="C1107" s="10"/>
      <c r="D1107" s="11"/>
      <c r="E1107" s="10"/>
      <c r="F1107" s="10"/>
      <c r="G1107" s="10"/>
      <c r="H1107" s="12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0"/>
      <c r="T1107" s="10"/>
      <c r="U1107" s="10"/>
      <c r="V1107" s="10"/>
      <c r="W1107" s="10"/>
      <c r="X1107" s="10"/>
      <c r="Y1107" s="10"/>
      <c r="Z1107" s="10"/>
      <c r="AA1107" s="10"/>
    </row>
    <row r="1108" spans="1:27" ht="12.5" x14ac:dyDescent="0.25">
      <c r="A1108" s="10"/>
      <c r="B1108" s="10"/>
      <c r="C1108" s="10"/>
      <c r="D1108" s="11"/>
      <c r="E1108" s="10"/>
      <c r="F1108" s="10"/>
      <c r="G1108" s="10"/>
      <c r="H1108" s="12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0"/>
      <c r="T1108" s="10"/>
      <c r="U1108" s="10"/>
      <c r="V1108" s="10"/>
      <c r="W1108" s="10"/>
      <c r="X1108" s="10"/>
      <c r="Y1108" s="10"/>
      <c r="Z1108" s="10"/>
      <c r="AA1108" s="10"/>
    </row>
    <row r="1109" spans="1:27" ht="12.5" x14ac:dyDescent="0.25">
      <c r="A1109" s="10"/>
      <c r="B1109" s="10"/>
      <c r="C1109" s="10"/>
      <c r="D1109" s="11"/>
      <c r="E1109" s="10"/>
      <c r="F1109" s="10"/>
      <c r="G1109" s="10"/>
      <c r="H1109" s="12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0"/>
      <c r="T1109" s="10"/>
      <c r="U1109" s="10"/>
      <c r="V1109" s="10"/>
      <c r="W1109" s="10"/>
      <c r="X1109" s="10"/>
      <c r="Y1109" s="10"/>
      <c r="Z1109" s="10"/>
      <c r="AA1109" s="10"/>
    </row>
    <row r="1110" spans="1:27" ht="12.5" x14ac:dyDescent="0.25">
      <c r="A1110" s="10"/>
      <c r="B1110" s="10"/>
      <c r="C1110" s="10"/>
      <c r="D1110" s="11"/>
      <c r="E1110" s="10"/>
      <c r="F1110" s="10"/>
      <c r="G1110" s="10"/>
      <c r="H1110" s="12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0"/>
      <c r="T1110" s="10"/>
      <c r="U1110" s="10"/>
      <c r="V1110" s="10"/>
      <c r="W1110" s="10"/>
      <c r="X1110" s="10"/>
      <c r="Y1110" s="10"/>
      <c r="Z1110" s="10"/>
      <c r="AA1110" s="10"/>
    </row>
    <row r="1111" spans="1:27" ht="12.5" x14ac:dyDescent="0.25">
      <c r="A1111" s="10"/>
      <c r="B1111" s="10"/>
      <c r="C1111" s="10"/>
      <c r="D1111" s="11"/>
      <c r="E1111" s="10"/>
      <c r="F1111" s="10"/>
      <c r="G1111" s="10"/>
      <c r="H1111" s="12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0"/>
      <c r="T1111" s="10"/>
      <c r="U1111" s="10"/>
      <c r="V1111" s="10"/>
      <c r="W1111" s="10"/>
      <c r="X1111" s="10"/>
      <c r="Y1111" s="10"/>
      <c r="Z1111" s="10"/>
      <c r="AA1111" s="10"/>
    </row>
    <row r="1112" spans="1:27" ht="12.5" x14ac:dyDescent="0.25">
      <c r="A1112" s="10"/>
      <c r="B1112" s="10"/>
      <c r="C1112" s="10"/>
      <c r="D1112" s="11"/>
      <c r="E1112" s="10"/>
      <c r="F1112" s="10"/>
      <c r="G1112" s="10"/>
      <c r="H1112" s="12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0"/>
      <c r="T1112" s="10"/>
      <c r="U1112" s="10"/>
      <c r="V1112" s="10"/>
      <c r="W1112" s="10"/>
      <c r="X1112" s="10"/>
      <c r="Y1112" s="10"/>
      <c r="Z1112" s="10"/>
      <c r="AA1112" s="10"/>
    </row>
    <row r="1113" spans="1:27" ht="12.5" x14ac:dyDescent="0.25">
      <c r="A1113" s="10"/>
      <c r="B1113" s="10"/>
      <c r="C1113" s="10"/>
      <c r="D1113" s="11"/>
      <c r="E1113" s="10"/>
      <c r="F1113" s="10"/>
      <c r="G1113" s="10"/>
      <c r="H1113" s="12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0"/>
      <c r="T1113" s="10"/>
      <c r="U1113" s="10"/>
      <c r="V1113" s="10"/>
      <c r="W1113" s="10"/>
      <c r="X1113" s="10"/>
      <c r="Y1113" s="10"/>
      <c r="Z1113" s="10"/>
      <c r="AA1113" s="10"/>
    </row>
    <row r="1114" spans="1:27" ht="12.5" x14ac:dyDescent="0.25">
      <c r="A1114" s="10"/>
      <c r="B1114" s="10"/>
      <c r="C1114" s="10"/>
      <c r="D1114" s="11"/>
      <c r="E1114" s="10"/>
      <c r="F1114" s="10"/>
      <c r="G1114" s="10"/>
      <c r="H1114" s="12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0"/>
      <c r="T1114" s="10"/>
      <c r="U1114" s="10"/>
      <c r="V1114" s="10"/>
      <c r="W1114" s="10"/>
      <c r="X1114" s="10"/>
      <c r="Y1114" s="10"/>
      <c r="Z1114" s="10"/>
      <c r="AA1114" s="10"/>
    </row>
    <row r="1115" spans="1:27" ht="12.5" x14ac:dyDescent="0.25">
      <c r="A1115" s="10"/>
      <c r="B1115" s="10"/>
      <c r="C1115" s="10"/>
      <c r="D1115" s="11"/>
      <c r="E1115" s="10"/>
      <c r="F1115" s="10"/>
      <c r="G1115" s="10"/>
      <c r="H1115" s="12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0"/>
      <c r="T1115" s="10"/>
      <c r="U1115" s="10"/>
      <c r="V1115" s="10"/>
      <c r="W1115" s="10"/>
      <c r="X1115" s="10"/>
      <c r="Y1115" s="10"/>
      <c r="Z1115" s="10"/>
      <c r="AA1115" s="10"/>
    </row>
    <row r="1116" spans="1:27" ht="12.5" x14ac:dyDescent="0.25">
      <c r="A1116" s="10"/>
      <c r="B1116" s="10"/>
      <c r="C1116" s="10"/>
      <c r="D1116" s="11"/>
      <c r="E1116" s="10"/>
      <c r="F1116" s="10"/>
      <c r="G1116" s="10"/>
      <c r="H1116" s="12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0"/>
      <c r="T1116" s="10"/>
      <c r="U1116" s="10"/>
      <c r="V1116" s="10"/>
      <c r="W1116" s="10"/>
      <c r="X1116" s="10"/>
      <c r="Y1116" s="10"/>
      <c r="Z1116" s="10"/>
      <c r="AA1116" s="10"/>
    </row>
    <row r="1117" spans="1:27" ht="12.5" x14ac:dyDescent="0.25">
      <c r="A1117" s="10"/>
      <c r="B1117" s="10"/>
      <c r="C1117" s="10"/>
      <c r="D1117" s="11"/>
      <c r="E1117" s="10"/>
      <c r="F1117" s="10"/>
      <c r="G1117" s="10"/>
      <c r="H1117" s="12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0"/>
      <c r="T1117" s="10"/>
      <c r="U1117" s="10"/>
      <c r="V1117" s="10"/>
      <c r="W1117" s="10"/>
      <c r="X1117" s="10"/>
      <c r="Y1117" s="10"/>
      <c r="Z1117" s="10"/>
      <c r="AA1117" s="10"/>
    </row>
    <row r="1118" spans="1:27" ht="12.5" x14ac:dyDescent="0.25">
      <c r="A1118" s="10"/>
      <c r="B1118" s="10"/>
      <c r="C1118" s="10"/>
      <c r="D1118" s="11"/>
      <c r="E1118" s="10"/>
      <c r="F1118" s="10"/>
      <c r="G1118" s="10"/>
      <c r="H1118" s="12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0"/>
      <c r="T1118" s="10"/>
      <c r="U1118" s="10"/>
      <c r="V1118" s="10"/>
      <c r="W1118" s="10"/>
      <c r="X1118" s="10"/>
      <c r="Y1118" s="10"/>
      <c r="Z1118" s="10"/>
      <c r="AA1118" s="10"/>
    </row>
    <row r="1119" spans="1:27" ht="12.5" x14ac:dyDescent="0.25">
      <c r="A1119" s="10"/>
      <c r="B1119" s="10"/>
      <c r="C1119" s="10"/>
      <c r="D1119" s="11"/>
      <c r="E1119" s="10"/>
      <c r="F1119" s="10"/>
      <c r="G1119" s="10"/>
      <c r="H1119" s="12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0"/>
      <c r="T1119" s="10"/>
      <c r="U1119" s="10"/>
      <c r="V1119" s="10"/>
      <c r="W1119" s="10"/>
      <c r="X1119" s="10"/>
      <c r="Y1119" s="10"/>
      <c r="Z1119" s="10"/>
      <c r="AA1119" s="10"/>
    </row>
    <row r="1120" spans="1:27" ht="12.5" x14ac:dyDescent="0.25">
      <c r="A1120" s="10"/>
      <c r="B1120" s="10"/>
      <c r="C1120" s="10"/>
      <c r="D1120" s="11"/>
      <c r="E1120" s="10"/>
      <c r="F1120" s="10"/>
      <c r="G1120" s="10"/>
      <c r="H1120" s="12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0"/>
      <c r="T1120" s="10"/>
      <c r="U1120" s="10"/>
      <c r="V1120" s="10"/>
      <c r="W1120" s="10"/>
      <c r="X1120" s="10"/>
      <c r="Y1120" s="10"/>
      <c r="Z1120" s="10"/>
      <c r="AA1120" s="10"/>
    </row>
    <row r="1121" spans="1:27" ht="12.5" x14ac:dyDescent="0.25">
      <c r="A1121" s="10"/>
      <c r="B1121" s="10"/>
      <c r="C1121" s="10"/>
      <c r="D1121" s="11"/>
      <c r="E1121" s="10"/>
      <c r="F1121" s="10"/>
      <c r="G1121" s="10"/>
      <c r="H1121" s="12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0"/>
      <c r="T1121" s="10"/>
      <c r="U1121" s="10"/>
      <c r="V1121" s="10"/>
      <c r="W1121" s="10"/>
      <c r="X1121" s="10"/>
      <c r="Y1121" s="10"/>
      <c r="Z1121" s="10"/>
      <c r="AA1121" s="10"/>
    </row>
    <row r="1122" spans="1:27" ht="12.5" x14ac:dyDescent="0.25">
      <c r="A1122" s="10"/>
      <c r="B1122" s="10"/>
      <c r="C1122" s="10"/>
      <c r="D1122" s="11"/>
      <c r="E1122" s="10"/>
      <c r="F1122" s="10"/>
      <c r="G1122" s="10"/>
      <c r="H1122" s="12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0"/>
      <c r="T1122" s="10"/>
      <c r="U1122" s="10"/>
      <c r="V1122" s="10"/>
      <c r="W1122" s="10"/>
      <c r="X1122" s="10"/>
      <c r="Y1122" s="10"/>
      <c r="Z1122" s="10"/>
      <c r="AA1122" s="10"/>
    </row>
    <row r="1123" spans="1:27" ht="12.5" x14ac:dyDescent="0.25">
      <c r="A1123" s="10"/>
      <c r="B1123" s="10"/>
      <c r="C1123" s="10"/>
      <c r="D1123" s="11"/>
      <c r="E1123" s="10"/>
      <c r="F1123" s="10"/>
      <c r="G1123" s="10"/>
      <c r="H1123" s="12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0"/>
      <c r="T1123" s="10"/>
      <c r="U1123" s="10"/>
      <c r="V1123" s="10"/>
      <c r="W1123" s="10"/>
      <c r="X1123" s="10"/>
      <c r="Y1123" s="10"/>
      <c r="Z1123" s="10"/>
      <c r="AA1123" s="10"/>
    </row>
    <row r="1124" spans="1:27" ht="12.5" x14ac:dyDescent="0.25">
      <c r="A1124" s="10"/>
      <c r="B1124" s="10"/>
      <c r="C1124" s="10"/>
      <c r="D1124" s="11"/>
      <c r="E1124" s="10"/>
      <c r="F1124" s="10"/>
      <c r="G1124" s="10"/>
      <c r="H1124" s="12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0"/>
      <c r="T1124" s="10"/>
      <c r="U1124" s="10"/>
      <c r="V1124" s="10"/>
      <c r="W1124" s="10"/>
      <c r="X1124" s="10"/>
      <c r="Y1124" s="10"/>
      <c r="Z1124" s="10"/>
      <c r="AA1124" s="10"/>
    </row>
    <row r="1125" spans="1:27" ht="12.5" x14ac:dyDescent="0.25">
      <c r="A1125" s="10"/>
      <c r="B1125" s="10"/>
      <c r="C1125" s="10"/>
      <c r="D1125" s="11"/>
      <c r="E1125" s="10"/>
      <c r="F1125" s="10"/>
      <c r="G1125" s="10"/>
      <c r="H1125" s="12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0"/>
      <c r="T1125" s="10"/>
      <c r="U1125" s="10"/>
      <c r="V1125" s="10"/>
      <c r="W1125" s="10"/>
      <c r="X1125" s="10"/>
      <c r="Y1125" s="10"/>
      <c r="Z1125" s="10"/>
      <c r="AA1125" s="10"/>
    </row>
    <row r="1126" spans="1:27" ht="12.5" x14ac:dyDescent="0.25">
      <c r="A1126" s="10"/>
      <c r="B1126" s="10"/>
      <c r="C1126" s="10"/>
      <c r="D1126" s="11"/>
      <c r="E1126" s="10"/>
      <c r="F1126" s="10"/>
      <c r="G1126" s="10"/>
      <c r="H1126" s="12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0"/>
      <c r="T1126" s="10"/>
      <c r="U1126" s="10"/>
      <c r="V1126" s="10"/>
      <c r="W1126" s="10"/>
      <c r="X1126" s="10"/>
      <c r="Y1126" s="10"/>
      <c r="Z1126" s="10"/>
      <c r="AA1126" s="10"/>
    </row>
    <row r="1127" spans="1:27" ht="12.5" x14ac:dyDescent="0.25">
      <c r="A1127" s="10"/>
      <c r="B1127" s="10"/>
      <c r="C1127" s="10"/>
      <c r="D1127" s="11"/>
      <c r="E1127" s="10"/>
      <c r="F1127" s="10"/>
      <c r="G1127" s="10"/>
      <c r="H1127" s="12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0"/>
      <c r="T1127" s="10"/>
      <c r="U1127" s="10"/>
      <c r="V1127" s="10"/>
      <c r="W1127" s="10"/>
      <c r="X1127" s="10"/>
      <c r="Y1127" s="10"/>
      <c r="Z1127" s="10"/>
      <c r="AA1127" s="10"/>
    </row>
    <row r="1128" spans="1:27" ht="12.5" x14ac:dyDescent="0.25">
      <c r="A1128" s="10"/>
      <c r="B1128" s="10"/>
      <c r="C1128" s="10"/>
      <c r="D1128" s="11"/>
      <c r="E1128" s="10"/>
      <c r="F1128" s="10"/>
      <c r="G1128" s="10"/>
      <c r="H1128" s="12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0"/>
      <c r="T1128" s="10"/>
      <c r="U1128" s="10"/>
      <c r="V1128" s="10"/>
      <c r="W1128" s="10"/>
      <c r="X1128" s="10"/>
      <c r="Y1128" s="10"/>
      <c r="Z1128" s="10"/>
      <c r="AA1128" s="10"/>
    </row>
    <row r="1129" spans="1:27" ht="12.5" x14ac:dyDescent="0.25">
      <c r="A1129" s="10"/>
      <c r="B1129" s="10"/>
      <c r="C1129" s="10"/>
      <c r="D1129" s="11"/>
      <c r="E1129" s="10"/>
      <c r="F1129" s="10"/>
      <c r="G1129" s="10"/>
      <c r="H1129" s="12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0"/>
      <c r="T1129" s="10"/>
      <c r="U1129" s="10"/>
      <c r="V1129" s="10"/>
      <c r="W1129" s="10"/>
      <c r="X1129" s="10"/>
      <c r="Y1129" s="10"/>
      <c r="Z1129" s="10"/>
      <c r="AA1129" s="10"/>
    </row>
    <row r="1130" spans="1:27" ht="12.5" x14ac:dyDescent="0.25">
      <c r="A1130" s="10"/>
      <c r="B1130" s="10"/>
      <c r="C1130" s="10"/>
      <c r="D1130" s="11"/>
      <c r="E1130" s="10"/>
      <c r="F1130" s="10"/>
      <c r="G1130" s="10"/>
      <c r="H1130" s="12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0"/>
      <c r="T1130" s="10"/>
      <c r="U1130" s="10"/>
      <c r="V1130" s="10"/>
      <c r="W1130" s="10"/>
      <c r="X1130" s="10"/>
      <c r="Y1130" s="10"/>
      <c r="Z1130" s="10"/>
      <c r="AA1130" s="10"/>
    </row>
    <row r="1131" spans="1:27" ht="12.5" x14ac:dyDescent="0.25">
      <c r="A1131" s="10"/>
      <c r="B1131" s="10"/>
      <c r="C1131" s="10"/>
      <c r="D1131" s="11"/>
      <c r="E1131" s="10"/>
      <c r="F1131" s="10"/>
      <c r="G1131" s="10"/>
      <c r="H1131" s="12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0"/>
      <c r="T1131" s="10"/>
      <c r="U1131" s="10"/>
      <c r="V1131" s="10"/>
      <c r="W1131" s="10"/>
      <c r="X1131" s="10"/>
      <c r="Y1131" s="10"/>
      <c r="Z1131" s="10"/>
      <c r="AA1131" s="10"/>
    </row>
    <row r="1132" spans="1:27" ht="12.5" x14ac:dyDescent="0.25">
      <c r="A1132" s="10"/>
      <c r="B1132" s="10"/>
      <c r="C1132" s="10"/>
      <c r="D1132" s="11"/>
      <c r="E1132" s="10"/>
      <c r="F1132" s="10"/>
      <c r="G1132" s="10"/>
      <c r="H1132" s="12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0"/>
      <c r="T1132" s="10"/>
      <c r="U1132" s="10"/>
      <c r="V1132" s="10"/>
      <c r="W1132" s="10"/>
      <c r="X1132" s="10"/>
      <c r="Y1132" s="10"/>
      <c r="Z1132" s="10"/>
      <c r="AA1132" s="10"/>
    </row>
    <row r="1133" spans="1:27" ht="12.5" x14ac:dyDescent="0.25">
      <c r="A1133" s="10"/>
      <c r="B1133" s="10"/>
      <c r="C1133" s="10"/>
      <c r="D1133" s="11"/>
      <c r="E1133" s="10"/>
      <c r="F1133" s="10"/>
      <c r="G1133" s="10"/>
      <c r="H1133" s="12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0"/>
      <c r="T1133" s="10"/>
      <c r="U1133" s="10"/>
      <c r="V1133" s="10"/>
      <c r="W1133" s="10"/>
      <c r="X1133" s="10"/>
      <c r="Y1133" s="10"/>
      <c r="Z1133" s="10"/>
      <c r="AA1133" s="10"/>
    </row>
    <row r="1134" spans="1:27" ht="12.5" x14ac:dyDescent="0.25">
      <c r="A1134" s="10"/>
      <c r="B1134" s="10"/>
      <c r="C1134" s="10"/>
      <c r="D1134" s="11"/>
      <c r="E1134" s="10"/>
      <c r="F1134" s="10"/>
      <c r="G1134" s="10"/>
      <c r="H1134" s="12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0"/>
      <c r="T1134" s="10"/>
      <c r="U1134" s="10"/>
      <c r="V1134" s="10"/>
      <c r="W1134" s="10"/>
      <c r="X1134" s="10"/>
      <c r="Y1134" s="10"/>
      <c r="Z1134" s="10"/>
      <c r="AA1134" s="10"/>
    </row>
    <row r="1135" spans="1:27" ht="12.5" x14ac:dyDescent="0.25">
      <c r="A1135" s="10"/>
      <c r="B1135" s="10"/>
      <c r="C1135" s="10"/>
      <c r="D1135" s="11"/>
      <c r="E1135" s="10"/>
      <c r="F1135" s="10"/>
      <c r="G1135" s="10"/>
      <c r="H1135" s="12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0"/>
      <c r="T1135" s="10"/>
      <c r="U1135" s="10"/>
      <c r="V1135" s="10"/>
      <c r="W1135" s="10"/>
      <c r="X1135" s="10"/>
      <c r="Y1135" s="10"/>
      <c r="Z1135" s="10"/>
      <c r="AA1135" s="10"/>
    </row>
    <row r="1136" spans="1:27" ht="12.5" x14ac:dyDescent="0.25">
      <c r="A1136" s="10"/>
      <c r="B1136" s="10"/>
      <c r="C1136" s="10"/>
      <c r="D1136" s="11"/>
      <c r="E1136" s="10"/>
      <c r="F1136" s="10"/>
      <c r="G1136" s="10"/>
      <c r="H1136" s="12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0"/>
      <c r="T1136" s="10"/>
      <c r="U1136" s="10"/>
      <c r="V1136" s="10"/>
      <c r="W1136" s="10"/>
      <c r="X1136" s="10"/>
      <c r="Y1136" s="10"/>
      <c r="Z1136" s="10"/>
      <c r="AA1136" s="10"/>
    </row>
    <row r="1137" spans="1:27" ht="12.5" x14ac:dyDescent="0.25">
      <c r="A1137" s="10"/>
      <c r="B1137" s="10"/>
      <c r="C1137" s="10"/>
      <c r="D1137" s="11"/>
      <c r="E1137" s="10"/>
      <c r="F1137" s="10"/>
      <c r="G1137" s="10"/>
      <c r="H1137" s="12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0"/>
      <c r="T1137" s="10"/>
      <c r="U1137" s="10"/>
      <c r="V1137" s="10"/>
      <c r="W1137" s="10"/>
      <c r="X1137" s="10"/>
      <c r="Y1137" s="10"/>
      <c r="Z1137" s="10"/>
      <c r="AA1137" s="10"/>
    </row>
    <row r="1138" spans="1:27" ht="12.5" x14ac:dyDescent="0.25">
      <c r="A1138" s="10"/>
      <c r="B1138" s="10"/>
      <c r="C1138" s="10"/>
      <c r="D1138" s="11"/>
      <c r="E1138" s="10"/>
      <c r="F1138" s="10"/>
      <c r="G1138" s="10"/>
      <c r="H1138" s="12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0"/>
      <c r="T1138" s="10"/>
      <c r="U1138" s="10"/>
      <c r="V1138" s="10"/>
      <c r="W1138" s="10"/>
      <c r="X1138" s="10"/>
      <c r="Y1138" s="10"/>
      <c r="Z1138" s="10"/>
      <c r="AA1138" s="10"/>
    </row>
    <row r="1139" spans="1:27" ht="12.5" x14ac:dyDescent="0.25">
      <c r="A1139" s="10"/>
      <c r="B1139" s="10"/>
      <c r="C1139" s="10"/>
      <c r="D1139" s="11"/>
      <c r="E1139" s="10"/>
      <c r="F1139" s="10"/>
      <c r="G1139" s="10"/>
      <c r="H1139" s="12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0"/>
      <c r="T1139" s="10"/>
      <c r="U1139" s="10"/>
      <c r="V1139" s="10"/>
      <c r="W1139" s="10"/>
      <c r="X1139" s="10"/>
      <c r="Y1139" s="10"/>
      <c r="Z1139" s="10"/>
      <c r="AA1139" s="10"/>
    </row>
    <row r="1140" spans="1:27" ht="12.5" x14ac:dyDescent="0.25">
      <c r="A1140" s="10"/>
      <c r="B1140" s="10"/>
      <c r="C1140" s="10"/>
      <c r="D1140" s="11"/>
      <c r="E1140" s="10"/>
      <c r="F1140" s="10"/>
      <c r="G1140" s="10"/>
      <c r="H1140" s="12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0"/>
      <c r="T1140" s="10"/>
      <c r="U1140" s="10"/>
      <c r="V1140" s="10"/>
      <c r="W1140" s="10"/>
      <c r="X1140" s="10"/>
      <c r="Y1140" s="10"/>
      <c r="Z1140" s="10"/>
      <c r="AA1140" s="10"/>
    </row>
    <row r="1141" spans="1:27" ht="12.5" x14ac:dyDescent="0.25">
      <c r="A1141" s="10"/>
      <c r="B1141" s="10"/>
      <c r="C1141" s="10"/>
      <c r="D1141" s="11"/>
      <c r="E1141" s="10"/>
      <c r="F1141" s="10"/>
      <c r="G1141" s="10"/>
      <c r="H1141" s="12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0"/>
      <c r="T1141" s="10"/>
      <c r="U1141" s="10"/>
      <c r="V1141" s="10"/>
      <c r="W1141" s="10"/>
      <c r="X1141" s="10"/>
      <c r="Y1141" s="10"/>
      <c r="Z1141" s="10"/>
      <c r="AA1141" s="10"/>
    </row>
    <row r="1142" spans="1:27" ht="12.5" x14ac:dyDescent="0.25">
      <c r="A1142" s="10"/>
      <c r="B1142" s="10"/>
      <c r="C1142" s="10"/>
      <c r="D1142" s="11"/>
      <c r="E1142" s="10"/>
      <c r="F1142" s="10"/>
      <c r="G1142" s="10"/>
      <c r="H1142" s="12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0"/>
      <c r="T1142" s="10"/>
      <c r="U1142" s="10"/>
      <c r="V1142" s="10"/>
      <c r="W1142" s="10"/>
      <c r="X1142" s="10"/>
      <c r="Y1142" s="10"/>
      <c r="Z1142" s="10"/>
      <c r="AA1142" s="10"/>
    </row>
    <row r="1143" spans="1:27" ht="12.5" x14ac:dyDescent="0.25">
      <c r="A1143" s="10"/>
      <c r="B1143" s="10"/>
      <c r="C1143" s="10"/>
      <c r="D1143" s="11"/>
      <c r="E1143" s="10"/>
      <c r="F1143" s="10"/>
      <c r="G1143" s="10"/>
      <c r="H1143" s="12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0"/>
      <c r="T1143" s="10"/>
      <c r="U1143" s="10"/>
      <c r="V1143" s="10"/>
      <c r="W1143" s="10"/>
      <c r="X1143" s="10"/>
      <c r="Y1143" s="10"/>
      <c r="Z1143" s="10"/>
      <c r="AA1143" s="10"/>
    </row>
    <row r="1144" spans="1:27" ht="12.5" x14ac:dyDescent="0.25">
      <c r="A1144" s="10"/>
      <c r="B1144" s="10"/>
      <c r="C1144" s="10"/>
      <c r="D1144" s="11"/>
      <c r="E1144" s="10"/>
      <c r="F1144" s="10"/>
      <c r="G1144" s="10"/>
      <c r="H1144" s="12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0"/>
      <c r="T1144" s="10"/>
      <c r="U1144" s="10"/>
      <c r="V1144" s="10"/>
      <c r="W1144" s="10"/>
      <c r="X1144" s="10"/>
      <c r="Y1144" s="10"/>
      <c r="Z1144" s="10"/>
      <c r="AA1144" s="10"/>
    </row>
    <row r="1145" spans="1:27" ht="12.5" x14ac:dyDescent="0.25">
      <c r="A1145" s="10"/>
      <c r="B1145" s="10"/>
      <c r="C1145" s="10"/>
      <c r="D1145" s="11"/>
      <c r="E1145" s="10"/>
      <c r="F1145" s="10"/>
      <c r="G1145" s="10"/>
      <c r="H1145" s="12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0"/>
      <c r="T1145" s="10"/>
      <c r="U1145" s="10"/>
      <c r="V1145" s="10"/>
      <c r="W1145" s="10"/>
      <c r="X1145" s="10"/>
      <c r="Y1145" s="10"/>
      <c r="Z1145" s="10"/>
      <c r="AA1145" s="10"/>
    </row>
    <row r="1146" spans="1:27" ht="12.5" x14ac:dyDescent="0.25">
      <c r="A1146" s="10"/>
      <c r="B1146" s="10"/>
      <c r="C1146" s="10"/>
      <c r="D1146" s="11"/>
      <c r="E1146" s="10"/>
      <c r="F1146" s="10"/>
      <c r="G1146" s="10"/>
      <c r="H1146" s="12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0"/>
      <c r="T1146" s="10"/>
      <c r="U1146" s="10"/>
      <c r="V1146" s="10"/>
      <c r="W1146" s="10"/>
      <c r="X1146" s="10"/>
      <c r="Y1146" s="10"/>
      <c r="Z1146" s="10"/>
      <c r="AA1146" s="10"/>
    </row>
    <row r="1147" spans="1:27" ht="12.5" x14ac:dyDescent="0.25">
      <c r="A1147" s="10"/>
      <c r="B1147" s="10"/>
      <c r="C1147" s="10"/>
      <c r="D1147" s="11"/>
      <c r="E1147" s="10"/>
      <c r="F1147" s="10"/>
      <c r="G1147" s="10"/>
      <c r="H1147" s="12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0"/>
      <c r="T1147" s="10"/>
      <c r="U1147" s="10"/>
      <c r="V1147" s="10"/>
      <c r="W1147" s="10"/>
      <c r="X1147" s="10"/>
      <c r="Y1147" s="10"/>
      <c r="Z1147" s="10"/>
      <c r="AA1147" s="10"/>
    </row>
    <row r="1148" spans="1:27" ht="12.5" x14ac:dyDescent="0.25">
      <c r="A1148" s="10"/>
      <c r="B1148" s="10"/>
      <c r="C1148" s="10"/>
      <c r="D1148" s="11"/>
      <c r="E1148" s="10"/>
      <c r="F1148" s="10"/>
      <c r="G1148" s="10"/>
      <c r="H1148" s="12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0"/>
      <c r="T1148" s="10"/>
      <c r="U1148" s="10"/>
      <c r="V1148" s="10"/>
      <c r="W1148" s="10"/>
      <c r="X1148" s="10"/>
      <c r="Y1148" s="10"/>
      <c r="Z1148" s="10"/>
      <c r="AA1148" s="10"/>
    </row>
    <row r="1149" spans="1:27" ht="12.5" x14ac:dyDescent="0.25">
      <c r="A1149" s="10"/>
      <c r="B1149" s="10"/>
      <c r="C1149" s="10"/>
      <c r="D1149" s="11"/>
      <c r="E1149" s="10"/>
      <c r="F1149" s="10"/>
      <c r="G1149" s="10"/>
      <c r="H1149" s="12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0"/>
      <c r="T1149" s="10"/>
      <c r="U1149" s="10"/>
      <c r="V1149" s="10"/>
      <c r="W1149" s="10"/>
      <c r="X1149" s="10"/>
      <c r="Y1149" s="10"/>
      <c r="Z1149" s="10"/>
      <c r="AA1149" s="10"/>
    </row>
    <row r="1150" spans="1:27" ht="12.5" x14ac:dyDescent="0.25">
      <c r="A1150" s="10"/>
      <c r="B1150" s="10"/>
      <c r="C1150" s="10"/>
      <c r="D1150" s="11"/>
      <c r="E1150" s="10"/>
      <c r="F1150" s="10"/>
      <c r="G1150" s="10"/>
      <c r="H1150" s="12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0"/>
      <c r="T1150" s="10"/>
      <c r="U1150" s="10"/>
      <c r="V1150" s="10"/>
      <c r="W1150" s="10"/>
      <c r="X1150" s="10"/>
      <c r="Y1150" s="10"/>
      <c r="Z1150" s="10"/>
      <c r="AA1150" s="10"/>
    </row>
    <row r="1151" spans="1:27" ht="12.5" x14ac:dyDescent="0.25">
      <c r="A1151" s="10"/>
      <c r="B1151" s="10"/>
      <c r="C1151" s="10"/>
      <c r="D1151" s="11"/>
      <c r="E1151" s="10"/>
      <c r="F1151" s="10"/>
      <c r="G1151" s="10"/>
      <c r="H1151" s="12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0"/>
      <c r="T1151" s="10"/>
      <c r="U1151" s="10"/>
      <c r="V1151" s="10"/>
      <c r="W1151" s="10"/>
      <c r="X1151" s="10"/>
      <c r="Y1151" s="10"/>
      <c r="Z1151" s="10"/>
      <c r="AA1151" s="10"/>
    </row>
    <row r="1152" spans="1:27" ht="12.5" x14ac:dyDescent="0.25">
      <c r="A1152" s="10"/>
      <c r="B1152" s="10"/>
      <c r="C1152" s="10"/>
      <c r="D1152" s="11"/>
      <c r="E1152" s="10"/>
      <c r="F1152" s="10"/>
      <c r="G1152" s="10"/>
      <c r="H1152" s="12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0"/>
      <c r="T1152" s="10"/>
      <c r="U1152" s="10"/>
      <c r="V1152" s="10"/>
      <c r="W1152" s="10"/>
      <c r="X1152" s="10"/>
      <c r="Y1152" s="10"/>
      <c r="Z1152" s="10"/>
      <c r="AA1152" s="10"/>
    </row>
    <row r="1153" spans="1:27" ht="12.5" x14ac:dyDescent="0.25">
      <c r="A1153" s="10"/>
      <c r="B1153" s="10"/>
      <c r="C1153" s="10"/>
      <c r="D1153" s="11"/>
      <c r="E1153" s="10"/>
      <c r="F1153" s="10"/>
      <c r="G1153" s="10"/>
      <c r="H1153" s="12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0"/>
      <c r="T1153" s="10"/>
      <c r="U1153" s="10"/>
      <c r="V1153" s="10"/>
      <c r="W1153" s="10"/>
      <c r="X1153" s="10"/>
      <c r="Y1153" s="10"/>
      <c r="Z1153" s="10"/>
      <c r="AA1153" s="10"/>
    </row>
    <row r="1154" spans="1:27" ht="12.5" x14ac:dyDescent="0.25">
      <c r="A1154" s="10"/>
      <c r="B1154" s="10"/>
      <c r="C1154" s="10"/>
      <c r="D1154" s="11"/>
      <c r="E1154" s="10"/>
      <c r="F1154" s="10"/>
      <c r="G1154" s="10"/>
      <c r="H1154" s="12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0"/>
      <c r="T1154" s="10"/>
      <c r="U1154" s="10"/>
      <c r="V1154" s="10"/>
      <c r="W1154" s="10"/>
      <c r="X1154" s="10"/>
      <c r="Y1154" s="10"/>
      <c r="Z1154" s="10"/>
      <c r="AA1154" s="10"/>
    </row>
    <row r="1155" spans="1:27" ht="12.5" x14ac:dyDescent="0.25">
      <c r="A1155" s="10"/>
      <c r="B1155" s="10"/>
      <c r="C1155" s="10"/>
      <c r="D1155" s="11"/>
      <c r="E1155" s="10"/>
      <c r="F1155" s="10"/>
      <c r="G1155" s="10"/>
      <c r="H1155" s="12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0"/>
      <c r="T1155" s="10"/>
      <c r="U1155" s="10"/>
      <c r="V1155" s="10"/>
      <c r="W1155" s="10"/>
      <c r="X1155" s="10"/>
      <c r="Y1155" s="10"/>
      <c r="Z1155" s="10"/>
      <c r="AA1155" s="10"/>
    </row>
    <row r="1156" spans="1:27" ht="12.5" x14ac:dyDescent="0.25">
      <c r="A1156" s="10"/>
      <c r="B1156" s="10"/>
      <c r="C1156" s="10"/>
      <c r="D1156" s="11"/>
      <c r="E1156" s="10"/>
      <c r="F1156" s="10"/>
      <c r="G1156" s="10"/>
      <c r="H1156" s="12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0"/>
      <c r="T1156" s="10"/>
      <c r="U1156" s="10"/>
      <c r="V1156" s="10"/>
      <c r="W1156" s="10"/>
      <c r="X1156" s="10"/>
      <c r="Y1156" s="10"/>
      <c r="Z1156" s="10"/>
      <c r="AA1156" s="10"/>
    </row>
    <row r="1157" spans="1:27" ht="12.5" x14ac:dyDescent="0.25">
      <c r="A1157" s="10"/>
      <c r="B1157" s="10"/>
      <c r="C1157" s="10"/>
      <c r="D1157" s="11"/>
      <c r="E1157" s="10"/>
      <c r="F1157" s="10"/>
      <c r="G1157" s="10"/>
      <c r="H1157" s="12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0"/>
      <c r="T1157" s="10"/>
      <c r="U1157" s="10"/>
      <c r="V1157" s="10"/>
      <c r="W1157" s="10"/>
      <c r="X1157" s="10"/>
      <c r="Y1157" s="10"/>
      <c r="Z1157" s="10"/>
      <c r="AA1157" s="10"/>
    </row>
    <row r="1158" spans="1:27" ht="12.5" x14ac:dyDescent="0.25">
      <c r="A1158" s="10"/>
      <c r="B1158" s="10"/>
      <c r="C1158" s="10"/>
      <c r="D1158" s="11"/>
      <c r="E1158" s="10"/>
      <c r="F1158" s="10"/>
      <c r="G1158" s="10"/>
      <c r="H1158" s="12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0"/>
      <c r="T1158" s="10"/>
      <c r="U1158" s="10"/>
      <c r="V1158" s="10"/>
      <c r="W1158" s="10"/>
      <c r="X1158" s="10"/>
      <c r="Y1158" s="10"/>
      <c r="Z1158" s="10"/>
      <c r="AA1158" s="10"/>
    </row>
    <row r="1159" spans="1:27" ht="12.5" x14ac:dyDescent="0.25">
      <c r="A1159" s="10"/>
      <c r="B1159" s="10"/>
      <c r="C1159" s="10"/>
      <c r="D1159" s="11"/>
      <c r="E1159" s="10"/>
      <c r="F1159" s="10"/>
      <c r="G1159" s="10"/>
      <c r="H1159" s="12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0"/>
      <c r="T1159" s="10"/>
      <c r="U1159" s="10"/>
      <c r="V1159" s="10"/>
      <c r="W1159" s="10"/>
      <c r="X1159" s="10"/>
      <c r="Y1159" s="10"/>
      <c r="Z1159" s="10"/>
      <c r="AA1159" s="10"/>
    </row>
    <row r="1160" spans="1:27" ht="12.5" x14ac:dyDescent="0.25">
      <c r="A1160" s="10"/>
      <c r="B1160" s="10"/>
      <c r="C1160" s="10"/>
      <c r="D1160" s="11"/>
      <c r="E1160" s="10"/>
      <c r="F1160" s="10"/>
      <c r="G1160" s="10"/>
      <c r="H1160" s="12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0"/>
      <c r="T1160" s="10"/>
      <c r="U1160" s="10"/>
      <c r="V1160" s="10"/>
      <c r="W1160" s="10"/>
      <c r="X1160" s="10"/>
      <c r="Y1160" s="10"/>
      <c r="Z1160" s="10"/>
      <c r="AA1160" s="10"/>
    </row>
    <row r="1161" spans="1:27" ht="12.5" x14ac:dyDescent="0.25">
      <c r="A1161" s="10"/>
      <c r="B1161" s="10"/>
      <c r="C1161" s="10"/>
      <c r="D1161" s="11"/>
      <c r="E1161" s="10"/>
      <c r="F1161" s="10"/>
      <c r="G1161" s="10"/>
      <c r="H1161" s="12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0"/>
      <c r="T1161" s="10"/>
      <c r="U1161" s="10"/>
      <c r="V1161" s="10"/>
      <c r="W1161" s="10"/>
      <c r="X1161" s="10"/>
      <c r="Y1161" s="10"/>
      <c r="Z1161" s="10"/>
      <c r="AA1161" s="10"/>
    </row>
    <row r="1162" spans="1:27" ht="12.5" x14ac:dyDescent="0.25">
      <c r="A1162" s="10"/>
      <c r="B1162" s="10"/>
      <c r="C1162" s="10"/>
      <c r="D1162" s="11"/>
      <c r="E1162" s="10"/>
      <c r="F1162" s="10"/>
      <c r="G1162" s="10"/>
      <c r="H1162" s="12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0"/>
      <c r="T1162" s="10"/>
      <c r="U1162" s="10"/>
      <c r="V1162" s="10"/>
      <c r="W1162" s="10"/>
      <c r="X1162" s="10"/>
      <c r="Y1162" s="10"/>
      <c r="Z1162" s="10"/>
      <c r="AA1162" s="10"/>
    </row>
    <row r="1163" spans="1:27" ht="12.5" x14ac:dyDescent="0.25">
      <c r="A1163" s="10"/>
      <c r="B1163" s="10"/>
      <c r="C1163" s="10"/>
      <c r="D1163" s="11"/>
      <c r="E1163" s="10"/>
      <c r="F1163" s="10"/>
      <c r="G1163" s="10"/>
      <c r="H1163" s="12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0"/>
      <c r="T1163" s="10"/>
      <c r="U1163" s="10"/>
      <c r="V1163" s="10"/>
      <c r="W1163" s="10"/>
      <c r="X1163" s="10"/>
      <c r="Y1163" s="10"/>
      <c r="Z1163" s="10"/>
      <c r="AA1163" s="10"/>
    </row>
    <row r="1164" spans="1:27" ht="12.5" x14ac:dyDescent="0.25">
      <c r="A1164" s="10"/>
      <c r="B1164" s="10"/>
      <c r="C1164" s="10"/>
      <c r="D1164" s="11"/>
      <c r="E1164" s="10"/>
      <c r="F1164" s="10"/>
      <c r="G1164" s="10"/>
      <c r="H1164" s="12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0"/>
      <c r="T1164" s="10"/>
      <c r="U1164" s="10"/>
      <c r="V1164" s="10"/>
      <c r="W1164" s="10"/>
      <c r="X1164" s="10"/>
      <c r="Y1164" s="10"/>
      <c r="Z1164" s="10"/>
      <c r="AA1164" s="10"/>
    </row>
    <row r="1165" spans="1:27" ht="12.5" x14ac:dyDescent="0.25">
      <c r="A1165" s="10"/>
      <c r="B1165" s="10"/>
      <c r="C1165" s="10"/>
      <c r="D1165" s="11"/>
      <c r="E1165" s="10"/>
      <c r="F1165" s="10"/>
      <c r="G1165" s="10"/>
      <c r="H1165" s="12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0"/>
      <c r="T1165" s="10"/>
      <c r="U1165" s="10"/>
      <c r="V1165" s="10"/>
      <c r="W1165" s="10"/>
      <c r="X1165" s="10"/>
      <c r="Y1165" s="10"/>
      <c r="Z1165" s="10"/>
      <c r="AA1165" s="10"/>
    </row>
    <row r="1166" spans="1:27" ht="12.5" x14ac:dyDescent="0.25">
      <c r="A1166" s="10"/>
      <c r="B1166" s="10"/>
      <c r="C1166" s="10"/>
      <c r="D1166" s="11"/>
      <c r="E1166" s="10"/>
      <c r="F1166" s="10"/>
      <c r="G1166" s="10"/>
      <c r="H1166" s="12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0"/>
      <c r="T1166" s="10"/>
      <c r="U1166" s="10"/>
      <c r="V1166" s="10"/>
      <c r="W1166" s="10"/>
      <c r="X1166" s="10"/>
      <c r="Y1166" s="10"/>
      <c r="Z1166" s="10"/>
      <c r="AA1166" s="10"/>
    </row>
    <row r="1167" spans="1:27" ht="12.5" x14ac:dyDescent="0.25">
      <c r="A1167" s="10"/>
      <c r="B1167" s="10"/>
      <c r="C1167" s="10"/>
      <c r="D1167" s="11"/>
      <c r="E1167" s="10"/>
      <c r="F1167" s="10"/>
      <c r="G1167" s="10"/>
      <c r="H1167" s="12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0"/>
      <c r="T1167" s="10"/>
      <c r="U1167" s="10"/>
      <c r="V1167" s="10"/>
      <c r="W1167" s="10"/>
      <c r="X1167" s="10"/>
      <c r="Y1167" s="10"/>
      <c r="Z1167" s="10"/>
      <c r="AA1167" s="10"/>
    </row>
    <row r="1168" spans="1:27" ht="12.5" x14ac:dyDescent="0.25">
      <c r="A1168" s="10"/>
      <c r="B1168" s="10"/>
      <c r="C1168" s="10"/>
      <c r="D1168" s="11"/>
      <c r="E1168" s="10"/>
      <c r="F1168" s="10"/>
      <c r="G1168" s="10"/>
      <c r="H1168" s="12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0"/>
      <c r="T1168" s="10"/>
      <c r="U1168" s="10"/>
      <c r="V1168" s="10"/>
      <c r="W1168" s="10"/>
      <c r="X1168" s="10"/>
      <c r="Y1168" s="10"/>
      <c r="Z1168" s="10"/>
      <c r="AA1168" s="10"/>
    </row>
    <row r="1169" spans="1:27" ht="12.5" x14ac:dyDescent="0.25">
      <c r="A1169" s="10"/>
      <c r="B1169" s="10"/>
      <c r="C1169" s="10"/>
      <c r="D1169" s="11"/>
      <c r="E1169" s="10"/>
      <c r="F1169" s="10"/>
      <c r="G1169" s="10"/>
      <c r="H1169" s="12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0"/>
      <c r="T1169" s="10"/>
      <c r="U1169" s="10"/>
      <c r="V1169" s="10"/>
      <c r="W1169" s="10"/>
      <c r="X1169" s="10"/>
      <c r="Y1169" s="10"/>
      <c r="Z1169" s="10"/>
      <c r="AA1169" s="10"/>
    </row>
    <row r="1170" spans="1:27" ht="12.5" x14ac:dyDescent="0.25">
      <c r="A1170" s="10"/>
      <c r="B1170" s="10"/>
      <c r="C1170" s="10"/>
      <c r="D1170" s="11"/>
      <c r="E1170" s="10"/>
      <c r="F1170" s="10"/>
      <c r="G1170" s="10"/>
      <c r="H1170" s="12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0"/>
      <c r="T1170" s="10"/>
      <c r="U1170" s="10"/>
      <c r="V1170" s="10"/>
      <c r="W1170" s="10"/>
      <c r="X1170" s="10"/>
      <c r="Y1170" s="10"/>
      <c r="Z1170" s="10"/>
      <c r="AA1170" s="10"/>
    </row>
    <row r="1171" spans="1:27" ht="12.5" x14ac:dyDescent="0.25">
      <c r="A1171" s="10"/>
      <c r="B1171" s="10"/>
      <c r="C1171" s="10"/>
      <c r="D1171" s="11"/>
      <c r="E1171" s="10"/>
      <c r="F1171" s="10"/>
      <c r="G1171" s="10"/>
      <c r="H1171" s="12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0"/>
      <c r="T1171" s="10"/>
      <c r="U1171" s="10"/>
      <c r="V1171" s="10"/>
      <c r="W1171" s="10"/>
      <c r="X1171" s="10"/>
      <c r="Y1171" s="10"/>
      <c r="Z1171" s="10"/>
      <c r="AA1171" s="10"/>
    </row>
    <row r="1172" spans="1:27" ht="12.5" x14ac:dyDescent="0.25">
      <c r="A1172" s="10"/>
      <c r="B1172" s="10"/>
      <c r="C1172" s="10"/>
      <c r="D1172" s="11"/>
      <c r="E1172" s="10"/>
      <c r="F1172" s="10"/>
      <c r="G1172" s="10"/>
      <c r="H1172" s="12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0"/>
      <c r="T1172" s="10"/>
      <c r="U1172" s="10"/>
      <c r="V1172" s="10"/>
      <c r="W1172" s="10"/>
      <c r="X1172" s="10"/>
      <c r="Y1172" s="10"/>
      <c r="Z1172" s="10"/>
      <c r="AA1172" s="10"/>
    </row>
    <row r="1173" spans="1:27" ht="12.5" x14ac:dyDescent="0.25">
      <c r="A1173" s="10"/>
      <c r="B1173" s="10"/>
      <c r="C1173" s="10"/>
      <c r="D1173" s="11"/>
      <c r="E1173" s="10"/>
      <c r="F1173" s="10"/>
      <c r="G1173" s="10"/>
      <c r="H1173" s="12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0"/>
      <c r="T1173" s="10"/>
      <c r="U1173" s="10"/>
      <c r="V1173" s="10"/>
      <c r="W1173" s="10"/>
      <c r="X1173" s="10"/>
      <c r="Y1173" s="10"/>
      <c r="Z1173" s="10"/>
      <c r="AA1173" s="10"/>
    </row>
    <row r="1174" spans="1:27" ht="12.5" x14ac:dyDescent="0.25">
      <c r="A1174" s="10"/>
      <c r="B1174" s="10"/>
      <c r="C1174" s="10"/>
      <c r="D1174" s="11"/>
      <c r="E1174" s="10"/>
      <c r="F1174" s="10"/>
      <c r="G1174" s="10"/>
      <c r="H1174" s="12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0"/>
      <c r="T1174" s="10"/>
      <c r="U1174" s="10"/>
      <c r="V1174" s="10"/>
      <c r="W1174" s="10"/>
      <c r="X1174" s="10"/>
      <c r="Y1174" s="10"/>
      <c r="Z1174" s="10"/>
      <c r="AA1174" s="10"/>
    </row>
    <row r="1175" spans="1:27" ht="12.5" x14ac:dyDescent="0.25">
      <c r="A1175" s="10"/>
      <c r="B1175" s="10"/>
      <c r="C1175" s="10"/>
      <c r="D1175" s="11"/>
      <c r="E1175" s="10"/>
      <c r="F1175" s="10"/>
      <c r="G1175" s="10"/>
      <c r="H1175" s="12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0"/>
      <c r="T1175" s="10"/>
      <c r="U1175" s="10"/>
      <c r="V1175" s="10"/>
      <c r="W1175" s="10"/>
      <c r="X1175" s="10"/>
      <c r="Y1175" s="10"/>
      <c r="Z1175" s="10"/>
      <c r="AA1175" s="10"/>
    </row>
    <row r="1176" spans="1:27" ht="12.5" x14ac:dyDescent="0.25">
      <c r="A1176" s="10"/>
      <c r="B1176" s="10"/>
      <c r="C1176" s="10"/>
      <c r="D1176" s="11"/>
      <c r="E1176" s="10"/>
      <c r="F1176" s="10"/>
      <c r="G1176" s="10"/>
      <c r="H1176" s="12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0"/>
      <c r="T1176" s="10"/>
      <c r="U1176" s="10"/>
      <c r="V1176" s="10"/>
      <c r="W1176" s="10"/>
      <c r="X1176" s="10"/>
      <c r="Y1176" s="10"/>
      <c r="Z1176" s="10"/>
      <c r="AA1176" s="10"/>
    </row>
    <row r="1177" spans="1:27" ht="12.5" x14ac:dyDescent="0.25">
      <c r="A1177" s="10"/>
      <c r="B1177" s="10"/>
      <c r="C1177" s="10"/>
      <c r="D1177" s="11"/>
      <c r="E1177" s="10"/>
      <c r="F1177" s="10"/>
      <c r="G1177" s="10"/>
      <c r="H1177" s="12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0"/>
      <c r="T1177" s="10"/>
      <c r="U1177" s="10"/>
      <c r="V1177" s="10"/>
      <c r="W1177" s="10"/>
      <c r="X1177" s="10"/>
      <c r="Y1177" s="10"/>
      <c r="Z1177" s="10"/>
      <c r="AA1177" s="10"/>
    </row>
    <row r="1178" spans="1:27" ht="12.5" x14ac:dyDescent="0.25">
      <c r="A1178" s="10"/>
      <c r="B1178" s="10"/>
      <c r="C1178" s="10"/>
      <c r="D1178" s="11"/>
      <c r="E1178" s="10"/>
      <c r="F1178" s="10"/>
      <c r="G1178" s="10"/>
      <c r="H1178" s="12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0"/>
      <c r="T1178" s="10"/>
      <c r="U1178" s="10"/>
      <c r="V1178" s="10"/>
      <c r="W1178" s="10"/>
      <c r="X1178" s="10"/>
      <c r="Y1178" s="10"/>
      <c r="Z1178" s="10"/>
      <c r="AA1178" s="10"/>
    </row>
    <row r="1179" spans="1:27" ht="12.5" x14ac:dyDescent="0.25">
      <c r="A1179" s="10"/>
      <c r="B1179" s="10"/>
      <c r="C1179" s="10"/>
      <c r="D1179" s="11"/>
      <c r="E1179" s="10"/>
      <c r="F1179" s="10"/>
      <c r="G1179" s="10"/>
      <c r="H1179" s="12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0"/>
      <c r="T1179" s="10"/>
      <c r="U1179" s="10"/>
      <c r="V1179" s="10"/>
      <c r="W1179" s="10"/>
      <c r="X1179" s="10"/>
      <c r="Y1179" s="10"/>
      <c r="Z1179" s="10"/>
      <c r="AA1179" s="10"/>
    </row>
    <row r="1180" spans="1:27" ht="12.5" x14ac:dyDescent="0.25">
      <c r="A1180" s="10"/>
      <c r="B1180" s="10"/>
      <c r="C1180" s="10"/>
      <c r="D1180" s="11"/>
      <c r="E1180" s="10"/>
      <c r="F1180" s="10"/>
      <c r="G1180" s="10"/>
      <c r="H1180" s="12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0"/>
      <c r="T1180" s="10"/>
      <c r="U1180" s="10"/>
      <c r="V1180" s="10"/>
      <c r="W1180" s="10"/>
      <c r="X1180" s="10"/>
      <c r="Y1180" s="10"/>
      <c r="Z1180" s="10"/>
      <c r="AA1180" s="10"/>
    </row>
    <row r="1181" spans="1:27" ht="12.5" x14ac:dyDescent="0.25">
      <c r="A1181" s="10"/>
      <c r="B1181" s="10"/>
      <c r="C1181" s="10"/>
      <c r="D1181" s="11"/>
      <c r="E1181" s="10"/>
      <c r="F1181" s="10"/>
      <c r="G1181" s="10"/>
      <c r="H1181" s="12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0"/>
      <c r="T1181" s="10"/>
      <c r="U1181" s="10"/>
      <c r="V1181" s="10"/>
      <c r="W1181" s="10"/>
      <c r="X1181" s="10"/>
      <c r="Y1181" s="10"/>
      <c r="Z1181" s="10"/>
      <c r="AA1181" s="10"/>
    </row>
    <row r="1182" spans="1:27" ht="12.5" x14ac:dyDescent="0.25">
      <c r="A1182" s="10"/>
      <c r="B1182" s="10"/>
      <c r="C1182" s="10"/>
      <c r="D1182" s="11"/>
      <c r="E1182" s="10"/>
      <c r="F1182" s="10"/>
      <c r="G1182" s="10"/>
      <c r="H1182" s="12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0"/>
      <c r="T1182" s="10"/>
      <c r="U1182" s="10"/>
      <c r="V1182" s="10"/>
      <c r="W1182" s="10"/>
      <c r="X1182" s="10"/>
      <c r="Y1182" s="10"/>
      <c r="Z1182" s="10"/>
      <c r="AA1182" s="10"/>
    </row>
    <row r="1183" spans="1:27" ht="12.5" x14ac:dyDescent="0.25">
      <c r="A1183" s="10"/>
      <c r="B1183" s="10"/>
      <c r="C1183" s="10"/>
      <c r="D1183" s="11"/>
      <c r="E1183" s="10"/>
      <c r="F1183" s="10"/>
      <c r="G1183" s="10"/>
      <c r="H1183" s="12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0"/>
      <c r="T1183" s="10"/>
      <c r="U1183" s="10"/>
      <c r="V1183" s="10"/>
      <c r="W1183" s="10"/>
      <c r="X1183" s="10"/>
      <c r="Y1183" s="10"/>
      <c r="Z1183" s="10"/>
      <c r="AA1183" s="10"/>
    </row>
    <row r="1184" spans="1:27" ht="12.5" x14ac:dyDescent="0.25">
      <c r="A1184" s="10"/>
      <c r="B1184" s="10"/>
      <c r="C1184" s="10"/>
      <c r="D1184" s="11"/>
      <c r="E1184" s="10"/>
      <c r="F1184" s="10"/>
      <c r="G1184" s="10"/>
      <c r="H1184" s="12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0"/>
      <c r="T1184" s="10"/>
      <c r="U1184" s="10"/>
      <c r="V1184" s="10"/>
      <c r="W1184" s="10"/>
      <c r="X1184" s="10"/>
      <c r="Y1184" s="10"/>
      <c r="Z1184" s="10"/>
      <c r="AA1184" s="10"/>
    </row>
    <row r="1185" spans="1:27" ht="12.5" x14ac:dyDescent="0.25">
      <c r="A1185" s="10"/>
      <c r="B1185" s="10"/>
      <c r="C1185" s="10"/>
      <c r="D1185" s="11"/>
      <c r="E1185" s="10"/>
      <c r="F1185" s="10"/>
      <c r="G1185" s="10"/>
      <c r="H1185" s="12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0"/>
      <c r="T1185" s="10"/>
      <c r="U1185" s="10"/>
      <c r="V1185" s="10"/>
      <c r="W1185" s="10"/>
      <c r="X1185" s="10"/>
      <c r="Y1185" s="10"/>
      <c r="Z1185" s="10"/>
      <c r="AA1185" s="10"/>
    </row>
    <row r="1186" spans="1:27" ht="12.5" x14ac:dyDescent="0.25">
      <c r="A1186" s="10"/>
      <c r="B1186" s="10"/>
      <c r="C1186" s="10"/>
      <c r="D1186" s="11"/>
      <c r="E1186" s="10"/>
      <c r="F1186" s="10"/>
      <c r="G1186" s="10"/>
      <c r="H1186" s="12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0"/>
      <c r="T1186" s="10"/>
      <c r="U1186" s="10"/>
      <c r="V1186" s="10"/>
      <c r="W1186" s="10"/>
      <c r="X1186" s="10"/>
      <c r="Y1186" s="10"/>
      <c r="Z1186" s="10"/>
      <c r="AA1186" s="10"/>
    </row>
    <row r="1187" spans="1:27" ht="12.5" x14ac:dyDescent="0.25">
      <c r="A1187" s="10"/>
      <c r="B1187" s="10"/>
      <c r="C1187" s="10"/>
      <c r="D1187" s="11"/>
      <c r="E1187" s="10"/>
      <c r="F1187" s="10"/>
      <c r="G1187" s="10"/>
      <c r="H1187" s="12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0"/>
      <c r="T1187" s="10"/>
      <c r="U1187" s="10"/>
      <c r="V1187" s="10"/>
      <c r="W1187" s="10"/>
      <c r="X1187" s="10"/>
      <c r="Y1187" s="10"/>
      <c r="Z1187" s="10"/>
      <c r="AA1187" s="10"/>
    </row>
    <row r="1188" spans="1:27" ht="12.5" x14ac:dyDescent="0.25">
      <c r="A1188" s="10"/>
      <c r="B1188" s="10"/>
      <c r="C1188" s="10"/>
      <c r="D1188" s="11"/>
      <c r="E1188" s="10"/>
      <c r="F1188" s="10"/>
      <c r="G1188" s="10"/>
      <c r="H1188" s="12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0"/>
      <c r="T1188" s="10"/>
      <c r="U1188" s="10"/>
      <c r="V1188" s="10"/>
      <c r="W1188" s="10"/>
      <c r="X1188" s="10"/>
      <c r="Y1188" s="10"/>
      <c r="Z1188" s="10"/>
      <c r="AA1188" s="10"/>
    </row>
    <row r="1189" spans="1:27" ht="12.5" x14ac:dyDescent="0.25">
      <c r="A1189" s="10"/>
      <c r="B1189" s="10"/>
      <c r="C1189" s="10"/>
      <c r="D1189" s="11"/>
      <c r="E1189" s="10"/>
      <c r="F1189" s="10"/>
      <c r="G1189" s="10"/>
      <c r="H1189" s="12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0"/>
      <c r="T1189" s="10"/>
      <c r="U1189" s="10"/>
      <c r="V1189" s="10"/>
      <c r="W1189" s="10"/>
      <c r="X1189" s="10"/>
      <c r="Y1189" s="10"/>
      <c r="Z1189" s="10"/>
      <c r="AA1189" s="10"/>
    </row>
    <row r="1190" spans="1:27" ht="12.5" x14ac:dyDescent="0.25">
      <c r="A1190" s="10"/>
      <c r="B1190" s="10"/>
      <c r="C1190" s="10"/>
      <c r="D1190" s="11"/>
      <c r="E1190" s="10"/>
      <c r="F1190" s="10"/>
      <c r="G1190" s="10"/>
      <c r="H1190" s="12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0"/>
      <c r="T1190" s="10"/>
      <c r="U1190" s="10"/>
      <c r="V1190" s="10"/>
      <c r="W1190" s="10"/>
      <c r="X1190" s="10"/>
      <c r="Y1190" s="10"/>
      <c r="Z1190" s="10"/>
      <c r="AA1190" s="10"/>
    </row>
    <row r="1191" spans="1:27" ht="12.5" x14ac:dyDescent="0.25">
      <c r="A1191" s="10"/>
      <c r="B1191" s="10"/>
      <c r="C1191" s="10"/>
      <c r="D1191" s="11"/>
      <c r="E1191" s="10"/>
      <c r="F1191" s="10"/>
      <c r="G1191" s="10"/>
      <c r="H1191" s="12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0"/>
      <c r="T1191" s="10"/>
      <c r="U1191" s="10"/>
      <c r="V1191" s="10"/>
      <c r="W1191" s="10"/>
      <c r="X1191" s="10"/>
      <c r="Y1191" s="10"/>
      <c r="Z1191" s="10"/>
      <c r="AA1191" s="10"/>
    </row>
    <row r="1192" spans="1:27" ht="12.5" x14ac:dyDescent="0.25">
      <c r="A1192" s="10"/>
      <c r="B1192" s="10"/>
      <c r="C1192" s="10"/>
      <c r="D1192" s="11"/>
      <c r="E1192" s="10"/>
      <c r="F1192" s="10"/>
      <c r="G1192" s="10"/>
      <c r="H1192" s="12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0"/>
      <c r="T1192" s="10"/>
      <c r="U1192" s="10"/>
      <c r="V1192" s="10"/>
      <c r="W1192" s="10"/>
      <c r="X1192" s="10"/>
      <c r="Y1192" s="10"/>
      <c r="Z1192" s="10"/>
      <c r="AA1192" s="10"/>
    </row>
    <row r="1193" spans="1:27" ht="12.5" x14ac:dyDescent="0.25">
      <c r="A1193" s="10"/>
      <c r="B1193" s="10"/>
      <c r="C1193" s="10"/>
      <c r="D1193" s="11"/>
      <c r="E1193" s="10"/>
      <c r="F1193" s="10"/>
      <c r="G1193" s="10"/>
      <c r="H1193" s="12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0"/>
      <c r="T1193" s="10"/>
      <c r="U1193" s="10"/>
      <c r="V1193" s="10"/>
      <c r="W1193" s="10"/>
      <c r="X1193" s="10"/>
      <c r="Y1193" s="10"/>
      <c r="Z1193" s="10"/>
      <c r="AA1193" s="10"/>
    </row>
    <row r="1194" spans="1:27" ht="12.5" x14ac:dyDescent="0.25">
      <c r="A1194" s="10"/>
      <c r="B1194" s="10"/>
      <c r="C1194" s="10"/>
      <c r="D1194" s="11"/>
      <c r="E1194" s="10"/>
      <c r="F1194" s="10"/>
      <c r="G1194" s="10"/>
      <c r="H1194" s="12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0"/>
      <c r="T1194" s="10"/>
      <c r="U1194" s="10"/>
      <c r="V1194" s="10"/>
      <c r="W1194" s="10"/>
      <c r="X1194" s="10"/>
      <c r="Y1194" s="10"/>
      <c r="Z1194" s="10"/>
      <c r="AA1194" s="10"/>
    </row>
    <row r="1195" spans="1:27" ht="12.5" x14ac:dyDescent="0.25">
      <c r="A1195" s="10"/>
      <c r="B1195" s="10"/>
      <c r="C1195" s="10"/>
      <c r="D1195" s="11"/>
      <c r="E1195" s="10"/>
      <c r="F1195" s="10"/>
      <c r="G1195" s="10"/>
      <c r="H1195" s="12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0"/>
      <c r="T1195" s="10"/>
      <c r="U1195" s="10"/>
      <c r="V1195" s="10"/>
      <c r="W1195" s="10"/>
      <c r="X1195" s="10"/>
      <c r="Y1195" s="10"/>
      <c r="Z1195" s="10"/>
      <c r="AA1195" s="10"/>
    </row>
    <row r="1196" spans="1:27" ht="12.5" x14ac:dyDescent="0.25">
      <c r="A1196" s="10"/>
      <c r="B1196" s="10"/>
      <c r="C1196" s="10"/>
      <c r="D1196" s="11"/>
      <c r="E1196" s="10"/>
      <c r="F1196" s="10"/>
      <c r="G1196" s="10"/>
      <c r="H1196" s="12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0"/>
      <c r="T1196" s="10"/>
      <c r="U1196" s="10"/>
      <c r="V1196" s="10"/>
      <c r="W1196" s="10"/>
      <c r="X1196" s="10"/>
      <c r="Y1196" s="10"/>
      <c r="Z1196" s="10"/>
      <c r="AA1196" s="10"/>
    </row>
    <row r="1197" spans="1:27" ht="12.5" x14ac:dyDescent="0.25">
      <c r="A1197" s="10"/>
      <c r="B1197" s="10"/>
      <c r="C1197" s="10"/>
      <c r="D1197" s="11"/>
      <c r="E1197" s="10"/>
      <c r="F1197" s="10"/>
      <c r="G1197" s="10"/>
      <c r="H1197" s="12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0"/>
      <c r="T1197" s="10"/>
      <c r="U1197" s="10"/>
      <c r="V1197" s="10"/>
      <c r="W1197" s="10"/>
      <c r="X1197" s="10"/>
      <c r="Y1197" s="10"/>
      <c r="Z1197" s="10"/>
      <c r="AA1197" s="10"/>
    </row>
    <row r="1198" spans="1:27" ht="12.5" x14ac:dyDescent="0.25">
      <c r="A1198" s="10"/>
      <c r="B1198" s="10"/>
      <c r="C1198" s="10"/>
      <c r="D1198" s="11"/>
      <c r="E1198" s="10"/>
      <c r="F1198" s="10"/>
      <c r="G1198" s="10"/>
      <c r="H1198" s="12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0"/>
      <c r="T1198" s="10"/>
      <c r="U1198" s="10"/>
      <c r="V1198" s="10"/>
      <c r="W1198" s="10"/>
      <c r="X1198" s="10"/>
      <c r="Y1198" s="10"/>
      <c r="Z1198" s="10"/>
      <c r="AA1198" s="10"/>
    </row>
    <row r="1199" spans="1:27" ht="12.5" x14ac:dyDescent="0.25">
      <c r="A1199" s="10"/>
      <c r="B1199" s="10"/>
      <c r="C1199" s="10"/>
      <c r="D1199" s="11"/>
      <c r="E1199" s="10"/>
      <c r="F1199" s="10"/>
      <c r="G1199" s="10"/>
      <c r="H1199" s="12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0"/>
      <c r="T1199" s="10"/>
      <c r="U1199" s="10"/>
      <c r="V1199" s="10"/>
      <c r="W1199" s="10"/>
      <c r="X1199" s="10"/>
      <c r="Y1199" s="10"/>
      <c r="Z1199" s="10"/>
      <c r="AA1199" s="10"/>
    </row>
    <row r="1200" spans="1:27" ht="12.5" x14ac:dyDescent="0.25">
      <c r="A1200" s="10"/>
      <c r="B1200" s="10"/>
      <c r="C1200" s="10"/>
      <c r="D1200" s="11"/>
      <c r="E1200" s="10"/>
      <c r="F1200" s="10"/>
      <c r="G1200" s="10"/>
      <c r="H1200" s="12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0"/>
      <c r="T1200" s="10"/>
      <c r="U1200" s="10"/>
      <c r="V1200" s="10"/>
      <c r="W1200" s="10"/>
      <c r="X1200" s="10"/>
      <c r="Y1200" s="10"/>
      <c r="Z1200" s="10"/>
      <c r="AA1200" s="10"/>
    </row>
    <row r="1201" spans="1:27" ht="12.5" x14ac:dyDescent="0.25">
      <c r="A1201" s="10"/>
      <c r="B1201" s="10"/>
      <c r="C1201" s="10"/>
      <c r="D1201" s="11"/>
      <c r="E1201" s="10"/>
      <c r="F1201" s="10"/>
      <c r="G1201" s="10"/>
      <c r="H1201" s="12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0"/>
      <c r="T1201" s="10"/>
      <c r="U1201" s="10"/>
      <c r="V1201" s="10"/>
      <c r="W1201" s="10"/>
      <c r="X1201" s="10"/>
      <c r="Y1201" s="10"/>
      <c r="Z1201" s="10"/>
      <c r="AA1201" s="10"/>
    </row>
    <row r="1202" spans="1:27" ht="12.5" x14ac:dyDescent="0.25">
      <c r="A1202" s="10"/>
      <c r="B1202" s="10"/>
      <c r="C1202" s="10"/>
      <c r="D1202" s="11"/>
      <c r="E1202" s="10"/>
      <c r="F1202" s="10"/>
      <c r="G1202" s="10"/>
      <c r="H1202" s="12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0"/>
      <c r="T1202" s="10"/>
      <c r="U1202" s="10"/>
      <c r="V1202" s="10"/>
      <c r="W1202" s="10"/>
      <c r="X1202" s="10"/>
      <c r="Y1202" s="10"/>
      <c r="Z1202" s="10"/>
      <c r="AA1202" s="10"/>
    </row>
    <row r="1203" spans="1:27" ht="12.5" x14ac:dyDescent="0.25">
      <c r="A1203" s="10"/>
      <c r="B1203" s="10"/>
      <c r="C1203" s="10"/>
      <c r="D1203" s="11"/>
      <c r="E1203" s="10"/>
      <c r="F1203" s="10"/>
      <c r="G1203" s="10"/>
      <c r="H1203" s="12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0"/>
      <c r="T1203" s="10"/>
      <c r="U1203" s="10"/>
      <c r="V1203" s="10"/>
      <c r="W1203" s="10"/>
      <c r="X1203" s="10"/>
      <c r="Y1203" s="10"/>
      <c r="Z1203" s="10"/>
      <c r="AA1203" s="10"/>
    </row>
    <row r="1204" spans="1:27" ht="12.5" x14ac:dyDescent="0.25">
      <c r="A1204" s="10"/>
      <c r="B1204" s="10"/>
      <c r="C1204" s="10"/>
      <c r="D1204" s="11"/>
      <c r="E1204" s="10"/>
      <c r="F1204" s="10"/>
      <c r="G1204" s="10"/>
      <c r="H1204" s="12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0"/>
      <c r="T1204" s="10"/>
      <c r="U1204" s="10"/>
      <c r="V1204" s="10"/>
      <c r="W1204" s="10"/>
      <c r="X1204" s="10"/>
      <c r="Y1204" s="10"/>
      <c r="Z1204" s="10"/>
      <c r="AA1204" s="10"/>
    </row>
    <row r="1205" spans="1:27" ht="12.5" x14ac:dyDescent="0.25">
      <c r="A1205" s="10"/>
      <c r="B1205" s="10"/>
      <c r="C1205" s="10"/>
      <c r="D1205" s="11"/>
      <c r="E1205" s="10"/>
      <c r="F1205" s="10"/>
      <c r="G1205" s="10"/>
      <c r="H1205" s="12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0"/>
      <c r="T1205" s="10"/>
      <c r="U1205" s="10"/>
      <c r="V1205" s="10"/>
      <c r="W1205" s="10"/>
      <c r="X1205" s="10"/>
      <c r="Y1205" s="10"/>
      <c r="Z1205" s="10"/>
      <c r="AA1205" s="10"/>
    </row>
    <row r="1206" spans="1:27" ht="12.5" x14ac:dyDescent="0.25">
      <c r="A1206" s="10"/>
      <c r="B1206" s="10"/>
      <c r="C1206" s="10"/>
      <c r="D1206" s="11"/>
      <c r="E1206" s="10"/>
      <c r="F1206" s="10"/>
      <c r="G1206" s="10"/>
      <c r="H1206" s="12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0"/>
      <c r="T1206" s="10"/>
      <c r="U1206" s="10"/>
      <c r="V1206" s="10"/>
      <c r="W1206" s="10"/>
      <c r="X1206" s="10"/>
      <c r="Y1206" s="10"/>
      <c r="Z1206" s="10"/>
      <c r="AA1206" s="10"/>
    </row>
    <row r="1207" spans="1:27" ht="12.5" x14ac:dyDescent="0.25">
      <c r="A1207" s="10"/>
      <c r="B1207" s="10"/>
      <c r="C1207" s="10"/>
      <c r="D1207" s="11"/>
      <c r="E1207" s="10"/>
      <c r="F1207" s="10"/>
      <c r="G1207" s="10"/>
      <c r="H1207" s="12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0"/>
      <c r="T1207" s="10"/>
      <c r="U1207" s="10"/>
      <c r="V1207" s="10"/>
      <c r="W1207" s="10"/>
      <c r="X1207" s="10"/>
      <c r="Y1207" s="10"/>
      <c r="Z1207" s="10"/>
      <c r="AA1207" s="10"/>
    </row>
    <row r="1208" spans="1:27" ht="12.5" x14ac:dyDescent="0.25">
      <c r="A1208" s="10"/>
      <c r="B1208" s="10"/>
      <c r="C1208" s="10"/>
      <c r="D1208" s="11"/>
      <c r="E1208" s="10"/>
      <c r="F1208" s="10"/>
      <c r="G1208" s="10"/>
      <c r="H1208" s="12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0"/>
      <c r="T1208" s="10"/>
      <c r="U1208" s="10"/>
      <c r="V1208" s="10"/>
      <c r="W1208" s="10"/>
      <c r="X1208" s="10"/>
      <c r="Y1208" s="10"/>
      <c r="Z1208" s="10"/>
      <c r="AA1208" s="10"/>
    </row>
    <row r="1209" spans="1:27" ht="12.5" x14ac:dyDescent="0.25">
      <c r="A1209" s="10"/>
      <c r="B1209" s="10"/>
      <c r="C1209" s="10"/>
      <c r="D1209" s="11"/>
      <c r="E1209" s="10"/>
      <c r="F1209" s="10"/>
      <c r="G1209" s="10"/>
      <c r="H1209" s="12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0"/>
      <c r="T1209" s="10"/>
      <c r="U1209" s="10"/>
      <c r="V1209" s="10"/>
      <c r="W1209" s="10"/>
      <c r="X1209" s="10"/>
      <c r="Y1209" s="10"/>
      <c r="Z1209" s="10"/>
      <c r="AA1209" s="10"/>
    </row>
    <row r="1210" spans="1:27" ht="12.5" x14ac:dyDescent="0.25">
      <c r="A1210" s="10"/>
      <c r="B1210" s="10"/>
      <c r="C1210" s="10"/>
      <c r="D1210" s="11"/>
      <c r="E1210" s="10"/>
      <c r="F1210" s="10"/>
      <c r="G1210" s="10"/>
      <c r="H1210" s="12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0"/>
      <c r="T1210" s="10"/>
      <c r="U1210" s="10"/>
      <c r="V1210" s="10"/>
      <c r="W1210" s="10"/>
      <c r="X1210" s="10"/>
      <c r="Y1210" s="10"/>
      <c r="Z1210" s="10"/>
      <c r="AA1210" s="10"/>
    </row>
    <row r="1211" spans="1:27" ht="12.5" x14ac:dyDescent="0.25">
      <c r="A1211" s="10"/>
      <c r="B1211" s="10"/>
      <c r="C1211" s="10"/>
      <c r="D1211" s="11"/>
      <c r="E1211" s="10"/>
      <c r="F1211" s="10"/>
      <c r="G1211" s="10"/>
      <c r="H1211" s="12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0"/>
      <c r="T1211" s="10"/>
      <c r="U1211" s="10"/>
      <c r="V1211" s="10"/>
      <c r="W1211" s="10"/>
      <c r="X1211" s="10"/>
      <c r="Y1211" s="10"/>
      <c r="Z1211" s="10"/>
      <c r="AA1211" s="10"/>
    </row>
    <row r="1212" spans="1:27" ht="12.5" x14ac:dyDescent="0.25">
      <c r="A1212" s="10"/>
      <c r="B1212" s="10"/>
      <c r="C1212" s="10"/>
      <c r="D1212" s="11"/>
      <c r="E1212" s="10"/>
      <c r="F1212" s="10"/>
      <c r="G1212" s="10"/>
      <c r="H1212" s="12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0"/>
      <c r="T1212" s="10"/>
      <c r="U1212" s="10"/>
      <c r="V1212" s="10"/>
      <c r="W1212" s="10"/>
      <c r="X1212" s="10"/>
      <c r="Y1212" s="10"/>
      <c r="Z1212" s="10"/>
      <c r="AA1212" s="10"/>
    </row>
    <row r="1213" spans="1:27" ht="12.5" x14ac:dyDescent="0.25">
      <c r="A1213" s="10"/>
      <c r="B1213" s="10"/>
      <c r="C1213" s="10"/>
      <c r="D1213" s="11"/>
      <c r="E1213" s="10"/>
      <c r="F1213" s="10"/>
      <c r="G1213" s="10"/>
      <c r="H1213" s="12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0"/>
      <c r="T1213" s="10"/>
      <c r="U1213" s="10"/>
      <c r="V1213" s="10"/>
      <c r="W1213" s="10"/>
      <c r="X1213" s="10"/>
      <c r="Y1213" s="10"/>
      <c r="Z1213" s="10"/>
      <c r="AA1213" s="10"/>
    </row>
    <row r="1214" spans="1:27" ht="12.5" x14ac:dyDescent="0.25">
      <c r="A1214" s="10"/>
      <c r="B1214" s="10"/>
      <c r="C1214" s="10"/>
      <c r="D1214" s="11"/>
      <c r="E1214" s="10"/>
      <c r="F1214" s="10"/>
      <c r="G1214" s="10"/>
      <c r="H1214" s="12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0"/>
      <c r="T1214" s="10"/>
      <c r="U1214" s="10"/>
      <c r="V1214" s="10"/>
      <c r="W1214" s="10"/>
      <c r="X1214" s="10"/>
      <c r="Y1214" s="10"/>
      <c r="Z1214" s="10"/>
      <c r="AA1214" s="10"/>
    </row>
    <row r="1215" spans="1:27" ht="12.5" x14ac:dyDescent="0.25">
      <c r="A1215" s="10"/>
      <c r="B1215" s="10"/>
      <c r="C1215" s="10"/>
      <c r="D1215" s="11"/>
      <c r="E1215" s="10"/>
      <c r="F1215" s="10"/>
      <c r="G1215" s="10"/>
      <c r="H1215" s="12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0"/>
      <c r="T1215" s="10"/>
      <c r="U1215" s="10"/>
      <c r="V1215" s="10"/>
      <c r="W1215" s="10"/>
      <c r="X1215" s="10"/>
      <c r="Y1215" s="10"/>
      <c r="Z1215" s="10"/>
      <c r="AA1215" s="10"/>
    </row>
    <row r="1216" spans="1:27" ht="12.5" x14ac:dyDescent="0.25">
      <c r="A1216" s="10"/>
      <c r="B1216" s="10"/>
      <c r="C1216" s="10"/>
      <c r="D1216" s="11"/>
      <c r="E1216" s="10"/>
      <c r="F1216" s="10"/>
      <c r="G1216" s="10"/>
      <c r="H1216" s="12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0"/>
      <c r="T1216" s="10"/>
      <c r="U1216" s="10"/>
      <c r="V1216" s="10"/>
      <c r="W1216" s="10"/>
      <c r="X1216" s="10"/>
      <c r="Y1216" s="10"/>
      <c r="Z1216" s="10"/>
      <c r="AA1216" s="10"/>
    </row>
    <row r="1217" spans="1:27" ht="12.5" x14ac:dyDescent="0.25">
      <c r="A1217" s="10"/>
      <c r="B1217" s="10"/>
      <c r="C1217" s="10"/>
      <c r="D1217" s="11"/>
      <c r="E1217" s="10"/>
      <c r="F1217" s="10"/>
      <c r="G1217" s="10"/>
      <c r="H1217" s="12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0"/>
      <c r="T1217" s="10"/>
      <c r="U1217" s="10"/>
      <c r="V1217" s="10"/>
      <c r="W1217" s="10"/>
      <c r="X1217" s="10"/>
      <c r="Y1217" s="10"/>
      <c r="Z1217" s="10"/>
      <c r="AA1217" s="10"/>
    </row>
    <row r="1218" spans="1:27" ht="12.5" x14ac:dyDescent="0.25">
      <c r="A1218" s="10"/>
      <c r="B1218" s="10"/>
      <c r="C1218" s="10"/>
      <c r="D1218" s="11"/>
      <c r="E1218" s="10"/>
      <c r="F1218" s="10"/>
      <c r="G1218" s="10"/>
      <c r="H1218" s="12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0"/>
      <c r="T1218" s="10"/>
      <c r="U1218" s="10"/>
      <c r="V1218" s="10"/>
      <c r="W1218" s="10"/>
      <c r="X1218" s="10"/>
      <c r="Y1218" s="10"/>
      <c r="Z1218" s="10"/>
      <c r="AA1218" s="10"/>
    </row>
    <row r="1219" spans="1:27" ht="12.5" x14ac:dyDescent="0.25">
      <c r="A1219" s="10"/>
      <c r="B1219" s="10"/>
      <c r="C1219" s="10"/>
      <c r="D1219" s="11"/>
      <c r="E1219" s="10"/>
      <c r="F1219" s="10"/>
      <c r="G1219" s="10"/>
      <c r="H1219" s="12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0"/>
      <c r="T1219" s="10"/>
      <c r="U1219" s="10"/>
      <c r="V1219" s="10"/>
      <c r="W1219" s="10"/>
      <c r="X1219" s="10"/>
      <c r="Y1219" s="10"/>
      <c r="Z1219" s="10"/>
      <c r="AA1219" s="10"/>
    </row>
    <row r="1220" spans="1:27" ht="12.5" x14ac:dyDescent="0.25">
      <c r="A1220" s="10"/>
      <c r="B1220" s="10"/>
      <c r="C1220" s="10"/>
      <c r="D1220" s="11"/>
      <c r="E1220" s="10"/>
      <c r="F1220" s="10"/>
      <c r="G1220" s="10"/>
      <c r="H1220" s="12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0"/>
      <c r="T1220" s="10"/>
      <c r="U1220" s="10"/>
      <c r="V1220" s="10"/>
      <c r="W1220" s="10"/>
      <c r="X1220" s="10"/>
      <c r="Y1220" s="10"/>
      <c r="Z1220" s="10"/>
      <c r="AA1220" s="10"/>
    </row>
    <row r="1221" spans="1:27" ht="12.5" x14ac:dyDescent="0.25">
      <c r="A1221" s="10"/>
      <c r="B1221" s="10"/>
      <c r="C1221" s="10"/>
      <c r="D1221" s="11"/>
      <c r="E1221" s="10"/>
      <c r="F1221" s="10"/>
      <c r="G1221" s="10"/>
      <c r="H1221" s="12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0"/>
      <c r="T1221" s="10"/>
      <c r="U1221" s="10"/>
      <c r="V1221" s="10"/>
      <c r="W1221" s="10"/>
      <c r="X1221" s="10"/>
      <c r="Y1221" s="10"/>
      <c r="Z1221" s="10"/>
      <c r="AA1221" s="10"/>
    </row>
    <row r="1222" spans="1:27" ht="12.5" x14ac:dyDescent="0.25">
      <c r="A1222" s="10"/>
      <c r="B1222" s="10"/>
      <c r="C1222" s="10"/>
      <c r="D1222" s="11"/>
      <c r="E1222" s="10"/>
      <c r="F1222" s="10"/>
      <c r="G1222" s="10"/>
      <c r="H1222" s="12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0"/>
      <c r="T1222" s="10"/>
      <c r="U1222" s="10"/>
      <c r="V1222" s="10"/>
      <c r="W1222" s="10"/>
      <c r="X1222" s="10"/>
      <c r="Y1222" s="10"/>
      <c r="Z1222" s="10"/>
      <c r="AA1222" s="10"/>
    </row>
    <row r="1223" spans="1:27" ht="12.5" x14ac:dyDescent="0.25">
      <c r="A1223" s="10"/>
      <c r="B1223" s="10"/>
      <c r="C1223" s="10"/>
      <c r="D1223" s="11"/>
      <c r="E1223" s="10"/>
      <c r="F1223" s="10"/>
      <c r="G1223" s="10"/>
      <c r="H1223" s="12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0"/>
      <c r="T1223" s="10"/>
      <c r="U1223" s="10"/>
      <c r="V1223" s="10"/>
      <c r="W1223" s="10"/>
      <c r="X1223" s="10"/>
      <c r="Y1223" s="10"/>
      <c r="Z1223" s="10"/>
      <c r="AA1223" s="10"/>
    </row>
    <row r="1224" spans="1:27" ht="12.5" x14ac:dyDescent="0.25">
      <c r="A1224" s="10"/>
      <c r="B1224" s="10"/>
      <c r="C1224" s="10"/>
      <c r="D1224" s="11"/>
      <c r="E1224" s="10"/>
      <c r="F1224" s="10"/>
      <c r="G1224" s="10"/>
      <c r="H1224" s="12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0"/>
      <c r="T1224" s="10"/>
      <c r="U1224" s="10"/>
      <c r="V1224" s="10"/>
      <c r="W1224" s="10"/>
      <c r="X1224" s="10"/>
      <c r="Y1224" s="10"/>
      <c r="Z1224" s="10"/>
      <c r="AA1224" s="10"/>
    </row>
    <row r="1225" spans="1:27" ht="12.5" x14ac:dyDescent="0.25">
      <c r="A1225" s="10"/>
      <c r="B1225" s="10"/>
      <c r="C1225" s="10"/>
      <c r="D1225" s="11"/>
      <c r="E1225" s="10"/>
      <c r="F1225" s="10"/>
      <c r="G1225" s="10"/>
      <c r="H1225" s="12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0"/>
      <c r="T1225" s="10"/>
      <c r="U1225" s="10"/>
      <c r="V1225" s="10"/>
      <c r="W1225" s="10"/>
      <c r="X1225" s="10"/>
      <c r="Y1225" s="10"/>
      <c r="Z1225" s="10"/>
      <c r="AA1225" s="10"/>
    </row>
    <row r="1226" spans="1:27" ht="12.5" x14ac:dyDescent="0.25">
      <c r="A1226" s="10"/>
      <c r="B1226" s="10"/>
      <c r="C1226" s="10"/>
      <c r="D1226" s="11"/>
      <c r="E1226" s="10"/>
      <c r="F1226" s="10"/>
      <c r="G1226" s="10"/>
      <c r="H1226" s="12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0"/>
      <c r="T1226" s="10"/>
      <c r="U1226" s="10"/>
      <c r="V1226" s="10"/>
      <c r="W1226" s="10"/>
      <c r="X1226" s="10"/>
      <c r="Y1226" s="10"/>
      <c r="Z1226" s="10"/>
      <c r="AA1226" s="10"/>
    </row>
    <row r="1227" spans="1:27" ht="12.5" x14ac:dyDescent="0.25">
      <c r="A1227" s="10"/>
      <c r="B1227" s="10"/>
      <c r="C1227" s="10"/>
      <c r="D1227" s="11"/>
      <c r="E1227" s="10"/>
      <c r="F1227" s="10"/>
      <c r="G1227" s="10"/>
      <c r="H1227" s="12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0"/>
      <c r="T1227" s="10"/>
      <c r="U1227" s="10"/>
      <c r="V1227" s="10"/>
      <c r="W1227" s="10"/>
      <c r="X1227" s="10"/>
      <c r="Y1227" s="10"/>
      <c r="Z1227" s="10"/>
      <c r="AA1227" s="10"/>
    </row>
    <row r="1228" spans="1:27" ht="12.5" x14ac:dyDescent="0.25">
      <c r="A1228" s="10"/>
      <c r="B1228" s="10"/>
      <c r="C1228" s="10"/>
      <c r="D1228" s="11"/>
      <c r="E1228" s="10"/>
      <c r="F1228" s="10"/>
      <c r="G1228" s="10"/>
      <c r="H1228" s="12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0"/>
      <c r="T1228" s="10"/>
      <c r="U1228" s="10"/>
      <c r="V1228" s="10"/>
      <c r="W1228" s="10"/>
      <c r="X1228" s="10"/>
      <c r="Y1228" s="10"/>
      <c r="Z1228" s="10"/>
      <c r="AA1228" s="10"/>
    </row>
    <row r="1229" spans="1:27" ht="12.5" x14ac:dyDescent="0.25">
      <c r="A1229" s="10"/>
      <c r="B1229" s="10"/>
      <c r="C1229" s="10"/>
      <c r="D1229" s="11"/>
      <c r="E1229" s="10"/>
      <c r="F1229" s="10"/>
      <c r="G1229" s="10"/>
      <c r="H1229" s="12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0"/>
      <c r="T1229" s="10"/>
      <c r="U1229" s="10"/>
      <c r="V1229" s="10"/>
      <c r="W1229" s="10"/>
      <c r="X1229" s="10"/>
      <c r="Y1229" s="10"/>
      <c r="Z1229" s="10"/>
      <c r="AA1229" s="10"/>
    </row>
    <row r="1230" spans="1:27" ht="12.5" x14ac:dyDescent="0.25">
      <c r="A1230" s="10"/>
      <c r="B1230" s="10"/>
      <c r="C1230" s="10"/>
      <c r="D1230" s="11"/>
      <c r="E1230" s="10"/>
      <c r="F1230" s="10"/>
      <c r="G1230" s="10"/>
      <c r="H1230" s="12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0"/>
      <c r="T1230" s="10"/>
      <c r="U1230" s="10"/>
      <c r="V1230" s="10"/>
      <c r="W1230" s="10"/>
      <c r="X1230" s="10"/>
      <c r="Y1230" s="10"/>
      <c r="Z1230" s="10"/>
      <c r="AA1230" s="10"/>
    </row>
    <row r="1231" spans="1:27" ht="12.5" x14ac:dyDescent="0.25">
      <c r="A1231" s="10"/>
      <c r="B1231" s="10"/>
      <c r="C1231" s="10"/>
      <c r="D1231" s="11"/>
      <c r="E1231" s="10"/>
      <c r="F1231" s="10"/>
      <c r="G1231" s="10"/>
      <c r="H1231" s="12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0"/>
      <c r="T1231" s="10"/>
      <c r="U1231" s="10"/>
      <c r="V1231" s="10"/>
      <c r="W1231" s="10"/>
      <c r="X1231" s="10"/>
      <c r="Y1231" s="10"/>
      <c r="Z1231" s="10"/>
      <c r="AA1231" s="10"/>
    </row>
    <row r="1232" spans="1:27" ht="12.5" x14ac:dyDescent="0.25">
      <c r="A1232" s="10"/>
      <c r="B1232" s="10"/>
      <c r="C1232" s="10"/>
      <c r="D1232" s="11"/>
      <c r="E1232" s="10"/>
      <c r="F1232" s="10"/>
      <c r="G1232" s="10"/>
      <c r="H1232" s="12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0"/>
      <c r="T1232" s="10"/>
      <c r="U1232" s="10"/>
      <c r="V1232" s="10"/>
      <c r="W1232" s="10"/>
      <c r="X1232" s="10"/>
      <c r="Y1232" s="10"/>
      <c r="Z1232" s="10"/>
      <c r="AA1232" s="10"/>
    </row>
    <row r="1233" spans="1:27" ht="12.5" x14ac:dyDescent="0.25">
      <c r="A1233" s="10"/>
      <c r="B1233" s="10"/>
      <c r="C1233" s="10"/>
      <c r="D1233" s="11"/>
      <c r="E1233" s="10"/>
      <c r="F1233" s="10"/>
      <c r="G1233" s="10"/>
      <c r="H1233" s="12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0"/>
      <c r="T1233" s="10"/>
      <c r="U1233" s="10"/>
      <c r="V1233" s="10"/>
      <c r="W1233" s="10"/>
      <c r="X1233" s="10"/>
      <c r="Y1233" s="10"/>
      <c r="Z1233" s="10"/>
      <c r="AA1233" s="10"/>
    </row>
    <row r="1234" spans="1:27" ht="12.5" x14ac:dyDescent="0.25">
      <c r="A1234" s="10"/>
      <c r="B1234" s="10"/>
      <c r="C1234" s="10"/>
      <c r="D1234" s="11"/>
      <c r="E1234" s="10"/>
      <c r="F1234" s="10"/>
      <c r="G1234" s="10"/>
      <c r="H1234" s="12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0"/>
      <c r="T1234" s="10"/>
      <c r="U1234" s="10"/>
      <c r="V1234" s="10"/>
      <c r="W1234" s="10"/>
      <c r="X1234" s="10"/>
      <c r="Y1234" s="10"/>
      <c r="Z1234" s="10"/>
      <c r="AA1234" s="10"/>
    </row>
    <row r="1235" spans="1:27" ht="12.5" x14ac:dyDescent="0.25">
      <c r="A1235" s="10"/>
      <c r="B1235" s="10"/>
      <c r="C1235" s="10"/>
      <c r="D1235" s="11"/>
      <c r="E1235" s="10"/>
      <c r="F1235" s="10"/>
      <c r="G1235" s="10"/>
      <c r="H1235" s="12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0"/>
      <c r="T1235" s="10"/>
      <c r="U1235" s="10"/>
      <c r="V1235" s="10"/>
      <c r="W1235" s="10"/>
      <c r="X1235" s="10"/>
      <c r="Y1235" s="10"/>
      <c r="Z1235" s="10"/>
      <c r="AA1235" s="10"/>
    </row>
    <row r="1236" spans="1:27" ht="12.5" x14ac:dyDescent="0.25">
      <c r="A1236" s="10"/>
      <c r="B1236" s="10"/>
      <c r="C1236" s="10"/>
      <c r="D1236" s="11"/>
      <c r="E1236" s="10"/>
      <c r="F1236" s="10"/>
      <c r="G1236" s="10"/>
      <c r="H1236" s="12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0"/>
      <c r="T1236" s="10"/>
      <c r="U1236" s="10"/>
      <c r="V1236" s="10"/>
      <c r="W1236" s="10"/>
      <c r="X1236" s="10"/>
      <c r="Y1236" s="10"/>
      <c r="Z1236" s="10"/>
      <c r="AA1236" s="10"/>
    </row>
    <row r="1237" spans="1:27" ht="12.5" x14ac:dyDescent="0.25">
      <c r="A1237" s="10"/>
      <c r="B1237" s="10"/>
      <c r="C1237" s="10"/>
      <c r="D1237" s="11"/>
      <c r="E1237" s="10"/>
      <c r="F1237" s="10"/>
      <c r="G1237" s="10"/>
      <c r="H1237" s="12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0"/>
      <c r="T1237" s="10"/>
      <c r="U1237" s="10"/>
      <c r="V1237" s="10"/>
      <c r="W1237" s="10"/>
      <c r="X1237" s="10"/>
      <c r="Y1237" s="10"/>
      <c r="Z1237" s="10"/>
      <c r="AA1237" s="10"/>
    </row>
    <row r="1238" spans="1:27" ht="12.5" x14ac:dyDescent="0.25">
      <c r="A1238" s="10"/>
      <c r="B1238" s="10"/>
      <c r="C1238" s="10"/>
      <c r="D1238" s="11"/>
      <c r="E1238" s="10"/>
      <c r="F1238" s="10"/>
      <c r="G1238" s="10"/>
      <c r="H1238" s="12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0"/>
      <c r="T1238" s="10"/>
      <c r="U1238" s="10"/>
      <c r="V1238" s="10"/>
      <c r="W1238" s="10"/>
      <c r="X1238" s="10"/>
      <c r="Y1238" s="10"/>
      <c r="Z1238" s="10"/>
      <c r="AA1238" s="10"/>
    </row>
    <row r="1239" spans="1:27" ht="12.5" x14ac:dyDescent="0.25">
      <c r="A1239" s="10"/>
      <c r="B1239" s="10"/>
      <c r="C1239" s="10"/>
      <c r="D1239" s="11"/>
      <c r="E1239" s="10"/>
      <c r="F1239" s="10"/>
      <c r="G1239" s="10"/>
      <c r="H1239" s="12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0"/>
      <c r="T1239" s="10"/>
      <c r="U1239" s="10"/>
      <c r="V1239" s="10"/>
      <c r="W1239" s="10"/>
      <c r="X1239" s="10"/>
      <c r="Y1239" s="10"/>
      <c r="Z1239" s="10"/>
      <c r="AA1239" s="10"/>
    </row>
    <row r="1240" spans="1:27" ht="12.5" x14ac:dyDescent="0.25">
      <c r="A1240" s="10"/>
      <c r="B1240" s="10"/>
      <c r="C1240" s="10"/>
      <c r="D1240" s="11"/>
      <c r="E1240" s="10"/>
      <c r="F1240" s="10"/>
      <c r="G1240" s="10"/>
      <c r="H1240" s="12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0"/>
      <c r="T1240" s="10"/>
      <c r="U1240" s="10"/>
      <c r="V1240" s="10"/>
      <c r="W1240" s="10"/>
      <c r="X1240" s="10"/>
      <c r="Y1240" s="10"/>
      <c r="Z1240" s="10"/>
      <c r="AA1240" s="10"/>
    </row>
    <row r="1241" spans="1:27" ht="12.5" x14ac:dyDescent="0.25">
      <c r="A1241" s="10"/>
      <c r="B1241" s="10"/>
      <c r="C1241" s="10"/>
      <c r="D1241" s="11"/>
      <c r="E1241" s="10"/>
      <c r="F1241" s="10"/>
      <c r="G1241" s="10"/>
      <c r="H1241" s="12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0"/>
      <c r="T1241" s="10"/>
      <c r="U1241" s="10"/>
      <c r="V1241" s="10"/>
      <c r="W1241" s="10"/>
      <c r="X1241" s="10"/>
      <c r="Y1241" s="10"/>
      <c r="Z1241" s="10"/>
      <c r="AA1241" s="10"/>
    </row>
    <row r="1242" spans="1:27" ht="12.5" x14ac:dyDescent="0.25">
      <c r="A1242" s="10"/>
      <c r="B1242" s="10"/>
      <c r="C1242" s="10"/>
      <c r="D1242" s="11"/>
      <c r="E1242" s="10"/>
      <c r="F1242" s="10"/>
      <c r="G1242" s="10"/>
      <c r="H1242" s="12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0"/>
      <c r="T1242" s="10"/>
      <c r="U1242" s="10"/>
      <c r="V1242" s="10"/>
      <c r="W1242" s="10"/>
      <c r="X1242" s="10"/>
      <c r="Y1242" s="10"/>
      <c r="Z1242" s="10"/>
      <c r="AA1242" s="10"/>
    </row>
    <row r="1243" spans="1:27" ht="12.5" x14ac:dyDescent="0.25">
      <c r="A1243" s="10"/>
      <c r="B1243" s="10"/>
      <c r="C1243" s="10"/>
      <c r="D1243" s="11"/>
      <c r="E1243" s="10"/>
      <c r="F1243" s="10"/>
      <c r="G1243" s="10"/>
      <c r="H1243" s="12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0"/>
      <c r="T1243" s="10"/>
      <c r="U1243" s="10"/>
      <c r="V1243" s="10"/>
      <c r="W1243" s="10"/>
      <c r="X1243" s="10"/>
      <c r="Y1243" s="10"/>
      <c r="Z1243" s="10"/>
      <c r="AA1243" s="10"/>
    </row>
    <row r="1244" spans="1:27" ht="12.5" x14ac:dyDescent="0.25">
      <c r="A1244" s="10"/>
      <c r="B1244" s="10"/>
      <c r="C1244" s="10"/>
      <c r="D1244" s="11"/>
      <c r="E1244" s="10"/>
      <c r="F1244" s="10"/>
      <c r="G1244" s="10"/>
      <c r="H1244" s="12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0"/>
      <c r="T1244" s="10"/>
      <c r="U1244" s="10"/>
      <c r="V1244" s="10"/>
      <c r="W1244" s="10"/>
      <c r="X1244" s="10"/>
      <c r="Y1244" s="10"/>
      <c r="Z1244" s="10"/>
      <c r="AA1244" s="10"/>
    </row>
    <row r="1245" spans="1:27" ht="12.5" x14ac:dyDescent="0.25">
      <c r="A1245" s="10"/>
      <c r="B1245" s="10"/>
      <c r="C1245" s="10"/>
      <c r="D1245" s="11"/>
      <c r="E1245" s="10"/>
      <c r="F1245" s="10"/>
      <c r="G1245" s="10"/>
      <c r="H1245" s="12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0"/>
      <c r="T1245" s="10"/>
      <c r="U1245" s="10"/>
      <c r="V1245" s="10"/>
      <c r="W1245" s="10"/>
      <c r="X1245" s="10"/>
      <c r="Y1245" s="10"/>
      <c r="Z1245" s="10"/>
      <c r="AA1245" s="10"/>
    </row>
    <row r="1246" spans="1:27" ht="12.5" x14ac:dyDescent="0.25">
      <c r="A1246" s="10"/>
      <c r="B1246" s="10"/>
      <c r="C1246" s="10"/>
      <c r="D1246" s="11"/>
      <c r="E1246" s="10"/>
      <c r="F1246" s="10"/>
      <c r="G1246" s="10"/>
      <c r="H1246" s="12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0"/>
      <c r="T1246" s="10"/>
      <c r="U1246" s="10"/>
      <c r="V1246" s="10"/>
      <c r="W1246" s="10"/>
      <c r="X1246" s="10"/>
      <c r="Y1246" s="10"/>
      <c r="Z1246" s="10"/>
      <c r="AA1246" s="10"/>
    </row>
    <row r="1247" spans="1:27" ht="12.5" x14ac:dyDescent="0.25">
      <c r="A1247" s="10"/>
      <c r="B1247" s="10"/>
      <c r="C1247" s="10"/>
      <c r="D1247" s="11"/>
      <c r="E1247" s="10"/>
      <c r="F1247" s="10"/>
      <c r="G1247" s="10"/>
      <c r="H1247" s="12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0"/>
      <c r="T1247" s="10"/>
      <c r="U1247" s="10"/>
      <c r="V1247" s="10"/>
      <c r="W1247" s="10"/>
      <c r="X1247" s="10"/>
      <c r="Y1247" s="10"/>
      <c r="Z1247" s="10"/>
      <c r="AA1247" s="10"/>
    </row>
    <row r="1248" spans="1:27" ht="12.5" x14ac:dyDescent="0.25">
      <c r="A1248" s="10"/>
      <c r="B1248" s="10"/>
      <c r="C1248" s="10"/>
      <c r="D1248" s="11"/>
      <c r="E1248" s="10"/>
      <c r="F1248" s="10"/>
      <c r="G1248" s="10"/>
      <c r="H1248" s="12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0"/>
      <c r="T1248" s="10"/>
      <c r="U1248" s="10"/>
      <c r="V1248" s="10"/>
      <c r="W1248" s="10"/>
      <c r="X1248" s="10"/>
      <c r="Y1248" s="10"/>
      <c r="Z1248" s="10"/>
      <c r="AA1248" s="10"/>
    </row>
    <row r="1249" spans="1:27" ht="12.5" x14ac:dyDescent="0.25">
      <c r="A1249" s="10"/>
      <c r="B1249" s="10"/>
      <c r="C1249" s="10"/>
      <c r="D1249" s="11"/>
      <c r="E1249" s="10"/>
      <c r="F1249" s="10"/>
      <c r="G1249" s="10"/>
      <c r="H1249" s="12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0"/>
      <c r="T1249" s="10"/>
      <c r="U1249" s="10"/>
      <c r="V1249" s="10"/>
      <c r="W1249" s="10"/>
      <c r="X1249" s="10"/>
      <c r="Y1249" s="10"/>
      <c r="Z1249" s="10"/>
      <c r="AA1249" s="10"/>
    </row>
    <row r="1250" spans="1:27" ht="12.5" x14ac:dyDescent="0.25">
      <c r="A1250" s="10"/>
      <c r="B1250" s="10"/>
      <c r="C1250" s="10"/>
      <c r="D1250" s="11"/>
      <c r="E1250" s="10"/>
      <c r="F1250" s="10"/>
      <c r="G1250" s="10"/>
      <c r="H1250" s="12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0"/>
      <c r="T1250" s="10"/>
      <c r="U1250" s="10"/>
      <c r="V1250" s="10"/>
      <c r="W1250" s="10"/>
      <c r="X1250" s="10"/>
      <c r="Y1250" s="10"/>
      <c r="Z1250" s="10"/>
      <c r="AA1250" s="10"/>
    </row>
    <row r="1251" spans="1:27" ht="12.5" x14ac:dyDescent="0.25">
      <c r="A1251" s="10"/>
      <c r="B1251" s="10"/>
      <c r="C1251" s="10"/>
      <c r="D1251" s="11"/>
      <c r="E1251" s="10"/>
      <c r="F1251" s="10"/>
      <c r="G1251" s="10"/>
      <c r="H1251" s="12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0"/>
      <c r="T1251" s="10"/>
      <c r="U1251" s="10"/>
      <c r="V1251" s="10"/>
      <c r="W1251" s="10"/>
      <c r="X1251" s="10"/>
      <c r="Y1251" s="10"/>
      <c r="Z1251" s="10"/>
      <c r="AA1251" s="10"/>
    </row>
    <row r="1252" spans="1:27" ht="12.5" x14ac:dyDescent="0.25">
      <c r="A1252" s="10"/>
      <c r="B1252" s="10"/>
      <c r="C1252" s="10"/>
      <c r="D1252" s="11"/>
      <c r="E1252" s="10"/>
      <c r="F1252" s="10"/>
      <c r="G1252" s="10"/>
      <c r="H1252" s="12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0"/>
      <c r="T1252" s="10"/>
      <c r="U1252" s="10"/>
      <c r="V1252" s="10"/>
      <c r="W1252" s="10"/>
      <c r="X1252" s="10"/>
      <c r="Y1252" s="10"/>
      <c r="Z1252" s="10"/>
      <c r="AA1252" s="10"/>
    </row>
    <row r="1253" spans="1:27" ht="12.5" x14ac:dyDescent="0.25">
      <c r="A1253" s="10"/>
      <c r="B1253" s="10"/>
      <c r="C1253" s="10"/>
      <c r="D1253" s="11"/>
      <c r="E1253" s="10"/>
      <c r="F1253" s="10"/>
      <c r="G1253" s="10"/>
      <c r="H1253" s="12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0"/>
      <c r="T1253" s="10"/>
      <c r="U1253" s="10"/>
      <c r="V1253" s="10"/>
      <c r="W1253" s="10"/>
      <c r="X1253" s="10"/>
      <c r="Y1253" s="10"/>
      <c r="Z1253" s="10"/>
      <c r="AA1253" s="10"/>
    </row>
    <row r="1254" spans="1:27" ht="12.5" x14ac:dyDescent="0.25">
      <c r="A1254" s="10"/>
      <c r="B1254" s="10"/>
      <c r="C1254" s="10"/>
      <c r="D1254" s="11"/>
      <c r="E1254" s="10"/>
      <c r="F1254" s="10"/>
      <c r="G1254" s="10"/>
      <c r="H1254" s="12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0"/>
      <c r="T1254" s="10"/>
      <c r="U1254" s="10"/>
      <c r="V1254" s="10"/>
      <c r="W1254" s="10"/>
      <c r="X1254" s="10"/>
      <c r="Y1254" s="10"/>
      <c r="Z1254" s="10"/>
      <c r="AA1254" s="10"/>
    </row>
    <row r="1255" spans="1:27" ht="12.5" x14ac:dyDescent="0.25">
      <c r="A1255" s="10"/>
      <c r="B1255" s="10"/>
      <c r="C1255" s="10"/>
      <c r="D1255" s="11"/>
      <c r="E1255" s="10"/>
      <c r="F1255" s="10"/>
      <c r="G1255" s="10"/>
      <c r="H1255" s="12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0"/>
      <c r="T1255" s="10"/>
      <c r="U1255" s="10"/>
      <c r="V1255" s="10"/>
      <c r="W1255" s="10"/>
      <c r="X1255" s="10"/>
      <c r="Y1255" s="10"/>
      <c r="Z1255" s="10"/>
      <c r="AA1255" s="10"/>
    </row>
    <row r="1256" spans="1:27" ht="12.5" x14ac:dyDescent="0.25">
      <c r="A1256" s="10"/>
      <c r="B1256" s="10"/>
      <c r="C1256" s="10"/>
      <c r="D1256" s="11"/>
      <c r="E1256" s="10"/>
      <c r="F1256" s="10"/>
      <c r="G1256" s="10"/>
      <c r="H1256" s="12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0"/>
      <c r="T1256" s="10"/>
      <c r="U1256" s="10"/>
      <c r="V1256" s="10"/>
      <c r="W1256" s="10"/>
      <c r="X1256" s="10"/>
      <c r="Y1256" s="10"/>
      <c r="Z1256" s="10"/>
      <c r="AA1256" s="10"/>
    </row>
    <row r="1257" spans="1:27" ht="12.5" x14ac:dyDescent="0.25">
      <c r="A1257" s="10"/>
      <c r="B1257" s="10"/>
      <c r="C1257" s="10"/>
      <c r="D1257" s="11"/>
      <c r="E1257" s="10"/>
      <c r="F1257" s="10"/>
      <c r="G1257" s="10"/>
      <c r="H1257" s="12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0"/>
      <c r="T1257" s="10"/>
      <c r="U1257" s="10"/>
      <c r="V1257" s="10"/>
      <c r="W1257" s="10"/>
      <c r="X1257" s="10"/>
      <c r="Y1257" s="10"/>
      <c r="Z1257" s="10"/>
      <c r="AA1257" s="10"/>
    </row>
    <row r="1258" spans="1:27" ht="12.5" x14ac:dyDescent="0.25">
      <c r="A1258" s="10"/>
      <c r="B1258" s="10"/>
      <c r="C1258" s="10"/>
      <c r="D1258" s="11"/>
      <c r="E1258" s="10"/>
      <c r="F1258" s="10"/>
      <c r="G1258" s="10"/>
      <c r="H1258" s="12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0"/>
      <c r="T1258" s="10"/>
      <c r="U1258" s="10"/>
      <c r="V1258" s="10"/>
      <c r="W1258" s="10"/>
      <c r="X1258" s="10"/>
      <c r="Y1258" s="10"/>
      <c r="Z1258" s="10"/>
      <c r="AA1258" s="10"/>
    </row>
    <row r="1259" spans="1:27" ht="12.5" x14ac:dyDescent="0.25">
      <c r="A1259" s="10"/>
      <c r="B1259" s="10"/>
      <c r="C1259" s="10"/>
      <c r="D1259" s="11"/>
      <c r="E1259" s="10"/>
      <c r="F1259" s="10"/>
      <c r="G1259" s="10"/>
      <c r="H1259" s="12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0"/>
      <c r="T1259" s="10"/>
      <c r="U1259" s="10"/>
      <c r="V1259" s="10"/>
      <c r="W1259" s="10"/>
      <c r="X1259" s="10"/>
      <c r="Y1259" s="10"/>
      <c r="Z1259" s="10"/>
      <c r="AA1259" s="10"/>
    </row>
    <row r="1260" spans="1:27" ht="12.5" x14ac:dyDescent="0.25">
      <c r="A1260" s="10"/>
      <c r="B1260" s="10"/>
      <c r="C1260" s="10"/>
      <c r="D1260" s="11"/>
      <c r="E1260" s="10"/>
      <c r="F1260" s="10"/>
      <c r="G1260" s="10"/>
      <c r="H1260" s="12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0"/>
      <c r="T1260" s="10"/>
      <c r="U1260" s="10"/>
      <c r="V1260" s="10"/>
      <c r="W1260" s="10"/>
      <c r="X1260" s="10"/>
      <c r="Y1260" s="10"/>
      <c r="Z1260" s="10"/>
      <c r="AA1260" s="10"/>
    </row>
    <row r="1261" spans="1:27" ht="12.5" x14ac:dyDescent="0.25">
      <c r="A1261" s="10"/>
      <c r="B1261" s="10"/>
      <c r="C1261" s="10"/>
      <c r="D1261" s="11"/>
      <c r="E1261" s="10"/>
      <c r="F1261" s="10"/>
      <c r="G1261" s="10"/>
      <c r="H1261" s="12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0"/>
      <c r="T1261" s="10"/>
      <c r="U1261" s="10"/>
      <c r="V1261" s="10"/>
      <c r="W1261" s="10"/>
      <c r="X1261" s="10"/>
      <c r="Y1261" s="10"/>
      <c r="Z1261" s="10"/>
      <c r="AA1261" s="10"/>
    </row>
    <row r="1262" spans="1:27" ht="12.5" x14ac:dyDescent="0.25">
      <c r="A1262" s="10"/>
      <c r="B1262" s="10"/>
      <c r="C1262" s="10"/>
      <c r="D1262" s="11"/>
      <c r="E1262" s="10"/>
      <c r="F1262" s="10"/>
      <c r="G1262" s="10"/>
      <c r="H1262" s="12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0"/>
      <c r="T1262" s="10"/>
      <c r="U1262" s="10"/>
      <c r="V1262" s="10"/>
      <c r="W1262" s="10"/>
      <c r="X1262" s="10"/>
      <c r="Y1262" s="10"/>
      <c r="Z1262" s="10"/>
      <c r="AA1262" s="10"/>
    </row>
    <row r="1263" spans="1:27" ht="12.5" x14ac:dyDescent="0.25">
      <c r="A1263" s="10"/>
      <c r="B1263" s="10"/>
      <c r="C1263" s="10"/>
      <c r="D1263" s="11"/>
      <c r="E1263" s="10"/>
      <c r="F1263" s="10"/>
      <c r="G1263" s="10"/>
      <c r="H1263" s="12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0"/>
      <c r="T1263" s="10"/>
      <c r="U1263" s="10"/>
      <c r="V1263" s="10"/>
      <c r="W1263" s="10"/>
      <c r="X1263" s="10"/>
      <c r="Y1263" s="10"/>
      <c r="Z1263" s="10"/>
      <c r="AA1263" s="10"/>
    </row>
    <row r="1264" spans="1:27" ht="12.5" x14ac:dyDescent="0.25">
      <c r="A1264" s="10"/>
      <c r="B1264" s="10"/>
      <c r="C1264" s="10"/>
      <c r="D1264" s="11"/>
      <c r="E1264" s="10"/>
      <c r="F1264" s="10"/>
      <c r="G1264" s="10"/>
      <c r="H1264" s="12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0"/>
      <c r="T1264" s="10"/>
      <c r="U1264" s="10"/>
      <c r="V1264" s="10"/>
      <c r="W1264" s="10"/>
      <c r="X1264" s="10"/>
      <c r="Y1264" s="10"/>
      <c r="Z1264" s="10"/>
      <c r="AA1264" s="10"/>
    </row>
    <row r="1265" spans="1:27" ht="12.5" x14ac:dyDescent="0.25">
      <c r="A1265" s="10"/>
      <c r="B1265" s="10"/>
      <c r="C1265" s="10"/>
      <c r="D1265" s="11"/>
      <c r="E1265" s="10"/>
      <c r="F1265" s="10"/>
      <c r="G1265" s="10"/>
      <c r="H1265" s="12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0"/>
      <c r="T1265" s="10"/>
      <c r="U1265" s="10"/>
      <c r="V1265" s="10"/>
      <c r="W1265" s="10"/>
      <c r="X1265" s="10"/>
      <c r="Y1265" s="10"/>
      <c r="Z1265" s="10"/>
      <c r="AA1265" s="10"/>
    </row>
    <row r="1266" spans="1:27" ht="12.5" x14ac:dyDescent="0.25">
      <c r="A1266" s="10"/>
      <c r="B1266" s="10"/>
      <c r="C1266" s="10"/>
      <c r="D1266" s="11"/>
      <c r="E1266" s="10"/>
      <c r="F1266" s="10"/>
      <c r="G1266" s="10"/>
      <c r="H1266" s="12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0"/>
      <c r="T1266" s="10"/>
      <c r="U1266" s="10"/>
      <c r="V1266" s="10"/>
      <c r="W1266" s="10"/>
      <c r="X1266" s="10"/>
      <c r="Y1266" s="10"/>
      <c r="Z1266" s="10"/>
      <c r="AA1266" s="10"/>
    </row>
    <row r="1267" spans="1:27" ht="12.5" x14ac:dyDescent="0.25">
      <c r="A1267" s="10"/>
      <c r="B1267" s="10"/>
      <c r="C1267" s="10"/>
      <c r="D1267" s="11"/>
      <c r="E1267" s="10"/>
      <c r="F1267" s="10"/>
      <c r="G1267" s="10"/>
      <c r="H1267" s="12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0"/>
      <c r="T1267" s="10"/>
      <c r="U1267" s="10"/>
      <c r="V1267" s="10"/>
      <c r="W1267" s="10"/>
      <c r="X1267" s="10"/>
      <c r="Y1267" s="10"/>
      <c r="Z1267" s="10"/>
      <c r="AA1267" s="10"/>
    </row>
    <row r="1268" spans="1:27" ht="12.5" x14ac:dyDescent="0.25">
      <c r="A1268" s="10"/>
      <c r="B1268" s="10"/>
      <c r="C1268" s="10"/>
      <c r="D1268" s="11"/>
      <c r="E1268" s="10"/>
      <c r="F1268" s="10"/>
      <c r="G1268" s="10"/>
      <c r="H1268" s="12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0"/>
      <c r="T1268" s="10"/>
      <c r="U1268" s="10"/>
      <c r="V1268" s="10"/>
      <c r="W1268" s="10"/>
      <c r="X1268" s="10"/>
      <c r="Y1268" s="10"/>
      <c r="Z1268" s="10"/>
      <c r="AA1268" s="10"/>
    </row>
    <row r="1269" spans="1:27" ht="12.5" x14ac:dyDescent="0.25">
      <c r="A1269" s="10"/>
      <c r="B1269" s="10"/>
      <c r="C1269" s="10"/>
      <c r="D1269" s="11"/>
      <c r="E1269" s="10"/>
      <c r="F1269" s="10"/>
      <c r="G1269" s="10"/>
      <c r="H1269" s="12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0"/>
      <c r="T1269" s="10"/>
      <c r="U1269" s="10"/>
      <c r="V1269" s="10"/>
      <c r="W1269" s="10"/>
      <c r="X1269" s="10"/>
      <c r="Y1269" s="10"/>
      <c r="Z1269" s="10"/>
      <c r="AA1269" s="10"/>
    </row>
    <row r="1270" spans="1:27" ht="12.5" x14ac:dyDescent="0.25">
      <c r="A1270" s="10"/>
      <c r="B1270" s="10"/>
      <c r="C1270" s="10"/>
      <c r="D1270" s="11"/>
      <c r="E1270" s="10"/>
      <c r="F1270" s="10"/>
      <c r="G1270" s="10"/>
      <c r="H1270" s="12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0"/>
      <c r="T1270" s="10"/>
      <c r="U1270" s="10"/>
      <c r="V1270" s="10"/>
      <c r="W1270" s="10"/>
      <c r="X1270" s="10"/>
      <c r="Y1270" s="10"/>
      <c r="Z1270" s="10"/>
      <c r="AA1270" s="10"/>
    </row>
    <row r="1271" spans="1:27" ht="12.5" x14ac:dyDescent="0.25">
      <c r="A1271" s="10"/>
      <c r="B1271" s="10"/>
      <c r="C1271" s="10"/>
      <c r="D1271" s="11"/>
      <c r="E1271" s="10"/>
      <c r="F1271" s="10"/>
      <c r="G1271" s="10"/>
      <c r="H1271" s="12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0"/>
      <c r="T1271" s="10"/>
      <c r="U1271" s="10"/>
      <c r="V1271" s="10"/>
      <c r="W1271" s="10"/>
      <c r="X1271" s="10"/>
      <c r="Y1271" s="10"/>
      <c r="Z1271" s="10"/>
      <c r="AA1271" s="10"/>
    </row>
    <row r="1272" spans="1:27" ht="12.5" x14ac:dyDescent="0.25">
      <c r="A1272" s="10"/>
      <c r="B1272" s="10"/>
      <c r="C1272" s="10"/>
      <c r="D1272" s="11"/>
      <c r="E1272" s="10"/>
      <c r="F1272" s="10"/>
      <c r="G1272" s="10"/>
      <c r="H1272" s="12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0"/>
      <c r="T1272" s="10"/>
      <c r="U1272" s="10"/>
      <c r="V1272" s="10"/>
      <c r="W1272" s="10"/>
      <c r="X1272" s="10"/>
      <c r="Y1272" s="10"/>
      <c r="Z1272" s="10"/>
      <c r="AA1272" s="10"/>
    </row>
    <row r="1273" spans="1:27" ht="12.5" x14ac:dyDescent="0.25">
      <c r="A1273" s="10"/>
      <c r="B1273" s="10"/>
      <c r="C1273" s="10"/>
      <c r="D1273" s="11"/>
      <c r="E1273" s="10"/>
      <c r="F1273" s="10"/>
      <c r="G1273" s="10"/>
      <c r="H1273" s="12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0"/>
      <c r="T1273" s="10"/>
      <c r="U1273" s="10"/>
      <c r="V1273" s="10"/>
      <c r="W1273" s="10"/>
      <c r="X1273" s="10"/>
      <c r="Y1273" s="10"/>
      <c r="Z1273" s="10"/>
      <c r="AA1273" s="10"/>
    </row>
    <row r="1274" spans="1:27" ht="12.5" x14ac:dyDescent="0.25">
      <c r="A1274" s="10"/>
      <c r="B1274" s="10"/>
      <c r="C1274" s="10"/>
      <c r="D1274" s="11"/>
      <c r="E1274" s="10"/>
      <c r="F1274" s="10"/>
      <c r="G1274" s="10"/>
      <c r="H1274" s="12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0"/>
      <c r="T1274" s="10"/>
      <c r="U1274" s="10"/>
      <c r="V1274" s="10"/>
      <c r="W1274" s="10"/>
      <c r="X1274" s="10"/>
      <c r="Y1274" s="10"/>
      <c r="Z1274" s="10"/>
      <c r="AA1274" s="10"/>
    </row>
    <row r="1275" spans="1:27" ht="12.5" x14ac:dyDescent="0.25">
      <c r="A1275" s="10"/>
      <c r="B1275" s="10"/>
      <c r="C1275" s="10"/>
      <c r="D1275" s="11"/>
      <c r="E1275" s="10"/>
      <c r="F1275" s="10"/>
      <c r="G1275" s="10"/>
      <c r="H1275" s="12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0"/>
      <c r="T1275" s="10"/>
      <c r="U1275" s="10"/>
      <c r="V1275" s="10"/>
      <c r="W1275" s="10"/>
      <c r="X1275" s="10"/>
      <c r="Y1275" s="10"/>
      <c r="Z1275" s="10"/>
      <c r="AA1275" s="10"/>
    </row>
    <row r="1276" spans="1:27" ht="12.5" x14ac:dyDescent="0.25">
      <c r="A1276" s="10"/>
      <c r="B1276" s="10"/>
      <c r="C1276" s="10"/>
      <c r="D1276" s="11"/>
      <c r="E1276" s="10"/>
      <c r="F1276" s="10"/>
      <c r="G1276" s="10"/>
      <c r="H1276" s="12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0"/>
      <c r="T1276" s="10"/>
      <c r="U1276" s="10"/>
      <c r="V1276" s="10"/>
      <c r="W1276" s="10"/>
      <c r="X1276" s="10"/>
      <c r="Y1276" s="10"/>
      <c r="Z1276" s="10"/>
      <c r="AA1276" s="10"/>
    </row>
    <row r="1277" spans="1:27" ht="12.5" x14ac:dyDescent="0.25">
      <c r="A1277" s="10"/>
      <c r="B1277" s="10"/>
      <c r="C1277" s="10"/>
      <c r="D1277" s="11"/>
      <c r="E1277" s="10"/>
      <c r="F1277" s="10"/>
      <c r="G1277" s="10"/>
      <c r="H1277" s="12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0"/>
      <c r="T1277" s="10"/>
      <c r="U1277" s="10"/>
      <c r="V1277" s="10"/>
      <c r="W1277" s="10"/>
      <c r="X1277" s="10"/>
      <c r="Y1277" s="10"/>
      <c r="Z1277" s="10"/>
      <c r="AA1277" s="10"/>
    </row>
    <row r="1278" spans="1:27" ht="12.5" x14ac:dyDescent="0.25">
      <c r="A1278" s="10"/>
      <c r="B1278" s="10"/>
      <c r="C1278" s="10"/>
      <c r="D1278" s="11"/>
      <c r="E1278" s="10"/>
      <c r="F1278" s="10"/>
      <c r="G1278" s="10"/>
      <c r="H1278" s="12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0"/>
      <c r="T1278" s="10"/>
      <c r="U1278" s="10"/>
      <c r="V1278" s="10"/>
      <c r="W1278" s="10"/>
      <c r="X1278" s="10"/>
      <c r="Y1278" s="10"/>
      <c r="Z1278" s="10"/>
      <c r="AA1278" s="10"/>
    </row>
    <row r="1279" spans="1:27" ht="12.5" x14ac:dyDescent="0.25">
      <c r="A1279" s="10"/>
      <c r="B1279" s="10"/>
      <c r="C1279" s="10"/>
      <c r="D1279" s="11"/>
      <c r="E1279" s="10"/>
      <c r="F1279" s="10"/>
      <c r="G1279" s="10"/>
      <c r="H1279" s="12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0"/>
      <c r="T1279" s="10"/>
      <c r="U1279" s="10"/>
      <c r="V1279" s="10"/>
      <c r="W1279" s="10"/>
      <c r="X1279" s="10"/>
      <c r="Y1279" s="10"/>
      <c r="Z1279" s="10"/>
      <c r="AA1279" s="10"/>
    </row>
    <row r="1280" spans="1:27" ht="12.5" x14ac:dyDescent="0.25">
      <c r="A1280" s="10"/>
      <c r="B1280" s="10"/>
      <c r="C1280" s="10"/>
      <c r="D1280" s="11"/>
      <c r="E1280" s="10"/>
      <c r="F1280" s="10"/>
      <c r="G1280" s="10"/>
      <c r="H1280" s="12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0"/>
      <c r="T1280" s="10"/>
      <c r="U1280" s="10"/>
      <c r="V1280" s="10"/>
      <c r="W1280" s="10"/>
      <c r="X1280" s="10"/>
      <c r="Y1280" s="10"/>
      <c r="Z1280" s="10"/>
      <c r="AA1280" s="10"/>
    </row>
    <row r="1281" spans="1:27" ht="12.5" x14ac:dyDescent="0.25">
      <c r="A1281" s="10"/>
      <c r="B1281" s="10"/>
      <c r="C1281" s="10"/>
      <c r="D1281" s="11"/>
      <c r="E1281" s="10"/>
      <c r="F1281" s="10"/>
      <c r="G1281" s="10"/>
      <c r="H1281" s="12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0"/>
      <c r="T1281" s="10"/>
      <c r="U1281" s="10"/>
      <c r="V1281" s="10"/>
      <c r="W1281" s="10"/>
      <c r="X1281" s="10"/>
      <c r="Y1281" s="10"/>
      <c r="Z1281" s="10"/>
      <c r="AA1281" s="10"/>
    </row>
    <row r="1282" spans="1:27" ht="12.5" x14ac:dyDescent="0.25">
      <c r="A1282" s="10"/>
      <c r="B1282" s="10"/>
      <c r="C1282" s="10"/>
      <c r="D1282" s="11"/>
      <c r="E1282" s="10"/>
      <c r="F1282" s="10"/>
      <c r="G1282" s="10"/>
      <c r="H1282" s="12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0"/>
      <c r="T1282" s="10"/>
      <c r="U1282" s="10"/>
      <c r="V1282" s="10"/>
      <c r="W1282" s="10"/>
      <c r="X1282" s="10"/>
      <c r="Y1282" s="10"/>
      <c r="Z1282" s="10"/>
      <c r="AA1282" s="10"/>
    </row>
    <row r="1283" spans="1:27" ht="12.5" x14ac:dyDescent="0.25">
      <c r="A1283" s="10"/>
      <c r="B1283" s="10"/>
      <c r="C1283" s="10"/>
      <c r="D1283" s="11"/>
      <c r="E1283" s="10"/>
      <c r="F1283" s="10"/>
      <c r="G1283" s="10"/>
      <c r="H1283" s="12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0"/>
      <c r="T1283" s="10"/>
      <c r="U1283" s="10"/>
      <c r="V1283" s="10"/>
      <c r="W1283" s="10"/>
      <c r="X1283" s="10"/>
      <c r="Y1283" s="10"/>
      <c r="Z1283" s="10"/>
      <c r="AA1283" s="10"/>
    </row>
    <row r="1284" spans="1:27" ht="12.5" x14ac:dyDescent="0.25">
      <c r="A1284" s="10"/>
      <c r="B1284" s="10"/>
      <c r="C1284" s="10"/>
      <c r="D1284" s="11"/>
      <c r="E1284" s="10"/>
      <c r="F1284" s="10"/>
      <c r="G1284" s="10"/>
      <c r="H1284" s="12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0"/>
      <c r="T1284" s="10"/>
      <c r="U1284" s="10"/>
      <c r="V1284" s="10"/>
      <c r="W1284" s="10"/>
      <c r="X1284" s="10"/>
      <c r="Y1284" s="10"/>
      <c r="Z1284" s="10"/>
      <c r="AA1284" s="10"/>
    </row>
    <row r="1285" spans="1:27" ht="12.5" x14ac:dyDescent="0.25">
      <c r="A1285" s="10"/>
      <c r="B1285" s="10"/>
      <c r="C1285" s="10"/>
      <c r="D1285" s="11"/>
      <c r="E1285" s="10"/>
      <c r="F1285" s="10"/>
      <c r="G1285" s="10"/>
      <c r="H1285" s="12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0"/>
      <c r="T1285" s="10"/>
      <c r="U1285" s="10"/>
      <c r="V1285" s="10"/>
      <c r="W1285" s="10"/>
      <c r="X1285" s="10"/>
      <c r="Y1285" s="10"/>
      <c r="Z1285" s="10"/>
      <c r="AA1285" s="10"/>
    </row>
    <row r="1286" spans="1:27" ht="12.5" x14ac:dyDescent="0.25">
      <c r="A1286" s="10"/>
      <c r="B1286" s="10"/>
      <c r="C1286" s="10"/>
      <c r="D1286" s="11"/>
      <c r="E1286" s="10"/>
      <c r="F1286" s="10"/>
      <c r="G1286" s="10"/>
      <c r="H1286" s="12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0"/>
      <c r="T1286" s="10"/>
      <c r="U1286" s="10"/>
      <c r="V1286" s="10"/>
      <c r="W1286" s="10"/>
      <c r="X1286" s="10"/>
      <c r="Y1286" s="10"/>
      <c r="Z1286" s="10"/>
      <c r="AA1286" s="10"/>
    </row>
    <row r="1287" spans="1:27" ht="12.5" x14ac:dyDescent="0.25">
      <c r="A1287" s="10"/>
      <c r="B1287" s="10"/>
      <c r="C1287" s="10"/>
      <c r="D1287" s="11"/>
      <c r="E1287" s="10"/>
      <c r="F1287" s="10"/>
      <c r="G1287" s="10"/>
      <c r="H1287" s="12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0"/>
      <c r="T1287" s="10"/>
      <c r="U1287" s="10"/>
      <c r="V1287" s="10"/>
      <c r="W1287" s="10"/>
      <c r="X1287" s="10"/>
      <c r="Y1287" s="10"/>
      <c r="Z1287" s="10"/>
      <c r="AA1287" s="10"/>
    </row>
    <row r="1288" spans="1:27" ht="12.5" x14ac:dyDescent="0.25">
      <c r="A1288" s="10"/>
      <c r="B1288" s="10"/>
      <c r="C1288" s="10"/>
      <c r="D1288" s="11"/>
      <c r="E1288" s="10"/>
      <c r="F1288" s="10"/>
      <c r="G1288" s="10"/>
      <c r="H1288" s="12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0"/>
      <c r="T1288" s="10"/>
      <c r="U1288" s="10"/>
      <c r="V1288" s="10"/>
      <c r="W1288" s="10"/>
      <c r="X1288" s="10"/>
      <c r="Y1288" s="10"/>
      <c r="Z1288" s="10"/>
      <c r="AA1288" s="10"/>
    </row>
    <row r="1289" spans="1:27" ht="12.5" x14ac:dyDescent="0.25">
      <c r="A1289" s="10"/>
      <c r="B1289" s="10"/>
      <c r="C1289" s="10"/>
      <c r="D1289" s="11"/>
      <c r="E1289" s="10"/>
      <c r="F1289" s="10"/>
      <c r="G1289" s="10"/>
      <c r="H1289" s="12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0"/>
      <c r="T1289" s="10"/>
      <c r="U1289" s="10"/>
      <c r="V1289" s="10"/>
      <c r="W1289" s="10"/>
      <c r="X1289" s="10"/>
      <c r="Y1289" s="10"/>
      <c r="Z1289" s="10"/>
      <c r="AA1289" s="10"/>
    </row>
    <row r="1290" spans="1:27" ht="12.5" x14ac:dyDescent="0.25">
      <c r="A1290" s="10"/>
      <c r="B1290" s="10"/>
      <c r="C1290" s="10"/>
      <c r="D1290" s="11"/>
      <c r="E1290" s="10"/>
      <c r="F1290" s="10"/>
      <c r="G1290" s="10"/>
      <c r="H1290" s="12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0"/>
      <c r="T1290" s="10"/>
      <c r="U1290" s="10"/>
      <c r="V1290" s="10"/>
      <c r="W1290" s="10"/>
      <c r="X1290" s="10"/>
      <c r="Y1290" s="10"/>
      <c r="Z1290" s="10"/>
      <c r="AA1290" s="10"/>
    </row>
    <row r="1291" spans="1:27" ht="12.5" x14ac:dyDescent="0.25">
      <c r="A1291" s="10"/>
      <c r="B1291" s="10"/>
      <c r="C1291" s="10"/>
      <c r="D1291" s="11"/>
      <c r="E1291" s="10"/>
      <c r="F1291" s="10"/>
      <c r="G1291" s="10"/>
      <c r="H1291" s="12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0"/>
      <c r="T1291" s="10"/>
      <c r="U1291" s="10"/>
      <c r="V1291" s="10"/>
      <c r="W1291" s="10"/>
      <c r="X1291" s="10"/>
      <c r="Y1291" s="10"/>
      <c r="Z1291" s="10"/>
      <c r="AA1291" s="10"/>
    </row>
    <row r="1292" spans="1:27" ht="12.5" x14ac:dyDescent="0.25">
      <c r="A1292" s="10"/>
      <c r="B1292" s="10"/>
      <c r="C1292" s="10"/>
      <c r="D1292" s="11"/>
      <c r="E1292" s="10"/>
      <c r="F1292" s="10"/>
      <c r="G1292" s="10"/>
      <c r="H1292" s="12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0"/>
      <c r="T1292" s="10"/>
      <c r="U1292" s="10"/>
      <c r="V1292" s="10"/>
      <c r="W1292" s="10"/>
      <c r="X1292" s="10"/>
      <c r="Y1292" s="10"/>
      <c r="Z1292" s="10"/>
      <c r="AA1292" s="10"/>
    </row>
    <row r="1293" spans="1:27" ht="12.5" x14ac:dyDescent="0.25">
      <c r="A1293" s="10"/>
      <c r="B1293" s="10"/>
      <c r="C1293" s="10"/>
      <c r="D1293" s="11"/>
      <c r="E1293" s="10"/>
      <c r="F1293" s="10"/>
      <c r="G1293" s="10"/>
      <c r="H1293" s="12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0"/>
      <c r="T1293" s="10"/>
      <c r="U1293" s="10"/>
      <c r="V1293" s="10"/>
      <c r="W1293" s="10"/>
      <c r="X1293" s="10"/>
      <c r="Y1293" s="10"/>
      <c r="Z1293" s="10"/>
      <c r="AA1293" s="10"/>
    </row>
    <row r="1294" spans="1:27" ht="12.5" x14ac:dyDescent="0.25">
      <c r="A1294" s="10"/>
      <c r="B1294" s="10"/>
      <c r="C1294" s="10"/>
      <c r="D1294" s="11"/>
      <c r="E1294" s="10"/>
      <c r="F1294" s="10"/>
      <c r="G1294" s="10"/>
      <c r="H1294" s="12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0"/>
      <c r="T1294" s="10"/>
      <c r="U1294" s="10"/>
      <c r="V1294" s="10"/>
      <c r="W1294" s="10"/>
      <c r="X1294" s="10"/>
      <c r="Y1294" s="10"/>
      <c r="Z1294" s="10"/>
      <c r="AA1294" s="10"/>
    </row>
    <row r="1295" spans="1:27" ht="12.5" x14ac:dyDescent="0.25">
      <c r="A1295" s="10"/>
      <c r="B1295" s="10"/>
      <c r="C1295" s="10"/>
      <c r="D1295" s="11"/>
      <c r="E1295" s="10"/>
      <c r="F1295" s="10"/>
      <c r="G1295" s="10"/>
      <c r="H1295" s="12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0"/>
      <c r="T1295" s="10"/>
      <c r="U1295" s="10"/>
      <c r="V1295" s="10"/>
      <c r="W1295" s="10"/>
      <c r="X1295" s="10"/>
      <c r="Y1295" s="10"/>
      <c r="Z1295" s="10"/>
      <c r="AA1295" s="10"/>
    </row>
    <row r="1296" spans="1:27" ht="12.5" x14ac:dyDescent="0.25">
      <c r="A1296" s="10"/>
      <c r="B1296" s="10"/>
      <c r="C1296" s="10"/>
      <c r="D1296" s="11"/>
      <c r="E1296" s="10"/>
      <c r="F1296" s="10"/>
      <c r="G1296" s="10"/>
      <c r="H1296" s="12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0"/>
      <c r="T1296" s="10"/>
      <c r="U1296" s="10"/>
      <c r="V1296" s="10"/>
      <c r="W1296" s="10"/>
      <c r="X1296" s="10"/>
      <c r="Y1296" s="10"/>
      <c r="Z1296" s="10"/>
      <c r="AA1296" s="10"/>
    </row>
    <row r="1297" spans="1:27" ht="12.5" x14ac:dyDescent="0.25">
      <c r="A1297" s="10"/>
      <c r="B1297" s="10"/>
      <c r="C1297" s="10"/>
      <c r="D1297" s="11"/>
      <c r="E1297" s="10"/>
      <c r="F1297" s="10"/>
      <c r="G1297" s="10"/>
      <c r="H1297" s="12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0"/>
      <c r="T1297" s="10"/>
      <c r="U1297" s="10"/>
      <c r="V1297" s="10"/>
      <c r="W1297" s="10"/>
      <c r="X1297" s="10"/>
      <c r="Y1297" s="10"/>
      <c r="Z1297" s="10"/>
      <c r="AA1297" s="10"/>
    </row>
    <row r="1298" spans="1:27" ht="12.5" x14ac:dyDescent="0.25">
      <c r="A1298" s="10"/>
      <c r="B1298" s="10"/>
      <c r="C1298" s="10"/>
      <c r="D1298" s="11"/>
      <c r="E1298" s="10"/>
      <c r="F1298" s="10"/>
      <c r="G1298" s="10"/>
      <c r="H1298" s="12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0"/>
      <c r="T1298" s="10"/>
      <c r="U1298" s="10"/>
      <c r="V1298" s="10"/>
      <c r="W1298" s="10"/>
      <c r="X1298" s="10"/>
      <c r="Y1298" s="10"/>
      <c r="Z1298" s="10"/>
      <c r="AA1298" s="10"/>
    </row>
    <row r="1299" spans="1:27" ht="12.5" x14ac:dyDescent="0.25">
      <c r="A1299" s="10"/>
      <c r="B1299" s="10"/>
      <c r="C1299" s="10"/>
      <c r="D1299" s="11"/>
      <c r="E1299" s="10"/>
      <c r="F1299" s="10"/>
      <c r="G1299" s="10"/>
      <c r="H1299" s="12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0"/>
      <c r="T1299" s="10"/>
      <c r="U1299" s="10"/>
      <c r="V1299" s="10"/>
      <c r="W1299" s="10"/>
      <c r="X1299" s="10"/>
      <c r="Y1299" s="10"/>
      <c r="Z1299" s="10"/>
      <c r="AA1299" s="10"/>
    </row>
    <row r="1300" spans="1:27" ht="12.5" x14ac:dyDescent="0.25">
      <c r="A1300" s="10"/>
      <c r="B1300" s="10"/>
      <c r="C1300" s="10"/>
      <c r="D1300" s="11"/>
      <c r="E1300" s="10"/>
      <c r="F1300" s="10"/>
      <c r="G1300" s="10"/>
      <c r="H1300" s="12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0"/>
      <c r="T1300" s="10"/>
      <c r="U1300" s="10"/>
      <c r="V1300" s="10"/>
      <c r="W1300" s="10"/>
      <c r="X1300" s="10"/>
      <c r="Y1300" s="10"/>
      <c r="Z1300" s="10"/>
      <c r="AA1300" s="10"/>
    </row>
    <row r="1301" spans="1:27" ht="12.5" x14ac:dyDescent="0.25">
      <c r="A1301" s="10"/>
      <c r="B1301" s="10"/>
      <c r="C1301" s="10"/>
      <c r="D1301" s="11"/>
      <c r="E1301" s="10"/>
      <c r="F1301" s="10"/>
      <c r="G1301" s="10"/>
      <c r="H1301" s="12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0"/>
      <c r="T1301" s="10"/>
      <c r="U1301" s="10"/>
      <c r="V1301" s="10"/>
      <c r="W1301" s="10"/>
      <c r="X1301" s="10"/>
      <c r="Y1301" s="10"/>
      <c r="Z1301" s="10"/>
      <c r="AA1301" s="10"/>
    </row>
    <row r="1302" spans="1:27" ht="12.5" x14ac:dyDescent="0.25">
      <c r="A1302" s="10"/>
      <c r="B1302" s="10"/>
      <c r="C1302" s="10"/>
      <c r="D1302" s="11"/>
      <c r="E1302" s="10"/>
      <c r="F1302" s="10"/>
      <c r="G1302" s="10"/>
      <c r="H1302" s="12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0"/>
      <c r="T1302" s="10"/>
      <c r="U1302" s="10"/>
      <c r="V1302" s="10"/>
      <c r="W1302" s="10"/>
      <c r="X1302" s="10"/>
      <c r="Y1302" s="10"/>
      <c r="Z1302" s="10"/>
      <c r="AA1302" s="10"/>
    </row>
    <row r="1303" spans="1:27" ht="12.5" x14ac:dyDescent="0.25">
      <c r="A1303" s="10"/>
      <c r="B1303" s="10"/>
      <c r="C1303" s="10"/>
      <c r="D1303" s="11"/>
      <c r="E1303" s="10"/>
      <c r="F1303" s="10"/>
      <c r="G1303" s="10"/>
      <c r="H1303" s="12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0"/>
      <c r="T1303" s="10"/>
      <c r="U1303" s="10"/>
      <c r="V1303" s="10"/>
      <c r="W1303" s="10"/>
      <c r="X1303" s="10"/>
      <c r="Y1303" s="10"/>
      <c r="Z1303" s="10"/>
      <c r="AA1303" s="10"/>
    </row>
    <row r="1304" spans="1:27" ht="12.5" x14ac:dyDescent="0.25">
      <c r="A1304" s="10"/>
      <c r="B1304" s="10"/>
      <c r="C1304" s="10"/>
      <c r="D1304" s="11"/>
      <c r="E1304" s="10"/>
      <c r="F1304" s="10"/>
      <c r="G1304" s="10"/>
      <c r="H1304" s="12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0"/>
      <c r="T1304" s="10"/>
      <c r="U1304" s="10"/>
      <c r="V1304" s="10"/>
      <c r="W1304" s="10"/>
      <c r="X1304" s="10"/>
      <c r="Y1304" s="10"/>
      <c r="Z1304" s="10"/>
      <c r="AA1304" s="10"/>
    </row>
    <row r="1305" spans="1:27" ht="12.5" x14ac:dyDescent="0.25">
      <c r="A1305" s="10"/>
      <c r="B1305" s="10"/>
      <c r="C1305" s="10"/>
      <c r="D1305" s="11"/>
      <c r="E1305" s="10"/>
      <c r="F1305" s="10"/>
      <c r="G1305" s="10"/>
      <c r="H1305" s="12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0"/>
      <c r="T1305" s="10"/>
      <c r="U1305" s="10"/>
      <c r="V1305" s="10"/>
      <c r="W1305" s="10"/>
      <c r="X1305" s="10"/>
      <c r="Y1305" s="10"/>
      <c r="Z1305" s="10"/>
      <c r="AA1305" s="10"/>
    </row>
    <row r="1306" spans="1:27" ht="12.5" x14ac:dyDescent="0.25">
      <c r="A1306" s="10"/>
      <c r="B1306" s="10"/>
      <c r="C1306" s="10"/>
      <c r="D1306" s="11"/>
      <c r="E1306" s="10"/>
      <c r="F1306" s="10"/>
      <c r="G1306" s="10"/>
      <c r="H1306" s="12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0"/>
      <c r="T1306" s="10"/>
      <c r="U1306" s="10"/>
      <c r="V1306" s="10"/>
      <c r="W1306" s="10"/>
      <c r="X1306" s="10"/>
      <c r="Y1306" s="10"/>
      <c r="Z1306" s="10"/>
      <c r="AA1306" s="10"/>
    </row>
    <row r="1307" spans="1:27" ht="12.5" x14ac:dyDescent="0.25">
      <c r="A1307" s="10"/>
      <c r="B1307" s="10"/>
      <c r="C1307" s="10"/>
      <c r="D1307" s="11"/>
      <c r="E1307" s="10"/>
      <c r="F1307" s="10"/>
      <c r="G1307" s="10"/>
      <c r="H1307" s="12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0"/>
      <c r="T1307" s="10"/>
      <c r="U1307" s="10"/>
      <c r="V1307" s="10"/>
      <c r="W1307" s="10"/>
      <c r="X1307" s="10"/>
      <c r="Y1307" s="10"/>
      <c r="Z1307" s="10"/>
      <c r="AA1307" s="10"/>
    </row>
    <row r="1308" spans="1:27" ht="12.5" x14ac:dyDescent="0.25">
      <c r="A1308" s="10"/>
      <c r="B1308" s="10"/>
      <c r="C1308" s="10"/>
      <c r="D1308" s="11"/>
      <c r="E1308" s="10"/>
      <c r="F1308" s="10"/>
      <c r="G1308" s="10"/>
      <c r="H1308" s="12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0"/>
      <c r="T1308" s="10"/>
      <c r="U1308" s="10"/>
      <c r="V1308" s="10"/>
      <c r="W1308" s="10"/>
      <c r="X1308" s="10"/>
      <c r="Y1308" s="10"/>
      <c r="Z1308" s="10"/>
      <c r="AA1308" s="10"/>
    </row>
    <row r="1309" spans="1:27" ht="12.5" x14ac:dyDescent="0.25">
      <c r="A1309" s="10"/>
      <c r="B1309" s="10"/>
      <c r="C1309" s="10"/>
      <c r="D1309" s="11"/>
      <c r="E1309" s="10"/>
      <c r="F1309" s="10"/>
      <c r="G1309" s="10"/>
      <c r="H1309" s="12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0"/>
      <c r="T1309" s="10"/>
      <c r="U1309" s="10"/>
      <c r="V1309" s="10"/>
      <c r="W1309" s="10"/>
      <c r="X1309" s="10"/>
      <c r="Y1309" s="10"/>
      <c r="Z1309" s="10"/>
      <c r="AA1309" s="10"/>
    </row>
    <row r="1310" spans="1:27" ht="12.5" x14ac:dyDescent="0.25">
      <c r="A1310" s="10"/>
      <c r="B1310" s="10"/>
      <c r="C1310" s="10"/>
      <c r="D1310" s="11"/>
      <c r="E1310" s="10"/>
      <c r="F1310" s="10"/>
      <c r="G1310" s="10"/>
      <c r="H1310" s="12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0"/>
      <c r="T1310" s="10"/>
      <c r="U1310" s="10"/>
      <c r="V1310" s="10"/>
      <c r="W1310" s="10"/>
      <c r="X1310" s="10"/>
      <c r="Y1310" s="10"/>
      <c r="Z1310" s="10"/>
      <c r="AA1310" s="10"/>
    </row>
    <row r="1311" spans="1:27" ht="12.5" x14ac:dyDescent="0.25">
      <c r="A1311" s="10"/>
      <c r="B1311" s="10"/>
      <c r="C1311" s="10"/>
      <c r="D1311" s="11"/>
      <c r="E1311" s="10"/>
      <c r="F1311" s="10"/>
      <c r="G1311" s="10"/>
      <c r="H1311" s="12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0"/>
      <c r="T1311" s="10"/>
      <c r="U1311" s="10"/>
      <c r="V1311" s="10"/>
      <c r="W1311" s="10"/>
      <c r="X1311" s="10"/>
      <c r="Y1311" s="10"/>
      <c r="Z1311" s="10"/>
      <c r="AA1311" s="10"/>
    </row>
    <row r="1312" spans="1:27" ht="12.5" x14ac:dyDescent="0.25">
      <c r="A1312" s="10"/>
      <c r="B1312" s="10"/>
      <c r="C1312" s="10"/>
      <c r="D1312" s="11"/>
      <c r="E1312" s="10"/>
      <c r="F1312" s="10"/>
      <c r="G1312" s="10"/>
      <c r="H1312" s="12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0"/>
      <c r="T1312" s="10"/>
      <c r="U1312" s="10"/>
      <c r="V1312" s="10"/>
      <c r="W1312" s="10"/>
      <c r="X1312" s="10"/>
      <c r="Y1312" s="10"/>
      <c r="Z1312" s="10"/>
      <c r="AA1312" s="10"/>
    </row>
    <row r="1313" spans="1:27" ht="12.5" x14ac:dyDescent="0.25">
      <c r="A1313" s="10"/>
      <c r="B1313" s="10"/>
      <c r="C1313" s="10"/>
      <c r="D1313" s="11"/>
      <c r="E1313" s="10"/>
      <c r="F1313" s="10"/>
      <c r="G1313" s="10"/>
      <c r="H1313" s="12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0"/>
      <c r="T1313" s="10"/>
      <c r="U1313" s="10"/>
      <c r="V1313" s="10"/>
      <c r="W1313" s="10"/>
      <c r="X1313" s="10"/>
      <c r="Y1313" s="10"/>
      <c r="Z1313" s="10"/>
      <c r="AA1313" s="10"/>
    </row>
    <row r="1314" spans="1:27" ht="12.5" x14ac:dyDescent="0.25">
      <c r="A1314" s="10"/>
      <c r="B1314" s="10"/>
      <c r="C1314" s="10"/>
      <c r="D1314" s="11"/>
      <c r="E1314" s="10"/>
      <c r="F1314" s="10"/>
      <c r="G1314" s="10"/>
      <c r="H1314" s="12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0"/>
      <c r="T1314" s="10"/>
      <c r="U1314" s="10"/>
      <c r="V1314" s="10"/>
      <c r="W1314" s="10"/>
      <c r="X1314" s="10"/>
      <c r="Y1314" s="10"/>
      <c r="Z1314" s="10"/>
      <c r="AA1314" s="10"/>
    </row>
    <row r="1315" spans="1:27" ht="12.5" x14ac:dyDescent="0.25">
      <c r="A1315" s="10"/>
      <c r="B1315" s="10"/>
      <c r="C1315" s="10"/>
      <c r="D1315" s="11"/>
      <c r="E1315" s="10"/>
      <c r="F1315" s="10"/>
      <c r="G1315" s="10"/>
      <c r="H1315" s="12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0"/>
      <c r="T1315" s="10"/>
      <c r="U1315" s="10"/>
      <c r="V1315" s="10"/>
      <c r="W1315" s="10"/>
      <c r="X1315" s="10"/>
      <c r="Y1315" s="10"/>
      <c r="Z1315" s="10"/>
      <c r="AA1315" s="10"/>
    </row>
    <row r="1316" spans="1:27" ht="12.5" x14ac:dyDescent="0.25">
      <c r="A1316" s="10"/>
      <c r="B1316" s="10"/>
      <c r="C1316" s="10"/>
      <c r="D1316" s="11"/>
      <c r="E1316" s="10"/>
      <c r="F1316" s="10"/>
      <c r="G1316" s="10"/>
      <c r="H1316" s="12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0"/>
      <c r="T1316" s="10"/>
      <c r="U1316" s="10"/>
      <c r="V1316" s="10"/>
      <c r="W1316" s="10"/>
      <c r="X1316" s="10"/>
      <c r="Y1316" s="10"/>
      <c r="Z1316" s="10"/>
      <c r="AA1316" s="10"/>
    </row>
    <row r="1317" spans="1:27" ht="12.5" x14ac:dyDescent="0.25">
      <c r="A1317" s="10"/>
      <c r="B1317" s="10"/>
      <c r="C1317" s="10"/>
      <c r="D1317" s="11"/>
      <c r="E1317" s="10"/>
      <c r="F1317" s="10"/>
      <c r="G1317" s="10"/>
      <c r="H1317" s="12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0"/>
      <c r="T1317" s="10"/>
      <c r="U1317" s="10"/>
      <c r="V1317" s="10"/>
      <c r="W1317" s="10"/>
      <c r="X1317" s="10"/>
      <c r="Y1317" s="10"/>
      <c r="Z1317" s="10"/>
      <c r="AA1317" s="10"/>
    </row>
    <row r="1318" spans="1:27" ht="12.5" x14ac:dyDescent="0.25">
      <c r="A1318" s="10"/>
      <c r="B1318" s="10"/>
      <c r="C1318" s="10"/>
      <c r="D1318" s="11"/>
      <c r="E1318" s="10"/>
      <c r="F1318" s="10"/>
      <c r="G1318" s="10"/>
      <c r="H1318" s="12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0"/>
      <c r="T1318" s="10"/>
      <c r="U1318" s="10"/>
      <c r="V1318" s="10"/>
      <c r="W1318" s="10"/>
      <c r="X1318" s="10"/>
      <c r="Y1318" s="10"/>
      <c r="Z1318" s="10"/>
      <c r="AA1318" s="10"/>
    </row>
    <row r="1319" spans="1:27" ht="12.5" x14ac:dyDescent="0.25">
      <c r="A1319" s="10"/>
      <c r="B1319" s="10"/>
      <c r="C1319" s="10"/>
      <c r="D1319" s="11"/>
      <c r="E1319" s="10"/>
      <c r="F1319" s="10"/>
      <c r="G1319" s="10"/>
      <c r="H1319" s="12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0"/>
      <c r="T1319" s="10"/>
      <c r="U1319" s="10"/>
      <c r="V1319" s="10"/>
      <c r="W1319" s="10"/>
      <c r="X1319" s="10"/>
      <c r="Y1319" s="10"/>
      <c r="Z1319" s="10"/>
      <c r="AA1319" s="10"/>
    </row>
    <row r="1320" spans="1:27" ht="12.5" x14ac:dyDescent="0.25">
      <c r="A1320" s="10"/>
      <c r="B1320" s="10"/>
      <c r="C1320" s="10"/>
      <c r="D1320" s="11"/>
      <c r="E1320" s="10"/>
      <c r="F1320" s="10"/>
      <c r="G1320" s="10"/>
      <c r="H1320" s="12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0"/>
      <c r="T1320" s="10"/>
      <c r="U1320" s="10"/>
      <c r="V1320" s="10"/>
      <c r="W1320" s="10"/>
      <c r="X1320" s="10"/>
      <c r="Y1320" s="10"/>
      <c r="Z1320" s="10"/>
      <c r="AA1320" s="10"/>
    </row>
    <row r="1321" spans="1:27" ht="12.5" x14ac:dyDescent="0.25">
      <c r="A1321" s="10"/>
      <c r="B1321" s="10"/>
      <c r="C1321" s="10"/>
      <c r="D1321" s="11"/>
      <c r="E1321" s="10"/>
      <c r="F1321" s="10"/>
      <c r="G1321" s="10"/>
      <c r="H1321" s="12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0"/>
      <c r="T1321" s="10"/>
      <c r="U1321" s="10"/>
      <c r="V1321" s="10"/>
      <c r="W1321" s="10"/>
      <c r="X1321" s="10"/>
      <c r="Y1321" s="10"/>
      <c r="Z1321" s="10"/>
      <c r="AA1321" s="10"/>
    </row>
    <row r="1322" spans="1:27" ht="12.5" x14ac:dyDescent="0.25">
      <c r="A1322" s="10"/>
      <c r="B1322" s="10"/>
      <c r="C1322" s="10"/>
      <c r="D1322" s="11"/>
      <c r="E1322" s="10"/>
      <c r="F1322" s="10"/>
      <c r="G1322" s="10"/>
      <c r="H1322" s="12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0"/>
      <c r="T1322" s="10"/>
      <c r="U1322" s="10"/>
      <c r="V1322" s="10"/>
      <c r="W1322" s="10"/>
      <c r="X1322" s="10"/>
      <c r="Y1322" s="10"/>
      <c r="Z1322" s="10"/>
      <c r="AA1322" s="10"/>
    </row>
    <row r="1323" spans="1:27" ht="12.5" x14ac:dyDescent="0.25">
      <c r="A1323" s="10"/>
      <c r="B1323" s="10"/>
      <c r="C1323" s="10"/>
      <c r="D1323" s="11"/>
      <c r="E1323" s="10"/>
      <c r="F1323" s="10"/>
      <c r="G1323" s="10"/>
      <c r="H1323" s="12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0"/>
      <c r="T1323" s="10"/>
      <c r="U1323" s="10"/>
      <c r="V1323" s="10"/>
      <c r="W1323" s="10"/>
      <c r="X1323" s="10"/>
      <c r="Y1323" s="10"/>
      <c r="Z1323" s="10"/>
      <c r="AA1323" s="10"/>
    </row>
    <row r="1324" spans="1:27" ht="12.5" x14ac:dyDescent="0.25">
      <c r="A1324" s="10"/>
      <c r="B1324" s="10"/>
      <c r="C1324" s="10"/>
      <c r="D1324" s="11"/>
      <c r="E1324" s="10"/>
      <c r="F1324" s="10"/>
      <c r="G1324" s="10"/>
      <c r="H1324" s="12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0"/>
      <c r="T1324" s="10"/>
      <c r="U1324" s="10"/>
      <c r="V1324" s="10"/>
      <c r="W1324" s="10"/>
      <c r="X1324" s="10"/>
      <c r="Y1324" s="10"/>
      <c r="Z1324" s="10"/>
      <c r="AA1324" s="10"/>
    </row>
    <row r="1325" spans="1:27" ht="12.5" x14ac:dyDescent="0.25">
      <c r="A1325" s="10"/>
      <c r="B1325" s="10"/>
      <c r="C1325" s="10"/>
      <c r="D1325" s="11"/>
      <c r="E1325" s="10"/>
      <c r="F1325" s="10"/>
      <c r="G1325" s="10"/>
      <c r="H1325" s="12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0"/>
      <c r="T1325" s="10"/>
      <c r="U1325" s="10"/>
      <c r="V1325" s="10"/>
      <c r="W1325" s="10"/>
      <c r="X1325" s="10"/>
      <c r="Y1325" s="10"/>
      <c r="Z1325" s="10"/>
      <c r="AA1325" s="10"/>
    </row>
    <row r="1326" spans="1:27" ht="12.5" x14ac:dyDescent="0.25">
      <c r="A1326" s="10"/>
      <c r="B1326" s="10"/>
      <c r="C1326" s="10"/>
      <c r="D1326" s="11"/>
      <c r="E1326" s="10"/>
      <c r="F1326" s="10"/>
      <c r="G1326" s="10"/>
      <c r="H1326" s="12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0"/>
      <c r="T1326" s="10"/>
      <c r="U1326" s="10"/>
      <c r="V1326" s="10"/>
      <c r="W1326" s="10"/>
      <c r="X1326" s="10"/>
      <c r="Y1326" s="10"/>
      <c r="Z1326" s="10"/>
      <c r="AA1326" s="10"/>
    </row>
    <row r="1327" spans="1:27" ht="12.5" x14ac:dyDescent="0.25">
      <c r="A1327" s="10"/>
      <c r="B1327" s="10"/>
      <c r="C1327" s="10"/>
      <c r="D1327" s="11"/>
      <c r="E1327" s="10"/>
      <c r="F1327" s="10"/>
      <c r="G1327" s="10"/>
      <c r="H1327" s="12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0"/>
      <c r="T1327" s="10"/>
      <c r="U1327" s="10"/>
      <c r="V1327" s="10"/>
      <c r="W1327" s="10"/>
      <c r="X1327" s="10"/>
      <c r="Y1327" s="10"/>
      <c r="Z1327" s="10"/>
      <c r="AA1327" s="10"/>
    </row>
    <row r="1328" spans="1:27" ht="12.5" x14ac:dyDescent="0.25">
      <c r="A1328" s="10"/>
      <c r="B1328" s="10"/>
      <c r="C1328" s="10"/>
      <c r="D1328" s="11"/>
      <c r="E1328" s="10"/>
      <c r="F1328" s="10"/>
      <c r="G1328" s="10"/>
      <c r="H1328" s="12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0"/>
      <c r="T1328" s="10"/>
      <c r="U1328" s="10"/>
      <c r="V1328" s="10"/>
      <c r="W1328" s="10"/>
      <c r="X1328" s="10"/>
      <c r="Y1328" s="10"/>
      <c r="Z1328" s="10"/>
      <c r="AA1328" s="10"/>
    </row>
    <row r="1329" spans="1:27" ht="12.5" x14ac:dyDescent="0.25">
      <c r="A1329" s="10"/>
      <c r="B1329" s="10"/>
      <c r="C1329" s="10"/>
      <c r="D1329" s="11"/>
      <c r="E1329" s="10"/>
      <c r="F1329" s="10"/>
      <c r="G1329" s="10"/>
      <c r="H1329" s="12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0"/>
      <c r="T1329" s="10"/>
      <c r="U1329" s="10"/>
      <c r="V1329" s="10"/>
      <c r="W1329" s="10"/>
      <c r="X1329" s="10"/>
      <c r="Y1329" s="10"/>
      <c r="Z1329" s="10"/>
      <c r="AA1329" s="10"/>
    </row>
    <row r="1330" spans="1:27" ht="12.5" x14ac:dyDescent="0.25">
      <c r="A1330" s="10"/>
      <c r="B1330" s="10"/>
      <c r="C1330" s="10"/>
      <c r="D1330" s="11"/>
      <c r="E1330" s="10"/>
      <c r="F1330" s="10"/>
      <c r="G1330" s="10"/>
      <c r="H1330" s="12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0"/>
      <c r="T1330" s="10"/>
      <c r="U1330" s="10"/>
      <c r="V1330" s="10"/>
      <c r="W1330" s="10"/>
      <c r="X1330" s="10"/>
      <c r="Y1330" s="10"/>
      <c r="Z1330" s="10"/>
      <c r="AA1330" s="10"/>
    </row>
    <row r="1331" spans="1:27" ht="12.5" x14ac:dyDescent="0.25">
      <c r="A1331" s="10"/>
      <c r="B1331" s="10"/>
      <c r="C1331" s="10"/>
      <c r="D1331" s="11"/>
      <c r="E1331" s="10"/>
      <c r="F1331" s="10"/>
      <c r="G1331" s="10"/>
      <c r="H1331" s="12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0"/>
      <c r="T1331" s="10"/>
      <c r="U1331" s="10"/>
      <c r="V1331" s="10"/>
      <c r="W1331" s="10"/>
      <c r="X1331" s="10"/>
      <c r="Y1331" s="10"/>
      <c r="Z1331" s="10"/>
      <c r="AA1331" s="10"/>
    </row>
    <row r="1332" spans="1:27" ht="12.5" x14ac:dyDescent="0.25">
      <c r="A1332" s="10"/>
      <c r="B1332" s="10"/>
      <c r="C1332" s="10"/>
      <c r="D1332" s="11"/>
      <c r="E1332" s="10"/>
      <c r="F1332" s="10"/>
      <c r="G1332" s="10"/>
      <c r="H1332" s="12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0"/>
      <c r="T1332" s="10"/>
      <c r="U1332" s="10"/>
      <c r="V1332" s="10"/>
      <c r="W1332" s="10"/>
      <c r="X1332" s="10"/>
      <c r="Y1332" s="10"/>
      <c r="Z1332" s="10"/>
      <c r="AA1332" s="10"/>
    </row>
    <row r="1333" spans="1:27" ht="12.5" x14ac:dyDescent="0.25">
      <c r="A1333" s="10"/>
      <c r="B1333" s="10"/>
      <c r="C1333" s="10"/>
      <c r="D1333" s="11"/>
      <c r="E1333" s="10"/>
      <c r="F1333" s="10"/>
      <c r="G1333" s="10"/>
      <c r="H1333" s="12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0"/>
      <c r="T1333" s="10"/>
      <c r="U1333" s="10"/>
      <c r="V1333" s="10"/>
      <c r="W1333" s="10"/>
      <c r="X1333" s="10"/>
      <c r="Y1333" s="10"/>
      <c r="Z1333" s="10"/>
      <c r="AA1333" s="10"/>
    </row>
    <row r="1334" spans="1:27" ht="12.5" x14ac:dyDescent="0.25">
      <c r="A1334" s="10"/>
      <c r="B1334" s="10"/>
      <c r="C1334" s="10"/>
      <c r="D1334" s="11"/>
      <c r="E1334" s="10"/>
      <c r="F1334" s="10"/>
      <c r="G1334" s="10"/>
      <c r="H1334" s="12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0"/>
      <c r="T1334" s="10"/>
      <c r="U1334" s="10"/>
      <c r="V1334" s="10"/>
      <c r="W1334" s="10"/>
      <c r="X1334" s="10"/>
      <c r="Y1334" s="10"/>
      <c r="Z1334" s="10"/>
      <c r="AA1334" s="10"/>
    </row>
    <row r="1335" spans="1:27" ht="12.5" x14ac:dyDescent="0.25">
      <c r="A1335" s="10"/>
      <c r="B1335" s="10"/>
      <c r="C1335" s="10"/>
      <c r="D1335" s="11"/>
      <c r="E1335" s="10"/>
      <c r="F1335" s="10"/>
      <c r="G1335" s="10"/>
      <c r="H1335" s="12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0"/>
      <c r="T1335" s="10"/>
      <c r="U1335" s="10"/>
      <c r="V1335" s="10"/>
      <c r="W1335" s="10"/>
      <c r="X1335" s="10"/>
      <c r="Y1335" s="10"/>
      <c r="Z1335" s="10"/>
      <c r="AA1335" s="10"/>
    </row>
    <row r="1336" spans="1:27" ht="12.5" x14ac:dyDescent="0.25">
      <c r="A1336" s="10"/>
      <c r="B1336" s="10"/>
      <c r="C1336" s="10"/>
      <c r="D1336" s="11"/>
      <c r="E1336" s="10"/>
      <c r="F1336" s="10"/>
      <c r="G1336" s="10"/>
      <c r="H1336" s="12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0"/>
      <c r="T1336" s="10"/>
      <c r="U1336" s="10"/>
      <c r="V1336" s="10"/>
      <c r="W1336" s="10"/>
      <c r="X1336" s="10"/>
      <c r="Y1336" s="10"/>
      <c r="Z1336" s="10"/>
      <c r="AA1336" s="10"/>
    </row>
    <row r="1337" spans="1:27" ht="12.5" x14ac:dyDescent="0.25">
      <c r="A1337" s="10"/>
      <c r="B1337" s="10"/>
      <c r="C1337" s="10"/>
      <c r="D1337" s="11"/>
      <c r="E1337" s="10"/>
      <c r="F1337" s="10"/>
      <c r="G1337" s="10"/>
      <c r="H1337" s="12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0"/>
      <c r="T1337" s="10"/>
      <c r="U1337" s="10"/>
      <c r="V1337" s="10"/>
      <c r="W1337" s="10"/>
      <c r="X1337" s="10"/>
      <c r="Y1337" s="10"/>
      <c r="Z1337" s="10"/>
      <c r="AA1337" s="10"/>
    </row>
    <row r="1338" spans="1:27" ht="12.5" x14ac:dyDescent="0.25">
      <c r="A1338" s="10"/>
      <c r="B1338" s="10"/>
      <c r="C1338" s="10"/>
      <c r="D1338" s="11"/>
      <c r="E1338" s="10"/>
      <c r="F1338" s="10"/>
      <c r="G1338" s="10"/>
      <c r="H1338" s="12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0"/>
      <c r="T1338" s="10"/>
      <c r="U1338" s="10"/>
      <c r="V1338" s="10"/>
      <c r="W1338" s="10"/>
      <c r="X1338" s="10"/>
      <c r="Y1338" s="10"/>
      <c r="Z1338" s="10"/>
      <c r="AA1338" s="10"/>
    </row>
    <row r="1339" spans="1:27" ht="12.5" x14ac:dyDescent="0.25">
      <c r="A1339" s="10"/>
      <c r="B1339" s="10"/>
      <c r="C1339" s="10"/>
      <c r="D1339" s="11"/>
      <c r="E1339" s="10"/>
      <c r="F1339" s="10"/>
      <c r="G1339" s="10"/>
      <c r="H1339" s="12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0"/>
      <c r="T1339" s="10"/>
      <c r="U1339" s="10"/>
      <c r="V1339" s="10"/>
      <c r="W1339" s="10"/>
      <c r="X1339" s="10"/>
      <c r="Y1339" s="10"/>
      <c r="Z1339" s="10"/>
      <c r="AA1339" s="10"/>
    </row>
    <row r="1340" spans="1:27" ht="12.5" x14ac:dyDescent="0.25">
      <c r="A1340" s="10"/>
      <c r="B1340" s="10"/>
      <c r="C1340" s="10"/>
      <c r="D1340" s="11"/>
      <c r="E1340" s="10"/>
      <c r="F1340" s="10"/>
      <c r="G1340" s="10"/>
      <c r="H1340" s="12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0"/>
      <c r="T1340" s="10"/>
      <c r="U1340" s="10"/>
      <c r="V1340" s="10"/>
      <c r="W1340" s="10"/>
      <c r="X1340" s="10"/>
      <c r="Y1340" s="10"/>
      <c r="Z1340" s="10"/>
      <c r="AA1340" s="10"/>
    </row>
    <row r="1341" spans="1:27" ht="12.5" x14ac:dyDescent="0.25">
      <c r="A1341" s="10"/>
      <c r="B1341" s="10"/>
      <c r="C1341" s="10"/>
      <c r="D1341" s="11"/>
      <c r="E1341" s="10"/>
      <c r="F1341" s="10"/>
      <c r="G1341" s="10"/>
      <c r="H1341" s="12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0"/>
      <c r="T1341" s="10"/>
      <c r="U1341" s="10"/>
      <c r="V1341" s="10"/>
      <c r="W1341" s="10"/>
      <c r="X1341" s="10"/>
      <c r="Y1341" s="10"/>
      <c r="Z1341" s="10"/>
      <c r="AA1341" s="10"/>
    </row>
    <row r="1342" spans="1:27" ht="12.5" x14ac:dyDescent="0.25">
      <c r="A1342" s="10"/>
      <c r="B1342" s="10"/>
      <c r="C1342" s="10"/>
      <c r="D1342" s="11"/>
      <c r="E1342" s="10"/>
      <c r="F1342" s="10"/>
      <c r="G1342" s="10"/>
      <c r="H1342" s="12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0"/>
      <c r="T1342" s="10"/>
      <c r="U1342" s="10"/>
      <c r="V1342" s="10"/>
      <c r="W1342" s="10"/>
      <c r="X1342" s="10"/>
      <c r="Y1342" s="10"/>
      <c r="Z1342" s="10"/>
      <c r="AA1342" s="10"/>
    </row>
    <row r="1343" spans="1:27" ht="12.5" x14ac:dyDescent="0.25">
      <c r="A1343" s="10"/>
      <c r="B1343" s="10"/>
      <c r="C1343" s="10"/>
      <c r="D1343" s="11"/>
      <c r="E1343" s="10"/>
      <c r="F1343" s="10"/>
      <c r="G1343" s="10"/>
      <c r="H1343" s="12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0"/>
      <c r="T1343" s="10"/>
      <c r="U1343" s="10"/>
      <c r="V1343" s="10"/>
      <c r="W1343" s="10"/>
      <c r="X1343" s="10"/>
      <c r="Y1343" s="10"/>
      <c r="Z1343" s="10"/>
      <c r="AA1343" s="10"/>
    </row>
    <row r="1344" spans="1:27" ht="12.5" x14ac:dyDescent="0.25">
      <c r="A1344" s="10"/>
      <c r="B1344" s="10"/>
      <c r="C1344" s="10"/>
      <c r="D1344" s="11"/>
      <c r="E1344" s="10"/>
      <c r="F1344" s="10"/>
      <c r="G1344" s="10"/>
      <c r="H1344" s="12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0"/>
      <c r="T1344" s="10"/>
      <c r="U1344" s="10"/>
      <c r="V1344" s="10"/>
      <c r="W1344" s="10"/>
      <c r="X1344" s="10"/>
      <c r="Y1344" s="10"/>
      <c r="Z1344" s="10"/>
      <c r="AA1344" s="10"/>
    </row>
    <row r="1345" spans="1:27" ht="12.5" x14ac:dyDescent="0.25">
      <c r="A1345" s="10"/>
      <c r="B1345" s="10"/>
      <c r="C1345" s="10"/>
      <c r="D1345" s="11"/>
      <c r="E1345" s="10"/>
      <c r="F1345" s="10"/>
      <c r="G1345" s="10"/>
      <c r="H1345" s="12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0"/>
      <c r="T1345" s="10"/>
      <c r="U1345" s="10"/>
      <c r="V1345" s="10"/>
      <c r="W1345" s="10"/>
      <c r="X1345" s="10"/>
      <c r="Y1345" s="10"/>
      <c r="Z1345" s="10"/>
      <c r="AA1345" s="10"/>
    </row>
    <row r="1346" spans="1:27" ht="12.5" x14ac:dyDescent="0.25">
      <c r="A1346" s="10"/>
      <c r="B1346" s="10"/>
      <c r="C1346" s="10"/>
      <c r="D1346" s="11"/>
      <c r="E1346" s="10"/>
      <c r="F1346" s="10"/>
      <c r="G1346" s="10"/>
      <c r="H1346" s="12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0"/>
      <c r="T1346" s="10"/>
      <c r="U1346" s="10"/>
      <c r="V1346" s="10"/>
      <c r="W1346" s="10"/>
      <c r="X1346" s="10"/>
      <c r="Y1346" s="10"/>
      <c r="Z1346" s="10"/>
      <c r="AA1346" s="10"/>
    </row>
    <row r="1347" spans="1:27" ht="12.5" x14ac:dyDescent="0.25">
      <c r="A1347" s="10"/>
      <c r="B1347" s="10"/>
      <c r="C1347" s="10"/>
      <c r="D1347" s="11"/>
      <c r="E1347" s="10"/>
      <c r="F1347" s="10"/>
      <c r="G1347" s="10"/>
      <c r="H1347" s="12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0"/>
      <c r="T1347" s="10"/>
      <c r="U1347" s="10"/>
      <c r="V1347" s="10"/>
      <c r="W1347" s="10"/>
      <c r="X1347" s="10"/>
      <c r="Y1347" s="10"/>
      <c r="Z1347" s="10"/>
      <c r="AA1347" s="10"/>
    </row>
    <row r="1348" spans="1:27" ht="12.5" x14ac:dyDescent="0.25">
      <c r="A1348" s="10"/>
      <c r="B1348" s="10"/>
      <c r="C1348" s="10"/>
      <c r="D1348" s="11"/>
      <c r="E1348" s="10"/>
      <c r="F1348" s="10"/>
      <c r="G1348" s="10"/>
      <c r="H1348" s="12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0"/>
      <c r="T1348" s="10"/>
      <c r="U1348" s="10"/>
      <c r="V1348" s="10"/>
      <c r="W1348" s="10"/>
      <c r="X1348" s="10"/>
      <c r="Y1348" s="10"/>
      <c r="Z1348" s="10"/>
      <c r="AA1348" s="10"/>
    </row>
    <row r="1349" spans="1:27" ht="12.5" x14ac:dyDescent="0.25">
      <c r="A1349" s="10"/>
      <c r="B1349" s="10"/>
      <c r="C1349" s="10"/>
      <c r="D1349" s="11"/>
      <c r="E1349" s="10"/>
      <c r="F1349" s="10"/>
      <c r="G1349" s="10"/>
      <c r="H1349" s="12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0"/>
      <c r="T1349" s="10"/>
      <c r="U1349" s="10"/>
      <c r="V1349" s="10"/>
      <c r="W1349" s="10"/>
      <c r="X1349" s="10"/>
      <c r="Y1349" s="10"/>
      <c r="Z1349" s="10"/>
      <c r="AA1349" s="10"/>
    </row>
    <row r="1350" spans="1:27" ht="12.5" x14ac:dyDescent="0.25">
      <c r="A1350" s="10"/>
      <c r="B1350" s="10"/>
      <c r="C1350" s="10"/>
      <c r="D1350" s="11"/>
      <c r="E1350" s="10"/>
      <c r="F1350" s="10"/>
      <c r="G1350" s="10"/>
      <c r="H1350" s="12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0"/>
      <c r="T1350" s="10"/>
      <c r="U1350" s="10"/>
      <c r="V1350" s="10"/>
      <c r="W1350" s="10"/>
      <c r="X1350" s="10"/>
      <c r="Y1350" s="10"/>
      <c r="Z1350" s="10"/>
      <c r="AA1350" s="10"/>
    </row>
    <row r="1351" spans="1:27" ht="12.5" x14ac:dyDescent="0.25">
      <c r="A1351" s="10"/>
      <c r="B1351" s="10"/>
      <c r="C1351" s="10"/>
      <c r="D1351" s="11"/>
      <c r="E1351" s="10"/>
      <c r="F1351" s="10"/>
      <c r="G1351" s="10"/>
      <c r="H1351" s="12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0"/>
      <c r="T1351" s="10"/>
      <c r="U1351" s="10"/>
      <c r="V1351" s="10"/>
      <c r="W1351" s="10"/>
      <c r="X1351" s="10"/>
      <c r="Y1351" s="10"/>
      <c r="Z1351" s="10"/>
      <c r="AA1351" s="10"/>
    </row>
    <row r="1352" spans="1:27" ht="12.5" x14ac:dyDescent="0.25">
      <c r="A1352" s="10"/>
      <c r="B1352" s="10"/>
      <c r="C1352" s="10"/>
      <c r="D1352" s="11"/>
      <c r="E1352" s="10"/>
      <c r="F1352" s="10"/>
      <c r="G1352" s="10"/>
      <c r="H1352" s="12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0"/>
      <c r="T1352" s="10"/>
      <c r="U1352" s="10"/>
      <c r="V1352" s="10"/>
      <c r="W1352" s="10"/>
      <c r="X1352" s="10"/>
      <c r="Y1352" s="10"/>
      <c r="Z1352" s="10"/>
      <c r="AA1352" s="10"/>
    </row>
    <row r="1353" spans="1:27" ht="12.5" x14ac:dyDescent="0.25">
      <c r="A1353" s="10"/>
      <c r="B1353" s="10"/>
      <c r="C1353" s="10"/>
      <c r="D1353" s="11"/>
      <c r="E1353" s="10"/>
      <c r="F1353" s="10"/>
      <c r="G1353" s="10"/>
      <c r="H1353" s="12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0"/>
      <c r="T1353" s="10"/>
      <c r="U1353" s="10"/>
      <c r="V1353" s="10"/>
      <c r="W1353" s="10"/>
      <c r="X1353" s="10"/>
      <c r="Y1353" s="10"/>
      <c r="Z1353" s="10"/>
      <c r="AA1353" s="10"/>
    </row>
    <row r="1354" spans="1:27" ht="12.5" x14ac:dyDescent="0.25">
      <c r="A1354" s="10"/>
      <c r="B1354" s="10"/>
      <c r="C1354" s="10"/>
      <c r="D1354" s="11"/>
      <c r="E1354" s="10"/>
      <c r="F1354" s="10"/>
      <c r="G1354" s="10"/>
      <c r="H1354" s="12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0"/>
      <c r="T1354" s="10"/>
      <c r="U1354" s="10"/>
      <c r="V1354" s="10"/>
      <c r="W1354" s="10"/>
      <c r="X1354" s="10"/>
      <c r="Y1354" s="10"/>
      <c r="Z1354" s="10"/>
      <c r="AA1354" s="10"/>
    </row>
    <row r="1355" spans="1:27" ht="12.5" x14ac:dyDescent="0.25">
      <c r="A1355" s="10"/>
      <c r="B1355" s="10"/>
      <c r="C1355" s="10"/>
      <c r="D1355" s="11"/>
      <c r="E1355" s="10"/>
      <c r="F1355" s="10"/>
      <c r="G1355" s="10"/>
      <c r="H1355" s="12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0"/>
      <c r="T1355" s="10"/>
      <c r="U1355" s="10"/>
      <c r="V1355" s="10"/>
      <c r="W1355" s="10"/>
      <c r="X1355" s="10"/>
      <c r="Y1355" s="10"/>
      <c r="Z1355" s="10"/>
      <c r="AA1355" s="10"/>
    </row>
    <row r="1356" spans="1:27" ht="12.5" x14ac:dyDescent="0.25">
      <c r="A1356" s="10"/>
      <c r="B1356" s="10"/>
      <c r="C1356" s="10"/>
      <c r="D1356" s="11"/>
      <c r="E1356" s="10"/>
      <c r="F1356" s="10"/>
      <c r="G1356" s="10"/>
      <c r="H1356" s="12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0"/>
      <c r="T1356" s="10"/>
      <c r="U1356" s="10"/>
      <c r="V1356" s="10"/>
      <c r="W1356" s="10"/>
      <c r="X1356" s="10"/>
      <c r="Y1356" s="10"/>
      <c r="Z1356" s="10"/>
      <c r="AA1356" s="10"/>
    </row>
    <row r="1357" spans="1:27" ht="12.5" x14ac:dyDescent="0.25">
      <c r="A1357" s="10"/>
      <c r="B1357" s="10"/>
      <c r="C1357" s="10"/>
      <c r="D1357" s="11"/>
      <c r="E1357" s="10"/>
      <c r="F1357" s="10"/>
      <c r="G1357" s="10"/>
      <c r="H1357" s="12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0"/>
      <c r="T1357" s="10"/>
      <c r="U1357" s="10"/>
      <c r="V1357" s="10"/>
      <c r="W1357" s="10"/>
      <c r="X1357" s="10"/>
      <c r="Y1357" s="10"/>
      <c r="Z1357" s="10"/>
      <c r="AA1357" s="10"/>
    </row>
    <row r="1358" spans="1:27" ht="12.5" x14ac:dyDescent="0.25">
      <c r="A1358" s="10"/>
      <c r="B1358" s="10"/>
      <c r="C1358" s="10"/>
      <c r="D1358" s="11"/>
      <c r="E1358" s="10"/>
      <c r="F1358" s="10"/>
      <c r="G1358" s="10"/>
      <c r="H1358" s="12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0"/>
      <c r="T1358" s="10"/>
      <c r="U1358" s="10"/>
      <c r="V1358" s="10"/>
      <c r="W1358" s="10"/>
      <c r="X1358" s="10"/>
      <c r="Y1358" s="10"/>
      <c r="Z1358" s="10"/>
      <c r="AA1358" s="10"/>
    </row>
    <row r="1359" spans="1:27" ht="12.5" x14ac:dyDescent="0.25">
      <c r="A1359" s="10"/>
      <c r="B1359" s="10"/>
      <c r="C1359" s="10"/>
      <c r="D1359" s="11"/>
      <c r="E1359" s="10"/>
      <c r="F1359" s="10"/>
      <c r="G1359" s="10"/>
      <c r="H1359" s="12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0"/>
      <c r="T1359" s="10"/>
      <c r="U1359" s="10"/>
      <c r="V1359" s="10"/>
      <c r="W1359" s="10"/>
      <c r="X1359" s="10"/>
      <c r="Y1359" s="10"/>
      <c r="Z1359" s="10"/>
      <c r="AA1359" s="10"/>
    </row>
    <row r="1360" spans="1:27" ht="12.5" x14ac:dyDescent="0.25">
      <c r="A1360" s="10"/>
      <c r="B1360" s="10"/>
      <c r="C1360" s="10"/>
      <c r="D1360" s="11"/>
      <c r="E1360" s="10"/>
      <c r="F1360" s="10"/>
      <c r="G1360" s="10"/>
      <c r="H1360" s="12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0"/>
      <c r="T1360" s="10"/>
      <c r="U1360" s="10"/>
      <c r="V1360" s="10"/>
      <c r="W1360" s="10"/>
      <c r="X1360" s="10"/>
      <c r="Y1360" s="10"/>
      <c r="Z1360" s="10"/>
      <c r="AA1360" s="10"/>
    </row>
    <row r="1361" spans="1:27" ht="12.5" x14ac:dyDescent="0.25">
      <c r="A1361" s="10"/>
      <c r="B1361" s="10"/>
      <c r="C1361" s="10"/>
      <c r="D1361" s="11"/>
      <c r="E1361" s="10"/>
      <c r="F1361" s="10"/>
      <c r="G1361" s="10"/>
      <c r="H1361" s="12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0"/>
      <c r="T1361" s="10"/>
      <c r="U1361" s="10"/>
      <c r="V1361" s="10"/>
      <c r="W1361" s="10"/>
      <c r="X1361" s="10"/>
      <c r="Y1361" s="10"/>
      <c r="Z1361" s="10"/>
      <c r="AA1361" s="10"/>
    </row>
    <row r="1362" spans="1:27" ht="12.5" x14ac:dyDescent="0.25">
      <c r="A1362" s="10"/>
      <c r="B1362" s="10"/>
      <c r="C1362" s="10"/>
      <c r="D1362" s="11"/>
      <c r="E1362" s="10"/>
      <c r="F1362" s="10"/>
      <c r="G1362" s="10"/>
      <c r="H1362" s="12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0"/>
      <c r="T1362" s="10"/>
      <c r="U1362" s="10"/>
      <c r="V1362" s="10"/>
      <c r="W1362" s="10"/>
      <c r="X1362" s="10"/>
      <c r="Y1362" s="10"/>
      <c r="Z1362" s="10"/>
      <c r="AA1362" s="10"/>
    </row>
    <row r="1363" spans="1:27" ht="12.5" x14ac:dyDescent="0.25">
      <c r="A1363" s="10"/>
      <c r="B1363" s="10"/>
      <c r="C1363" s="10"/>
      <c r="D1363" s="11"/>
      <c r="E1363" s="10"/>
      <c r="F1363" s="10"/>
      <c r="G1363" s="10"/>
      <c r="H1363" s="12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0"/>
      <c r="T1363" s="10"/>
      <c r="U1363" s="10"/>
      <c r="V1363" s="10"/>
      <c r="W1363" s="10"/>
      <c r="X1363" s="10"/>
      <c r="Y1363" s="10"/>
      <c r="Z1363" s="10"/>
      <c r="AA1363" s="10"/>
    </row>
    <row r="1364" spans="1:27" ht="12.5" x14ac:dyDescent="0.25">
      <c r="A1364" s="10"/>
      <c r="B1364" s="10"/>
      <c r="C1364" s="10"/>
      <c r="D1364" s="11"/>
      <c r="E1364" s="10"/>
      <c r="F1364" s="10"/>
      <c r="G1364" s="10"/>
      <c r="H1364" s="12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0"/>
      <c r="T1364" s="10"/>
      <c r="U1364" s="10"/>
      <c r="V1364" s="10"/>
      <c r="W1364" s="10"/>
      <c r="X1364" s="10"/>
      <c r="Y1364" s="10"/>
      <c r="Z1364" s="10"/>
      <c r="AA1364" s="10"/>
    </row>
    <row r="1365" spans="1:27" ht="12.5" x14ac:dyDescent="0.25">
      <c r="A1365" s="10"/>
      <c r="B1365" s="10"/>
      <c r="C1365" s="10"/>
      <c r="D1365" s="11"/>
      <c r="E1365" s="10"/>
      <c r="F1365" s="10"/>
      <c r="G1365" s="10"/>
      <c r="H1365" s="12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0"/>
      <c r="T1365" s="10"/>
      <c r="U1365" s="10"/>
      <c r="V1365" s="10"/>
      <c r="W1365" s="10"/>
      <c r="X1365" s="10"/>
      <c r="Y1365" s="10"/>
      <c r="Z1365" s="10"/>
      <c r="AA1365" s="10"/>
    </row>
    <row r="1366" spans="1:27" ht="12.5" x14ac:dyDescent="0.25">
      <c r="A1366" s="10"/>
      <c r="B1366" s="10"/>
      <c r="C1366" s="10"/>
      <c r="D1366" s="11"/>
      <c r="E1366" s="10"/>
      <c r="F1366" s="10"/>
      <c r="G1366" s="10"/>
      <c r="H1366" s="12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0"/>
      <c r="T1366" s="10"/>
      <c r="U1366" s="10"/>
      <c r="V1366" s="10"/>
      <c r="W1366" s="10"/>
      <c r="X1366" s="10"/>
      <c r="Y1366" s="10"/>
      <c r="Z1366" s="10"/>
      <c r="AA1366" s="10"/>
    </row>
    <row r="1367" spans="1:27" ht="12.5" x14ac:dyDescent="0.25">
      <c r="A1367" s="10"/>
      <c r="B1367" s="10"/>
      <c r="C1367" s="10"/>
      <c r="D1367" s="11"/>
      <c r="E1367" s="10"/>
      <c r="F1367" s="10"/>
      <c r="G1367" s="10"/>
      <c r="H1367" s="12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0"/>
      <c r="T1367" s="10"/>
      <c r="U1367" s="10"/>
      <c r="V1367" s="10"/>
      <c r="W1367" s="10"/>
      <c r="X1367" s="10"/>
      <c r="Y1367" s="10"/>
      <c r="Z1367" s="10"/>
      <c r="AA1367" s="10"/>
    </row>
    <row r="1368" spans="1:27" ht="12.5" x14ac:dyDescent="0.25">
      <c r="A1368" s="10"/>
      <c r="B1368" s="10"/>
      <c r="C1368" s="10"/>
      <c r="D1368" s="11"/>
      <c r="E1368" s="10"/>
      <c r="F1368" s="10"/>
      <c r="G1368" s="10"/>
      <c r="H1368" s="12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0"/>
      <c r="T1368" s="10"/>
      <c r="U1368" s="10"/>
      <c r="V1368" s="10"/>
      <c r="W1368" s="10"/>
      <c r="X1368" s="10"/>
      <c r="Y1368" s="10"/>
      <c r="Z1368" s="10"/>
      <c r="AA1368" s="10"/>
    </row>
    <row r="1369" spans="1:27" ht="12.5" x14ac:dyDescent="0.25">
      <c r="A1369" s="10"/>
      <c r="B1369" s="10"/>
      <c r="C1369" s="10"/>
      <c r="D1369" s="11"/>
      <c r="E1369" s="10"/>
      <c r="F1369" s="10"/>
      <c r="G1369" s="10"/>
      <c r="H1369" s="12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0"/>
      <c r="T1369" s="10"/>
      <c r="U1369" s="10"/>
      <c r="V1369" s="10"/>
      <c r="W1369" s="10"/>
      <c r="X1369" s="10"/>
      <c r="Y1369" s="10"/>
      <c r="Z1369" s="10"/>
      <c r="AA1369" s="10"/>
    </row>
    <row r="1370" spans="1:27" ht="12.5" x14ac:dyDescent="0.25">
      <c r="A1370" s="10"/>
      <c r="B1370" s="10"/>
      <c r="C1370" s="10"/>
      <c r="D1370" s="11"/>
      <c r="E1370" s="10"/>
      <c r="F1370" s="10"/>
      <c r="G1370" s="10"/>
      <c r="H1370" s="12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0"/>
      <c r="T1370" s="10"/>
      <c r="U1370" s="10"/>
      <c r="V1370" s="10"/>
      <c r="W1370" s="10"/>
      <c r="X1370" s="10"/>
      <c r="Y1370" s="10"/>
      <c r="Z1370" s="10"/>
      <c r="AA1370" s="10"/>
    </row>
    <row r="1371" spans="1:27" ht="12.5" x14ac:dyDescent="0.25">
      <c r="A1371" s="10"/>
      <c r="B1371" s="10"/>
      <c r="C1371" s="10"/>
      <c r="D1371" s="11"/>
      <c r="E1371" s="10"/>
      <c r="F1371" s="10"/>
      <c r="G1371" s="10"/>
      <c r="H1371" s="12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0"/>
      <c r="T1371" s="10"/>
      <c r="U1371" s="10"/>
      <c r="V1371" s="10"/>
      <c r="W1371" s="10"/>
      <c r="X1371" s="10"/>
      <c r="Y1371" s="10"/>
      <c r="Z1371" s="10"/>
      <c r="AA1371" s="10"/>
    </row>
    <row r="1372" spans="1:27" ht="12.5" x14ac:dyDescent="0.25">
      <c r="A1372" s="10"/>
      <c r="B1372" s="10"/>
      <c r="C1372" s="10"/>
      <c r="D1372" s="11"/>
      <c r="E1372" s="10"/>
      <c r="F1372" s="10"/>
      <c r="G1372" s="10"/>
      <c r="H1372" s="12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0"/>
      <c r="T1372" s="10"/>
      <c r="U1372" s="10"/>
      <c r="V1372" s="10"/>
      <c r="W1372" s="10"/>
      <c r="X1372" s="10"/>
      <c r="Y1372" s="10"/>
      <c r="Z1372" s="10"/>
      <c r="AA1372" s="10"/>
    </row>
    <row r="1373" spans="1:27" ht="12.5" x14ac:dyDescent="0.25">
      <c r="A1373" s="10"/>
      <c r="B1373" s="10"/>
      <c r="C1373" s="10"/>
      <c r="D1373" s="11"/>
      <c r="E1373" s="10"/>
      <c r="F1373" s="10"/>
      <c r="G1373" s="10"/>
      <c r="H1373" s="12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0"/>
      <c r="T1373" s="10"/>
      <c r="U1373" s="10"/>
      <c r="V1373" s="10"/>
      <c r="W1373" s="10"/>
      <c r="X1373" s="10"/>
      <c r="Y1373" s="10"/>
      <c r="Z1373" s="10"/>
      <c r="AA1373" s="10"/>
    </row>
    <row r="1374" spans="1:27" ht="12.5" x14ac:dyDescent="0.25">
      <c r="A1374" s="10"/>
      <c r="B1374" s="10"/>
      <c r="C1374" s="10"/>
      <c r="D1374" s="11"/>
      <c r="E1374" s="10"/>
      <c r="F1374" s="10"/>
      <c r="G1374" s="10"/>
      <c r="H1374" s="12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0"/>
      <c r="T1374" s="10"/>
      <c r="U1374" s="10"/>
      <c r="V1374" s="10"/>
      <c r="W1374" s="10"/>
      <c r="X1374" s="10"/>
      <c r="Y1374" s="10"/>
      <c r="Z1374" s="10"/>
      <c r="AA1374" s="10"/>
    </row>
    <row r="1375" spans="1:27" ht="12.5" x14ac:dyDescent="0.25">
      <c r="A1375" s="10"/>
      <c r="B1375" s="10"/>
      <c r="C1375" s="10"/>
      <c r="D1375" s="11"/>
      <c r="E1375" s="10"/>
      <c r="F1375" s="10"/>
      <c r="G1375" s="10"/>
      <c r="H1375" s="12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0"/>
      <c r="T1375" s="10"/>
      <c r="U1375" s="10"/>
      <c r="V1375" s="10"/>
      <c r="W1375" s="10"/>
      <c r="X1375" s="10"/>
      <c r="Y1375" s="10"/>
      <c r="Z1375" s="10"/>
      <c r="AA1375" s="10"/>
    </row>
    <row r="1376" spans="1:27" ht="12.5" x14ac:dyDescent="0.25">
      <c r="A1376" s="10"/>
      <c r="B1376" s="10"/>
      <c r="C1376" s="10"/>
      <c r="D1376" s="11"/>
      <c r="E1376" s="10"/>
      <c r="F1376" s="10"/>
      <c r="G1376" s="10"/>
      <c r="H1376" s="12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0"/>
      <c r="T1376" s="10"/>
      <c r="U1376" s="10"/>
      <c r="V1376" s="10"/>
      <c r="W1376" s="10"/>
      <c r="X1376" s="10"/>
      <c r="Y1376" s="10"/>
      <c r="Z1376" s="10"/>
      <c r="AA1376" s="10"/>
    </row>
    <row r="1377" spans="1:27" ht="12.5" x14ac:dyDescent="0.25">
      <c r="A1377" s="10"/>
      <c r="B1377" s="10"/>
      <c r="C1377" s="10"/>
      <c r="D1377" s="11"/>
      <c r="E1377" s="10"/>
      <c r="F1377" s="10"/>
      <c r="G1377" s="10"/>
      <c r="H1377" s="12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0"/>
      <c r="T1377" s="10"/>
      <c r="U1377" s="10"/>
      <c r="V1377" s="10"/>
      <c r="W1377" s="10"/>
      <c r="X1377" s="10"/>
      <c r="Y1377" s="10"/>
      <c r="Z1377" s="10"/>
      <c r="AA1377" s="10"/>
    </row>
    <row r="1378" spans="1:27" ht="12.5" x14ac:dyDescent="0.25">
      <c r="A1378" s="10"/>
      <c r="B1378" s="10"/>
      <c r="C1378" s="10"/>
      <c r="D1378" s="11"/>
      <c r="E1378" s="10"/>
      <c r="F1378" s="10"/>
      <c r="G1378" s="10"/>
      <c r="H1378" s="12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0"/>
      <c r="T1378" s="10"/>
      <c r="U1378" s="10"/>
      <c r="V1378" s="10"/>
      <c r="W1378" s="10"/>
      <c r="X1378" s="10"/>
      <c r="Y1378" s="10"/>
      <c r="Z1378" s="10"/>
      <c r="AA1378" s="10"/>
    </row>
    <row r="1379" spans="1:27" ht="12.5" x14ac:dyDescent="0.25">
      <c r="A1379" s="10"/>
      <c r="B1379" s="10"/>
      <c r="C1379" s="10"/>
      <c r="D1379" s="11"/>
      <c r="E1379" s="10"/>
      <c r="F1379" s="10"/>
      <c r="G1379" s="10"/>
      <c r="H1379" s="12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0"/>
      <c r="T1379" s="10"/>
      <c r="U1379" s="10"/>
      <c r="V1379" s="10"/>
      <c r="W1379" s="10"/>
      <c r="X1379" s="10"/>
      <c r="Y1379" s="10"/>
      <c r="Z1379" s="10"/>
      <c r="AA1379" s="10"/>
    </row>
    <row r="1380" spans="1:27" ht="12.5" x14ac:dyDescent="0.25">
      <c r="A1380" s="10"/>
      <c r="B1380" s="10"/>
      <c r="C1380" s="10"/>
      <c r="D1380" s="11"/>
      <c r="E1380" s="10"/>
      <c r="F1380" s="10"/>
      <c r="G1380" s="10"/>
      <c r="H1380" s="12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0"/>
      <c r="T1380" s="10"/>
      <c r="U1380" s="10"/>
      <c r="V1380" s="10"/>
      <c r="W1380" s="10"/>
      <c r="X1380" s="10"/>
      <c r="Y1380" s="10"/>
      <c r="Z1380" s="10"/>
      <c r="AA1380" s="10"/>
    </row>
    <row r="1381" spans="1:27" ht="12.5" x14ac:dyDescent="0.25">
      <c r="A1381" s="10"/>
      <c r="B1381" s="10"/>
      <c r="C1381" s="10"/>
      <c r="D1381" s="11"/>
      <c r="E1381" s="10"/>
      <c r="F1381" s="10"/>
      <c r="G1381" s="10"/>
      <c r="H1381" s="12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0"/>
      <c r="T1381" s="10"/>
      <c r="U1381" s="10"/>
      <c r="V1381" s="10"/>
      <c r="W1381" s="10"/>
      <c r="X1381" s="10"/>
      <c r="Y1381" s="10"/>
      <c r="Z1381" s="10"/>
      <c r="AA1381" s="10"/>
    </row>
    <row r="1382" spans="1:27" ht="12.5" x14ac:dyDescent="0.25">
      <c r="A1382" s="10"/>
      <c r="B1382" s="10"/>
      <c r="C1382" s="10"/>
      <c r="D1382" s="11"/>
      <c r="E1382" s="10"/>
      <c r="F1382" s="10"/>
      <c r="G1382" s="10"/>
      <c r="H1382" s="12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0"/>
      <c r="T1382" s="10"/>
      <c r="U1382" s="10"/>
      <c r="V1382" s="10"/>
      <c r="W1382" s="10"/>
      <c r="X1382" s="10"/>
      <c r="Y1382" s="10"/>
      <c r="Z1382" s="10"/>
      <c r="AA1382" s="10"/>
    </row>
    <row r="1383" spans="1:27" ht="12.5" x14ac:dyDescent="0.25">
      <c r="A1383" s="10"/>
      <c r="B1383" s="10"/>
      <c r="C1383" s="10"/>
      <c r="D1383" s="11"/>
      <c r="E1383" s="10"/>
      <c r="F1383" s="10"/>
      <c r="G1383" s="10"/>
      <c r="H1383" s="12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0"/>
      <c r="T1383" s="10"/>
      <c r="U1383" s="10"/>
      <c r="V1383" s="10"/>
      <c r="W1383" s="10"/>
      <c r="X1383" s="10"/>
      <c r="Y1383" s="10"/>
      <c r="Z1383" s="10"/>
      <c r="AA1383" s="10"/>
    </row>
    <row r="1384" spans="1:27" ht="12.5" x14ac:dyDescent="0.25">
      <c r="A1384" s="10"/>
      <c r="B1384" s="10"/>
      <c r="C1384" s="10"/>
      <c r="D1384" s="11"/>
      <c r="E1384" s="10"/>
      <c r="F1384" s="10"/>
      <c r="G1384" s="10"/>
      <c r="H1384" s="12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0"/>
      <c r="T1384" s="10"/>
      <c r="U1384" s="10"/>
      <c r="V1384" s="10"/>
      <c r="W1384" s="10"/>
      <c r="X1384" s="10"/>
      <c r="Y1384" s="10"/>
      <c r="Z1384" s="10"/>
      <c r="AA1384" s="10"/>
    </row>
    <row r="1385" spans="1:27" ht="12.5" x14ac:dyDescent="0.25">
      <c r="A1385" s="10"/>
      <c r="B1385" s="10"/>
      <c r="C1385" s="10"/>
      <c r="D1385" s="11"/>
      <c r="E1385" s="10"/>
      <c r="F1385" s="10"/>
      <c r="G1385" s="10"/>
      <c r="H1385" s="12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0"/>
      <c r="T1385" s="10"/>
      <c r="U1385" s="10"/>
      <c r="V1385" s="10"/>
      <c r="W1385" s="10"/>
      <c r="X1385" s="10"/>
      <c r="Y1385" s="10"/>
      <c r="Z1385" s="10"/>
      <c r="AA1385" s="10"/>
    </row>
    <row r="1386" spans="1:27" ht="12.5" x14ac:dyDescent="0.25">
      <c r="A1386" s="10"/>
      <c r="B1386" s="10"/>
      <c r="C1386" s="10"/>
      <c r="D1386" s="11"/>
      <c r="E1386" s="10"/>
      <c r="F1386" s="10"/>
      <c r="G1386" s="10"/>
      <c r="H1386" s="12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0"/>
      <c r="T1386" s="10"/>
      <c r="U1386" s="10"/>
      <c r="V1386" s="10"/>
      <c r="W1386" s="10"/>
      <c r="X1386" s="10"/>
      <c r="Y1386" s="10"/>
      <c r="Z1386" s="10"/>
      <c r="AA1386" s="10"/>
    </row>
    <row r="1387" spans="1:27" ht="12.5" x14ac:dyDescent="0.25">
      <c r="A1387" s="10"/>
      <c r="B1387" s="10"/>
      <c r="C1387" s="10"/>
      <c r="D1387" s="11"/>
      <c r="E1387" s="10"/>
      <c r="F1387" s="10"/>
      <c r="G1387" s="10"/>
      <c r="H1387" s="12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0"/>
      <c r="T1387" s="10"/>
      <c r="U1387" s="10"/>
      <c r="V1387" s="10"/>
      <c r="W1387" s="10"/>
      <c r="X1387" s="10"/>
      <c r="Y1387" s="10"/>
      <c r="Z1387" s="10"/>
      <c r="AA1387" s="10"/>
    </row>
    <row r="1388" spans="1:27" ht="12.5" x14ac:dyDescent="0.25">
      <c r="A1388" s="10"/>
      <c r="B1388" s="10"/>
      <c r="C1388" s="10"/>
      <c r="D1388" s="11"/>
      <c r="E1388" s="10"/>
      <c r="F1388" s="10"/>
      <c r="G1388" s="10"/>
      <c r="H1388" s="12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0"/>
      <c r="T1388" s="10"/>
      <c r="U1388" s="10"/>
      <c r="V1388" s="10"/>
      <c r="W1388" s="10"/>
      <c r="X1388" s="10"/>
      <c r="Y1388" s="10"/>
      <c r="Z1388" s="10"/>
      <c r="AA1388" s="10"/>
    </row>
    <row r="1389" spans="1:27" ht="12.5" x14ac:dyDescent="0.25">
      <c r="A1389" s="10"/>
      <c r="B1389" s="10"/>
      <c r="C1389" s="10"/>
      <c r="D1389" s="11"/>
      <c r="E1389" s="10"/>
      <c r="F1389" s="10"/>
      <c r="G1389" s="10"/>
      <c r="H1389" s="12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0"/>
      <c r="T1389" s="10"/>
      <c r="U1389" s="10"/>
      <c r="V1389" s="10"/>
      <c r="W1389" s="10"/>
      <c r="X1389" s="10"/>
      <c r="Y1389" s="10"/>
      <c r="Z1389" s="10"/>
      <c r="AA1389" s="10"/>
    </row>
    <row r="1390" spans="1:27" ht="12.5" x14ac:dyDescent="0.25">
      <c r="A1390" s="10"/>
      <c r="B1390" s="10"/>
      <c r="C1390" s="10"/>
      <c r="D1390" s="11"/>
      <c r="E1390" s="10"/>
      <c r="F1390" s="10"/>
      <c r="G1390" s="10"/>
      <c r="H1390" s="12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0"/>
      <c r="T1390" s="10"/>
      <c r="U1390" s="10"/>
      <c r="V1390" s="10"/>
      <c r="W1390" s="10"/>
      <c r="X1390" s="10"/>
      <c r="Y1390" s="10"/>
      <c r="Z1390" s="10"/>
      <c r="AA1390" s="10"/>
    </row>
    <row r="1391" spans="1:27" ht="12.5" x14ac:dyDescent="0.25">
      <c r="A1391" s="10"/>
      <c r="B1391" s="10"/>
      <c r="C1391" s="10"/>
      <c r="D1391" s="11"/>
      <c r="E1391" s="10"/>
      <c r="F1391" s="10"/>
      <c r="G1391" s="10"/>
      <c r="H1391" s="12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0"/>
      <c r="T1391" s="10"/>
      <c r="U1391" s="10"/>
      <c r="V1391" s="10"/>
      <c r="W1391" s="10"/>
      <c r="X1391" s="10"/>
      <c r="Y1391" s="10"/>
      <c r="Z1391" s="10"/>
      <c r="AA1391" s="10"/>
    </row>
    <row r="1392" spans="1:27" ht="12.5" x14ac:dyDescent="0.25">
      <c r="A1392" s="10"/>
      <c r="B1392" s="10"/>
      <c r="C1392" s="10"/>
      <c r="D1392" s="11"/>
      <c r="E1392" s="10"/>
      <c r="F1392" s="10"/>
      <c r="G1392" s="10"/>
      <c r="H1392" s="12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0"/>
      <c r="T1392" s="10"/>
      <c r="U1392" s="10"/>
      <c r="V1392" s="10"/>
      <c r="W1392" s="10"/>
      <c r="X1392" s="10"/>
      <c r="Y1392" s="10"/>
      <c r="Z1392" s="10"/>
      <c r="AA1392" s="10"/>
    </row>
    <row r="1393" spans="1:27" ht="12.5" x14ac:dyDescent="0.25">
      <c r="A1393" s="10"/>
      <c r="B1393" s="10"/>
      <c r="C1393" s="10"/>
      <c r="D1393" s="11"/>
      <c r="E1393" s="10"/>
      <c r="F1393" s="10"/>
      <c r="G1393" s="10"/>
      <c r="H1393" s="12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0"/>
      <c r="T1393" s="10"/>
      <c r="U1393" s="10"/>
      <c r="V1393" s="10"/>
      <c r="W1393" s="10"/>
      <c r="X1393" s="10"/>
      <c r="Y1393" s="10"/>
      <c r="Z1393" s="10"/>
      <c r="AA1393" s="10"/>
    </row>
    <row r="1394" spans="1:27" ht="12.5" x14ac:dyDescent="0.25">
      <c r="A1394" s="10"/>
      <c r="B1394" s="10"/>
      <c r="C1394" s="10"/>
      <c r="D1394" s="11"/>
      <c r="E1394" s="10"/>
      <c r="F1394" s="10"/>
      <c r="G1394" s="10"/>
      <c r="H1394" s="12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0"/>
      <c r="T1394" s="10"/>
      <c r="U1394" s="10"/>
      <c r="V1394" s="10"/>
      <c r="W1394" s="10"/>
      <c r="X1394" s="10"/>
      <c r="Y1394" s="10"/>
      <c r="Z1394" s="10"/>
      <c r="AA1394" s="10"/>
    </row>
    <row r="1395" spans="1:27" ht="12.5" x14ac:dyDescent="0.25">
      <c r="A1395" s="10"/>
      <c r="B1395" s="10"/>
      <c r="C1395" s="10"/>
      <c r="D1395" s="11"/>
      <c r="E1395" s="10"/>
      <c r="F1395" s="10"/>
      <c r="G1395" s="10"/>
      <c r="H1395" s="12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0"/>
      <c r="T1395" s="10"/>
      <c r="U1395" s="10"/>
      <c r="V1395" s="10"/>
      <c r="W1395" s="10"/>
      <c r="X1395" s="10"/>
      <c r="Y1395" s="10"/>
      <c r="Z1395" s="10"/>
      <c r="AA1395" s="10"/>
    </row>
    <row r="1396" spans="1:27" ht="12.5" x14ac:dyDescent="0.25">
      <c r="A1396" s="10"/>
      <c r="B1396" s="10"/>
      <c r="C1396" s="10"/>
      <c r="D1396" s="11"/>
      <c r="E1396" s="10"/>
      <c r="F1396" s="10"/>
      <c r="G1396" s="10"/>
      <c r="H1396" s="12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0"/>
      <c r="T1396" s="10"/>
      <c r="U1396" s="10"/>
      <c r="V1396" s="10"/>
      <c r="W1396" s="10"/>
      <c r="X1396" s="10"/>
      <c r="Y1396" s="10"/>
      <c r="Z1396" s="10"/>
      <c r="AA1396" s="10"/>
    </row>
    <row r="1397" spans="1:27" ht="12.5" x14ac:dyDescent="0.25">
      <c r="A1397" s="10"/>
      <c r="B1397" s="10"/>
      <c r="C1397" s="10"/>
      <c r="D1397" s="11"/>
      <c r="E1397" s="10"/>
      <c r="F1397" s="10"/>
      <c r="G1397" s="10"/>
      <c r="H1397" s="12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0"/>
      <c r="T1397" s="10"/>
      <c r="U1397" s="10"/>
      <c r="V1397" s="10"/>
      <c r="W1397" s="10"/>
      <c r="X1397" s="10"/>
      <c r="Y1397" s="10"/>
      <c r="Z1397" s="10"/>
      <c r="AA1397" s="10"/>
    </row>
    <row r="1398" spans="1:27" ht="12.5" x14ac:dyDescent="0.25">
      <c r="A1398" s="10"/>
      <c r="B1398" s="10"/>
      <c r="C1398" s="10"/>
      <c r="D1398" s="11"/>
      <c r="E1398" s="10"/>
      <c r="F1398" s="10"/>
      <c r="G1398" s="10"/>
      <c r="H1398" s="12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0"/>
      <c r="T1398" s="10"/>
      <c r="U1398" s="10"/>
      <c r="V1398" s="10"/>
      <c r="W1398" s="10"/>
      <c r="X1398" s="10"/>
      <c r="Y1398" s="10"/>
      <c r="Z1398" s="10"/>
      <c r="AA1398" s="10"/>
    </row>
    <row r="1399" spans="1:27" ht="12.5" x14ac:dyDescent="0.25">
      <c r="A1399" s="10"/>
      <c r="B1399" s="10"/>
      <c r="C1399" s="10"/>
      <c r="D1399" s="11"/>
      <c r="E1399" s="10"/>
      <c r="F1399" s="10"/>
      <c r="G1399" s="10"/>
      <c r="H1399" s="12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0"/>
      <c r="T1399" s="10"/>
      <c r="U1399" s="10"/>
      <c r="V1399" s="10"/>
      <c r="W1399" s="10"/>
      <c r="X1399" s="10"/>
      <c r="Y1399" s="10"/>
      <c r="Z1399" s="10"/>
      <c r="AA1399" s="10"/>
    </row>
    <row r="1400" spans="1:27" ht="12.5" x14ac:dyDescent="0.25">
      <c r="A1400" s="10"/>
      <c r="B1400" s="10"/>
      <c r="C1400" s="10"/>
      <c r="D1400" s="11"/>
      <c r="E1400" s="10"/>
      <c r="F1400" s="10"/>
      <c r="G1400" s="10"/>
      <c r="H1400" s="12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0"/>
      <c r="T1400" s="10"/>
      <c r="U1400" s="10"/>
      <c r="V1400" s="10"/>
      <c r="W1400" s="10"/>
      <c r="X1400" s="10"/>
      <c r="Y1400" s="10"/>
      <c r="Z1400" s="10"/>
      <c r="AA1400" s="10"/>
    </row>
    <row r="1401" spans="1:27" ht="12.5" x14ac:dyDescent="0.25">
      <c r="A1401" s="10"/>
      <c r="B1401" s="10"/>
      <c r="C1401" s="10"/>
      <c r="D1401" s="11"/>
      <c r="E1401" s="10"/>
      <c r="F1401" s="10"/>
      <c r="G1401" s="10"/>
      <c r="H1401" s="12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0"/>
      <c r="T1401" s="10"/>
      <c r="U1401" s="10"/>
      <c r="V1401" s="10"/>
      <c r="W1401" s="10"/>
      <c r="X1401" s="10"/>
      <c r="Y1401" s="10"/>
      <c r="Z1401" s="10"/>
      <c r="AA1401" s="10"/>
    </row>
    <row r="1402" spans="1:27" ht="12.5" x14ac:dyDescent="0.25">
      <c r="A1402" s="10"/>
      <c r="B1402" s="10"/>
      <c r="C1402" s="10"/>
      <c r="D1402" s="11"/>
      <c r="E1402" s="10"/>
      <c r="F1402" s="10"/>
      <c r="G1402" s="10"/>
      <c r="H1402" s="12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0"/>
      <c r="T1402" s="10"/>
      <c r="U1402" s="10"/>
      <c r="V1402" s="10"/>
      <c r="W1402" s="10"/>
      <c r="X1402" s="10"/>
      <c r="Y1402" s="10"/>
      <c r="Z1402" s="10"/>
      <c r="AA1402" s="10"/>
    </row>
    <row r="1403" spans="1:27" ht="12.5" x14ac:dyDescent="0.25">
      <c r="A1403" s="10"/>
      <c r="B1403" s="10"/>
      <c r="C1403" s="10"/>
      <c r="D1403" s="11"/>
      <c r="E1403" s="10"/>
      <c r="F1403" s="10"/>
      <c r="G1403" s="10"/>
      <c r="H1403" s="12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0"/>
      <c r="T1403" s="10"/>
      <c r="U1403" s="10"/>
      <c r="V1403" s="10"/>
      <c r="W1403" s="10"/>
      <c r="X1403" s="10"/>
      <c r="Y1403" s="10"/>
      <c r="Z1403" s="10"/>
      <c r="AA1403" s="10"/>
    </row>
    <row r="1404" spans="1:27" ht="12.5" x14ac:dyDescent="0.25">
      <c r="A1404" s="10"/>
      <c r="B1404" s="10"/>
      <c r="C1404" s="10"/>
      <c r="D1404" s="11"/>
      <c r="E1404" s="10"/>
      <c r="F1404" s="10"/>
      <c r="G1404" s="10"/>
      <c r="H1404" s="12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0"/>
      <c r="T1404" s="10"/>
      <c r="U1404" s="10"/>
      <c r="V1404" s="10"/>
      <c r="W1404" s="10"/>
      <c r="X1404" s="10"/>
      <c r="Y1404" s="10"/>
      <c r="Z1404" s="10"/>
      <c r="AA1404" s="10"/>
    </row>
    <row r="1405" spans="1:27" ht="12.5" x14ac:dyDescent="0.25">
      <c r="A1405" s="10"/>
      <c r="B1405" s="10"/>
      <c r="C1405" s="10"/>
      <c r="D1405" s="11"/>
      <c r="E1405" s="10"/>
      <c r="F1405" s="10"/>
      <c r="G1405" s="10"/>
      <c r="H1405" s="12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0"/>
      <c r="T1405" s="10"/>
      <c r="U1405" s="10"/>
      <c r="V1405" s="10"/>
      <c r="W1405" s="10"/>
      <c r="X1405" s="10"/>
      <c r="Y1405" s="10"/>
      <c r="Z1405" s="10"/>
      <c r="AA1405" s="10"/>
    </row>
    <row r="1406" spans="1:27" ht="12.5" x14ac:dyDescent="0.25">
      <c r="A1406" s="10"/>
      <c r="B1406" s="10"/>
      <c r="C1406" s="10"/>
      <c r="D1406" s="11"/>
      <c r="E1406" s="10"/>
      <c r="F1406" s="10"/>
      <c r="G1406" s="10"/>
      <c r="H1406" s="12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0"/>
      <c r="T1406" s="10"/>
      <c r="U1406" s="10"/>
      <c r="V1406" s="10"/>
      <c r="W1406" s="10"/>
      <c r="X1406" s="10"/>
      <c r="Y1406" s="10"/>
      <c r="Z1406" s="10"/>
      <c r="AA1406" s="10"/>
    </row>
    <row r="1407" spans="1:27" ht="12.5" x14ac:dyDescent="0.25">
      <c r="A1407" s="10"/>
      <c r="B1407" s="10"/>
      <c r="C1407" s="10"/>
      <c r="D1407" s="11"/>
      <c r="E1407" s="10"/>
      <c r="F1407" s="10"/>
      <c r="G1407" s="10"/>
      <c r="H1407" s="12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0"/>
      <c r="T1407" s="10"/>
      <c r="U1407" s="10"/>
      <c r="V1407" s="10"/>
      <c r="W1407" s="10"/>
      <c r="X1407" s="10"/>
      <c r="Y1407" s="10"/>
      <c r="Z1407" s="10"/>
      <c r="AA1407" s="10"/>
    </row>
    <row r="1408" spans="1:27" ht="12.5" x14ac:dyDescent="0.25">
      <c r="A1408" s="10"/>
      <c r="B1408" s="10"/>
      <c r="C1408" s="10"/>
      <c r="D1408" s="11"/>
      <c r="E1408" s="10"/>
      <c r="F1408" s="10"/>
      <c r="G1408" s="10"/>
      <c r="H1408" s="12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0"/>
      <c r="T1408" s="10"/>
      <c r="U1408" s="10"/>
      <c r="V1408" s="10"/>
      <c r="W1408" s="10"/>
      <c r="X1408" s="10"/>
      <c r="Y1408" s="10"/>
      <c r="Z1408" s="10"/>
      <c r="AA1408" s="10"/>
    </row>
    <row r="1409" spans="1:27" ht="12.5" x14ac:dyDescent="0.25">
      <c r="A1409" s="10"/>
      <c r="B1409" s="10"/>
      <c r="C1409" s="10"/>
      <c r="D1409" s="11"/>
      <c r="E1409" s="10"/>
      <c r="F1409" s="10"/>
      <c r="G1409" s="10"/>
      <c r="H1409" s="12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0"/>
      <c r="T1409" s="10"/>
      <c r="U1409" s="10"/>
      <c r="V1409" s="10"/>
      <c r="W1409" s="10"/>
      <c r="X1409" s="10"/>
      <c r="Y1409" s="10"/>
      <c r="Z1409" s="10"/>
      <c r="AA1409" s="10"/>
    </row>
    <row r="1410" spans="1:27" ht="12.5" x14ac:dyDescent="0.25">
      <c r="A1410" s="10"/>
      <c r="B1410" s="10"/>
      <c r="C1410" s="10"/>
      <c r="D1410" s="11"/>
      <c r="E1410" s="10"/>
      <c r="F1410" s="10"/>
      <c r="G1410" s="10"/>
      <c r="H1410" s="12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0"/>
      <c r="T1410" s="10"/>
      <c r="U1410" s="10"/>
      <c r="V1410" s="10"/>
      <c r="W1410" s="10"/>
      <c r="X1410" s="10"/>
      <c r="Y1410" s="10"/>
      <c r="Z1410" s="10"/>
      <c r="AA1410" s="10"/>
    </row>
    <row r="1411" spans="1:27" ht="12.5" x14ac:dyDescent="0.25">
      <c r="A1411" s="10"/>
      <c r="B1411" s="10"/>
      <c r="C1411" s="10"/>
      <c r="D1411" s="11"/>
      <c r="E1411" s="10"/>
      <c r="F1411" s="10"/>
      <c r="G1411" s="10"/>
      <c r="H1411" s="12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0"/>
      <c r="T1411" s="10"/>
      <c r="U1411" s="10"/>
      <c r="V1411" s="10"/>
      <c r="W1411" s="10"/>
      <c r="X1411" s="10"/>
      <c r="Y1411" s="10"/>
      <c r="Z1411" s="10"/>
      <c r="AA1411" s="10"/>
    </row>
    <row r="1412" spans="1:27" ht="12.5" x14ac:dyDescent="0.25">
      <c r="A1412" s="10"/>
      <c r="B1412" s="10"/>
      <c r="C1412" s="10"/>
      <c r="D1412" s="11"/>
      <c r="E1412" s="10"/>
      <c r="F1412" s="10"/>
      <c r="G1412" s="10"/>
      <c r="H1412" s="12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0"/>
      <c r="T1412" s="10"/>
      <c r="U1412" s="10"/>
      <c r="V1412" s="10"/>
      <c r="W1412" s="10"/>
      <c r="X1412" s="10"/>
      <c r="Y1412" s="10"/>
      <c r="Z1412" s="10"/>
      <c r="AA1412" s="10"/>
    </row>
    <row r="1413" spans="1:27" ht="12.5" x14ac:dyDescent="0.25">
      <c r="A1413" s="10"/>
      <c r="B1413" s="10"/>
      <c r="C1413" s="10"/>
      <c r="D1413" s="11"/>
      <c r="E1413" s="10"/>
      <c r="F1413" s="10"/>
      <c r="G1413" s="10"/>
      <c r="H1413" s="12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0"/>
      <c r="T1413" s="10"/>
      <c r="U1413" s="10"/>
      <c r="V1413" s="10"/>
      <c r="W1413" s="10"/>
      <c r="X1413" s="10"/>
      <c r="Y1413" s="10"/>
      <c r="Z1413" s="10"/>
      <c r="AA1413" s="10"/>
    </row>
    <row r="1414" spans="1:27" ht="12.5" x14ac:dyDescent="0.25">
      <c r="A1414" s="10"/>
      <c r="B1414" s="10"/>
      <c r="C1414" s="10"/>
      <c r="D1414" s="11"/>
      <c r="E1414" s="10"/>
      <c r="F1414" s="10"/>
      <c r="G1414" s="10"/>
      <c r="H1414" s="12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0"/>
      <c r="T1414" s="10"/>
      <c r="U1414" s="10"/>
      <c r="V1414" s="10"/>
      <c r="W1414" s="10"/>
      <c r="X1414" s="10"/>
      <c r="Y1414" s="10"/>
      <c r="Z1414" s="10"/>
      <c r="AA1414" s="10"/>
    </row>
    <row r="1415" spans="1:27" ht="12.5" x14ac:dyDescent="0.25">
      <c r="A1415" s="10"/>
      <c r="B1415" s="10"/>
      <c r="C1415" s="10"/>
      <c r="D1415" s="11"/>
      <c r="E1415" s="10"/>
      <c r="F1415" s="10"/>
      <c r="G1415" s="10"/>
      <c r="H1415" s="12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0"/>
      <c r="T1415" s="10"/>
      <c r="U1415" s="10"/>
      <c r="V1415" s="10"/>
      <c r="W1415" s="10"/>
      <c r="X1415" s="10"/>
      <c r="Y1415" s="10"/>
      <c r="Z1415" s="10"/>
      <c r="AA1415" s="10"/>
    </row>
    <row r="1416" spans="1:27" ht="12.5" x14ac:dyDescent="0.25">
      <c r="A1416" s="10"/>
      <c r="B1416" s="10"/>
      <c r="C1416" s="10"/>
      <c r="D1416" s="11"/>
      <c r="E1416" s="10"/>
      <c r="F1416" s="10"/>
      <c r="G1416" s="10"/>
      <c r="H1416" s="12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0"/>
      <c r="T1416" s="10"/>
      <c r="U1416" s="10"/>
      <c r="V1416" s="10"/>
      <c r="W1416" s="10"/>
      <c r="X1416" s="10"/>
      <c r="Y1416" s="10"/>
      <c r="Z1416" s="10"/>
      <c r="AA1416" s="10"/>
    </row>
    <row r="1417" spans="1:27" ht="12.5" x14ac:dyDescent="0.25">
      <c r="A1417" s="10"/>
      <c r="B1417" s="10"/>
      <c r="C1417" s="10"/>
      <c r="D1417" s="11"/>
      <c r="E1417" s="10"/>
      <c r="F1417" s="10"/>
      <c r="G1417" s="10"/>
      <c r="H1417" s="12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0"/>
      <c r="T1417" s="10"/>
      <c r="U1417" s="10"/>
      <c r="V1417" s="10"/>
      <c r="W1417" s="10"/>
      <c r="X1417" s="10"/>
      <c r="Y1417" s="10"/>
      <c r="Z1417" s="10"/>
      <c r="AA1417" s="10"/>
    </row>
    <row r="1418" spans="1:27" ht="12.5" x14ac:dyDescent="0.25">
      <c r="A1418" s="10"/>
      <c r="B1418" s="10"/>
      <c r="C1418" s="10"/>
      <c r="D1418" s="11"/>
      <c r="E1418" s="10"/>
      <c r="F1418" s="10"/>
      <c r="G1418" s="10"/>
      <c r="H1418" s="12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0"/>
      <c r="T1418" s="10"/>
      <c r="U1418" s="10"/>
      <c r="V1418" s="10"/>
      <c r="W1418" s="10"/>
      <c r="X1418" s="10"/>
      <c r="Y1418" s="10"/>
      <c r="Z1418" s="10"/>
      <c r="AA1418" s="10"/>
    </row>
    <row r="1419" spans="1:27" ht="12.5" x14ac:dyDescent="0.25">
      <c r="A1419" s="10"/>
      <c r="B1419" s="10"/>
      <c r="C1419" s="10"/>
      <c r="D1419" s="11"/>
      <c r="E1419" s="10"/>
      <c r="F1419" s="10"/>
      <c r="G1419" s="10"/>
      <c r="H1419" s="12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0"/>
      <c r="T1419" s="10"/>
      <c r="U1419" s="10"/>
      <c r="V1419" s="10"/>
      <c r="W1419" s="10"/>
      <c r="X1419" s="10"/>
      <c r="Y1419" s="10"/>
      <c r="Z1419" s="10"/>
      <c r="AA1419" s="10"/>
    </row>
    <row r="1420" spans="1:27" ht="12.5" x14ac:dyDescent="0.25">
      <c r="A1420" s="10"/>
      <c r="B1420" s="10"/>
      <c r="C1420" s="10"/>
      <c r="D1420" s="11"/>
      <c r="E1420" s="10"/>
      <c r="F1420" s="10"/>
      <c r="G1420" s="10"/>
      <c r="H1420" s="12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0"/>
      <c r="T1420" s="10"/>
      <c r="U1420" s="10"/>
      <c r="V1420" s="10"/>
      <c r="W1420" s="10"/>
      <c r="X1420" s="10"/>
      <c r="Y1420" s="10"/>
      <c r="Z1420" s="10"/>
      <c r="AA1420" s="10"/>
    </row>
    <row r="1421" spans="1:27" ht="12.5" x14ac:dyDescent="0.25">
      <c r="A1421" s="10"/>
      <c r="B1421" s="10"/>
      <c r="C1421" s="10"/>
      <c r="D1421" s="11"/>
      <c r="E1421" s="10"/>
      <c r="F1421" s="10"/>
      <c r="G1421" s="10"/>
      <c r="H1421" s="12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0"/>
      <c r="T1421" s="10"/>
      <c r="U1421" s="10"/>
      <c r="V1421" s="10"/>
      <c r="W1421" s="10"/>
      <c r="X1421" s="10"/>
      <c r="Y1421" s="10"/>
      <c r="Z1421" s="10"/>
      <c r="AA1421" s="10"/>
    </row>
    <row r="1422" spans="1:27" ht="12.5" x14ac:dyDescent="0.25">
      <c r="A1422" s="10"/>
      <c r="B1422" s="10"/>
      <c r="C1422" s="10"/>
      <c r="D1422" s="11"/>
      <c r="E1422" s="10"/>
      <c r="F1422" s="10"/>
      <c r="G1422" s="10"/>
      <c r="H1422" s="12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0"/>
      <c r="T1422" s="10"/>
      <c r="U1422" s="10"/>
      <c r="V1422" s="10"/>
      <c r="W1422" s="10"/>
      <c r="X1422" s="10"/>
      <c r="Y1422" s="10"/>
      <c r="Z1422" s="10"/>
      <c r="AA1422" s="10"/>
    </row>
    <row r="1423" spans="1:27" ht="12.5" x14ac:dyDescent="0.25">
      <c r="A1423" s="10"/>
      <c r="B1423" s="10"/>
      <c r="C1423" s="10"/>
      <c r="D1423" s="11"/>
      <c r="E1423" s="10"/>
      <c r="F1423" s="10"/>
      <c r="G1423" s="10"/>
      <c r="H1423" s="12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0"/>
      <c r="T1423" s="10"/>
      <c r="U1423" s="10"/>
      <c r="V1423" s="10"/>
      <c r="W1423" s="10"/>
      <c r="X1423" s="10"/>
      <c r="Y1423" s="10"/>
      <c r="Z1423" s="10"/>
      <c r="AA1423" s="10"/>
    </row>
    <row r="1424" spans="1:27" ht="12.5" x14ac:dyDescent="0.25">
      <c r="A1424" s="10"/>
      <c r="B1424" s="10"/>
      <c r="C1424" s="10"/>
      <c r="D1424" s="11"/>
      <c r="E1424" s="10"/>
      <c r="F1424" s="10"/>
      <c r="G1424" s="10"/>
      <c r="H1424" s="12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0"/>
      <c r="T1424" s="10"/>
      <c r="U1424" s="10"/>
      <c r="V1424" s="10"/>
      <c r="W1424" s="10"/>
      <c r="X1424" s="10"/>
      <c r="Y1424" s="10"/>
      <c r="Z1424" s="10"/>
      <c r="AA1424" s="10"/>
    </row>
    <row r="1425" spans="1:27" ht="12.5" x14ac:dyDescent="0.25">
      <c r="A1425" s="10"/>
      <c r="B1425" s="10"/>
      <c r="C1425" s="10"/>
      <c r="D1425" s="11"/>
      <c r="E1425" s="10"/>
      <c r="F1425" s="10"/>
      <c r="G1425" s="10"/>
      <c r="H1425" s="12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0"/>
      <c r="T1425" s="10"/>
      <c r="U1425" s="10"/>
      <c r="V1425" s="10"/>
      <c r="W1425" s="10"/>
      <c r="X1425" s="10"/>
      <c r="Y1425" s="10"/>
      <c r="Z1425" s="10"/>
      <c r="AA1425" s="10"/>
    </row>
    <row r="1426" spans="1:27" ht="12.5" x14ac:dyDescent="0.25">
      <c r="A1426" s="10"/>
      <c r="B1426" s="10"/>
      <c r="C1426" s="10"/>
      <c r="D1426" s="11"/>
      <c r="E1426" s="10"/>
      <c r="F1426" s="10"/>
      <c r="G1426" s="10"/>
      <c r="H1426" s="12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0"/>
      <c r="T1426" s="10"/>
      <c r="U1426" s="10"/>
      <c r="V1426" s="10"/>
      <c r="W1426" s="10"/>
      <c r="X1426" s="10"/>
      <c r="Y1426" s="10"/>
      <c r="Z1426" s="10"/>
      <c r="AA1426" s="10"/>
    </row>
    <row r="1427" spans="1:27" ht="12.5" x14ac:dyDescent="0.25">
      <c r="A1427" s="10"/>
      <c r="B1427" s="10"/>
      <c r="C1427" s="10"/>
      <c r="D1427" s="11"/>
      <c r="E1427" s="10"/>
      <c r="F1427" s="10"/>
      <c r="G1427" s="10"/>
      <c r="H1427" s="12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0"/>
      <c r="T1427" s="10"/>
      <c r="U1427" s="10"/>
      <c r="V1427" s="10"/>
      <c r="W1427" s="10"/>
      <c r="X1427" s="10"/>
      <c r="Y1427" s="10"/>
      <c r="Z1427" s="10"/>
      <c r="AA1427" s="10"/>
    </row>
    <row r="1428" spans="1:27" ht="12.5" x14ac:dyDescent="0.25">
      <c r="A1428" s="10"/>
      <c r="B1428" s="10"/>
      <c r="C1428" s="10"/>
      <c r="D1428" s="11"/>
      <c r="E1428" s="10"/>
      <c r="F1428" s="10"/>
      <c r="G1428" s="10"/>
      <c r="H1428" s="12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0"/>
      <c r="T1428" s="10"/>
      <c r="U1428" s="10"/>
      <c r="V1428" s="10"/>
      <c r="W1428" s="10"/>
      <c r="X1428" s="10"/>
      <c r="Y1428" s="10"/>
      <c r="Z1428" s="10"/>
      <c r="AA1428" s="10"/>
    </row>
    <row r="1429" spans="1:27" ht="12.5" x14ac:dyDescent="0.25">
      <c r="A1429" s="10"/>
      <c r="B1429" s="10"/>
      <c r="C1429" s="10"/>
      <c r="D1429" s="11"/>
      <c r="E1429" s="10"/>
      <c r="F1429" s="10"/>
      <c r="G1429" s="10"/>
      <c r="H1429" s="12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0"/>
      <c r="T1429" s="10"/>
      <c r="U1429" s="10"/>
      <c r="V1429" s="10"/>
      <c r="W1429" s="10"/>
      <c r="X1429" s="10"/>
      <c r="Y1429" s="10"/>
      <c r="Z1429" s="10"/>
      <c r="AA1429" s="10"/>
    </row>
    <row r="1430" spans="1:27" ht="12.5" x14ac:dyDescent="0.25">
      <c r="A1430" s="10"/>
      <c r="B1430" s="10"/>
      <c r="C1430" s="10"/>
      <c r="D1430" s="11"/>
      <c r="E1430" s="10"/>
      <c r="F1430" s="10"/>
      <c r="G1430" s="10"/>
      <c r="H1430" s="12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0"/>
      <c r="T1430" s="10"/>
      <c r="U1430" s="10"/>
      <c r="V1430" s="10"/>
      <c r="W1430" s="10"/>
      <c r="X1430" s="10"/>
      <c r="Y1430" s="10"/>
      <c r="Z1430" s="10"/>
      <c r="AA1430" s="10"/>
    </row>
    <row r="1431" spans="1:27" ht="12.5" x14ac:dyDescent="0.25">
      <c r="A1431" s="10"/>
      <c r="B1431" s="10"/>
      <c r="C1431" s="10"/>
      <c r="D1431" s="11"/>
      <c r="E1431" s="10"/>
      <c r="F1431" s="10"/>
      <c r="G1431" s="10"/>
      <c r="H1431" s="12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0"/>
      <c r="T1431" s="10"/>
      <c r="U1431" s="10"/>
      <c r="V1431" s="10"/>
      <c r="W1431" s="10"/>
      <c r="X1431" s="10"/>
      <c r="Y1431" s="10"/>
      <c r="Z1431" s="10"/>
      <c r="AA1431" s="10"/>
    </row>
    <row r="1432" spans="1:27" ht="12.5" x14ac:dyDescent="0.25">
      <c r="A1432" s="10"/>
      <c r="B1432" s="10"/>
      <c r="C1432" s="10"/>
      <c r="D1432" s="11"/>
      <c r="E1432" s="10"/>
      <c r="F1432" s="10"/>
      <c r="G1432" s="10"/>
      <c r="H1432" s="12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0"/>
      <c r="T1432" s="10"/>
      <c r="U1432" s="10"/>
      <c r="V1432" s="10"/>
      <c r="W1432" s="10"/>
      <c r="X1432" s="10"/>
      <c r="Y1432" s="10"/>
      <c r="Z1432" s="10"/>
      <c r="AA1432" s="10"/>
    </row>
    <row r="1433" spans="1:27" ht="12.5" x14ac:dyDescent="0.25">
      <c r="A1433" s="10"/>
      <c r="B1433" s="10"/>
      <c r="C1433" s="10"/>
      <c r="D1433" s="11"/>
      <c r="E1433" s="10"/>
      <c r="F1433" s="10"/>
      <c r="G1433" s="10"/>
      <c r="H1433" s="12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0"/>
      <c r="T1433" s="10"/>
      <c r="U1433" s="10"/>
      <c r="V1433" s="10"/>
      <c r="W1433" s="10"/>
      <c r="X1433" s="10"/>
      <c r="Y1433" s="10"/>
      <c r="Z1433" s="10"/>
      <c r="AA1433" s="10"/>
    </row>
    <row r="1434" spans="1:27" ht="12.5" x14ac:dyDescent="0.25">
      <c r="A1434" s="10"/>
      <c r="B1434" s="10"/>
      <c r="C1434" s="10"/>
      <c r="D1434" s="11"/>
      <c r="E1434" s="10"/>
      <c r="F1434" s="10"/>
      <c r="G1434" s="10"/>
      <c r="H1434" s="12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0"/>
      <c r="T1434" s="10"/>
      <c r="U1434" s="10"/>
      <c r="V1434" s="10"/>
      <c r="W1434" s="10"/>
      <c r="X1434" s="10"/>
      <c r="Y1434" s="10"/>
      <c r="Z1434" s="10"/>
      <c r="AA1434" s="10"/>
    </row>
    <row r="1435" spans="1:27" ht="12.5" x14ac:dyDescent="0.25">
      <c r="A1435" s="10"/>
      <c r="B1435" s="10"/>
      <c r="C1435" s="10"/>
      <c r="D1435" s="11"/>
      <c r="E1435" s="10"/>
      <c r="F1435" s="10"/>
      <c r="G1435" s="10"/>
      <c r="H1435" s="12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0"/>
      <c r="T1435" s="10"/>
      <c r="U1435" s="10"/>
      <c r="V1435" s="10"/>
      <c r="W1435" s="10"/>
      <c r="X1435" s="10"/>
      <c r="Y1435" s="10"/>
      <c r="Z1435" s="10"/>
      <c r="AA1435" s="10"/>
    </row>
    <row r="1436" spans="1:27" ht="12.5" x14ac:dyDescent="0.25">
      <c r="A1436" s="10"/>
      <c r="B1436" s="10"/>
      <c r="C1436" s="10"/>
      <c r="D1436" s="11"/>
      <c r="E1436" s="10"/>
      <c r="F1436" s="10"/>
      <c r="G1436" s="10"/>
      <c r="H1436" s="12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0"/>
      <c r="T1436" s="10"/>
      <c r="U1436" s="10"/>
      <c r="V1436" s="10"/>
      <c r="W1436" s="10"/>
      <c r="X1436" s="10"/>
      <c r="Y1436" s="10"/>
      <c r="Z1436" s="10"/>
      <c r="AA1436" s="10"/>
    </row>
    <row r="1437" spans="1:27" ht="12.5" x14ac:dyDescent="0.25">
      <c r="A1437" s="10"/>
      <c r="B1437" s="10"/>
      <c r="C1437" s="10"/>
      <c r="D1437" s="11"/>
      <c r="E1437" s="10"/>
      <c r="F1437" s="10"/>
      <c r="G1437" s="10"/>
      <c r="H1437" s="12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0"/>
      <c r="T1437" s="10"/>
      <c r="U1437" s="10"/>
      <c r="V1437" s="10"/>
      <c r="W1437" s="10"/>
      <c r="X1437" s="10"/>
      <c r="Y1437" s="10"/>
      <c r="Z1437" s="10"/>
      <c r="AA1437" s="10"/>
    </row>
    <row r="1438" spans="1:27" ht="12.5" x14ac:dyDescent="0.25">
      <c r="A1438" s="10"/>
      <c r="B1438" s="10"/>
      <c r="C1438" s="10"/>
      <c r="D1438" s="11"/>
      <c r="E1438" s="10"/>
      <c r="F1438" s="10"/>
      <c r="G1438" s="10"/>
      <c r="H1438" s="12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0"/>
      <c r="T1438" s="10"/>
      <c r="U1438" s="10"/>
      <c r="V1438" s="10"/>
      <c r="W1438" s="10"/>
      <c r="X1438" s="10"/>
      <c r="Y1438" s="10"/>
      <c r="Z1438" s="10"/>
      <c r="AA1438" s="10"/>
    </row>
    <row r="1439" spans="1:27" ht="12.5" x14ac:dyDescent="0.25">
      <c r="A1439" s="10"/>
      <c r="B1439" s="10"/>
      <c r="C1439" s="10"/>
      <c r="D1439" s="11"/>
      <c r="E1439" s="10"/>
      <c r="F1439" s="10"/>
      <c r="G1439" s="10"/>
      <c r="H1439" s="12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0"/>
      <c r="T1439" s="10"/>
      <c r="U1439" s="10"/>
      <c r="V1439" s="10"/>
      <c r="W1439" s="10"/>
      <c r="X1439" s="10"/>
      <c r="Y1439" s="10"/>
      <c r="Z1439" s="10"/>
      <c r="AA1439" s="10"/>
    </row>
    <row r="1440" spans="1:27" ht="12.5" x14ac:dyDescent="0.25">
      <c r="A1440" s="10"/>
      <c r="B1440" s="10"/>
      <c r="C1440" s="10"/>
      <c r="D1440" s="11"/>
      <c r="E1440" s="10"/>
      <c r="F1440" s="10"/>
      <c r="G1440" s="10"/>
      <c r="H1440" s="12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0"/>
      <c r="T1440" s="10"/>
      <c r="U1440" s="10"/>
      <c r="V1440" s="10"/>
      <c r="W1440" s="10"/>
      <c r="X1440" s="10"/>
      <c r="Y1440" s="10"/>
      <c r="Z1440" s="10"/>
      <c r="AA1440" s="10"/>
    </row>
    <row r="1441" spans="1:27" ht="12.5" x14ac:dyDescent="0.25">
      <c r="A1441" s="10"/>
      <c r="B1441" s="10"/>
      <c r="C1441" s="10"/>
      <c r="D1441" s="11"/>
      <c r="E1441" s="10"/>
      <c r="F1441" s="10"/>
      <c r="G1441" s="10"/>
      <c r="H1441" s="12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0"/>
      <c r="T1441" s="10"/>
      <c r="U1441" s="10"/>
      <c r="V1441" s="10"/>
      <c r="W1441" s="10"/>
      <c r="X1441" s="10"/>
      <c r="Y1441" s="10"/>
      <c r="Z1441" s="10"/>
      <c r="AA1441" s="10"/>
    </row>
    <row r="1442" spans="1:27" ht="12.5" x14ac:dyDescent="0.25">
      <c r="A1442" s="10"/>
      <c r="B1442" s="10"/>
      <c r="C1442" s="10"/>
      <c r="D1442" s="11"/>
      <c r="E1442" s="10"/>
      <c r="F1442" s="10"/>
      <c r="G1442" s="10"/>
      <c r="H1442" s="12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0"/>
      <c r="T1442" s="10"/>
      <c r="U1442" s="10"/>
      <c r="V1442" s="10"/>
      <c r="W1442" s="10"/>
      <c r="X1442" s="10"/>
      <c r="Y1442" s="10"/>
      <c r="Z1442" s="10"/>
      <c r="AA1442" s="10"/>
    </row>
    <row r="1443" spans="1:27" ht="12.5" x14ac:dyDescent="0.25">
      <c r="A1443" s="10"/>
      <c r="B1443" s="10"/>
      <c r="C1443" s="10"/>
      <c r="D1443" s="11"/>
      <c r="E1443" s="10"/>
      <c r="F1443" s="10"/>
      <c r="G1443" s="10"/>
      <c r="H1443" s="12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0"/>
      <c r="T1443" s="10"/>
      <c r="U1443" s="10"/>
      <c r="V1443" s="10"/>
      <c r="W1443" s="10"/>
      <c r="X1443" s="10"/>
      <c r="Y1443" s="10"/>
      <c r="Z1443" s="10"/>
      <c r="AA1443" s="10"/>
    </row>
    <row r="1444" spans="1:27" ht="12.5" x14ac:dyDescent="0.25">
      <c r="A1444" s="10"/>
      <c r="B1444" s="10"/>
      <c r="C1444" s="10"/>
      <c r="D1444" s="11"/>
      <c r="E1444" s="10"/>
      <c r="F1444" s="10"/>
      <c r="G1444" s="10"/>
      <c r="H1444" s="12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0"/>
      <c r="T1444" s="10"/>
      <c r="U1444" s="10"/>
      <c r="V1444" s="10"/>
      <c r="W1444" s="10"/>
      <c r="X1444" s="10"/>
      <c r="Y1444" s="10"/>
      <c r="Z1444" s="10"/>
      <c r="AA1444" s="10"/>
    </row>
    <row r="1445" spans="1:27" ht="12.5" x14ac:dyDescent="0.25">
      <c r="A1445" s="10"/>
      <c r="B1445" s="10"/>
      <c r="C1445" s="10"/>
      <c r="D1445" s="11"/>
      <c r="E1445" s="10"/>
      <c r="F1445" s="10"/>
      <c r="G1445" s="10"/>
      <c r="H1445" s="12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0"/>
      <c r="T1445" s="10"/>
      <c r="U1445" s="10"/>
      <c r="V1445" s="10"/>
      <c r="W1445" s="10"/>
      <c r="X1445" s="10"/>
      <c r="Y1445" s="10"/>
      <c r="Z1445" s="10"/>
      <c r="AA1445" s="10"/>
    </row>
    <row r="1446" spans="1:27" ht="12.5" x14ac:dyDescent="0.25">
      <c r="A1446" s="10"/>
      <c r="B1446" s="10"/>
      <c r="C1446" s="10"/>
      <c r="D1446" s="11"/>
      <c r="E1446" s="10"/>
      <c r="F1446" s="10"/>
      <c r="G1446" s="10"/>
      <c r="H1446" s="12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0"/>
      <c r="T1446" s="10"/>
      <c r="U1446" s="10"/>
      <c r="V1446" s="10"/>
      <c r="W1446" s="10"/>
      <c r="X1446" s="10"/>
      <c r="Y1446" s="10"/>
      <c r="Z1446" s="10"/>
      <c r="AA1446" s="10"/>
    </row>
    <row r="1447" spans="1:27" ht="12.5" x14ac:dyDescent="0.25">
      <c r="A1447" s="10"/>
      <c r="B1447" s="10"/>
      <c r="C1447" s="10"/>
      <c r="D1447" s="11"/>
      <c r="E1447" s="10"/>
      <c r="F1447" s="10"/>
      <c r="G1447" s="10"/>
      <c r="H1447" s="12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0"/>
      <c r="T1447" s="10"/>
      <c r="U1447" s="10"/>
      <c r="V1447" s="10"/>
      <c r="W1447" s="10"/>
      <c r="X1447" s="10"/>
      <c r="Y1447" s="10"/>
      <c r="Z1447" s="10"/>
      <c r="AA1447" s="10"/>
    </row>
    <row r="1448" spans="1:27" ht="12.5" x14ac:dyDescent="0.25">
      <c r="A1448" s="10"/>
      <c r="B1448" s="10"/>
      <c r="C1448" s="10"/>
      <c r="D1448" s="11"/>
      <c r="E1448" s="10"/>
      <c r="F1448" s="10"/>
      <c r="G1448" s="10"/>
      <c r="H1448" s="12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0"/>
      <c r="T1448" s="10"/>
      <c r="U1448" s="10"/>
      <c r="V1448" s="10"/>
      <c r="W1448" s="10"/>
      <c r="X1448" s="10"/>
      <c r="Y1448" s="10"/>
      <c r="Z1448" s="10"/>
      <c r="AA1448" s="10"/>
    </row>
    <row r="1449" spans="1:27" ht="12.5" x14ac:dyDescent="0.25">
      <c r="A1449" s="10"/>
      <c r="B1449" s="10"/>
      <c r="C1449" s="10"/>
      <c r="D1449" s="11"/>
      <c r="E1449" s="10"/>
      <c r="F1449" s="10"/>
      <c r="G1449" s="10"/>
      <c r="H1449" s="12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0"/>
      <c r="T1449" s="10"/>
      <c r="U1449" s="10"/>
      <c r="V1449" s="10"/>
      <c r="W1449" s="10"/>
      <c r="X1449" s="10"/>
      <c r="Y1449" s="10"/>
      <c r="Z1449" s="10"/>
      <c r="AA1449" s="10"/>
    </row>
    <row r="1450" spans="1:27" ht="12.5" x14ac:dyDescent="0.25">
      <c r="A1450" s="10"/>
      <c r="B1450" s="10"/>
      <c r="C1450" s="10"/>
      <c r="D1450" s="11"/>
      <c r="E1450" s="10"/>
      <c r="F1450" s="10"/>
      <c r="G1450" s="10"/>
      <c r="H1450" s="12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0"/>
      <c r="T1450" s="10"/>
      <c r="U1450" s="10"/>
      <c r="V1450" s="10"/>
      <c r="W1450" s="10"/>
      <c r="X1450" s="10"/>
      <c r="Y1450" s="10"/>
      <c r="Z1450" s="10"/>
      <c r="AA1450" s="10"/>
    </row>
    <row r="1451" spans="1:27" ht="12.5" x14ac:dyDescent="0.25">
      <c r="A1451" s="10"/>
      <c r="B1451" s="10"/>
      <c r="C1451" s="10"/>
      <c r="D1451" s="11"/>
      <c r="E1451" s="10"/>
      <c r="F1451" s="10"/>
      <c r="G1451" s="10"/>
      <c r="H1451" s="12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0"/>
      <c r="T1451" s="10"/>
      <c r="U1451" s="10"/>
      <c r="V1451" s="10"/>
      <c r="W1451" s="10"/>
      <c r="X1451" s="10"/>
      <c r="Y1451" s="10"/>
      <c r="Z1451" s="10"/>
      <c r="AA1451" s="10"/>
    </row>
    <row r="1452" spans="1:27" ht="12.5" x14ac:dyDescent="0.25">
      <c r="A1452" s="10"/>
      <c r="B1452" s="10"/>
      <c r="C1452" s="10"/>
      <c r="D1452" s="11"/>
      <c r="E1452" s="10"/>
      <c r="F1452" s="10"/>
      <c r="G1452" s="10"/>
      <c r="H1452" s="12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0"/>
      <c r="T1452" s="10"/>
      <c r="U1452" s="10"/>
      <c r="V1452" s="10"/>
      <c r="W1452" s="10"/>
      <c r="X1452" s="10"/>
      <c r="Y1452" s="10"/>
      <c r="Z1452" s="10"/>
      <c r="AA1452" s="10"/>
    </row>
    <row r="1453" spans="1:27" ht="12.5" x14ac:dyDescent="0.25">
      <c r="A1453" s="10"/>
      <c r="B1453" s="10"/>
      <c r="C1453" s="10"/>
      <c r="D1453" s="11"/>
      <c r="E1453" s="10"/>
      <c r="F1453" s="10"/>
      <c r="G1453" s="10"/>
      <c r="H1453" s="12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0"/>
      <c r="T1453" s="10"/>
      <c r="U1453" s="10"/>
      <c r="V1453" s="10"/>
      <c r="W1453" s="10"/>
      <c r="X1453" s="10"/>
      <c r="Y1453" s="10"/>
      <c r="Z1453" s="10"/>
      <c r="AA1453" s="10"/>
    </row>
    <row r="1454" spans="1:27" ht="12.5" x14ac:dyDescent="0.25">
      <c r="A1454" s="10"/>
      <c r="B1454" s="10"/>
      <c r="C1454" s="10"/>
      <c r="D1454" s="11"/>
      <c r="E1454" s="10"/>
      <c r="F1454" s="10"/>
      <c r="G1454" s="10"/>
      <c r="H1454" s="12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0"/>
      <c r="T1454" s="10"/>
      <c r="U1454" s="10"/>
      <c r="V1454" s="10"/>
      <c r="W1454" s="10"/>
      <c r="X1454" s="10"/>
      <c r="Y1454" s="10"/>
      <c r="Z1454" s="10"/>
      <c r="AA1454" s="10"/>
    </row>
    <row r="1455" spans="1:27" ht="12.5" x14ac:dyDescent="0.25">
      <c r="A1455" s="10"/>
      <c r="B1455" s="10"/>
      <c r="C1455" s="10"/>
      <c r="D1455" s="11"/>
      <c r="E1455" s="10"/>
      <c r="F1455" s="10"/>
      <c r="G1455" s="10"/>
      <c r="H1455" s="12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0"/>
      <c r="T1455" s="10"/>
      <c r="U1455" s="10"/>
      <c r="V1455" s="10"/>
      <c r="W1455" s="10"/>
      <c r="X1455" s="10"/>
      <c r="Y1455" s="10"/>
      <c r="Z1455" s="10"/>
      <c r="AA1455" s="10"/>
    </row>
    <row r="1456" spans="1:27" ht="12.5" x14ac:dyDescent="0.25">
      <c r="A1456" s="10"/>
      <c r="B1456" s="10"/>
      <c r="C1456" s="10"/>
      <c r="D1456" s="11"/>
      <c r="E1456" s="10"/>
      <c r="F1456" s="10"/>
      <c r="G1456" s="10"/>
      <c r="H1456" s="12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0"/>
      <c r="T1456" s="10"/>
      <c r="U1456" s="10"/>
      <c r="V1456" s="10"/>
      <c r="W1456" s="10"/>
      <c r="X1456" s="10"/>
      <c r="Y1456" s="10"/>
      <c r="Z1456" s="10"/>
      <c r="AA1456" s="10"/>
    </row>
    <row r="1457" spans="1:27" ht="12.5" x14ac:dyDescent="0.25">
      <c r="A1457" s="10"/>
      <c r="B1457" s="10"/>
      <c r="C1457" s="10"/>
      <c r="D1457" s="11"/>
      <c r="E1457" s="10"/>
      <c r="F1457" s="10"/>
      <c r="G1457" s="10"/>
      <c r="H1457" s="12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0"/>
      <c r="T1457" s="10"/>
      <c r="U1457" s="10"/>
      <c r="V1457" s="10"/>
      <c r="W1457" s="10"/>
      <c r="X1457" s="10"/>
      <c r="Y1457" s="10"/>
      <c r="Z1457" s="10"/>
      <c r="AA1457" s="10"/>
    </row>
    <row r="1458" spans="1:27" ht="12.5" x14ac:dyDescent="0.25">
      <c r="A1458" s="10"/>
      <c r="B1458" s="10"/>
      <c r="C1458" s="10"/>
      <c r="D1458" s="11"/>
      <c r="E1458" s="10"/>
      <c r="F1458" s="10"/>
      <c r="G1458" s="10"/>
      <c r="H1458" s="12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0"/>
      <c r="T1458" s="10"/>
      <c r="U1458" s="10"/>
      <c r="V1458" s="10"/>
      <c r="W1458" s="10"/>
      <c r="X1458" s="10"/>
      <c r="Y1458" s="10"/>
      <c r="Z1458" s="10"/>
      <c r="AA1458" s="10"/>
    </row>
    <row r="1459" spans="1:27" ht="12.5" x14ac:dyDescent="0.25">
      <c r="A1459" s="10"/>
      <c r="B1459" s="10"/>
      <c r="C1459" s="10"/>
      <c r="D1459" s="11"/>
      <c r="E1459" s="10"/>
      <c r="F1459" s="10"/>
      <c r="G1459" s="10"/>
      <c r="H1459" s="12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0"/>
      <c r="T1459" s="10"/>
      <c r="U1459" s="10"/>
      <c r="V1459" s="10"/>
      <c r="W1459" s="10"/>
      <c r="X1459" s="10"/>
      <c r="Y1459" s="10"/>
      <c r="Z1459" s="10"/>
      <c r="AA1459" s="10"/>
    </row>
    <row r="1460" spans="1:27" ht="12.5" x14ac:dyDescent="0.25">
      <c r="A1460" s="10"/>
      <c r="B1460" s="10"/>
      <c r="C1460" s="10"/>
      <c r="D1460" s="11"/>
      <c r="E1460" s="10"/>
      <c r="F1460" s="10"/>
      <c r="G1460" s="10"/>
      <c r="H1460" s="12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0"/>
      <c r="T1460" s="10"/>
      <c r="U1460" s="10"/>
      <c r="V1460" s="10"/>
      <c r="W1460" s="10"/>
      <c r="X1460" s="10"/>
      <c r="Y1460" s="10"/>
      <c r="Z1460" s="10"/>
      <c r="AA1460" s="10"/>
    </row>
    <row r="1461" spans="1:27" ht="12.5" x14ac:dyDescent="0.25">
      <c r="A1461" s="10"/>
      <c r="B1461" s="10"/>
      <c r="C1461" s="10"/>
      <c r="D1461" s="11"/>
      <c r="E1461" s="10"/>
      <c r="F1461" s="10"/>
      <c r="G1461" s="10"/>
      <c r="H1461" s="12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0"/>
      <c r="T1461" s="10"/>
      <c r="U1461" s="10"/>
      <c r="V1461" s="10"/>
      <c r="W1461" s="10"/>
      <c r="X1461" s="10"/>
      <c r="Y1461" s="10"/>
      <c r="Z1461" s="10"/>
      <c r="AA1461" s="10"/>
    </row>
    <row r="1462" spans="1:27" ht="12.5" x14ac:dyDescent="0.25">
      <c r="A1462" s="10"/>
      <c r="B1462" s="10"/>
      <c r="C1462" s="10"/>
      <c r="D1462" s="11"/>
      <c r="E1462" s="10"/>
      <c r="F1462" s="10"/>
      <c r="G1462" s="10"/>
      <c r="H1462" s="12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0"/>
      <c r="T1462" s="10"/>
      <c r="U1462" s="10"/>
      <c r="V1462" s="10"/>
      <c r="W1462" s="10"/>
      <c r="X1462" s="10"/>
      <c r="Y1462" s="10"/>
      <c r="Z1462" s="10"/>
      <c r="AA1462" s="10"/>
    </row>
    <row r="1463" spans="1:27" ht="12.5" x14ac:dyDescent="0.25">
      <c r="A1463" s="10"/>
      <c r="B1463" s="10"/>
      <c r="C1463" s="10"/>
      <c r="D1463" s="11"/>
      <c r="E1463" s="10"/>
      <c r="F1463" s="10"/>
      <c r="G1463" s="10"/>
      <c r="H1463" s="12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0"/>
      <c r="T1463" s="10"/>
      <c r="U1463" s="10"/>
      <c r="V1463" s="10"/>
      <c r="W1463" s="10"/>
      <c r="X1463" s="10"/>
      <c r="Y1463" s="10"/>
      <c r="Z1463" s="10"/>
      <c r="AA1463" s="10"/>
    </row>
    <row r="1464" spans="1:27" ht="12.5" x14ac:dyDescent="0.25">
      <c r="A1464" s="10"/>
      <c r="B1464" s="10"/>
      <c r="C1464" s="10"/>
      <c r="D1464" s="11"/>
      <c r="E1464" s="10"/>
      <c r="F1464" s="10"/>
      <c r="G1464" s="10"/>
      <c r="H1464" s="12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0"/>
      <c r="T1464" s="10"/>
      <c r="U1464" s="10"/>
      <c r="V1464" s="10"/>
      <c r="W1464" s="10"/>
      <c r="X1464" s="10"/>
      <c r="Y1464" s="10"/>
      <c r="Z1464" s="10"/>
      <c r="AA1464" s="10"/>
    </row>
    <row r="1465" spans="1:27" ht="12.5" x14ac:dyDescent="0.25">
      <c r="A1465" s="10"/>
      <c r="B1465" s="10"/>
      <c r="C1465" s="10"/>
      <c r="D1465" s="11"/>
      <c r="E1465" s="10"/>
      <c r="F1465" s="10"/>
      <c r="G1465" s="10"/>
      <c r="H1465" s="12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0"/>
      <c r="T1465" s="10"/>
      <c r="U1465" s="10"/>
      <c r="V1465" s="10"/>
      <c r="W1465" s="10"/>
      <c r="X1465" s="10"/>
      <c r="Y1465" s="10"/>
      <c r="Z1465" s="10"/>
      <c r="AA1465" s="10"/>
    </row>
    <row r="1466" spans="1:27" ht="12.5" x14ac:dyDescent="0.25">
      <c r="A1466" s="10"/>
      <c r="B1466" s="10"/>
      <c r="C1466" s="10"/>
      <c r="D1466" s="11"/>
      <c r="E1466" s="10"/>
      <c r="F1466" s="10"/>
      <c r="G1466" s="10"/>
      <c r="H1466" s="12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0"/>
      <c r="T1466" s="10"/>
      <c r="U1466" s="10"/>
      <c r="V1466" s="10"/>
      <c r="W1466" s="10"/>
      <c r="X1466" s="10"/>
      <c r="Y1466" s="10"/>
      <c r="Z1466" s="10"/>
      <c r="AA1466" s="10"/>
    </row>
    <row r="1467" spans="1:27" ht="12.5" x14ac:dyDescent="0.25">
      <c r="A1467" s="10"/>
      <c r="B1467" s="10"/>
      <c r="C1467" s="10"/>
      <c r="D1467" s="11"/>
      <c r="E1467" s="10"/>
      <c r="F1467" s="10"/>
      <c r="G1467" s="10"/>
      <c r="H1467" s="12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0"/>
      <c r="T1467" s="10"/>
      <c r="U1467" s="10"/>
      <c r="V1467" s="10"/>
      <c r="W1467" s="10"/>
      <c r="X1467" s="10"/>
      <c r="Y1467" s="10"/>
      <c r="Z1467" s="10"/>
      <c r="AA1467" s="10"/>
    </row>
    <row r="1468" spans="1:27" ht="12.5" x14ac:dyDescent="0.25">
      <c r="A1468" s="10"/>
      <c r="B1468" s="10"/>
      <c r="C1468" s="10"/>
      <c r="D1468" s="11"/>
      <c r="E1468" s="10"/>
      <c r="F1468" s="10"/>
      <c r="G1468" s="10"/>
      <c r="H1468" s="12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0"/>
      <c r="T1468" s="10"/>
      <c r="U1468" s="10"/>
      <c r="V1468" s="10"/>
      <c r="W1468" s="10"/>
      <c r="X1468" s="10"/>
      <c r="Y1468" s="10"/>
      <c r="Z1468" s="10"/>
      <c r="AA1468" s="10"/>
    </row>
    <row r="1469" spans="1:27" ht="12.5" x14ac:dyDescent="0.25">
      <c r="A1469" s="10"/>
      <c r="B1469" s="10"/>
      <c r="C1469" s="10"/>
      <c r="D1469" s="11"/>
      <c r="E1469" s="10"/>
      <c r="F1469" s="10"/>
      <c r="G1469" s="10"/>
      <c r="H1469" s="12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0"/>
      <c r="T1469" s="10"/>
      <c r="U1469" s="10"/>
      <c r="V1469" s="10"/>
      <c r="W1469" s="10"/>
      <c r="X1469" s="10"/>
      <c r="Y1469" s="10"/>
      <c r="Z1469" s="10"/>
      <c r="AA1469" s="10"/>
    </row>
    <row r="1470" spans="1:27" ht="12.5" x14ac:dyDescent="0.25">
      <c r="A1470" s="10"/>
      <c r="B1470" s="10"/>
      <c r="C1470" s="10"/>
      <c r="D1470" s="11"/>
      <c r="E1470" s="10"/>
      <c r="F1470" s="10"/>
      <c r="G1470" s="10"/>
      <c r="H1470" s="12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0"/>
      <c r="T1470" s="10"/>
      <c r="U1470" s="10"/>
      <c r="V1470" s="10"/>
      <c r="W1470" s="10"/>
      <c r="X1470" s="10"/>
      <c r="Y1470" s="10"/>
      <c r="Z1470" s="10"/>
      <c r="AA1470" s="10"/>
    </row>
    <row r="1471" spans="1:27" ht="12.5" x14ac:dyDescent="0.25">
      <c r="A1471" s="10"/>
      <c r="B1471" s="10"/>
      <c r="C1471" s="10"/>
      <c r="D1471" s="11"/>
      <c r="E1471" s="10"/>
      <c r="F1471" s="10"/>
      <c r="G1471" s="10"/>
      <c r="H1471" s="12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0"/>
      <c r="T1471" s="10"/>
      <c r="U1471" s="10"/>
      <c r="V1471" s="10"/>
      <c r="W1471" s="10"/>
      <c r="X1471" s="10"/>
      <c r="Y1471" s="10"/>
      <c r="Z1471" s="10"/>
      <c r="AA1471" s="10"/>
    </row>
    <row r="1472" spans="1:27" ht="12.5" x14ac:dyDescent="0.25">
      <c r="A1472" s="10"/>
      <c r="B1472" s="10"/>
      <c r="C1472" s="10"/>
      <c r="D1472" s="11"/>
      <c r="E1472" s="10"/>
      <c r="F1472" s="10"/>
      <c r="G1472" s="10"/>
      <c r="H1472" s="12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0"/>
      <c r="T1472" s="10"/>
      <c r="U1472" s="10"/>
      <c r="V1472" s="10"/>
      <c r="W1472" s="10"/>
      <c r="X1472" s="10"/>
      <c r="Y1472" s="10"/>
      <c r="Z1472" s="10"/>
      <c r="AA1472" s="10"/>
    </row>
    <row r="1473" spans="1:27" ht="12.5" x14ac:dyDescent="0.25">
      <c r="A1473" s="10"/>
      <c r="B1473" s="10"/>
      <c r="C1473" s="10"/>
      <c r="D1473" s="11"/>
      <c r="E1473" s="10"/>
      <c r="F1473" s="10"/>
      <c r="G1473" s="10"/>
      <c r="H1473" s="12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0"/>
      <c r="T1473" s="10"/>
      <c r="U1473" s="10"/>
      <c r="V1473" s="10"/>
      <c r="W1473" s="10"/>
      <c r="X1473" s="10"/>
      <c r="Y1473" s="10"/>
      <c r="Z1473" s="10"/>
      <c r="AA1473" s="10"/>
    </row>
    <row r="1474" spans="1:27" ht="12.5" x14ac:dyDescent="0.25">
      <c r="A1474" s="10"/>
      <c r="B1474" s="10"/>
      <c r="C1474" s="10"/>
      <c r="D1474" s="11"/>
      <c r="E1474" s="10"/>
      <c r="F1474" s="10"/>
      <c r="G1474" s="10"/>
      <c r="H1474" s="12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0"/>
      <c r="T1474" s="10"/>
      <c r="U1474" s="10"/>
      <c r="V1474" s="10"/>
      <c r="W1474" s="10"/>
      <c r="X1474" s="10"/>
      <c r="Y1474" s="10"/>
      <c r="Z1474" s="10"/>
      <c r="AA1474" s="10"/>
    </row>
    <row r="1475" spans="1:27" ht="12.5" x14ac:dyDescent="0.25">
      <c r="A1475" s="10"/>
      <c r="B1475" s="10"/>
      <c r="C1475" s="10"/>
      <c r="D1475" s="11"/>
      <c r="E1475" s="10"/>
      <c r="F1475" s="10"/>
      <c r="G1475" s="10"/>
      <c r="H1475" s="12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0"/>
      <c r="T1475" s="10"/>
      <c r="U1475" s="10"/>
      <c r="V1475" s="10"/>
      <c r="W1475" s="10"/>
      <c r="X1475" s="10"/>
      <c r="Y1475" s="10"/>
      <c r="Z1475" s="10"/>
      <c r="AA1475" s="10"/>
    </row>
    <row r="1476" spans="1:27" ht="12.5" x14ac:dyDescent="0.25">
      <c r="A1476" s="10"/>
      <c r="B1476" s="10"/>
      <c r="C1476" s="10"/>
      <c r="D1476" s="11"/>
      <c r="E1476" s="10"/>
      <c r="F1476" s="10"/>
      <c r="G1476" s="10"/>
      <c r="H1476" s="12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0"/>
      <c r="T1476" s="10"/>
      <c r="U1476" s="10"/>
      <c r="V1476" s="10"/>
      <c r="W1476" s="10"/>
      <c r="X1476" s="10"/>
      <c r="Y1476" s="10"/>
      <c r="Z1476" s="10"/>
      <c r="AA1476" s="10"/>
    </row>
    <row r="1477" spans="1:27" ht="12.5" x14ac:dyDescent="0.25">
      <c r="A1477" s="10"/>
      <c r="B1477" s="10"/>
      <c r="C1477" s="10"/>
      <c r="D1477" s="11"/>
      <c r="E1477" s="10"/>
      <c r="F1477" s="10"/>
      <c r="G1477" s="10"/>
      <c r="H1477" s="12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0"/>
      <c r="T1477" s="10"/>
      <c r="U1477" s="10"/>
      <c r="V1477" s="10"/>
      <c r="W1477" s="10"/>
      <c r="X1477" s="10"/>
      <c r="Y1477" s="10"/>
      <c r="Z1477" s="10"/>
      <c r="AA1477" s="10"/>
    </row>
    <row r="1478" spans="1:27" ht="12.5" x14ac:dyDescent="0.25">
      <c r="A1478" s="10"/>
      <c r="B1478" s="10"/>
      <c r="C1478" s="10"/>
      <c r="D1478" s="11"/>
      <c r="E1478" s="10"/>
      <c r="F1478" s="10"/>
      <c r="G1478" s="10"/>
      <c r="H1478" s="12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0"/>
      <c r="T1478" s="10"/>
      <c r="U1478" s="10"/>
      <c r="V1478" s="10"/>
      <c r="W1478" s="10"/>
      <c r="X1478" s="10"/>
      <c r="Y1478" s="10"/>
      <c r="Z1478" s="10"/>
      <c r="AA1478" s="10"/>
    </row>
    <row r="1479" spans="1:27" ht="12.5" x14ac:dyDescent="0.25">
      <c r="A1479" s="10"/>
      <c r="B1479" s="10"/>
      <c r="C1479" s="10"/>
      <c r="D1479" s="11"/>
      <c r="E1479" s="10"/>
      <c r="F1479" s="10"/>
      <c r="G1479" s="10"/>
      <c r="H1479" s="12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0"/>
      <c r="T1479" s="10"/>
      <c r="U1479" s="10"/>
      <c r="V1479" s="10"/>
      <c r="W1479" s="10"/>
      <c r="X1479" s="10"/>
      <c r="Y1479" s="10"/>
      <c r="Z1479" s="10"/>
      <c r="AA1479" s="10"/>
    </row>
    <row r="1480" spans="1:27" ht="12.5" x14ac:dyDescent="0.25">
      <c r="A1480" s="10"/>
      <c r="B1480" s="10"/>
      <c r="C1480" s="10"/>
      <c r="D1480" s="11"/>
      <c r="E1480" s="10"/>
      <c r="F1480" s="10"/>
      <c r="G1480" s="10"/>
      <c r="H1480" s="12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0"/>
      <c r="T1480" s="10"/>
      <c r="U1480" s="10"/>
      <c r="V1480" s="10"/>
      <c r="W1480" s="10"/>
      <c r="X1480" s="10"/>
      <c r="Y1480" s="10"/>
      <c r="Z1480" s="10"/>
      <c r="AA1480" s="10"/>
    </row>
    <row r="1481" spans="1:27" ht="12.5" x14ac:dyDescent="0.25">
      <c r="A1481" s="10"/>
      <c r="B1481" s="10"/>
      <c r="C1481" s="10"/>
      <c r="D1481" s="11"/>
      <c r="E1481" s="10"/>
      <c r="F1481" s="10"/>
      <c r="G1481" s="10"/>
      <c r="H1481" s="12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0"/>
      <c r="T1481" s="10"/>
      <c r="U1481" s="10"/>
      <c r="V1481" s="10"/>
      <c r="W1481" s="10"/>
      <c r="X1481" s="10"/>
      <c r="Y1481" s="10"/>
      <c r="Z1481" s="10"/>
      <c r="AA1481" s="10"/>
    </row>
    <row r="1482" spans="1:27" ht="12.5" x14ac:dyDescent="0.25">
      <c r="A1482" s="10"/>
      <c r="B1482" s="10"/>
      <c r="C1482" s="10"/>
      <c r="D1482" s="11"/>
      <c r="E1482" s="10"/>
      <c r="F1482" s="10"/>
      <c r="G1482" s="10"/>
      <c r="H1482" s="12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0"/>
      <c r="T1482" s="10"/>
      <c r="U1482" s="10"/>
      <c r="V1482" s="10"/>
      <c r="W1482" s="10"/>
      <c r="X1482" s="10"/>
      <c r="Y1482" s="10"/>
      <c r="Z1482" s="10"/>
      <c r="AA1482" s="10"/>
    </row>
    <row r="1483" spans="1:27" ht="12.5" x14ac:dyDescent="0.25">
      <c r="A1483" s="10"/>
      <c r="B1483" s="10"/>
      <c r="C1483" s="10"/>
      <c r="D1483" s="11"/>
      <c r="E1483" s="10"/>
      <c r="F1483" s="10"/>
      <c r="G1483" s="10"/>
      <c r="H1483" s="12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0"/>
      <c r="T1483" s="10"/>
      <c r="U1483" s="10"/>
      <c r="V1483" s="10"/>
      <c r="W1483" s="10"/>
      <c r="X1483" s="10"/>
      <c r="Y1483" s="10"/>
      <c r="Z1483" s="10"/>
      <c r="AA1483" s="10"/>
    </row>
    <row r="1484" spans="1:27" ht="12.5" x14ac:dyDescent="0.25">
      <c r="A1484" s="10"/>
      <c r="B1484" s="10"/>
      <c r="C1484" s="10"/>
      <c r="D1484" s="11"/>
      <c r="E1484" s="10"/>
      <c r="F1484" s="10"/>
      <c r="G1484" s="10"/>
      <c r="H1484" s="12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0"/>
      <c r="T1484" s="10"/>
      <c r="U1484" s="10"/>
      <c r="V1484" s="10"/>
      <c r="W1484" s="10"/>
      <c r="X1484" s="10"/>
      <c r="Y1484" s="10"/>
      <c r="Z1484" s="10"/>
      <c r="AA1484" s="10"/>
    </row>
    <row r="1485" spans="1:27" ht="12.5" x14ac:dyDescent="0.25">
      <c r="A1485" s="10"/>
      <c r="B1485" s="10"/>
      <c r="C1485" s="10"/>
      <c r="D1485" s="11"/>
      <c r="E1485" s="10"/>
      <c r="F1485" s="10"/>
      <c r="G1485" s="10"/>
      <c r="H1485" s="12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0"/>
      <c r="T1485" s="10"/>
      <c r="U1485" s="10"/>
      <c r="V1485" s="10"/>
      <c r="W1485" s="10"/>
      <c r="X1485" s="10"/>
      <c r="Y1485" s="10"/>
      <c r="Z1485" s="10"/>
      <c r="AA1485" s="10"/>
    </row>
    <row r="1486" spans="1:27" ht="12.5" x14ac:dyDescent="0.25">
      <c r="A1486" s="10"/>
      <c r="B1486" s="10"/>
      <c r="C1486" s="10"/>
      <c r="D1486" s="11"/>
      <c r="E1486" s="10"/>
      <c r="F1486" s="10"/>
      <c r="G1486" s="10"/>
      <c r="H1486" s="12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0"/>
      <c r="T1486" s="10"/>
      <c r="U1486" s="10"/>
      <c r="V1486" s="10"/>
      <c r="W1486" s="10"/>
      <c r="X1486" s="10"/>
      <c r="Y1486" s="10"/>
      <c r="Z1486" s="10"/>
      <c r="AA1486" s="10"/>
    </row>
    <row r="1487" spans="1:27" ht="12.5" x14ac:dyDescent="0.25">
      <c r="A1487" s="10"/>
      <c r="B1487" s="10"/>
      <c r="C1487" s="10"/>
      <c r="D1487" s="11"/>
      <c r="E1487" s="10"/>
      <c r="F1487" s="10"/>
      <c r="G1487" s="10"/>
      <c r="H1487" s="12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0"/>
      <c r="T1487" s="10"/>
      <c r="U1487" s="10"/>
      <c r="V1487" s="10"/>
      <c r="W1487" s="10"/>
      <c r="X1487" s="10"/>
      <c r="Y1487" s="10"/>
      <c r="Z1487" s="10"/>
      <c r="AA1487" s="10"/>
    </row>
    <row r="1488" spans="1:27" ht="12.5" x14ac:dyDescent="0.25">
      <c r="A1488" s="10"/>
      <c r="B1488" s="10"/>
      <c r="C1488" s="10"/>
      <c r="D1488" s="11"/>
      <c r="E1488" s="10"/>
      <c r="F1488" s="10"/>
      <c r="G1488" s="10"/>
      <c r="H1488" s="12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0"/>
      <c r="T1488" s="10"/>
      <c r="U1488" s="10"/>
      <c r="V1488" s="10"/>
      <c r="W1488" s="10"/>
      <c r="X1488" s="10"/>
      <c r="Y1488" s="10"/>
      <c r="Z1488" s="10"/>
      <c r="AA1488" s="10"/>
    </row>
    <row r="1489" spans="1:27" ht="12.5" x14ac:dyDescent="0.25">
      <c r="A1489" s="10"/>
      <c r="B1489" s="10"/>
      <c r="C1489" s="10"/>
      <c r="D1489" s="11"/>
      <c r="E1489" s="10"/>
      <c r="F1489" s="10"/>
      <c r="G1489" s="10"/>
      <c r="H1489" s="12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0"/>
      <c r="T1489" s="10"/>
      <c r="U1489" s="10"/>
      <c r="V1489" s="10"/>
      <c r="W1489" s="10"/>
      <c r="X1489" s="10"/>
      <c r="Y1489" s="10"/>
      <c r="Z1489" s="10"/>
      <c r="AA1489" s="10"/>
    </row>
    <row r="1490" spans="1:27" ht="12.5" x14ac:dyDescent="0.25">
      <c r="A1490" s="10"/>
      <c r="B1490" s="10"/>
      <c r="C1490" s="10"/>
      <c r="D1490" s="11"/>
      <c r="E1490" s="10"/>
      <c r="F1490" s="10"/>
      <c r="G1490" s="10"/>
      <c r="H1490" s="12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0"/>
      <c r="T1490" s="10"/>
      <c r="U1490" s="10"/>
      <c r="V1490" s="10"/>
      <c r="W1490" s="10"/>
      <c r="X1490" s="10"/>
      <c r="Y1490" s="10"/>
      <c r="Z1490" s="10"/>
      <c r="AA1490" s="10"/>
    </row>
    <row r="1491" spans="1:27" ht="12.5" x14ac:dyDescent="0.25">
      <c r="A1491" s="10"/>
      <c r="B1491" s="10"/>
      <c r="C1491" s="10"/>
      <c r="D1491" s="11"/>
      <c r="E1491" s="10"/>
      <c r="F1491" s="10"/>
      <c r="G1491" s="10"/>
      <c r="H1491" s="12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0"/>
      <c r="T1491" s="10"/>
      <c r="U1491" s="10"/>
      <c r="V1491" s="10"/>
      <c r="W1491" s="10"/>
      <c r="X1491" s="10"/>
      <c r="Y1491" s="10"/>
      <c r="Z1491" s="10"/>
      <c r="AA1491" s="10"/>
    </row>
    <row r="1492" spans="1:27" ht="12.5" x14ac:dyDescent="0.25">
      <c r="A1492" s="10"/>
      <c r="B1492" s="10"/>
      <c r="C1492" s="10"/>
      <c r="D1492" s="11"/>
      <c r="E1492" s="10"/>
      <c r="F1492" s="10"/>
      <c r="G1492" s="10"/>
      <c r="H1492" s="12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0"/>
      <c r="T1492" s="10"/>
      <c r="U1492" s="10"/>
      <c r="V1492" s="10"/>
      <c r="W1492" s="10"/>
      <c r="X1492" s="10"/>
      <c r="Y1492" s="10"/>
      <c r="Z1492" s="10"/>
      <c r="AA1492" s="10"/>
    </row>
    <row r="1493" spans="1:27" ht="12.5" x14ac:dyDescent="0.25">
      <c r="A1493" s="10"/>
      <c r="B1493" s="10"/>
      <c r="C1493" s="10"/>
      <c r="D1493" s="11"/>
      <c r="E1493" s="10"/>
      <c r="F1493" s="10"/>
      <c r="G1493" s="10"/>
      <c r="H1493" s="12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0"/>
      <c r="T1493" s="10"/>
      <c r="U1493" s="10"/>
      <c r="V1493" s="10"/>
      <c r="W1493" s="10"/>
      <c r="X1493" s="10"/>
      <c r="Y1493" s="10"/>
      <c r="Z1493" s="10"/>
      <c r="AA1493" s="10"/>
    </row>
    <row r="1494" spans="1:27" ht="12.5" x14ac:dyDescent="0.25">
      <c r="A1494" s="10"/>
      <c r="B1494" s="10"/>
      <c r="C1494" s="10"/>
      <c r="D1494" s="11"/>
      <c r="E1494" s="10"/>
      <c r="F1494" s="10"/>
      <c r="G1494" s="10"/>
      <c r="H1494" s="12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0"/>
      <c r="T1494" s="10"/>
      <c r="U1494" s="10"/>
      <c r="V1494" s="10"/>
      <c r="W1494" s="10"/>
      <c r="X1494" s="10"/>
      <c r="Y1494" s="10"/>
      <c r="Z1494" s="10"/>
      <c r="AA1494" s="10"/>
    </row>
    <row r="1495" spans="1:27" ht="12.5" x14ac:dyDescent="0.25">
      <c r="A1495" s="10"/>
      <c r="B1495" s="10"/>
      <c r="C1495" s="10"/>
      <c r="D1495" s="11"/>
      <c r="E1495" s="10"/>
      <c r="F1495" s="10"/>
      <c r="G1495" s="10"/>
      <c r="H1495" s="12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0"/>
      <c r="T1495" s="10"/>
      <c r="U1495" s="10"/>
      <c r="V1495" s="10"/>
      <c r="W1495" s="10"/>
      <c r="X1495" s="10"/>
      <c r="Y1495" s="10"/>
      <c r="Z1495" s="10"/>
      <c r="AA1495" s="10"/>
    </row>
    <row r="1496" spans="1:27" ht="12.5" x14ac:dyDescent="0.25">
      <c r="A1496" s="10"/>
      <c r="B1496" s="10"/>
      <c r="C1496" s="10"/>
      <c r="D1496" s="11"/>
      <c r="E1496" s="10"/>
      <c r="F1496" s="10"/>
      <c r="G1496" s="10"/>
      <c r="H1496" s="12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0"/>
      <c r="T1496" s="10"/>
      <c r="U1496" s="10"/>
      <c r="V1496" s="10"/>
      <c r="W1496" s="10"/>
      <c r="X1496" s="10"/>
      <c r="Y1496" s="10"/>
      <c r="Z1496" s="10"/>
      <c r="AA1496" s="10"/>
    </row>
    <row r="1497" spans="1:27" ht="12.5" x14ac:dyDescent="0.25">
      <c r="A1497" s="10"/>
      <c r="B1497" s="10"/>
      <c r="C1497" s="10"/>
      <c r="D1497" s="11"/>
      <c r="E1497" s="10"/>
      <c r="F1497" s="10"/>
      <c r="G1497" s="10"/>
      <c r="H1497" s="12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0"/>
      <c r="T1497" s="10"/>
      <c r="U1497" s="10"/>
      <c r="V1497" s="10"/>
      <c r="W1497" s="10"/>
      <c r="X1497" s="10"/>
      <c r="Y1497" s="10"/>
      <c r="Z1497" s="10"/>
      <c r="AA1497" s="10"/>
    </row>
    <row r="1498" spans="1:27" ht="12.5" x14ac:dyDescent="0.25">
      <c r="A1498" s="10"/>
      <c r="B1498" s="10"/>
      <c r="C1498" s="10"/>
      <c r="D1498" s="11"/>
      <c r="E1498" s="10"/>
      <c r="F1498" s="10"/>
      <c r="G1498" s="10"/>
      <c r="H1498" s="12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0"/>
      <c r="T1498" s="10"/>
      <c r="U1498" s="10"/>
      <c r="V1498" s="10"/>
      <c r="W1498" s="10"/>
      <c r="X1498" s="10"/>
      <c r="Y1498" s="10"/>
      <c r="Z1498" s="10"/>
      <c r="AA1498" s="10"/>
    </row>
    <row r="1499" spans="1:27" ht="12.5" x14ac:dyDescent="0.25">
      <c r="A1499" s="10"/>
      <c r="B1499" s="10"/>
      <c r="C1499" s="10"/>
      <c r="D1499" s="11"/>
      <c r="E1499" s="10"/>
      <c r="F1499" s="10"/>
      <c r="G1499" s="10"/>
      <c r="H1499" s="12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0"/>
      <c r="T1499" s="10"/>
      <c r="U1499" s="10"/>
      <c r="V1499" s="10"/>
      <c r="W1499" s="10"/>
      <c r="X1499" s="10"/>
      <c r="Y1499" s="10"/>
      <c r="Z1499" s="10"/>
      <c r="AA1499" s="10"/>
    </row>
    <row r="1500" spans="1:27" ht="12.5" x14ac:dyDescent="0.25">
      <c r="A1500" s="10"/>
      <c r="B1500" s="10"/>
      <c r="C1500" s="10"/>
      <c r="D1500" s="11"/>
      <c r="E1500" s="10"/>
      <c r="F1500" s="10"/>
      <c r="G1500" s="10"/>
      <c r="H1500" s="12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0"/>
      <c r="T1500" s="10"/>
      <c r="U1500" s="10"/>
      <c r="V1500" s="10"/>
      <c r="W1500" s="10"/>
      <c r="X1500" s="10"/>
      <c r="Y1500" s="10"/>
      <c r="Z1500" s="10"/>
      <c r="AA1500" s="10"/>
    </row>
    <row r="1501" spans="1:27" ht="12.5" x14ac:dyDescent="0.25">
      <c r="A1501" s="10"/>
      <c r="B1501" s="10"/>
      <c r="C1501" s="10"/>
      <c r="D1501" s="11"/>
      <c r="E1501" s="10"/>
      <c r="F1501" s="10"/>
      <c r="G1501" s="10"/>
      <c r="H1501" s="12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0"/>
      <c r="T1501" s="10"/>
      <c r="U1501" s="10"/>
      <c r="V1501" s="10"/>
      <c r="W1501" s="10"/>
      <c r="X1501" s="10"/>
      <c r="Y1501" s="10"/>
      <c r="Z1501" s="10"/>
      <c r="AA1501" s="10"/>
    </row>
    <row r="1502" spans="1:27" ht="12.5" x14ac:dyDescent="0.25">
      <c r="A1502" s="10"/>
      <c r="B1502" s="10"/>
      <c r="C1502" s="10"/>
      <c r="D1502" s="11"/>
      <c r="E1502" s="10"/>
      <c r="F1502" s="10"/>
      <c r="G1502" s="10"/>
      <c r="H1502" s="12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0"/>
      <c r="T1502" s="10"/>
      <c r="U1502" s="10"/>
      <c r="V1502" s="10"/>
      <c r="W1502" s="10"/>
      <c r="X1502" s="10"/>
      <c r="Y1502" s="10"/>
      <c r="Z1502" s="10"/>
      <c r="AA1502" s="10"/>
    </row>
    <row r="1503" spans="1:27" ht="12.5" x14ac:dyDescent="0.25">
      <c r="A1503" s="10"/>
      <c r="B1503" s="10"/>
      <c r="C1503" s="10"/>
      <c r="D1503" s="11"/>
      <c r="E1503" s="10"/>
      <c r="F1503" s="10"/>
      <c r="G1503" s="10"/>
      <c r="H1503" s="12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0"/>
      <c r="T1503" s="10"/>
      <c r="U1503" s="10"/>
      <c r="V1503" s="10"/>
      <c r="W1503" s="10"/>
      <c r="X1503" s="10"/>
      <c r="Y1503" s="10"/>
      <c r="Z1503" s="10"/>
      <c r="AA1503" s="10"/>
    </row>
    <row r="1504" spans="1:27" ht="12.5" x14ac:dyDescent="0.25">
      <c r="A1504" s="10"/>
      <c r="B1504" s="10"/>
      <c r="C1504" s="10"/>
      <c r="D1504" s="11"/>
      <c r="E1504" s="10"/>
      <c r="F1504" s="10"/>
      <c r="G1504" s="10"/>
      <c r="H1504" s="12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0"/>
      <c r="T1504" s="10"/>
      <c r="U1504" s="10"/>
      <c r="V1504" s="10"/>
      <c r="W1504" s="10"/>
      <c r="X1504" s="10"/>
      <c r="Y1504" s="10"/>
      <c r="Z1504" s="10"/>
      <c r="AA1504" s="10"/>
    </row>
    <row r="1505" spans="1:27" ht="12.5" x14ac:dyDescent="0.25">
      <c r="A1505" s="10"/>
      <c r="B1505" s="10"/>
      <c r="C1505" s="10"/>
      <c r="D1505" s="11"/>
      <c r="E1505" s="10"/>
      <c r="F1505" s="10"/>
      <c r="G1505" s="10"/>
      <c r="H1505" s="12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0"/>
      <c r="T1505" s="10"/>
      <c r="U1505" s="10"/>
      <c r="V1505" s="10"/>
      <c r="W1505" s="10"/>
      <c r="X1505" s="10"/>
      <c r="Y1505" s="10"/>
      <c r="Z1505" s="10"/>
      <c r="AA1505" s="10"/>
    </row>
    <row r="1506" spans="1:27" ht="12.5" x14ac:dyDescent="0.25">
      <c r="A1506" s="10"/>
      <c r="B1506" s="10"/>
      <c r="C1506" s="10"/>
      <c r="D1506" s="11"/>
      <c r="E1506" s="10"/>
      <c r="F1506" s="10"/>
      <c r="G1506" s="10"/>
      <c r="H1506" s="12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0"/>
      <c r="T1506" s="10"/>
      <c r="U1506" s="10"/>
      <c r="V1506" s="10"/>
      <c r="W1506" s="10"/>
      <c r="X1506" s="10"/>
      <c r="Y1506" s="10"/>
      <c r="Z1506" s="10"/>
      <c r="AA1506" s="10"/>
    </row>
    <row r="1507" spans="1:27" ht="12.5" x14ac:dyDescent="0.25">
      <c r="A1507" s="10"/>
      <c r="B1507" s="10"/>
      <c r="C1507" s="10"/>
      <c r="D1507" s="11"/>
      <c r="E1507" s="10"/>
      <c r="F1507" s="10"/>
      <c r="G1507" s="10"/>
      <c r="H1507" s="12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0"/>
      <c r="T1507" s="10"/>
      <c r="U1507" s="10"/>
      <c r="V1507" s="10"/>
      <c r="W1507" s="10"/>
      <c r="X1507" s="10"/>
      <c r="Y1507" s="10"/>
      <c r="Z1507" s="10"/>
      <c r="AA1507" s="10"/>
    </row>
    <row r="1508" spans="1:27" ht="12.5" x14ac:dyDescent="0.25">
      <c r="A1508" s="10"/>
      <c r="B1508" s="10"/>
      <c r="C1508" s="10"/>
      <c r="D1508" s="11"/>
      <c r="E1508" s="10"/>
      <c r="F1508" s="10"/>
      <c r="G1508" s="10"/>
      <c r="H1508" s="12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0"/>
      <c r="T1508" s="10"/>
      <c r="U1508" s="10"/>
      <c r="V1508" s="10"/>
      <c r="W1508" s="10"/>
      <c r="X1508" s="10"/>
      <c r="Y1508" s="10"/>
      <c r="Z1508" s="10"/>
      <c r="AA1508" s="10"/>
    </row>
    <row r="1509" spans="1:27" ht="12.5" x14ac:dyDescent="0.25">
      <c r="A1509" s="10"/>
      <c r="B1509" s="10"/>
      <c r="C1509" s="10"/>
      <c r="D1509" s="11"/>
      <c r="E1509" s="10"/>
      <c r="F1509" s="10"/>
      <c r="G1509" s="10"/>
      <c r="H1509" s="12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0"/>
      <c r="T1509" s="10"/>
      <c r="U1509" s="10"/>
      <c r="V1509" s="10"/>
      <c r="W1509" s="10"/>
      <c r="X1509" s="10"/>
      <c r="Y1509" s="10"/>
      <c r="Z1509" s="10"/>
      <c r="AA1509" s="10"/>
    </row>
    <row r="1510" spans="1:27" ht="12.5" x14ac:dyDescent="0.25">
      <c r="A1510" s="10"/>
      <c r="B1510" s="10"/>
      <c r="C1510" s="10"/>
      <c r="D1510" s="11"/>
      <c r="E1510" s="10"/>
      <c r="F1510" s="10"/>
      <c r="G1510" s="10"/>
      <c r="H1510" s="12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0"/>
      <c r="T1510" s="10"/>
      <c r="U1510" s="10"/>
      <c r="V1510" s="10"/>
      <c r="W1510" s="10"/>
      <c r="X1510" s="10"/>
      <c r="Y1510" s="10"/>
      <c r="Z1510" s="10"/>
      <c r="AA1510" s="10"/>
    </row>
    <row r="1511" spans="1:27" ht="12.5" x14ac:dyDescent="0.25">
      <c r="A1511" s="10"/>
      <c r="B1511" s="10"/>
      <c r="C1511" s="10"/>
      <c r="D1511" s="11"/>
      <c r="E1511" s="10"/>
      <c r="F1511" s="10"/>
      <c r="G1511" s="10"/>
      <c r="H1511" s="12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0"/>
      <c r="T1511" s="10"/>
      <c r="U1511" s="10"/>
      <c r="V1511" s="10"/>
      <c r="W1511" s="10"/>
      <c r="X1511" s="10"/>
      <c r="Y1511" s="10"/>
      <c r="Z1511" s="10"/>
      <c r="AA1511" s="10"/>
    </row>
    <row r="1512" spans="1:27" ht="12.5" x14ac:dyDescent="0.25">
      <c r="A1512" s="10"/>
      <c r="B1512" s="10"/>
      <c r="C1512" s="10"/>
      <c r="D1512" s="11"/>
      <c r="E1512" s="10"/>
      <c r="F1512" s="10"/>
      <c r="G1512" s="10"/>
      <c r="H1512" s="12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0"/>
      <c r="T1512" s="10"/>
      <c r="U1512" s="10"/>
      <c r="V1512" s="10"/>
      <c r="W1512" s="10"/>
      <c r="X1512" s="10"/>
      <c r="Y1512" s="10"/>
      <c r="Z1512" s="10"/>
      <c r="AA1512" s="10"/>
    </row>
    <row r="1513" spans="1:27" ht="12.5" x14ac:dyDescent="0.25">
      <c r="A1513" s="10"/>
      <c r="B1513" s="10"/>
      <c r="C1513" s="10"/>
      <c r="D1513" s="11"/>
      <c r="E1513" s="10"/>
      <c r="F1513" s="10"/>
      <c r="G1513" s="10"/>
      <c r="H1513" s="12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0"/>
      <c r="T1513" s="10"/>
      <c r="U1513" s="10"/>
      <c r="V1513" s="10"/>
      <c r="W1513" s="10"/>
      <c r="X1513" s="10"/>
      <c r="Y1513" s="10"/>
      <c r="Z1513" s="10"/>
      <c r="AA1513" s="10"/>
    </row>
    <row r="1514" spans="1:27" ht="12.5" x14ac:dyDescent="0.25">
      <c r="A1514" s="10"/>
      <c r="B1514" s="10"/>
      <c r="C1514" s="10"/>
      <c r="D1514" s="11"/>
      <c r="E1514" s="10"/>
      <c r="F1514" s="10"/>
      <c r="G1514" s="10"/>
      <c r="H1514" s="12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0"/>
      <c r="T1514" s="10"/>
      <c r="U1514" s="10"/>
      <c r="V1514" s="10"/>
      <c r="W1514" s="10"/>
      <c r="X1514" s="10"/>
      <c r="Y1514" s="10"/>
      <c r="Z1514" s="10"/>
      <c r="AA1514" s="10"/>
    </row>
    <row r="1515" spans="1:27" ht="12.5" x14ac:dyDescent="0.25">
      <c r="A1515" s="10"/>
      <c r="B1515" s="10"/>
      <c r="C1515" s="10"/>
      <c r="D1515" s="11"/>
      <c r="E1515" s="10"/>
      <c r="F1515" s="10"/>
      <c r="G1515" s="10"/>
      <c r="H1515" s="12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0"/>
      <c r="T1515" s="10"/>
      <c r="U1515" s="10"/>
      <c r="V1515" s="10"/>
      <c r="W1515" s="10"/>
      <c r="X1515" s="10"/>
      <c r="Y1515" s="10"/>
      <c r="Z1515" s="10"/>
      <c r="AA1515" s="10"/>
    </row>
    <row r="1516" spans="1:27" ht="12.5" x14ac:dyDescent="0.25">
      <c r="A1516" s="10"/>
      <c r="B1516" s="10"/>
      <c r="C1516" s="10"/>
      <c r="D1516" s="11"/>
      <c r="E1516" s="10"/>
      <c r="F1516" s="10"/>
      <c r="G1516" s="10"/>
      <c r="H1516" s="12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0"/>
      <c r="T1516" s="10"/>
      <c r="U1516" s="10"/>
      <c r="V1516" s="10"/>
      <c r="W1516" s="10"/>
      <c r="X1516" s="10"/>
      <c r="Y1516" s="10"/>
      <c r="Z1516" s="10"/>
      <c r="AA1516" s="10"/>
    </row>
    <row r="1517" spans="1:27" ht="12.5" x14ac:dyDescent="0.25">
      <c r="A1517" s="10"/>
      <c r="B1517" s="10"/>
      <c r="C1517" s="10"/>
      <c r="D1517" s="11"/>
      <c r="E1517" s="10"/>
      <c r="F1517" s="10"/>
      <c r="G1517" s="10"/>
      <c r="H1517" s="12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0"/>
      <c r="T1517" s="10"/>
      <c r="U1517" s="10"/>
      <c r="V1517" s="10"/>
      <c r="W1517" s="10"/>
      <c r="X1517" s="10"/>
      <c r="Y1517" s="10"/>
      <c r="Z1517" s="10"/>
      <c r="AA1517" s="10"/>
    </row>
    <row r="1518" spans="1:27" ht="12.5" x14ac:dyDescent="0.25">
      <c r="A1518" s="10"/>
      <c r="B1518" s="10"/>
      <c r="C1518" s="10"/>
      <c r="D1518" s="11"/>
      <c r="E1518" s="10"/>
      <c r="F1518" s="10"/>
      <c r="G1518" s="10"/>
      <c r="H1518" s="12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0"/>
      <c r="T1518" s="10"/>
      <c r="U1518" s="10"/>
      <c r="V1518" s="10"/>
      <c r="W1518" s="10"/>
      <c r="X1518" s="10"/>
      <c r="Y1518" s="10"/>
      <c r="Z1518" s="10"/>
      <c r="AA1518" s="10"/>
    </row>
    <row r="1519" spans="1:27" ht="12.5" x14ac:dyDescent="0.25">
      <c r="A1519" s="10"/>
      <c r="B1519" s="10"/>
      <c r="C1519" s="10"/>
      <c r="D1519" s="11"/>
      <c r="E1519" s="10"/>
      <c r="F1519" s="10"/>
      <c r="G1519" s="10"/>
      <c r="H1519" s="12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0"/>
      <c r="T1519" s="10"/>
      <c r="U1519" s="10"/>
      <c r="V1519" s="10"/>
      <c r="W1519" s="10"/>
      <c r="X1519" s="10"/>
      <c r="Y1519" s="10"/>
      <c r="Z1519" s="10"/>
      <c r="AA1519" s="10"/>
    </row>
    <row r="1520" spans="1:27" ht="12.5" x14ac:dyDescent="0.25">
      <c r="A1520" s="10"/>
      <c r="B1520" s="10"/>
      <c r="C1520" s="10"/>
      <c r="D1520" s="11"/>
      <c r="E1520" s="10"/>
      <c r="F1520" s="10"/>
      <c r="G1520" s="10"/>
      <c r="H1520" s="12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0"/>
      <c r="T1520" s="10"/>
      <c r="U1520" s="10"/>
      <c r="V1520" s="10"/>
      <c r="W1520" s="10"/>
      <c r="X1520" s="10"/>
      <c r="Y1520" s="10"/>
      <c r="Z1520" s="10"/>
      <c r="AA1520" s="10"/>
    </row>
    <row r="1521" spans="1:27" ht="12.5" x14ac:dyDescent="0.25">
      <c r="A1521" s="10"/>
      <c r="B1521" s="10"/>
      <c r="C1521" s="10"/>
      <c r="D1521" s="11"/>
      <c r="E1521" s="10"/>
      <c r="F1521" s="10"/>
      <c r="G1521" s="10"/>
      <c r="H1521" s="12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0"/>
      <c r="T1521" s="10"/>
      <c r="U1521" s="10"/>
      <c r="V1521" s="10"/>
      <c r="W1521" s="10"/>
      <c r="X1521" s="10"/>
      <c r="Y1521" s="10"/>
      <c r="Z1521" s="10"/>
      <c r="AA1521" s="10"/>
    </row>
    <row r="1522" spans="1:27" ht="12.5" x14ac:dyDescent="0.25">
      <c r="A1522" s="10"/>
      <c r="B1522" s="10"/>
      <c r="C1522" s="10"/>
      <c r="D1522" s="11"/>
      <c r="E1522" s="10"/>
      <c r="F1522" s="10"/>
      <c r="G1522" s="10"/>
      <c r="H1522" s="12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0"/>
      <c r="T1522" s="10"/>
      <c r="U1522" s="10"/>
      <c r="V1522" s="10"/>
      <c r="W1522" s="10"/>
      <c r="X1522" s="10"/>
      <c r="Y1522" s="10"/>
      <c r="Z1522" s="10"/>
      <c r="AA1522" s="10"/>
    </row>
    <row r="1523" spans="1:27" ht="12.5" x14ac:dyDescent="0.25">
      <c r="A1523" s="10"/>
      <c r="B1523" s="10"/>
      <c r="C1523" s="10"/>
      <c r="D1523" s="11"/>
      <c r="E1523" s="10"/>
      <c r="F1523" s="10"/>
      <c r="G1523" s="10"/>
      <c r="H1523" s="12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0"/>
      <c r="T1523" s="10"/>
      <c r="U1523" s="10"/>
      <c r="V1523" s="10"/>
      <c r="W1523" s="10"/>
      <c r="X1523" s="10"/>
      <c r="Y1523" s="10"/>
      <c r="Z1523" s="10"/>
      <c r="AA1523" s="10"/>
    </row>
    <row r="1524" spans="1:27" ht="12.5" x14ac:dyDescent="0.25">
      <c r="A1524" s="10"/>
      <c r="B1524" s="10"/>
      <c r="C1524" s="10"/>
      <c r="D1524" s="11"/>
      <c r="E1524" s="10"/>
      <c r="F1524" s="10"/>
      <c r="G1524" s="10"/>
      <c r="H1524" s="12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0"/>
      <c r="T1524" s="10"/>
      <c r="U1524" s="10"/>
      <c r="V1524" s="10"/>
      <c r="W1524" s="10"/>
      <c r="X1524" s="10"/>
      <c r="Y1524" s="10"/>
      <c r="Z1524" s="10"/>
      <c r="AA1524" s="10"/>
    </row>
    <row r="1525" spans="1:27" ht="12.5" x14ac:dyDescent="0.25">
      <c r="A1525" s="10"/>
      <c r="B1525" s="10"/>
      <c r="C1525" s="10"/>
      <c r="D1525" s="11"/>
      <c r="E1525" s="10"/>
      <c r="F1525" s="10"/>
      <c r="G1525" s="10"/>
      <c r="H1525" s="12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0"/>
      <c r="T1525" s="10"/>
      <c r="U1525" s="10"/>
      <c r="V1525" s="10"/>
      <c r="W1525" s="10"/>
      <c r="X1525" s="10"/>
      <c r="Y1525" s="10"/>
      <c r="Z1525" s="10"/>
      <c r="AA1525" s="10"/>
    </row>
    <row r="1526" spans="1:27" ht="12.5" x14ac:dyDescent="0.25">
      <c r="A1526" s="10"/>
      <c r="B1526" s="10"/>
      <c r="C1526" s="10"/>
      <c r="D1526" s="11"/>
      <c r="E1526" s="10"/>
      <c r="F1526" s="10"/>
      <c r="G1526" s="10"/>
      <c r="H1526" s="12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0"/>
      <c r="T1526" s="10"/>
      <c r="U1526" s="10"/>
      <c r="V1526" s="10"/>
      <c r="W1526" s="10"/>
      <c r="X1526" s="10"/>
      <c r="Y1526" s="10"/>
      <c r="Z1526" s="10"/>
      <c r="AA1526" s="10"/>
    </row>
    <row r="1527" spans="1:27" ht="12.5" x14ac:dyDescent="0.25">
      <c r="A1527" s="10"/>
      <c r="B1527" s="10"/>
      <c r="C1527" s="10"/>
      <c r="D1527" s="11"/>
      <c r="E1527" s="10"/>
      <c r="F1527" s="10"/>
      <c r="G1527" s="10"/>
      <c r="H1527" s="12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0"/>
      <c r="T1527" s="10"/>
      <c r="U1527" s="10"/>
      <c r="V1527" s="10"/>
      <c r="W1527" s="10"/>
      <c r="X1527" s="10"/>
      <c r="Y1527" s="10"/>
      <c r="Z1527" s="10"/>
      <c r="AA1527" s="10"/>
    </row>
    <row r="1528" spans="1:27" ht="12.5" x14ac:dyDescent="0.25">
      <c r="A1528" s="10"/>
      <c r="B1528" s="10"/>
      <c r="C1528" s="10"/>
      <c r="D1528" s="11"/>
      <c r="E1528" s="10"/>
      <c r="F1528" s="10"/>
      <c r="G1528" s="10"/>
      <c r="H1528" s="12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0"/>
      <c r="T1528" s="10"/>
      <c r="U1528" s="10"/>
      <c r="V1528" s="10"/>
      <c r="W1528" s="10"/>
      <c r="X1528" s="10"/>
      <c r="Y1528" s="10"/>
      <c r="Z1528" s="10"/>
      <c r="AA1528" s="10"/>
    </row>
    <row r="1529" spans="1:27" ht="12.5" x14ac:dyDescent="0.25">
      <c r="A1529" s="10"/>
      <c r="B1529" s="10"/>
      <c r="C1529" s="10"/>
      <c r="D1529" s="11"/>
      <c r="E1529" s="10"/>
      <c r="F1529" s="10"/>
      <c r="G1529" s="10"/>
      <c r="H1529" s="12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0"/>
      <c r="T1529" s="10"/>
      <c r="U1529" s="10"/>
      <c r="V1529" s="10"/>
      <c r="W1529" s="10"/>
      <c r="X1529" s="10"/>
      <c r="Y1529" s="10"/>
      <c r="Z1529" s="10"/>
      <c r="AA1529" s="10"/>
    </row>
    <row r="1530" spans="1:27" ht="12.5" x14ac:dyDescent="0.25">
      <c r="A1530" s="10"/>
      <c r="B1530" s="10"/>
      <c r="C1530" s="10"/>
      <c r="D1530" s="11"/>
      <c r="E1530" s="10"/>
      <c r="F1530" s="10"/>
      <c r="G1530" s="10"/>
      <c r="H1530" s="12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0"/>
      <c r="T1530" s="10"/>
      <c r="U1530" s="10"/>
      <c r="V1530" s="10"/>
      <c r="W1530" s="10"/>
      <c r="X1530" s="10"/>
      <c r="Y1530" s="10"/>
      <c r="Z1530" s="10"/>
      <c r="AA1530" s="10"/>
    </row>
    <row r="1531" spans="1:27" ht="12.5" x14ac:dyDescent="0.25">
      <c r="A1531" s="10"/>
      <c r="B1531" s="10"/>
      <c r="C1531" s="10"/>
      <c r="D1531" s="11"/>
      <c r="E1531" s="10"/>
      <c r="F1531" s="10"/>
      <c r="G1531" s="10"/>
      <c r="H1531" s="12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0"/>
      <c r="T1531" s="10"/>
      <c r="U1531" s="10"/>
      <c r="V1531" s="10"/>
      <c r="W1531" s="10"/>
      <c r="X1531" s="10"/>
      <c r="Y1531" s="10"/>
      <c r="Z1531" s="10"/>
      <c r="AA1531" s="10"/>
    </row>
    <row r="1532" spans="1:27" ht="12.5" x14ac:dyDescent="0.25">
      <c r="A1532" s="10"/>
      <c r="B1532" s="10"/>
      <c r="C1532" s="10"/>
      <c r="D1532" s="11"/>
      <c r="E1532" s="10"/>
      <c r="F1532" s="10"/>
      <c r="G1532" s="10"/>
      <c r="H1532" s="12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0"/>
      <c r="T1532" s="10"/>
      <c r="U1532" s="10"/>
      <c r="V1532" s="10"/>
      <c r="W1532" s="10"/>
      <c r="X1532" s="10"/>
      <c r="Y1532" s="10"/>
      <c r="Z1532" s="10"/>
      <c r="AA1532" s="10"/>
    </row>
    <row r="1533" spans="1:27" ht="12.5" x14ac:dyDescent="0.25">
      <c r="A1533" s="10"/>
      <c r="B1533" s="10"/>
      <c r="C1533" s="10"/>
      <c r="D1533" s="11"/>
      <c r="E1533" s="10"/>
      <c r="F1533" s="10"/>
      <c r="G1533" s="10"/>
      <c r="H1533" s="12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0"/>
      <c r="T1533" s="10"/>
      <c r="U1533" s="10"/>
      <c r="V1533" s="10"/>
      <c r="W1533" s="10"/>
      <c r="X1533" s="10"/>
      <c r="Y1533" s="10"/>
      <c r="Z1533" s="10"/>
      <c r="AA1533" s="10"/>
    </row>
    <row r="1534" spans="1:27" ht="12.5" x14ac:dyDescent="0.25">
      <c r="A1534" s="10"/>
      <c r="B1534" s="10"/>
      <c r="C1534" s="10"/>
      <c r="D1534" s="11"/>
      <c r="E1534" s="10"/>
      <c r="F1534" s="10"/>
      <c r="G1534" s="10"/>
      <c r="H1534" s="12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0"/>
      <c r="T1534" s="10"/>
      <c r="U1534" s="10"/>
      <c r="V1534" s="10"/>
      <c r="W1534" s="10"/>
      <c r="X1534" s="10"/>
      <c r="Y1534" s="10"/>
      <c r="Z1534" s="10"/>
      <c r="AA1534" s="10"/>
    </row>
    <row r="1535" spans="1:27" ht="12.5" x14ac:dyDescent="0.25">
      <c r="A1535" s="10"/>
      <c r="B1535" s="10"/>
      <c r="C1535" s="10"/>
      <c r="D1535" s="11"/>
      <c r="E1535" s="10"/>
      <c r="F1535" s="10"/>
      <c r="G1535" s="10"/>
      <c r="H1535" s="12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0"/>
      <c r="T1535" s="10"/>
      <c r="U1535" s="10"/>
      <c r="V1535" s="10"/>
      <c r="W1535" s="10"/>
      <c r="X1535" s="10"/>
      <c r="Y1535" s="10"/>
      <c r="Z1535" s="10"/>
      <c r="AA1535" s="10"/>
    </row>
    <row r="1536" spans="1:27" ht="12.5" x14ac:dyDescent="0.25">
      <c r="A1536" s="10"/>
      <c r="B1536" s="10"/>
      <c r="C1536" s="10"/>
      <c r="D1536" s="11"/>
      <c r="E1536" s="10"/>
      <c r="F1536" s="10"/>
      <c r="G1536" s="10"/>
      <c r="H1536" s="12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0"/>
      <c r="T1536" s="10"/>
      <c r="U1536" s="10"/>
      <c r="V1536" s="10"/>
      <c r="W1536" s="10"/>
      <c r="X1536" s="10"/>
      <c r="Y1536" s="10"/>
      <c r="Z1536" s="10"/>
      <c r="AA1536" s="10"/>
    </row>
    <row r="1537" spans="1:27" ht="12.5" x14ac:dyDescent="0.25">
      <c r="A1537" s="10"/>
      <c r="B1537" s="10"/>
      <c r="C1537" s="10"/>
      <c r="D1537" s="11"/>
      <c r="E1537" s="10"/>
      <c r="F1537" s="10"/>
      <c r="G1537" s="10"/>
      <c r="H1537" s="12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0"/>
      <c r="T1537" s="10"/>
      <c r="U1537" s="10"/>
      <c r="V1537" s="10"/>
      <c r="W1537" s="10"/>
      <c r="X1537" s="10"/>
      <c r="Y1537" s="10"/>
      <c r="Z1537" s="10"/>
      <c r="AA1537" s="10"/>
    </row>
    <row r="1538" spans="1:27" ht="12.5" x14ac:dyDescent="0.25">
      <c r="A1538" s="10"/>
      <c r="B1538" s="10"/>
      <c r="C1538" s="10"/>
      <c r="D1538" s="11"/>
      <c r="E1538" s="10"/>
      <c r="F1538" s="10"/>
      <c r="G1538" s="10"/>
      <c r="H1538" s="12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0"/>
      <c r="T1538" s="10"/>
      <c r="U1538" s="10"/>
      <c r="V1538" s="10"/>
      <c r="W1538" s="10"/>
      <c r="X1538" s="10"/>
      <c r="Y1538" s="10"/>
      <c r="Z1538" s="10"/>
      <c r="AA1538" s="10"/>
    </row>
    <row r="1539" spans="1:27" ht="12.5" x14ac:dyDescent="0.25">
      <c r="A1539" s="10"/>
      <c r="B1539" s="10"/>
      <c r="C1539" s="10"/>
      <c r="D1539" s="11"/>
      <c r="E1539" s="10"/>
      <c r="F1539" s="10"/>
      <c r="G1539" s="10"/>
      <c r="H1539" s="12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0"/>
      <c r="T1539" s="10"/>
      <c r="U1539" s="10"/>
      <c r="V1539" s="10"/>
      <c r="W1539" s="10"/>
      <c r="X1539" s="10"/>
      <c r="Y1539" s="10"/>
      <c r="Z1539" s="10"/>
      <c r="AA1539" s="10"/>
    </row>
    <row r="1540" spans="1:27" ht="12.5" x14ac:dyDescent="0.25">
      <c r="A1540" s="10"/>
      <c r="B1540" s="10"/>
      <c r="C1540" s="10"/>
      <c r="D1540" s="11"/>
      <c r="E1540" s="10"/>
      <c r="F1540" s="10"/>
      <c r="G1540" s="10"/>
      <c r="H1540" s="12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0"/>
      <c r="T1540" s="10"/>
      <c r="U1540" s="10"/>
      <c r="V1540" s="10"/>
      <c r="W1540" s="10"/>
      <c r="X1540" s="10"/>
      <c r="Y1540" s="10"/>
      <c r="Z1540" s="10"/>
      <c r="AA1540" s="10"/>
    </row>
    <row r="1541" spans="1:27" ht="12.5" x14ac:dyDescent="0.25">
      <c r="A1541" s="10"/>
      <c r="B1541" s="10"/>
      <c r="C1541" s="10"/>
      <c r="D1541" s="11"/>
      <c r="E1541" s="10"/>
      <c r="F1541" s="10"/>
      <c r="G1541" s="10"/>
      <c r="H1541" s="12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0"/>
      <c r="T1541" s="10"/>
      <c r="U1541" s="10"/>
      <c r="V1541" s="10"/>
      <c r="W1541" s="10"/>
      <c r="X1541" s="10"/>
      <c r="Y1541" s="10"/>
      <c r="Z1541" s="10"/>
      <c r="AA1541" s="10"/>
    </row>
    <row r="1542" spans="1:27" ht="12.5" x14ac:dyDescent="0.25">
      <c r="A1542" s="10"/>
      <c r="B1542" s="10"/>
      <c r="C1542" s="10"/>
      <c r="D1542" s="11"/>
      <c r="E1542" s="10"/>
      <c r="F1542" s="10"/>
      <c r="G1542" s="10"/>
      <c r="H1542" s="12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0"/>
      <c r="T1542" s="10"/>
      <c r="U1542" s="10"/>
      <c r="V1542" s="10"/>
      <c r="W1542" s="10"/>
      <c r="X1542" s="10"/>
      <c r="Y1542" s="10"/>
      <c r="Z1542" s="10"/>
      <c r="AA1542" s="10"/>
    </row>
    <row r="1543" spans="1:27" ht="12.5" x14ac:dyDescent="0.25">
      <c r="A1543" s="10"/>
      <c r="B1543" s="10"/>
      <c r="C1543" s="10"/>
      <c r="D1543" s="11"/>
      <c r="E1543" s="10"/>
      <c r="F1543" s="10"/>
      <c r="G1543" s="10"/>
      <c r="H1543" s="12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0"/>
      <c r="T1543" s="10"/>
      <c r="U1543" s="10"/>
      <c r="V1543" s="10"/>
      <c r="W1543" s="10"/>
      <c r="X1543" s="10"/>
      <c r="Y1543" s="10"/>
      <c r="Z1543" s="10"/>
      <c r="AA1543" s="10"/>
    </row>
    <row r="1544" spans="1:27" ht="12.5" x14ac:dyDescent="0.25">
      <c r="A1544" s="10"/>
      <c r="B1544" s="10"/>
      <c r="C1544" s="10"/>
      <c r="D1544" s="11"/>
      <c r="E1544" s="10"/>
      <c r="F1544" s="10"/>
      <c r="G1544" s="10"/>
      <c r="H1544" s="12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0"/>
      <c r="T1544" s="10"/>
      <c r="U1544" s="10"/>
      <c r="V1544" s="10"/>
      <c r="W1544" s="10"/>
      <c r="X1544" s="10"/>
      <c r="Y1544" s="10"/>
      <c r="Z1544" s="10"/>
      <c r="AA1544" s="10"/>
    </row>
    <row r="1545" spans="1:27" ht="12.5" x14ac:dyDescent="0.25">
      <c r="A1545" s="10"/>
      <c r="B1545" s="10"/>
      <c r="C1545" s="10"/>
      <c r="D1545" s="11"/>
      <c r="E1545" s="10"/>
      <c r="F1545" s="10"/>
      <c r="G1545" s="10"/>
      <c r="H1545" s="12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0"/>
      <c r="T1545" s="10"/>
      <c r="U1545" s="10"/>
      <c r="V1545" s="10"/>
      <c r="W1545" s="10"/>
      <c r="X1545" s="10"/>
      <c r="Y1545" s="10"/>
      <c r="Z1545" s="10"/>
      <c r="AA1545" s="10"/>
    </row>
    <row r="1546" spans="1:27" ht="12.5" x14ac:dyDescent="0.25">
      <c r="A1546" s="10"/>
      <c r="B1546" s="10"/>
      <c r="C1546" s="10"/>
      <c r="D1546" s="11"/>
      <c r="E1546" s="10"/>
      <c r="F1546" s="10"/>
      <c r="G1546" s="10"/>
      <c r="H1546" s="12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0"/>
      <c r="T1546" s="10"/>
      <c r="U1546" s="10"/>
      <c r="V1546" s="10"/>
      <c r="W1546" s="10"/>
      <c r="X1546" s="10"/>
      <c r="Y1546" s="10"/>
      <c r="Z1546" s="10"/>
      <c r="AA1546" s="10"/>
    </row>
    <row r="1547" spans="1:27" ht="12.5" x14ac:dyDescent="0.25">
      <c r="A1547" s="10"/>
      <c r="B1547" s="10"/>
      <c r="C1547" s="10"/>
      <c r="D1547" s="11"/>
      <c r="E1547" s="10"/>
      <c r="F1547" s="10"/>
      <c r="G1547" s="10"/>
      <c r="H1547" s="12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0"/>
      <c r="T1547" s="10"/>
      <c r="U1547" s="10"/>
      <c r="V1547" s="10"/>
      <c r="W1547" s="10"/>
      <c r="X1547" s="10"/>
      <c r="Y1547" s="10"/>
      <c r="Z1547" s="10"/>
      <c r="AA1547" s="10"/>
    </row>
    <row r="1548" spans="1:27" ht="12.5" x14ac:dyDescent="0.25">
      <c r="A1548" s="10"/>
      <c r="B1548" s="10"/>
      <c r="C1548" s="10"/>
      <c r="D1548" s="11"/>
      <c r="E1548" s="10"/>
      <c r="F1548" s="10"/>
      <c r="G1548" s="10"/>
      <c r="H1548" s="12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0"/>
      <c r="T1548" s="10"/>
      <c r="U1548" s="10"/>
      <c r="V1548" s="10"/>
      <c r="W1548" s="10"/>
      <c r="X1548" s="10"/>
      <c r="Y1548" s="10"/>
      <c r="Z1548" s="10"/>
      <c r="AA1548" s="10"/>
    </row>
    <row r="1549" spans="1:27" ht="12.5" x14ac:dyDescent="0.25">
      <c r="A1549" s="10"/>
      <c r="B1549" s="10"/>
      <c r="C1549" s="10"/>
      <c r="D1549" s="11"/>
      <c r="E1549" s="10"/>
      <c r="F1549" s="10"/>
      <c r="G1549" s="10"/>
      <c r="H1549" s="12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0"/>
      <c r="T1549" s="10"/>
      <c r="U1549" s="10"/>
      <c r="V1549" s="10"/>
      <c r="W1549" s="10"/>
      <c r="X1549" s="10"/>
      <c r="Y1549" s="10"/>
      <c r="Z1549" s="10"/>
      <c r="AA1549" s="10"/>
    </row>
    <row r="1550" spans="1:27" ht="12.5" x14ac:dyDescent="0.25">
      <c r="A1550" s="10"/>
      <c r="B1550" s="10"/>
      <c r="C1550" s="10"/>
      <c r="D1550" s="11"/>
      <c r="E1550" s="10"/>
      <c r="F1550" s="10"/>
      <c r="G1550" s="10"/>
      <c r="H1550" s="12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0"/>
      <c r="T1550" s="10"/>
      <c r="U1550" s="10"/>
      <c r="V1550" s="10"/>
      <c r="W1550" s="10"/>
      <c r="X1550" s="10"/>
      <c r="Y1550" s="10"/>
      <c r="Z1550" s="10"/>
      <c r="AA1550" s="10"/>
    </row>
    <row r="1551" spans="1:27" ht="12.5" x14ac:dyDescent="0.25">
      <c r="A1551" s="10"/>
      <c r="B1551" s="10"/>
      <c r="C1551" s="10"/>
      <c r="D1551" s="11"/>
      <c r="E1551" s="10"/>
      <c r="F1551" s="10"/>
      <c r="G1551" s="10"/>
      <c r="H1551" s="12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0"/>
      <c r="T1551" s="10"/>
      <c r="U1551" s="10"/>
      <c r="V1551" s="10"/>
      <c r="W1551" s="10"/>
      <c r="X1551" s="10"/>
      <c r="Y1551" s="10"/>
      <c r="Z1551" s="10"/>
      <c r="AA1551" s="10"/>
    </row>
    <row r="1552" spans="1:27" ht="12.5" x14ac:dyDescent="0.25">
      <c r="A1552" s="10"/>
      <c r="B1552" s="10"/>
      <c r="C1552" s="10"/>
      <c r="D1552" s="11"/>
      <c r="E1552" s="10"/>
      <c r="F1552" s="10"/>
      <c r="G1552" s="10"/>
      <c r="H1552" s="12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0"/>
      <c r="T1552" s="10"/>
      <c r="U1552" s="10"/>
      <c r="V1552" s="10"/>
      <c r="W1552" s="10"/>
      <c r="X1552" s="10"/>
      <c r="Y1552" s="10"/>
      <c r="Z1552" s="10"/>
      <c r="AA1552" s="10"/>
    </row>
    <row r="1553" spans="1:27" ht="12.5" x14ac:dyDescent="0.25">
      <c r="A1553" s="10"/>
      <c r="B1553" s="10"/>
      <c r="C1553" s="10"/>
      <c r="D1553" s="11"/>
      <c r="E1553" s="10"/>
      <c r="F1553" s="10"/>
      <c r="G1553" s="10"/>
      <c r="H1553" s="12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0"/>
      <c r="T1553" s="10"/>
      <c r="U1553" s="10"/>
      <c r="V1553" s="10"/>
      <c r="W1553" s="10"/>
      <c r="X1553" s="10"/>
      <c r="Y1553" s="10"/>
      <c r="Z1553" s="10"/>
      <c r="AA1553" s="10"/>
    </row>
    <row r="1554" spans="1:27" ht="12.5" x14ac:dyDescent="0.25">
      <c r="A1554" s="10"/>
      <c r="B1554" s="10"/>
      <c r="C1554" s="10"/>
      <c r="D1554" s="11"/>
      <c r="E1554" s="10"/>
      <c r="F1554" s="10"/>
      <c r="G1554" s="10"/>
      <c r="H1554" s="12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0"/>
      <c r="T1554" s="10"/>
      <c r="U1554" s="10"/>
      <c r="V1554" s="10"/>
      <c r="W1554" s="10"/>
      <c r="X1554" s="10"/>
      <c r="Y1554" s="10"/>
      <c r="Z1554" s="10"/>
      <c r="AA1554" s="10"/>
    </row>
    <row r="1555" spans="1:27" ht="12.5" x14ac:dyDescent="0.25">
      <c r="A1555" s="10"/>
      <c r="B1555" s="10"/>
      <c r="C1555" s="10"/>
      <c r="D1555" s="11"/>
      <c r="E1555" s="10"/>
      <c r="F1555" s="10"/>
      <c r="G1555" s="10"/>
      <c r="H1555" s="12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0"/>
      <c r="T1555" s="10"/>
      <c r="U1555" s="10"/>
      <c r="V1555" s="10"/>
      <c r="W1555" s="10"/>
      <c r="X1555" s="10"/>
      <c r="Y1555" s="10"/>
      <c r="Z1555" s="10"/>
      <c r="AA1555" s="10"/>
    </row>
    <row r="1556" spans="1:27" ht="12.5" x14ac:dyDescent="0.25">
      <c r="A1556" s="10"/>
      <c r="B1556" s="10"/>
      <c r="C1556" s="10"/>
      <c r="D1556" s="11"/>
      <c r="E1556" s="10"/>
      <c r="F1556" s="10"/>
      <c r="G1556" s="10"/>
      <c r="H1556" s="12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0"/>
      <c r="T1556" s="10"/>
      <c r="U1556" s="10"/>
      <c r="V1556" s="10"/>
      <c r="W1556" s="10"/>
      <c r="X1556" s="10"/>
      <c r="Y1556" s="10"/>
      <c r="Z1556" s="10"/>
      <c r="AA1556" s="10"/>
    </row>
    <row r="1557" spans="1:27" ht="12.5" x14ac:dyDescent="0.25">
      <c r="A1557" s="10"/>
      <c r="B1557" s="10"/>
      <c r="C1557" s="10"/>
      <c r="D1557" s="11"/>
      <c r="E1557" s="10"/>
      <c r="F1557" s="10"/>
      <c r="G1557" s="10"/>
      <c r="H1557" s="12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0"/>
      <c r="T1557" s="10"/>
      <c r="U1557" s="10"/>
      <c r="V1557" s="10"/>
      <c r="W1557" s="10"/>
      <c r="X1557" s="10"/>
      <c r="Y1557" s="10"/>
      <c r="Z1557" s="10"/>
      <c r="AA1557" s="10"/>
    </row>
    <row r="1558" spans="1:27" ht="12.5" x14ac:dyDescent="0.25">
      <c r="A1558" s="10"/>
      <c r="B1558" s="10"/>
      <c r="C1558" s="10"/>
      <c r="D1558" s="11"/>
      <c r="E1558" s="10"/>
      <c r="F1558" s="10"/>
      <c r="G1558" s="10"/>
      <c r="H1558" s="12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0"/>
      <c r="T1558" s="10"/>
      <c r="U1558" s="10"/>
      <c r="V1558" s="10"/>
      <c r="W1558" s="10"/>
      <c r="X1558" s="10"/>
      <c r="Y1558" s="10"/>
      <c r="Z1558" s="10"/>
      <c r="AA1558" s="10"/>
    </row>
    <row r="1559" spans="1:27" ht="12.5" x14ac:dyDescent="0.25">
      <c r="A1559" s="10"/>
      <c r="B1559" s="10"/>
      <c r="C1559" s="10"/>
      <c r="D1559" s="11"/>
      <c r="E1559" s="10"/>
      <c r="F1559" s="10"/>
      <c r="G1559" s="10"/>
      <c r="H1559" s="12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0"/>
      <c r="T1559" s="10"/>
      <c r="U1559" s="10"/>
      <c r="V1559" s="10"/>
      <c r="W1559" s="10"/>
      <c r="X1559" s="10"/>
      <c r="Y1559" s="10"/>
      <c r="Z1559" s="10"/>
      <c r="AA1559" s="10"/>
    </row>
    <row r="1560" spans="1:27" ht="12.5" x14ac:dyDescent="0.25">
      <c r="A1560" s="10"/>
      <c r="B1560" s="10"/>
      <c r="C1560" s="10"/>
      <c r="D1560" s="11"/>
      <c r="E1560" s="10"/>
      <c r="F1560" s="10"/>
      <c r="G1560" s="10"/>
      <c r="H1560" s="12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0"/>
      <c r="T1560" s="10"/>
      <c r="U1560" s="10"/>
      <c r="V1560" s="10"/>
      <c r="W1560" s="10"/>
      <c r="X1560" s="10"/>
      <c r="Y1560" s="10"/>
      <c r="Z1560" s="10"/>
      <c r="AA1560" s="10"/>
    </row>
    <row r="1561" spans="1:27" ht="12.5" x14ac:dyDescent="0.25">
      <c r="A1561" s="10"/>
      <c r="B1561" s="10"/>
      <c r="C1561" s="10"/>
      <c r="D1561" s="11"/>
      <c r="E1561" s="10"/>
      <c r="F1561" s="10"/>
      <c r="G1561" s="10"/>
      <c r="H1561" s="12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0"/>
      <c r="T1561" s="10"/>
      <c r="U1561" s="10"/>
      <c r="V1561" s="10"/>
      <c r="W1561" s="10"/>
      <c r="X1561" s="10"/>
      <c r="Y1561" s="10"/>
      <c r="Z1561" s="10"/>
      <c r="AA1561" s="10"/>
    </row>
    <row r="1562" spans="1:27" ht="12.5" x14ac:dyDescent="0.25">
      <c r="A1562" s="10"/>
      <c r="B1562" s="10"/>
      <c r="C1562" s="10"/>
      <c r="D1562" s="11"/>
      <c r="E1562" s="10"/>
      <c r="F1562" s="10"/>
      <c r="G1562" s="10"/>
      <c r="H1562" s="12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0"/>
      <c r="T1562" s="10"/>
      <c r="U1562" s="10"/>
      <c r="V1562" s="10"/>
      <c r="W1562" s="10"/>
      <c r="X1562" s="10"/>
      <c r="Y1562" s="10"/>
      <c r="Z1562" s="10"/>
      <c r="AA1562" s="10"/>
    </row>
    <row r="1563" spans="1:27" ht="12.5" x14ac:dyDescent="0.25">
      <c r="A1563" s="10"/>
      <c r="B1563" s="10"/>
      <c r="C1563" s="10"/>
      <c r="D1563" s="11"/>
      <c r="E1563" s="10"/>
      <c r="F1563" s="10"/>
      <c r="G1563" s="10"/>
      <c r="H1563" s="12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0"/>
      <c r="T1563" s="10"/>
      <c r="U1563" s="10"/>
      <c r="V1563" s="10"/>
      <c r="W1563" s="10"/>
      <c r="X1563" s="10"/>
      <c r="Y1563" s="10"/>
      <c r="Z1563" s="10"/>
      <c r="AA1563" s="10"/>
    </row>
    <row r="1564" spans="1:27" ht="12.5" x14ac:dyDescent="0.25">
      <c r="A1564" s="10"/>
      <c r="B1564" s="10"/>
      <c r="C1564" s="10"/>
      <c r="D1564" s="11"/>
      <c r="E1564" s="10"/>
      <c r="F1564" s="10"/>
      <c r="G1564" s="10"/>
      <c r="H1564" s="12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0"/>
      <c r="T1564" s="10"/>
      <c r="U1564" s="10"/>
      <c r="V1564" s="10"/>
      <c r="W1564" s="10"/>
      <c r="X1564" s="10"/>
      <c r="Y1564" s="10"/>
      <c r="Z1564" s="10"/>
      <c r="AA1564" s="10"/>
    </row>
    <row r="1565" spans="1:27" ht="12.5" x14ac:dyDescent="0.25">
      <c r="A1565" s="10"/>
      <c r="B1565" s="10"/>
      <c r="C1565" s="10"/>
      <c r="D1565" s="11"/>
      <c r="E1565" s="10"/>
      <c r="F1565" s="10"/>
      <c r="G1565" s="10"/>
      <c r="H1565" s="12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0"/>
      <c r="T1565" s="10"/>
      <c r="U1565" s="10"/>
      <c r="V1565" s="10"/>
      <c r="W1565" s="10"/>
      <c r="X1565" s="10"/>
      <c r="Y1565" s="10"/>
      <c r="Z1565" s="10"/>
      <c r="AA1565" s="10"/>
    </row>
    <row r="1566" spans="1:27" ht="12.5" x14ac:dyDescent="0.25">
      <c r="A1566" s="10"/>
      <c r="B1566" s="10"/>
      <c r="C1566" s="10"/>
      <c r="D1566" s="11"/>
      <c r="E1566" s="10"/>
      <c r="F1566" s="10"/>
      <c r="G1566" s="10"/>
      <c r="H1566" s="12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0"/>
      <c r="T1566" s="10"/>
      <c r="U1566" s="10"/>
      <c r="V1566" s="10"/>
      <c r="W1566" s="10"/>
      <c r="X1566" s="10"/>
      <c r="Y1566" s="10"/>
      <c r="Z1566" s="10"/>
      <c r="AA1566" s="10"/>
    </row>
    <row r="1567" spans="1:27" ht="12.5" x14ac:dyDescent="0.25">
      <c r="A1567" s="10"/>
      <c r="B1567" s="10"/>
      <c r="C1567" s="10"/>
      <c r="D1567" s="11"/>
      <c r="E1567" s="10"/>
      <c r="F1567" s="10"/>
      <c r="G1567" s="10"/>
      <c r="H1567" s="12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0"/>
      <c r="T1567" s="10"/>
      <c r="U1567" s="10"/>
      <c r="V1567" s="10"/>
      <c r="W1567" s="10"/>
      <c r="X1567" s="10"/>
      <c r="Y1567" s="10"/>
      <c r="Z1567" s="10"/>
      <c r="AA1567" s="10"/>
    </row>
    <row r="1568" spans="1:27" ht="12.5" x14ac:dyDescent="0.25">
      <c r="A1568" s="10"/>
      <c r="B1568" s="10"/>
      <c r="C1568" s="10"/>
      <c r="D1568" s="11"/>
      <c r="E1568" s="10"/>
      <c r="F1568" s="10"/>
      <c r="G1568" s="10"/>
      <c r="H1568" s="12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0"/>
      <c r="T1568" s="10"/>
      <c r="U1568" s="10"/>
      <c r="V1568" s="10"/>
      <c r="W1568" s="10"/>
      <c r="X1568" s="10"/>
      <c r="Y1568" s="10"/>
      <c r="Z1568" s="10"/>
      <c r="AA1568" s="10"/>
    </row>
    <row r="1569" spans="1:27" ht="12.5" x14ac:dyDescent="0.25">
      <c r="A1569" s="10"/>
      <c r="B1569" s="10"/>
      <c r="C1569" s="10"/>
      <c r="D1569" s="11"/>
      <c r="E1569" s="10"/>
      <c r="F1569" s="10"/>
      <c r="G1569" s="10"/>
      <c r="H1569" s="12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0"/>
      <c r="T1569" s="10"/>
      <c r="U1569" s="10"/>
      <c r="V1569" s="10"/>
      <c r="W1569" s="10"/>
      <c r="X1569" s="10"/>
      <c r="Y1569" s="10"/>
      <c r="Z1569" s="10"/>
      <c r="AA1569" s="10"/>
    </row>
    <row r="1570" spans="1:27" ht="12.5" x14ac:dyDescent="0.25">
      <c r="A1570" s="10"/>
      <c r="B1570" s="10"/>
      <c r="C1570" s="10"/>
      <c r="D1570" s="11"/>
      <c r="E1570" s="10"/>
      <c r="F1570" s="10"/>
      <c r="G1570" s="10"/>
      <c r="H1570" s="12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0"/>
      <c r="T1570" s="10"/>
      <c r="U1570" s="10"/>
      <c r="V1570" s="10"/>
      <c r="W1570" s="10"/>
      <c r="X1570" s="10"/>
      <c r="Y1570" s="10"/>
      <c r="Z1570" s="10"/>
      <c r="AA1570" s="10"/>
    </row>
    <row r="1571" spans="1:27" ht="12.5" x14ac:dyDescent="0.25">
      <c r="A1571" s="10"/>
      <c r="B1571" s="10"/>
      <c r="C1571" s="10"/>
      <c r="D1571" s="11"/>
      <c r="E1571" s="10"/>
      <c r="F1571" s="10"/>
      <c r="G1571" s="10"/>
      <c r="H1571" s="12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0"/>
      <c r="T1571" s="10"/>
      <c r="U1571" s="10"/>
      <c r="V1571" s="10"/>
      <c r="W1571" s="10"/>
      <c r="X1571" s="10"/>
      <c r="Y1571" s="10"/>
      <c r="Z1571" s="10"/>
      <c r="AA1571" s="10"/>
    </row>
    <row r="1572" spans="1:27" ht="12.5" x14ac:dyDescent="0.25">
      <c r="A1572" s="10"/>
      <c r="B1572" s="10"/>
      <c r="C1572" s="10"/>
      <c r="D1572" s="11"/>
      <c r="E1572" s="10"/>
      <c r="F1572" s="10"/>
      <c r="G1572" s="10"/>
      <c r="H1572" s="12"/>
      <c r="I1572" s="11"/>
      <c r="J1572" s="11"/>
      <c r="K1572" s="11"/>
      <c r="L1572" s="11"/>
      <c r="M1572" s="11"/>
      <c r="N1572" s="10"/>
      <c r="O1572" s="11"/>
      <c r="P1572" s="11"/>
      <c r="Q1572" s="11"/>
      <c r="R1572" s="11"/>
      <c r="S1572" s="10"/>
      <c r="T1572" s="10"/>
      <c r="U1572" s="10"/>
      <c r="V1572" s="10"/>
      <c r="W1572" s="10"/>
      <c r="X1572" s="10"/>
      <c r="Y1572" s="10"/>
      <c r="Z1572" s="10"/>
      <c r="AA1572" s="10"/>
    </row>
    <row r="1573" spans="1:27" ht="12.5" x14ac:dyDescent="0.25">
      <c r="A1573" s="10"/>
      <c r="B1573" s="10"/>
      <c r="C1573" s="10"/>
      <c r="D1573" s="10"/>
      <c r="E1573" s="10"/>
      <c r="F1573" s="10"/>
      <c r="G1573" s="10"/>
      <c r="H1573" s="15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  <c r="AA1573" s="10"/>
    </row>
    <row r="1574" spans="1:27" ht="12.5" x14ac:dyDescent="0.25">
      <c r="A1574" s="10"/>
      <c r="B1574" s="10"/>
      <c r="C1574" s="10"/>
      <c r="D1574" s="10"/>
      <c r="E1574" s="10"/>
      <c r="F1574" s="10"/>
      <c r="G1574" s="10"/>
      <c r="H1574" s="15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  <c r="AA1574" s="10"/>
    </row>
  </sheetData>
  <autoFilter ref="A1:T445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574"/>
  <sheetViews>
    <sheetView workbookViewId="0"/>
  </sheetViews>
  <sheetFormatPr defaultColWidth="12.6328125" defaultRowHeight="15.75" customHeight="1" x14ac:dyDescent="0.25"/>
  <cols>
    <col min="2" max="2" width="42.6328125" customWidth="1"/>
  </cols>
  <sheetData>
    <row r="1" spans="1:27" x14ac:dyDescent="0.3">
      <c r="A1" s="7" t="s">
        <v>23</v>
      </c>
      <c r="B1" s="7" t="s">
        <v>28</v>
      </c>
      <c r="C1" s="7" t="s">
        <v>30</v>
      </c>
      <c r="D1" s="7" t="s">
        <v>31</v>
      </c>
      <c r="E1" s="7" t="s">
        <v>33</v>
      </c>
      <c r="F1" s="7" t="s">
        <v>35</v>
      </c>
      <c r="G1" s="7" t="s">
        <v>38</v>
      </c>
      <c r="H1" s="14" t="s">
        <v>41</v>
      </c>
      <c r="I1" s="7" t="s">
        <v>44</v>
      </c>
      <c r="J1" s="7" t="s">
        <v>46</v>
      </c>
      <c r="K1" s="7" t="s">
        <v>50</v>
      </c>
      <c r="L1" s="7" t="s">
        <v>51</v>
      </c>
      <c r="M1" s="7" t="s">
        <v>54</v>
      </c>
      <c r="N1" s="7" t="s">
        <v>56</v>
      </c>
      <c r="O1" s="7" t="s">
        <v>57</v>
      </c>
      <c r="P1" s="7" t="s">
        <v>59</v>
      </c>
      <c r="Q1" s="7" t="s">
        <v>60</v>
      </c>
      <c r="R1" s="7" t="s">
        <v>61</v>
      </c>
      <c r="S1" s="7" t="s">
        <v>63</v>
      </c>
      <c r="T1" s="7" t="s">
        <v>64</v>
      </c>
      <c r="U1" s="10"/>
      <c r="V1" s="10"/>
      <c r="W1" s="10"/>
      <c r="X1" s="10"/>
      <c r="Y1" s="10"/>
      <c r="Z1" s="10"/>
      <c r="AA1" s="10"/>
    </row>
    <row r="2" spans="1:27" ht="15.75" customHeight="1" x14ac:dyDescent="0.25">
      <c r="A2" s="10" t="s">
        <v>58</v>
      </c>
      <c r="B2" s="10" t="s">
        <v>75</v>
      </c>
      <c r="C2" s="10" t="s">
        <v>76</v>
      </c>
      <c r="D2" s="11">
        <v>2024</v>
      </c>
      <c r="E2" s="10" t="s">
        <v>81</v>
      </c>
      <c r="F2" s="10" t="s">
        <v>83</v>
      </c>
      <c r="G2" s="10" t="s">
        <v>84</v>
      </c>
      <c r="H2" s="12">
        <v>64563</v>
      </c>
      <c r="I2" s="11">
        <v>55643</v>
      </c>
      <c r="J2" s="11">
        <v>55037</v>
      </c>
      <c r="K2" s="11">
        <v>488373</v>
      </c>
      <c r="L2" s="11">
        <v>0.86184037296903804</v>
      </c>
      <c r="M2" s="11">
        <v>86.18403729690381</v>
      </c>
      <c r="N2" s="11">
        <v>0.989109142210161</v>
      </c>
      <c r="O2" s="11">
        <v>7.5642860461874504</v>
      </c>
      <c r="P2" s="11">
        <v>0.99662162162162204</v>
      </c>
      <c r="Q2" s="11">
        <v>1</v>
      </c>
      <c r="R2" s="11">
        <v>0.99418604651162801</v>
      </c>
      <c r="S2" s="10" t="s">
        <v>84</v>
      </c>
      <c r="T2" s="10" t="s">
        <v>84</v>
      </c>
      <c r="U2" s="10"/>
      <c r="V2" s="10"/>
      <c r="W2" s="10"/>
      <c r="X2" s="10"/>
      <c r="Y2" s="10"/>
      <c r="Z2" s="10"/>
      <c r="AA2" s="10"/>
    </row>
    <row r="3" spans="1:27" ht="15.75" customHeight="1" x14ac:dyDescent="0.25">
      <c r="A3" s="10" t="s">
        <v>42</v>
      </c>
      <c r="B3" s="10" t="s">
        <v>114</v>
      </c>
      <c r="C3" s="10" t="s">
        <v>76</v>
      </c>
      <c r="D3" s="11">
        <v>2024</v>
      </c>
      <c r="E3" s="10" t="s">
        <v>81</v>
      </c>
      <c r="F3" s="10" t="s">
        <v>83</v>
      </c>
      <c r="G3" s="10" t="s">
        <v>84</v>
      </c>
      <c r="H3" s="12">
        <v>20677.5</v>
      </c>
      <c r="I3" s="11">
        <v>16115</v>
      </c>
      <c r="J3" s="11">
        <v>15797</v>
      </c>
      <c r="K3" s="11">
        <v>87801</v>
      </c>
      <c r="L3" s="11">
        <v>0.779349534518196</v>
      </c>
      <c r="M3" s="11">
        <v>77.934953451819609</v>
      </c>
      <c r="N3" s="11">
        <v>0.98026683214396504</v>
      </c>
      <c r="O3" s="11">
        <v>4.2462096481682998</v>
      </c>
      <c r="P3" s="11">
        <v>0.99577702702702697</v>
      </c>
      <c r="Q3" s="11">
        <v>1</v>
      </c>
      <c r="R3" s="11">
        <v>0.99224806201550397</v>
      </c>
      <c r="S3" s="10" t="s">
        <v>84</v>
      </c>
      <c r="T3" s="10" t="s">
        <v>84</v>
      </c>
      <c r="U3" s="10"/>
      <c r="V3" s="10"/>
      <c r="W3" s="10"/>
      <c r="X3" s="10"/>
      <c r="Y3" s="10"/>
      <c r="Z3" s="10"/>
      <c r="AA3" s="10"/>
    </row>
    <row r="4" spans="1:27" ht="15.75" customHeight="1" x14ac:dyDescent="0.25">
      <c r="A4" s="10" t="s">
        <v>26</v>
      </c>
      <c r="B4" s="10" t="s">
        <v>127</v>
      </c>
      <c r="C4" s="10" t="s">
        <v>76</v>
      </c>
      <c r="D4" s="11">
        <v>2024</v>
      </c>
      <c r="E4" s="10" t="s">
        <v>81</v>
      </c>
      <c r="F4" s="10" t="s">
        <v>83</v>
      </c>
      <c r="G4" s="10" t="s">
        <v>84</v>
      </c>
      <c r="H4" s="12">
        <v>6023</v>
      </c>
      <c r="I4" s="11">
        <v>4602</v>
      </c>
      <c r="J4" s="11">
        <v>4232</v>
      </c>
      <c r="K4" s="11">
        <v>10450</v>
      </c>
      <c r="L4" s="11">
        <v>0.76407106093308996</v>
      </c>
      <c r="M4" s="11">
        <v>76.407106093308983</v>
      </c>
      <c r="N4" s="11">
        <v>0.91960017383746195</v>
      </c>
      <c r="O4" s="11">
        <v>1.7350157728706599</v>
      </c>
      <c r="P4" s="11">
        <v>0.99408783783783805</v>
      </c>
      <c r="Q4" s="11">
        <v>1</v>
      </c>
      <c r="R4" s="11">
        <v>0.99031007751938005</v>
      </c>
      <c r="S4" s="10" t="s">
        <v>84</v>
      </c>
      <c r="T4" s="10" t="s">
        <v>84</v>
      </c>
      <c r="U4" s="10"/>
      <c r="V4" s="10"/>
      <c r="W4" s="10"/>
      <c r="X4" s="10"/>
      <c r="Y4" s="10"/>
      <c r="Z4" s="10"/>
      <c r="AA4" s="10"/>
    </row>
    <row r="5" spans="1:27" ht="15.75" customHeight="1" x14ac:dyDescent="0.25">
      <c r="A5" s="10" t="s">
        <v>86</v>
      </c>
      <c r="B5" s="10" t="s">
        <v>146</v>
      </c>
      <c r="C5" s="10" t="s">
        <v>76</v>
      </c>
      <c r="D5" s="11">
        <v>2024</v>
      </c>
      <c r="E5" s="10" t="s">
        <v>81</v>
      </c>
      <c r="F5" s="10" t="s">
        <v>83</v>
      </c>
      <c r="G5" s="10" t="s">
        <v>84</v>
      </c>
      <c r="H5" s="12">
        <v>63037.75</v>
      </c>
      <c r="I5" s="11">
        <v>47637</v>
      </c>
      <c r="J5" s="11">
        <v>45572</v>
      </c>
      <c r="K5" s="11">
        <v>144648</v>
      </c>
      <c r="L5" s="11">
        <v>0.75569004287113695</v>
      </c>
      <c r="M5" s="11">
        <v>75.569004287113671</v>
      </c>
      <c r="N5" s="11">
        <v>0.95665134244389904</v>
      </c>
      <c r="O5" s="11">
        <v>2.29462504610333</v>
      </c>
      <c r="P5" s="11">
        <v>0.99155405405405395</v>
      </c>
      <c r="Q5" s="11">
        <v>0.97826086956521696</v>
      </c>
      <c r="R5" s="11">
        <v>0.98837209302325602</v>
      </c>
      <c r="S5" s="10" t="s">
        <v>84</v>
      </c>
      <c r="T5" s="10" t="s">
        <v>84</v>
      </c>
      <c r="U5" s="10"/>
      <c r="V5" s="10"/>
      <c r="W5" s="10"/>
      <c r="X5" s="10"/>
      <c r="Y5" s="10"/>
      <c r="Z5" s="10"/>
      <c r="AA5" s="10"/>
    </row>
    <row r="6" spans="1:27" ht="15.75" customHeight="1" x14ac:dyDescent="0.25">
      <c r="A6" s="10" t="s">
        <v>52</v>
      </c>
      <c r="B6" s="10" t="s">
        <v>164</v>
      </c>
      <c r="C6" s="10" t="s">
        <v>76</v>
      </c>
      <c r="D6" s="11">
        <v>2024</v>
      </c>
      <c r="E6" s="10" t="s">
        <v>81</v>
      </c>
      <c r="F6" s="10" t="s">
        <v>83</v>
      </c>
      <c r="G6" s="10" t="s">
        <v>84</v>
      </c>
      <c r="H6" s="12">
        <v>29629.75</v>
      </c>
      <c r="I6" s="11">
        <v>20782</v>
      </c>
      <c r="J6" s="11">
        <v>19464</v>
      </c>
      <c r="K6" s="11">
        <v>25032</v>
      </c>
      <c r="L6" s="11">
        <v>0.70138965060454395</v>
      </c>
      <c r="M6" s="11">
        <v>70.138965060454439</v>
      </c>
      <c r="N6" s="11">
        <v>0.93657973246078297</v>
      </c>
      <c r="O6" s="11">
        <v>0.844826567892068</v>
      </c>
      <c r="P6" s="11">
        <v>0.98902027027026995</v>
      </c>
      <c r="Q6" s="11">
        <v>1</v>
      </c>
      <c r="R6" s="11">
        <v>0.98643410852713198</v>
      </c>
      <c r="S6" s="10" t="s">
        <v>84</v>
      </c>
      <c r="T6" s="10" t="s">
        <v>84</v>
      </c>
      <c r="U6" s="10"/>
      <c r="V6" s="10"/>
      <c r="W6" s="10"/>
      <c r="X6" s="10"/>
      <c r="Y6" s="10"/>
      <c r="Z6" s="10"/>
      <c r="AA6" s="10"/>
    </row>
    <row r="7" spans="1:27" ht="15.75" customHeight="1" x14ac:dyDescent="0.25">
      <c r="A7" s="10" t="s">
        <v>32</v>
      </c>
      <c r="B7" s="10" t="s">
        <v>205</v>
      </c>
      <c r="C7" s="10" t="s">
        <v>76</v>
      </c>
      <c r="D7" s="11">
        <v>2024</v>
      </c>
      <c r="E7" s="10" t="s">
        <v>81</v>
      </c>
      <c r="F7" s="10" t="s">
        <v>83</v>
      </c>
      <c r="G7" s="10" t="s">
        <v>84</v>
      </c>
      <c r="H7" s="12">
        <v>21207.333333333299</v>
      </c>
      <c r="I7" s="11">
        <v>11563</v>
      </c>
      <c r="J7" s="11">
        <v>7801</v>
      </c>
      <c r="K7" s="11">
        <v>15169</v>
      </c>
      <c r="L7" s="11">
        <v>0.54523592468014204</v>
      </c>
      <c r="M7" s="11">
        <v>54.523592468014293</v>
      </c>
      <c r="N7" s="11">
        <v>0.67465190694456501</v>
      </c>
      <c r="O7" s="11">
        <v>0.715271446983748</v>
      </c>
      <c r="P7" s="11">
        <v>0.98226351351351304</v>
      </c>
      <c r="Q7" s="11">
        <v>0.89655172413793105</v>
      </c>
      <c r="R7" s="11">
        <v>0.98449612403100795</v>
      </c>
      <c r="S7" s="10" t="s">
        <v>84</v>
      </c>
      <c r="T7" s="10" t="s">
        <v>84</v>
      </c>
      <c r="U7" s="10"/>
      <c r="V7" s="10"/>
      <c r="W7" s="10"/>
      <c r="X7" s="10"/>
      <c r="Y7" s="10"/>
      <c r="Z7" s="10"/>
      <c r="AA7" s="10"/>
    </row>
    <row r="8" spans="1:27" ht="15.75" customHeight="1" x14ac:dyDescent="0.25">
      <c r="A8" s="10" t="s">
        <v>49</v>
      </c>
      <c r="B8" s="10" t="s">
        <v>211</v>
      </c>
      <c r="C8" s="10" t="s">
        <v>76</v>
      </c>
      <c r="D8" s="11">
        <v>2024</v>
      </c>
      <c r="E8" s="10" t="s">
        <v>81</v>
      </c>
      <c r="F8" s="10" t="s">
        <v>83</v>
      </c>
      <c r="G8" s="10" t="s">
        <v>84</v>
      </c>
      <c r="H8" s="12">
        <v>29260.5</v>
      </c>
      <c r="I8" s="11">
        <v>15828</v>
      </c>
      <c r="J8" s="11">
        <v>15620</v>
      </c>
      <c r="K8" s="11">
        <v>47766</v>
      </c>
      <c r="L8" s="11">
        <v>0.54093402368380605</v>
      </c>
      <c r="M8" s="11">
        <v>54.09340236838058</v>
      </c>
      <c r="N8" s="11">
        <v>0.98685873136214297</v>
      </c>
      <c r="O8" s="11">
        <v>1.63243963705337</v>
      </c>
      <c r="P8" s="11">
        <v>0.98141891891891897</v>
      </c>
      <c r="Q8" s="11">
        <v>1</v>
      </c>
      <c r="R8" s="11">
        <v>0.98255813953488402</v>
      </c>
      <c r="S8" s="10" t="s">
        <v>84</v>
      </c>
      <c r="T8" s="10" t="s">
        <v>84</v>
      </c>
      <c r="U8" s="10"/>
      <c r="V8" s="10"/>
      <c r="W8" s="10"/>
      <c r="X8" s="10"/>
      <c r="Y8" s="10"/>
      <c r="Z8" s="10"/>
      <c r="AA8" s="10"/>
    </row>
    <row r="9" spans="1:27" ht="15.75" customHeight="1" x14ac:dyDescent="0.25">
      <c r="A9" s="10" t="s">
        <v>91</v>
      </c>
      <c r="B9" s="10" t="s">
        <v>221</v>
      </c>
      <c r="C9" s="10" t="s">
        <v>76</v>
      </c>
      <c r="D9" s="11">
        <v>2024</v>
      </c>
      <c r="E9" s="10" t="s">
        <v>81</v>
      </c>
      <c r="F9" s="10" t="s">
        <v>83</v>
      </c>
      <c r="G9" s="10" t="s">
        <v>84</v>
      </c>
      <c r="H9" s="12">
        <v>6060.6666666666697</v>
      </c>
      <c r="I9" s="11">
        <v>3024</v>
      </c>
      <c r="J9" s="11">
        <v>2948</v>
      </c>
      <c r="K9" s="11">
        <v>3175</v>
      </c>
      <c r="L9" s="11">
        <v>0.49895501044989499</v>
      </c>
      <c r="M9" s="11">
        <v>49.89550104498953</v>
      </c>
      <c r="N9" s="11">
        <v>0.97486772486772499</v>
      </c>
      <c r="O9" s="11">
        <v>0.52386976130238705</v>
      </c>
      <c r="P9" s="11">
        <v>0.97972972972973005</v>
      </c>
      <c r="Q9" s="11">
        <v>1</v>
      </c>
      <c r="R9" s="11">
        <v>0.98062015503875999</v>
      </c>
      <c r="S9" s="10" t="s">
        <v>84</v>
      </c>
      <c r="T9" s="10" t="s">
        <v>84</v>
      </c>
      <c r="U9" s="10"/>
      <c r="V9" s="10"/>
      <c r="W9" s="10"/>
      <c r="X9" s="10"/>
      <c r="Y9" s="10"/>
      <c r="Z9" s="10"/>
      <c r="AA9" s="10"/>
    </row>
    <row r="10" spans="1:27" ht="15.75" customHeight="1" x14ac:dyDescent="0.25">
      <c r="A10" s="10" t="s">
        <v>52</v>
      </c>
      <c r="B10" s="10" t="s">
        <v>261</v>
      </c>
      <c r="C10" s="10" t="s">
        <v>76</v>
      </c>
      <c r="D10" s="11">
        <v>2024</v>
      </c>
      <c r="E10" s="10" t="s">
        <v>81</v>
      </c>
      <c r="F10" s="10" t="s">
        <v>83</v>
      </c>
      <c r="G10" s="10" t="s">
        <v>84</v>
      </c>
      <c r="H10" s="12">
        <v>39216.333333333299</v>
      </c>
      <c r="I10" s="11">
        <v>16772</v>
      </c>
      <c r="J10" s="11">
        <v>16259</v>
      </c>
      <c r="K10" s="11">
        <v>17259</v>
      </c>
      <c r="L10" s="11">
        <v>0.427678943297436</v>
      </c>
      <c r="M10" s="11">
        <v>42.767894329743598</v>
      </c>
      <c r="N10" s="11">
        <v>0.96941330789410896</v>
      </c>
      <c r="O10" s="11">
        <v>0.44009723839556603</v>
      </c>
      <c r="P10" s="11">
        <v>0.97043918918918903</v>
      </c>
      <c r="Q10" s="11">
        <v>0.95744680851063801</v>
      </c>
      <c r="R10" s="11">
        <v>0.97868217054263595</v>
      </c>
      <c r="S10" s="10" t="s">
        <v>84</v>
      </c>
      <c r="T10" s="10" t="s">
        <v>84</v>
      </c>
      <c r="U10" s="10"/>
      <c r="V10" s="10"/>
      <c r="W10" s="10"/>
      <c r="X10" s="10"/>
      <c r="Y10" s="10"/>
      <c r="Z10" s="10"/>
      <c r="AA10" s="10"/>
    </row>
    <row r="11" spans="1:27" ht="15.75" customHeight="1" x14ac:dyDescent="0.25">
      <c r="A11" s="10" t="s">
        <v>29</v>
      </c>
      <c r="B11" s="10" t="s">
        <v>267</v>
      </c>
      <c r="C11" s="10" t="s">
        <v>76</v>
      </c>
      <c r="D11" s="11">
        <v>2024</v>
      </c>
      <c r="E11" s="10" t="s">
        <v>81</v>
      </c>
      <c r="F11" s="10" t="s">
        <v>83</v>
      </c>
      <c r="G11" s="10" t="s">
        <v>84</v>
      </c>
      <c r="H11" s="12">
        <v>43954.416666666701</v>
      </c>
      <c r="I11" s="11">
        <v>17597</v>
      </c>
      <c r="J11" s="11">
        <v>15116</v>
      </c>
      <c r="K11" s="11">
        <v>60042</v>
      </c>
      <c r="L11" s="11">
        <v>0.40034657116368699</v>
      </c>
      <c r="M11" s="11">
        <v>40.034657116368635</v>
      </c>
      <c r="N11" s="11">
        <v>0.85901005853270396</v>
      </c>
      <c r="O11" s="11">
        <v>1.3660060706830801</v>
      </c>
      <c r="P11" s="11">
        <v>0.96621621621621601</v>
      </c>
      <c r="Q11" s="11">
        <v>0.93877551020408201</v>
      </c>
      <c r="R11" s="11">
        <v>0.97674418604651203</v>
      </c>
      <c r="S11" s="10" t="s">
        <v>84</v>
      </c>
      <c r="T11" s="10" t="s">
        <v>84</v>
      </c>
      <c r="U11" s="10"/>
      <c r="V11" s="10"/>
      <c r="W11" s="10"/>
      <c r="X11" s="10"/>
      <c r="Y11" s="10"/>
      <c r="Z11" s="10"/>
      <c r="AA11" s="10"/>
    </row>
    <row r="12" spans="1:27" ht="15.75" customHeight="1" x14ac:dyDescent="0.25">
      <c r="A12" s="10" t="s">
        <v>19</v>
      </c>
      <c r="B12" s="10" t="s">
        <v>272</v>
      </c>
      <c r="C12" s="10" t="s">
        <v>76</v>
      </c>
      <c r="D12" s="11">
        <v>2024</v>
      </c>
      <c r="E12" s="10" t="s">
        <v>81</v>
      </c>
      <c r="F12" s="10" t="s">
        <v>83</v>
      </c>
      <c r="G12" s="10" t="s">
        <v>84</v>
      </c>
      <c r="H12" s="12">
        <v>21521.25</v>
      </c>
      <c r="I12" s="11">
        <v>7458</v>
      </c>
      <c r="J12" s="11">
        <v>6506</v>
      </c>
      <c r="K12" s="11">
        <v>40423</v>
      </c>
      <c r="L12" s="11">
        <v>0.346541209269908</v>
      </c>
      <c r="M12" s="11">
        <v>34.654120926990764</v>
      </c>
      <c r="N12" s="11">
        <v>0.87235183695360696</v>
      </c>
      <c r="O12" s="11">
        <v>1.8782830922925</v>
      </c>
      <c r="P12" s="11">
        <v>0.95945945945945899</v>
      </c>
      <c r="Q12" s="11">
        <v>1</v>
      </c>
      <c r="R12" s="11">
        <v>0.974806201550388</v>
      </c>
      <c r="S12" s="10" t="s">
        <v>84</v>
      </c>
      <c r="T12" s="10" t="s">
        <v>84</v>
      </c>
      <c r="U12" s="10"/>
      <c r="V12" s="10"/>
      <c r="W12" s="10"/>
      <c r="X12" s="10"/>
      <c r="Y12" s="10"/>
      <c r="Z12" s="10"/>
      <c r="AA12" s="10"/>
    </row>
    <row r="13" spans="1:27" ht="15.75" customHeight="1" x14ac:dyDescent="0.25">
      <c r="A13" s="10" t="s">
        <v>10</v>
      </c>
      <c r="B13" s="10" t="s">
        <v>279</v>
      </c>
      <c r="C13" s="10" t="s">
        <v>76</v>
      </c>
      <c r="D13" s="11">
        <v>2024</v>
      </c>
      <c r="E13" s="10" t="s">
        <v>81</v>
      </c>
      <c r="F13" s="10" t="s">
        <v>83</v>
      </c>
      <c r="G13" s="10" t="s">
        <v>84</v>
      </c>
      <c r="H13" s="12">
        <v>19552.083333333299</v>
      </c>
      <c r="I13" s="11">
        <v>6737</v>
      </c>
      <c r="J13" s="11">
        <v>6435</v>
      </c>
      <c r="K13" s="11">
        <v>300</v>
      </c>
      <c r="L13" s="11">
        <v>0.344566862013852</v>
      </c>
      <c r="M13" s="11">
        <v>34.456686201385253</v>
      </c>
      <c r="N13" s="11">
        <v>0.95517292563455503</v>
      </c>
      <c r="O13" s="11">
        <v>1.53436334576452E-2</v>
      </c>
      <c r="P13" s="11">
        <v>0.95861486486486502</v>
      </c>
      <c r="Q13" s="11">
        <v>0.93333333333333302</v>
      </c>
      <c r="R13" s="11">
        <v>0.97286821705426396</v>
      </c>
      <c r="S13" s="10" t="s">
        <v>84</v>
      </c>
      <c r="T13" s="10" t="s">
        <v>84</v>
      </c>
      <c r="U13" s="10"/>
      <c r="V13" s="10"/>
      <c r="W13" s="10"/>
      <c r="X13" s="10"/>
      <c r="Y13" s="10"/>
      <c r="Z13" s="10"/>
      <c r="AA13" s="10"/>
    </row>
    <row r="14" spans="1:27" ht="15.75" customHeight="1" x14ac:dyDescent="0.25">
      <c r="A14" s="10" t="s">
        <v>6</v>
      </c>
      <c r="B14" s="10" t="s">
        <v>284</v>
      </c>
      <c r="C14" s="10" t="s">
        <v>76</v>
      </c>
      <c r="D14" s="11">
        <v>2024</v>
      </c>
      <c r="E14" s="10" t="s">
        <v>81</v>
      </c>
      <c r="F14" s="10" t="s">
        <v>83</v>
      </c>
      <c r="G14" s="10" t="s">
        <v>84</v>
      </c>
      <c r="H14" s="12">
        <v>44</v>
      </c>
      <c r="I14" s="11">
        <v>15</v>
      </c>
      <c r="J14" s="11">
        <v>14</v>
      </c>
      <c r="K14" s="11">
        <v>44</v>
      </c>
      <c r="L14" s="11">
        <v>0.34090909090909099</v>
      </c>
      <c r="M14" s="11">
        <v>34.090909090909086</v>
      </c>
      <c r="N14" s="11">
        <v>0.93333333333333302</v>
      </c>
      <c r="O14" s="11">
        <v>1</v>
      </c>
      <c r="P14" s="11">
        <v>0.95692567567567599</v>
      </c>
      <c r="Q14" s="11">
        <v>1</v>
      </c>
      <c r="R14" s="11">
        <v>0.97093023255814004</v>
      </c>
      <c r="S14" s="10" t="s">
        <v>84</v>
      </c>
      <c r="T14" s="10" t="s">
        <v>84</v>
      </c>
      <c r="U14" s="10"/>
      <c r="V14" s="10"/>
      <c r="W14" s="10"/>
      <c r="X14" s="10"/>
      <c r="Y14" s="10"/>
      <c r="Z14" s="10"/>
      <c r="AA14" s="10"/>
    </row>
    <row r="15" spans="1:27" ht="15.75" customHeight="1" x14ac:dyDescent="0.25">
      <c r="A15" s="10" t="s">
        <v>36</v>
      </c>
      <c r="B15" s="10" t="s">
        <v>288</v>
      </c>
      <c r="C15" s="10" t="s">
        <v>76</v>
      </c>
      <c r="D15" s="11">
        <v>2024</v>
      </c>
      <c r="E15" s="10" t="s">
        <v>81</v>
      </c>
      <c r="F15" s="10" t="s">
        <v>83</v>
      </c>
      <c r="G15" s="10" t="s">
        <v>84</v>
      </c>
      <c r="H15" s="12">
        <v>16869</v>
      </c>
      <c r="I15" s="11">
        <v>5610</v>
      </c>
      <c r="J15" s="11">
        <v>4155</v>
      </c>
      <c r="K15" s="11">
        <v>0</v>
      </c>
      <c r="L15" s="11">
        <v>0.33256268895607299</v>
      </c>
      <c r="M15" s="11">
        <v>33.256268895607327</v>
      </c>
      <c r="N15" s="11">
        <v>0.74064171122994604</v>
      </c>
      <c r="O15" s="11">
        <v>0</v>
      </c>
      <c r="P15" s="11">
        <v>0.95354729729729704</v>
      </c>
      <c r="Q15" s="11">
        <v>0.87234042553191504</v>
      </c>
      <c r="R15" s="11">
        <v>0.968992248062015</v>
      </c>
      <c r="S15" s="10" t="s">
        <v>84</v>
      </c>
      <c r="T15" s="10" t="s">
        <v>84</v>
      </c>
      <c r="U15" s="10"/>
      <c r="V15" s="10"/>
      <c r="W15" s="10"/>
      <c r="X15" s="10"/>
      <c r="Y15" s="10"/>
      <c r="Z15" s="10"/>
      <c r="AA15" s="10"/>
    </row>
    <row r="16" spans="1:27" ht="12.5" x14ac:dyDescent="0.25">
      <c r="A16" s="10" t="s">
        <v>19</v>
      </c>
      <c r="B16" s="10" t="s">
        <v>292</v>
      </c>
      <c r="C16" s="10" t="s">
        <v>76</v>
      </c>
      <c r="D16" s="11">
        <v>2024</v>
      </c>
      <c r="E16" s="10" t="s">
        <v>81</v>
      </c>
      <c r="F16" s="10" t="s">
        <v>83</v>
      </c>
      <c r="G16" s="10" t="s">
        <v>84</v>
      </c>
      <c r="H16" s="12">
        <v>77513.166666666701</v>
      </c>
      <c r="I16" s="11">
        <v>25202</v>
      </c>
      <c r="J16" s="11">
        <v>23577</v>
      </c>
      <c r="K16" s="11">
        <v>96936</v>
      </c>
      <c r="L16" s="11">
        <v>0.32513185931852401</v>
      </c>
      <c r="M16" s="11">
        <v>32.513185931852426</v>
      </c>
      <c r="N16" s="11">
        <v>0.93552099039758796</v>
      </c>
      <c r="O16" s="11">
        <v>1.2505746335568799</v>
      </c>
      <c r="P16" s="11">
        <v>0.95270270270270296</v>
      </c>
      <c r="Q16" s="11">
        <v>0.94444444444444398</v>
      </c>
      <c r="R16" s="11">
        <v>0.96705426356589197</v>
      </c>
      <c r="S16" s="10" t="s">
        <v>84</v>
      </c>
      <c r="T16" s="10" t="s">
        <v>84</v>
      </c>
      <c r="U16" s="10"/>
      <c r="V16" s="10"/>
      <c r="W16" s="10"/>
      <c r="X16" s="10"/>
      <c r="Y16" s="10"/>
      <c r="Z16" s="10"/>
      <c r="AA16" s="10"/>
    </row>
    <row r="17" spans="1:27" ht="12.5" x14ac:dyDescent="0.25">
      <c r="A17" s="10" t="s">
        <v>29</v>
      </c>
      <c r="B17" s="10" t="s">
        <v>296</v>
      </c>
      <c r="C17" s="10" t="s">
        <v>76</v>
      </c>
      <c r="D17" s="11">
        <v>2024</v>
      </c>
      <c r="E17" s="10" t="s">
        <v>81</v>
      </c>
      <c r="F17" s="10" t="s">
        <v>83</v>
      </c>
      <c r="G17" s="10" t="s">
        <v>84</v>
      </c>
      <c r="H17" s="12">
        <v>43661.833333333299</v>
      </c>
      <c r="I17" s="11">
        <v>13030</v>
      </c>
      <c r="J17" s="11">
        <v>12142</v>
      </c>
      <c r="K17" s="11">
        <v>58104</v>
      </c>
      <c r="L17" s="11">
        <v>0.29842997889079298</v>
      </c>
      <c r="M17" s="11">
        <v>29.842997889079349</v>
      </c>
      <c r="N17" s="11">
        <v>0.93184957789716005</v>
      </c>
      <c r="O17" s="11">
        <v>1.3307732535280601</v>
      </c>
      <c r="P17" s="11">
        <v>0.94256756756756799</v>
      </c>
      <c r="Q17" s="11">
        <v>0.87755102040816302</v>
      </c>
      <c r="R17" s="11">
        <v>0.96511627906976705</v>
      </c>
      <c r="S17" s="10" t="s">
        <v>84</v>
      </c>
      <c r="T17" s="10" t="s">
        <v>84</v>
      </c>
      <c r="U17" s="10"/>
      <c r="V17" s="10"/>
      <c r="W17" s="10"/>
      <c r="X17" s="10"/>
      <c r="Y17" s="10"/>
      <c r="Z17" s="10"/>
      <c r="AA17" s="10"/>
    </row>
    <row r="18" spans="1:27" ht="12.5" x14ac:dyDescent="0.25">
      <c r="A18" s="10" t="s">
        <v>42</v>
      </c>
      <c r="B18" s="10" t="s">
        <v>303</v>
      </c>
      <c r="C18" s="10" t="s">
        <v>76</v>
      </c>
      <c r="D18" s="11">
        <v>2024</v>
      </c>
      <c r="E18" s="10" t="s">
        <v>81</v>
      </c>
      <c r="F18" s="10" t="s">
        <v>83</v>
      </c>
      <c r="G18" s="10" t="s">
        <v>84</v>
      </c>
      <c r="H18" s="12">
        <v>8145.3333333333303</v>
      </c>
      <c r="I18" s="11">
        <v>2384</v>
      </c>
      <c r="J18" s="11">
        <v>2323</v>
      </c>
      <c r="K18" s="11">
        <v>6440</v>
      </c>
      <c r="L18" s="11">
        <v>0.292682926829268</v>
      </c>
      <c r="M18" s="11">
        <v>29.268292682926838</v>
      </c>
      <c r="N18" s="11">
        <v>0.97441275167785202</v>
      </c>
      <c r="O18" s="11">
        <v>0.79063676542805705</v>
      </c>
      <c r="P18" s="11">
        <v>0.93918918918918903</v>
      </c>
      <c r="Q18" s="11">
        <v>0.97619047619047605</v>
      </c>
      <c r="R18" s="11">
        <v>0.96317829457364301</v>
      </c>
      <c r="S18" s="10" t="s">
        <v>84</v>
      </c>
      <c r="T18" s="10" t="s">
        <v>84</v>
      </c>
      <c r="U18" s="10"/>
      <c r="V18" s="10"/>
      <c r="W18" s="10"/>
      <c r="X18" s="10"/>
      <c r="Y18" s="10"/>
      <c r="Z18" s="10"/>
      <c r="AA18" s="10"/>
    </row>
    <row r="19" spans="1:27" ht="12.5" x14ac:dyDescent="0.25">
      <c r="A19" s="10" t="s">
        <v>86</v>
      </c>
      <c r="B19" s="10" t="s">
        <v>308</v>
      </c>
      <c r="C19" s="10" t="s">
        <v>76</v>
      </c>
      <c r="D19" s="11">
        <v>2024</v>
      </c>
      <c r="E19" s="10" t="s">
        <v>81</v>
      </c>
      <c r="F19" s="10" t="s">
        <v>83</v>
      </c>
      <c r="G19" s="10" t="s">
        <v>84</v>
      </c>
      <c r="H19" s="12">
        <v>19479.833333333299</v>
      </c>
      <c r="I19" s="11">
        <v>5536</v>
      </c>
      <c r="J19" s="11">
        <v>2221</v>
      </c>
      <c r="K19" s="11">
        <v>26797</v>
      </c>
      <c r="L19" s="11">
        <v>0.28419134318397699</v>
      </c>
      <c r="M19" s="11">
        <v>28.41913431839771</v>
      </c>
      <c r="N19" s="11">
        <v>0.401192196531792</v>
      </c>
      <c r="O19" s="11">
        <v>1.3756277860009101</v>
      </c>
      <c r="P19" s="11">
        <v>0.93665540540540504</v>
      </c>
      <c r="Q19" s="11">
        <v>0.86956521739130399</v>
      </c>
      <c r="R19" s="11">
        <v>0.96124031007751898</v>
      </c>
      <c r="S19" s="10" t="s">
        <v>84</v>
      </c>
      <c r="T19" s="10" t="s">
        <v>84</v>
      </c>
      <c r="U19" s="10"/>
      <c r="V19" s="10"/>
      <c r="W19" s="10"/>
      <c r="X19" s="10"/>
      <c r="Y19" s="10"/>
      <c r="Z19" s="10"/>
      <c r="AA19" s="10"/>
    </row>
    <row r="20" spans="1:27" ht="12.5" x14ac:dyDescent="0.25">
      <c r="A20" s="10" t="s">
        <v>52</v>
      </c>
      <c r="B20" s="10" t="s">
        <v>314</v>
      </c>
      <c r="C20" s="10" t="s">
        <v>76</v>
      </c>
      <c r="D20" s="11">
        <v>2024</v>
      </c>
      <c r="E20" s="10" t="s">
        <v>81</v>
      </c>
      <c r="F20" s="10" t="s">
        <v>83</v>
      </c>
      <c r="G20" s="10" t="s">
        <v>84</v>
      </c>
      <c r="H20" s="12">
        <v>15144.75</v>
      </c>
      <c r="I20" s="11">
        <v>4256</v>
      </c>
      <c r="J20" s="11">
        <v>4132</v>
      </c>
      <c r="K20" s="11">
        <v>7655</v>
      </c>
      <c r="L20" s="11">
        <v>0.28102147608907402</v>
      </c>
      <c r="M20" s="11">
        <v>28.10214760890738</v>
      </c>
      <c r="N20" s="11">
        <v>0.97086466165413499</v>
      </c>
      <c r="O20" s="11">
        <v>0.50545568596378299</v>
      </c>
      <c r="P20" s="11">
        <v>0.93327702702702697</v>
      </c>
      <c r="Q20" s="11">
        <v>0.93617021276595702</v>
      </c>
      <c r="R20" s="11">
        <v>0.95930232558139505</v>
      </c>
      <c r="S20" s="10" t="s">
        <v>84</v>
      </c>
      <c r="T20" s="10" t="s">
        <v>84</v>
      </c>
      <c r="U20" s="10"/>
      <c r="V20" s="10"/>
      <c r="W20" s="10"/>
      <c r="X20" s="10"/>
      <c r="Y20" s="10"/>
      <c r="Z20" s="10"/>
      <c r="AA20" s="10"/>
    </row>
    <row r="21" spans="1:27" ht="12.5" x14ac:dyDescent="0.25">
      <c r="A21" s="10" t="s">
        <v>10</v>
      </c>
      <c r="B21" s="10" t="s">
        <v>319</v>
      </c>
      <c r="C21" s="10" t="s">
        <v>76</v>
      </c>
      <c r="D21" s="11">
        <v>2024</v>
      </c>
      <c r="E21" s="10" t="s">
        <v>81</v>
      </c>
      <c r="F21" s="10" t="s">
        <v>83</v>
      </c>
      <c r="G21" s="10" t="s">
        <v>84</v>
      </c>
      <c r="H21" s="12">
        <v>33049.416666666701</v>
      </c>
      <c r="I21" s="11">
        <v>9180</v>
      </c>
      <c r="J21" s="11">
        <v>9183</v>
      </c>
      <c r="K21" s="11">
        <v>13763</v>
      </c>
      <c r="L21" s="11">
        <v>0.27776587080457799</v>
      </c>
      <c r="M21" s="11">
        <v>27.776587080457769</v>
      </c>
      <c r="N21" s="11">
        <v>1.00032679738562</v>
      </c>
      <c r="O21" s="11">
        <v>0.41643700216594798</v>
      </c>
      <c r="P21" s="11">
        <v>0.93074324324324298</v>
      </c>
      <c r="Q21" s="11">
        <v>0.86666666666666703</v>
      </c>
      <c r="R21" s="11">
        <v>0.95736434108527102</v>
      </c>
      <c r="S21" s="10" t="s">
        <v>84</v>
      </c>
      <c r="T21" s="10" t="s">
        <v>84</v>
      </c>
      <c r="U21" s="10"/>
      <c r="V21" s="10"/>
      <c r="W21" s="10"/>
      <c r="X21" s="10"/>
      <c r="Y21" s="10"/>
      <c r="Z21" s="10"/>
      <c r="AA21" s="10"/>
    </row>
    <row r="22" spans="1:27" ht="12.5" x14ac:dyDescent="0.25">
      <c r="A22" s="10" t="s">
        <v>16</v>
      </c>
      <c r="B22" s="10" t="s">
        <v>325</v>
      </c>
      <c r="C22" s="10" t="s">
        <v>76</v>
      </c>
      <c r="D22" s="11">
        <v>2024</v>
      </c>
      <c r="E22" s="10" t="s">
        <v>81</v>
      </c>
      <c r="F22" s="10" t="s">
        <v>83</v>
      </c>
      <c r="G22" s="10" t="s">
        <v>84</v>
      </c>
      <c r="H22" s="12">
        <v>247294.5</v>
      </c>
      <c r="I22" s="11">
        <v>68617</v>
      </c>
      <c r="J22" s="11">
        <v>68333</v>
      </c>
      <c r="K22" s="11">
        <v>209490</v>
      </c>
      <c r="L22" s="11">
        <v>0.27747078887722898</v>
      </c>
      <c r="M22" s="11">
        <v>27.747078887722935</v>
      </c>
      <c r="N22" s="11">
        <v>0.99586108398793305</v>
      </c>
      <c r="O22" s="11">
        <v>0.84712761505007195</v>
      </c>
      <c r="P22" s="11">
        <v>0.92989864864864902</v>
      </c>
      <c r="Q22" s="11">
        <v>0.8</v>
      </c>
      <c r="R22" s="11">
        <v>0.95542635658914699</v>
      </c>
      <c r="S22" s="10" t="s">
        <v>84</v>
      </c>
      <c r="T22" s="10" t="s">
        <v>84</v>
      </c>
      <c r="U22" s="10"/>
      <c r="V22" s="10"/>
      <c r="W22" s="10"/>
      <c r="X22" s="10"/>
      <c r="Y22" s="10"/>
      <c r="Z22" s="10"/>
      <c r="AA22" s="10"/>
    </row>
    <row r="23" spans="1:27" ht="12.5" x14ac:dyDescent="0.25">
      <c r="A23" s="10" t="s">
        <v>16</v>
      </c>
      <c r="B23" s="10" t="s">
        <v>330</v>
      </c>
      <c r="C23" s="10" t="s">
        <v>76</v>
      </c>
      <c r="D23" s="11">
        <v>2024</v>
      </c>
      <c r="E23" s="10" t="s">
        <v>81</v>
      </c>
      <c r="F23" s="10" t="s">
        <v>83</v>
      </c>
      <c r="G23" s="10" t="s">
        <v>84</v>
      </c>
      <c r="H23" s="12">
        <v>171256.58333333299</v>
      </c>
      <c r="I23" s="11">
        <v>47325</v>
      </c>
      <c r="J23" s="11">
        <v>43723</v>
      </c>
      <c r="K23" s="11">
        <v>241557</v>
      </c>
      <c r="L23" s="11">
        <v>0.27633974168389602</v>
      </c>
      <c r="M23" s="11">
        <v>27.633974168389692</v>
      </c>
      <c r="N23" s="11">
        <v>0.92388800845219199</v>
      </c>
      <c r="O23" s="11">
        <v>1.41049760130876</v>
      </c>
      <c r="P23" s="11">
        <v>0.92820945945945899</v>
      </c>
      <c r="Q23" s="11">
        <v>0.76666666666666705</v>
      </c>
      <c r="R23" s="11">
        <v>0.95348837209302295</v>
      </c>
      <c r="S23" s="10" t="s">
        <v>84</v>
      </c>
      <c r="T23" s="10" t="s">
        <v>84</v>
      </c>
      <c r="U23" s="10"/>
      <c r="V23" s="10"/>
      <c r="W23" s="10"/>
      <c r="X23" s="10"/>
      <c r="Y23" s="10"/>
      <c r="Z23" s="10"/>
      <c r="AA23" s="10"/>
    </row>
    <row r="24" spans="1:27" ht="12.5" x14ac:dyDescent="0.25">
      <c r="A24" s="10" t="s">
        <v>110</v>
      </c>
      <c r="B24" s="10" t="s">
        <v>335</v>
      </c>
      <c r="C24" s="10" t="s">
        <v>76</v>
      </c>
      <c r="D24" s="11">
        <v>2024</v>
      </c>
      <c r="E24" s="10" t="s">
        <v>81</v>
      </c>
      <c r="F24" s="10" t="s">
        <v>83</v>
      </c>
      <c r="G24" s="10" t="s">
        <v>84</v>
      </c>
      <c r="H24" s="12">
        <v>10456.916666666701</v>
      </c>
      <c r="I24" s="11">
        <v>2684</v>
      </c>
      <c r="J24" s="11">
        <v>2437</v>
      </c>
      <c r="K24" s="11">
        <v>9775</v>
      </c>
      <c r="L24" s="11">
        <v>0.25667221854753203</v>
      </c>
      <c r="M24" s="11">
        <v>25.667221854753151</v>
      </c>
      <c r="N24" s="11">
        <v>0.90797317436661695</v>
      </c>
      <c r="O24" s="11">
        <v>0.93478797924818502</v>
      </c>
      <c r="P24" s="11">
        <v>0.92229729729729704</v>
      </c>
      <c r="Q24" s="11">
        <v>1</v>
      </c>
      <c r="R24" s="11">
        <v>0.95155038759689903</v>
      </c>
      <c r="S24" s="10" t="s">
        <v>84</v>
      </c>
      <c r="T24" s="10" t="s">
        <v>84</v>
      </c>
      <c r="U24" s="10"/>
      <c r="V24" s="10"/>
      <c r="W24" s="10"/>
      <c r="X24" s="10"/>
      <c r="Y24" s="10"/>
      <c r="Z24" s="10"/>
      <c r="AA24" s="10"/>
    </row>
    <row r="25" spans="1:27" ht="12.5" x14ac:dyDescent="0.25">
      <c r="A25" s="10" t="s">
        <v>16</v>
      </c>
      <c r="B25" s="10" t="s">
        <v>340</v>
      </c>
      <c r="C25" s="10" t="s">
        <v>76</v>
      </c>
      <c r="D25" s="11">
        <v>2024</v>
      </c>
      <c r="E25" s="10" t="s">
        <v>81</v>
      </c>
      <c r="F25" s="10" t="s">
        <v>83</v>
      </c>
      <c r="G25" s="10" t="s">
        <v>84</v>
      </c>
      <c r="H25" s="12">
        <v>57277.5</v>
      </c>
      <c r="I25" s="11">
        <v>14633</v>
      </c>
      <c r="J25" s="11">
        <v>13582</v>
      </c>
      <c r="K25" s="11">
        <v>106564</v>
      </c>
      <c r="L25" s="11">
        <v>0.25547553576884502</v>
      </c>
      <c r="M25" s="11">
        <v>25.547553576884468</v>
      </c>
      <c r="N25" s="11">
        <v>0.92817604045650204</v>
      </c>
      <c r="O25" s="11">
        <v>1.86048622932216</v>
      </c>
      <c r="P25" s="11">
        <v>0.920608108108108</v>
      </c>
      <c r="Q25" s="11">
        <v>0.73333333333333295</v>
      </c>
      <c r="R25" s="11">
        <v>0.94961240310077499</v>
      </c>
      <c r="S25" s="10" t="s">
        <v>84</v>
      </c>
      <c r="T25" s="10" t="s">
        <v>84</v>
      </c>
      <c r="U25" s="10"/>
      <c r="V25" s="10"/>
      <c r="W25" s="10"/>
      <c r="X25" s="10"/>
      <c r="Y25" s="10"/>
      <c r="Z25" s="10"/>
      <c r="AA25" s="10"/>
    </row>
    <row r="26" spans="1:27" ht="12.5" x14ac:dyDescent="0.25">
      <c r="A26" s="10" t="s">
        <v>12</v>
      </c>
      <c r="B26" s="10" t="s">
        <v>348</v>
      </c>
      <c r="C26" s="10" t="s">
        <v>76</v>
      </c>
      <c r="D26" s="11">
        <v>2024</v>
      </c>
      <c r="E26" s="10" t="s">
        <v>81</v>
      </c>
      <c r="F26" s="10" t="s">
        <v>83</v>
      </c>
      <c r="G26" s="10" t="s">
        <v>84</v>
      </c>
      <c r="H26" s="12">
        <v>124073.5</v>
      </c>
      <c r="I26" s="11">
        <v>31381</v>
      </c>
      <c r="J26" s="11">
        <v>2833</v>
      </c>
      <c r="K26" s="11">
        <v>426800</v>
      </c>
      <c r="L26" s="11">
        <v>0.252922662776499</v>
      </c>
      <c r="M26" s="11">
        <v>25.292266277649944</v>
      </c>
      <c r="N26" s="11">
        <v>9.0277556483222304E-2</v>
      </c>
      <c r="O26" s="11">
        <v>3.4398965129540202</v>
      </c>
      <c r="P26" s="11">
        <v>0.91976351351351304</v>
      </c>
      <c r="Q26" s="11">
        <v>0.91666666666666696</v>
      </c>
      <c r="R26" s="11">
        <v>0.94767441860465096</v>
      </c>
      <c r="S26" s="10" t="s">
        <v>84</v>
      </c>
      <c r="T26" s="10" t="s">
        <v>84</v>
      </c>
      <c r="U26" s="10"/>
      <c r="V26" s="10"/>
      <c r="W26" s="10"/>
      <c r="X26" s="10"/>
      <c r="Y26" s="10"/>
      <c r="Z26" s="10"/>
      <c r="AA26" s="10"/>
    </row>
    <row r="27" spans="1:27" ht="12.5" x14ac:dyDescent="0.25">
      <c r="A27" s="10" t="s">
        <v>42</v>
      </c>
      <c r="B27" s="10" t="s">
        <v>353</v>
      </c>
      <c r="C27" s="10" t="s">
        <v>76</v>
      </c>
      <c r="D27" s="11">
        <v>2024</v>
      </c>
      <c r="E27" s="10" t="s">
        <v>81</v>
      </c>
      <c r="F27" s="10" t="s">
        <v>83</v>
      </c>
      <c r="G27" s="10" t="s">
        <v>84</v>
      </c>
      <c r="H27" s="12">
        <v>27112.666666666701</v>
      </c>
      <c r="I27" s="11">
        <v>6463</v>
      </c>
      <c r="J27" s="11">
        <v>5955</v>
      </c>
      <c r="K27" s="11">
        <v>41875</v>
      </c>
      <c r="L27" s="11">
        <v>0.23837566696992801</v>
      </c>
      <c r="M27" s="11">
        <v>23.837566696992766</v>
      </c>
      <c r="N27" s="11">
        <v>0.921398731239363</v>
      </c>
      <c r="O27" s="11">
        <v>1.5444810543657299</v>
      </c>
      <c r="P27" s="11">
        <v>0.91469594594594605</v>
      </c>
      <c r="Q27" s="11">
        <v>0.952380952380952</v>
      </c>
      <c r="R27" s="11">
        <v>0.94573643410852704</v>
      </c>
      <c r="S27" s="10" t="s">
        <v>84</v>
      </c>
      <c r="T27" s="10" t="s">
        <v>84</v>
      </c>
      <c r="U27" s="10"/>
      <c r="V27" s="10"/>
      <c r="W27" s="10"/>
      <c r="X27" s="10"/>
      <c r="Y27" s="10"/>
      <c r="Z27" s="10"/>
      <c r="AA27" s="10"/>
    </row>
    <row r="28" spans="1:27" ht="12.5" x14ac:dyDescent="0.25">
      <c r="A28" s="10" t="s">
        <v>104</v>
      </c>
      <c r="B28" s="10" t="s">
        <v>284</v>
      </c>
      <c r="C28" s="10" t="s">
        <v>76</v>
      </c>
      <c r="D28" s="11">
        <v>2024</v>
      </c>
      <c r="E28" s="10" t="s">
        <v>81</v>
      </c>
      <c r="F28" s="10" t="s">
        <v>83</v>
      </c>
      <c r="G28" s="10" t="s">
        <v>84</v>
      </c>
      <c r="H28" s="12">
        <v>21</v>
      </c>
      <c r="I28" s="11">
        <v>5</v>
      </c>
      <c r="J28" s="11">
        <v>6</v>
      </c>
      <c r="K28" s="11">
        <v>27</v>
      </c>
      <c r="L28" s="11">
        <v>0.238095238095238</v>
      </c>
      <c r="M28" s="11">
        <v>23.809523809523807</v>
      </c>
      <c r="N28" s="11">
        <v>1.2</v>
      </c>
      <c r="O28" s="11">
        <v>1.28571428571429</v>
      </c>
      <c r="P28" s="11">
        <v>0.91385135135135098</v>
      </c>
      <c r="Q28" s="11">
        <v>0.96551724137931005</v>
      </c>
      <c r="R28" s="11">
        <v>0.943798449612403</v>
      </c>
      <c r="S28" s="10" t="s">
        <v>84</v>
      </c>
      <c r="T28" s="10" t="s">
        <v>84</v>
      </c>
      <c r="U28" s="10"/>
      <c r="V28" s="10"/>
      <c r="W28" s="10"/>
      <c r="X28" s="10"/>
      <c r="Y28" s="10"/>
      <c r="Z28" s="10"/>
      <c r="AA28" s="10"/>
    </row>
    <row r="29" spans="1:27" ht="12.5" x14ac:dyDescent="0.25">
      <c r="A29" s="10" t="s">
        <v>109</v>
      </c>
      <c r="B29" s="10" t="s">
        <v>365</v>
      </c>
      <c r="C29" s="10" t="s">
        <v>76</v>
      </c>
      <c r="D29" s="11">
        <v>2024</v>
      </c>
      <c r="E29" s="10" t="s">
        <v>81</v>
      </c>
      <c r="F29" s="10" t="s">
        <v>83</v>
      </c>
      <c r="G29" s="10" t="s">
        <v>84</v>
      </c>
      <c r="H29" s="12">
        <v>14419.583333333299</v>
      </c>
      <c r="I29" s="11">
        <v>3387</v>
      </c>
      <c r="J29" s="11">
        <v>3186</v>
      </c>
      <c r="K29" s="11">
        <v>18881</v>
      </c>
      <c r="L29" s="11">
        <v>0.23488889531019699</v>
      </c>
      <c r="M29" s="11">
        <v>23.48888953101979</v>
      </c>
      <c r="N29" s="11">
        <v>0.94065544729849404</v>
      </c>
      <c r="O29" s="11">
        <v>1.3093998324038501</v>
      </c>
      <c r="P29" s="11">
        <v>0.91047297297297303</v>
      </c>
      <c r="Q29" s="11">
        <v>0.94444444444444398</v>
      </c>
      <c r="R29" s="11">
        <v>0.94186046511627897</v>
      </c>
      <c r="S29" s="10" t="s">
        <v>84</v>
      </c>
      <c r="T29" s="10" t="s">
        <v>84</v>
      </c>
      <c r="U29" s="10"/>
      <c r="V29" s="10"/>
      <c r="W29" s="10"/>
      <c r="X29" s="10"/>
      <c r="Y29" s="10"/>
      <c r="Z29" s="10"/>
      <c r="AA29" s="10"/>
    </row>
    <row r="30" spans="1:27" ht="12.5" x14ac:dyDescent="0.25">
      <c r="A30" s="10" t="s">
        <v>58</v>
      </c>
      <c r="B30" s="10" t="s">
        <v>368</v>
      </c>
      <c r="C30" s="10" t="s">
        <v>76</v>
      </c>
      <c r="D30" s="11">
        <v>2024</v>
      </c>
      <c r="E30" s="10" t="s">
        <v>81</v>
      </c>
      <c r="F30" s="10" t="s">
        <v>83</v>
      </c>
      <c r="G30" s="10" t="s">
        <v>84</v>
      </c>
      <c r="H30" s="12">
        <v>60839</v>
      </c>
      <c r="I30" s="11">
        <v>14153</v>
      </c>
      <c r="J30" s="11">
        <v>13167</v>
      </c>
      <c r="K30" s="11">
        <v>103065</v>
      </c>
      <c r="L30" s="11">
        <v>0.23263038511481099</v>
      </c>
      <c r="M30" s="11">
        <v>23.26303851148112</v>
      </c>
      <c r="N30" s="11">
        <v>0.93033279163428295</v>
      </c>
      <c r="O30" s="11">
        <v>1.6940613751047799</v>
      </c>
      <c r="P30" s="11">
        <v>0.90878378378378399</v>
      </c>
      <c r="Q30" s="11">
        <v>0.97297297297297303</v>
      </c>
      <c r="R30" s="11">
        <v>0.93992248062015504</v>
      </c>
      <c r="S30" s="10" t="s">
        <v>84</v>
      </c>
      <c r="T30" s="10" t="s">
        <v>84</v>
      </c>
      <c r="U30" s="10"/>
      <c r="V30" s="10"/>
      <c r="W30" s="10"/>
      <c r="X30" s="10"/>
      <c r="Y30" s="10"/>
      <c r="Z30" s="10"/>
      <c r="AA30" s="10"/>
    </row>
    <row r="31" spans="1:27" ht="12.5" x14ac:dyDescent="0.25">
      <c r="A31" s="10" t="s">
        <v>12</v>
      </c>
      <c r="B31" s="10" t="s">
        <v>371</v>
      </c>
      <c r="C31" s="10" t="s">
        <v>76</v>
      </c>
      <c r="D31" s="11">
        <v>2024</v>
      </c>
      <c r="E31" s="10" t="s">
        <v>81</v>
      </c>
      <c r="F31" s="10" t="s">
        <v>83</v>
      </c>
      <c r="G31" s="10" t="s">
        <v>84</v>
      </c>
      <c r="H31" s="12">
        <v>91575.666666666701</v>
      </c>
      <c r="I31" s="11">
        <v>21200</v>
      </c>
      <c r="J31" s="11">
        <v>19634</v>
      </c>
      <c r="K31" s="11">
        <v>199243</v>
      </c>
      <c r="L31" s="11">
        <v>0.23150254616401</v>
      </c>
      <c r="M31" s="11">
        <v>23.150254616401</v>
      </c>
      <c r="N31" s="11">
        <v>0.92613207547169796</v>
      </c>
      <c r="O31" s="11">
        <v>2.1757198964790501</v>
      </c>
      <c r="P31" s="11">
        <v>0.90709459459459496</v>
      </c>
      <c r="Q31" s="11">
        <v>0.90277777777777801</v>
      </c>
      <c r="R31" s="11">
        <v>0.93798449612403101</v>
      </c>
      <c r="S31" s="10" t="s">
        <v>84</v>
      </c>
      <c r="T31" s="10" t="s">
        <v>84</v>
      </c>
      <c r="U31" s="10"/>
      <c r="V31" s="10"/>
      <c r="W31" s="10"/>
      <c r="X31" s="10"/>
      <c r="Y31" s="10"/>
      <c r="Z31" s="10"/>
      <c r="AA31" s="10"/>
    </row>
    <row r="32" spans="1:27" ht="12.5" x14ac:dyDescent="0.25">
      <c r="A32" s="10" t="s">
        <v>12</v>
      </c>
      <c r="B32" s="10" t="s">
        <v>377</v>
      </c>
      <c r="C32" s="10" t="s">
        <v>76</v>
      </c>
      <c r="D32" s="11">
        <v>2024</v>
      </c>
      <c r="E32" s="10" t="s">
        <v>81</v>
      </c>
      <c r="F32" s="10" t="s">
        <v>83</v>
      </c>
      <c r="G32" s="10" t="s">
        <v>84</v>
      </c>
      <c r="H32" s="12">
        <v>78792.083333333299</v>
      </c>
      <c r="I32" s="11">
        <v>17865</v>
      </c>
      <c r="J32" s="11">
        <v>23986</v>
      </c>
      <c r="K32" s="11">
        <v>159364</v>
      </c>
      <c r="L32" s="11">
        <v>0.22673597707045401</v>
      </c>
      <c r="M32" s="11">
        <v>22.673597707045452</v>
      </c>
      <c r="N32" s="11">
        <v>1.34262524489225</v>
      </c>
      <c r="O32" s="11">
        <v>2.0225889868377198</v>
      </c>
      <c r="P32" s="11">
        <v>0.90625</v>
      </c>
      <c r="Q32" s="11">
        <v>0.88888888888888895</v>
      </c>
      <c r="R32" s="11">
        <v>0.93604651162790697</v>
      </c>
      <c r="S32" s="10" t="s">
        <v>84</v>
      </c>
      <c r="T32" s="10" t="s">
        <v>84</v>
      </c>
      <c r="U32" s="10"/>
      <c r="V32" s="10"/>
      <c r="W32" s="10"/>
      <c r="X32" s="10"/>
      <c r="Y32" s="10"/>
      <c r="Z32" s="10"/>
      <c r="AA32" s="10"/>
    </row>
    <row r="33" spans="1:27" ht="12.5" x14ac:dyDescent="0.25">
      <c r="A33" s="10" t="s">
        <v>14</v>
      </c>
      <c r="B33" s="10" t="s">
        <v>383</v>
      </c>
      <c r="C33" s="10" t="s">
        <v>76</v>
      </c>
      <c r="D33" s="11">
        <v>2024</v>
      </c>
      <c r="E33" s="10" t="s">
        <v>81</v>
      </c>
      <c r="F33" s="10" t="s">
        <v>83</v>
      </c>
      <c r="G33" s="10" t="s">
        <v>84</v>
      </c>
      <c r="H33" s="12">
        <v>14936.833333333299</v>
      </c>
      <c r="I33" s="11">
        <v>3284</v>
      </c>
      <c r="J33" s="11">
        <v>2805</v>
      </c>
      <c r="K33" s="11">
        <v>43706</v>
      </c>
      <c r="L33" s="11">
        <v>0.21985918478927899</v>
      </c>
      <c r="M33" s="11">
        <v>21.985918478927978</v>
      </c>
      <c r="N33" s="11">
        <v>0.85414129110840398</v>
      </c>
      <c r="O33" s="11">
        <v>2.9260552772229702</v>
      </c>
      <c r="P33" s="11">
        <v>0.90033783783783805</v>
      </c>
      <c r="Q33" s="11">
        <v>0.78571428571428603</v>
      </c>
      <c r="R33" s="11">
        <v>0.93410852713178305</v>
      </c>
      <c r="S33" s="10" t="s">
        <v>84</v>
      </c>
      <c r="T33" s="10" t="s">
        <v>84</v>
      </c>
      <c r="U33" s="10"/>
      <c r="V33" s="10"/>
      <c r="W33" s="10"/>
      <c r="X33" s="10"/>
      <c r="Y33" s="10"/>
      <c r="Z33" s="10"/>
      <c r="AA33" s="10"/>
    </row>
    <row r="34" spans="1:27" ht="12.5" x14ac:dyDescent="0.25">
      <c r="A34" s="10" t="s">
        <v>16</v>
      </c>
      <c r="B34" s="10" t="s">
        <v>387</v>
      </c>
      <c r="C34" s="10" t="s">
        <v>76</v>
      </c>
      <c r="D34" s="11">
        <v>2024</v>
      </c>
      <c r="E34" s="10" t="s">
        <v>81</v>
      </c>
      <c r="F34" s="10" t="s">
        <v>83</v>
      </c>
      <c r="G34" s="10" t="s">
        <v>84</v>
      </c>
      <c r="H34" s="12">
        <v>56763.833333333299</v>
      </c>
      <c r="I34" s="11">
        <v>12473</v>
      </c>
      <c r="J34" s="11">
        <v>12103</v>
      </c>
      <c r="K34" s="11">
        <v>80593</v>
      </c>
      <c r="L34" s="11">
        <v>0.219734983836539</v>
      </c>
      <c r="M34" s="11">
        <v>21.973498383653926</v>
      </c>
      <c r="N34" s="11">
        <v>0.97033592559929405</v>
      </c>
      <c r="O34" s="11">
        <v>1.4197948811303001</v>
      </c>
      <c r="P34" s="11">
        <v>0.89949324324324298</v>
      </c>
      <c r="Q34" s="11">
        <v>0.63333333333333297</v>
      </c>
      <c r="R34" s="11">
        <v>0.93217054263565902</v>
      </c>
      <c r="S34" s="10" t="s">
        <v>84</v>
      </c>
      <c r="T34" s="10" t="s">
        <v>84</v>
      </c>
      <c r="U34" s="10"/>
      <c r="V34" s="10"/>
      <c r="W34" s="10"/>
      <c r="X34" s="10"/>
      <c r="Y34" s="10"/>
      <c r="Z34" s="10"/>
      <c r="AA34" s="10"/>
    </row>
    <row r="35" spans="1:27" ht="12.5" x14ac:dyDescent="0.25">
      <c r="A35" s="10" t="s">
        <v>12</v>
      </c>
      <c r="B35" s="10" t="s">
        <v>391</v>
      </c>
      <c r="C35" s="10" t="s">
        <v>76</v>
      </c>
      <c r="D35" s="11">
        <v>2024</v>
      </c>
      <c r="E35" s="10" t="s">
        <v>81</v>
      </c>
      <c r="F35" s="10" t="s">
        <v>83</v>
      </c>
      <c r="G35" s="10" t="s">
        <v>84</v>
      </c>
      <c r="H35" s="12">
        <v>44151</v>
      </c>
      <c r="I35" s="11">
        <v>9701</v>
      </c>
      <c r="J35" s="11">
        <v>8892</v>
      </c>
      <c r="K35" s="11">
        <v>46582</v>
      </c>
      <c r="L35" s="11">
        <v>0.219723222577065</v>
      </c>
      <c r="M35" s="11">
        <v>21.972322257706509</v>
      </c>
      <c r="N35" s="11">
        <v>0.91660653540872095</v>
      </c>
      <c r="O35" s="11">
        <v>1.05506104052003</v>
      </c>
      <c r="P35" s="11">
        <v>0.89864864864864902</v>
      </c>
      <c r="Q35" s="11">
        <v>0.875</v>
      </c>
      <c r="R35" s="11">
        <v>0.93023255813953498</v>
      </c>
      <c r="S35" s="10" t="s">
        <v>84</v>
      </c>
      <c r="T35" s="10" t="s">
        <v>84</v>
      </c>
      <c r="U35" s="10"/>
      <c r="V35" s="10"/>
      <c r="W35" s="10"/>
      <c r="X35" s="10"/>
      <c r="Y35" s="10"/>
      <c r="Z35" s="10"/>
      <c r="AA35" s="10"/>
    </row>
    <row r="36" spans="1:27" ht="12.5" x14ac:dyDescent="0.25">
      <c r="A36" s="10" t="s">
        <v>65</v>
      </c>
      <c r="B36" s="10" t="s">
        <v>393</v>
      </c>
      <c r="C36" s="10" t="s">
        <v>76</v>
      </c>
      <c r="D36" s="11">
        <v>2024</v>
      </c>
      <c r="E36" s="10" t="s">
        <v>81</v>
      </c>
      <c r="F36" s="10" t="s">
        <v>83</v>
      </c>
      <c r="G36" s="10" t="s">
        <v>84</v>
      </c>
      <c r="H36" s="12">
        <v>5026.6666666666697</v>
      </c>
      <c r="I36" s="11">
        <v>1084</v>
      </c>
      <c r="J36" s="11">
        <v>967</v>
      </c>
      <c r="K36" s="11">
        <v>7478</v>
      </c>
      <c r="L36" s="11">
        <v>0.21564986737400499</v>
      </c>
      <c r="M36" s="11">
        <v>21.564986737400517</v>
      </c>
      <c r="N36" s="11">
        <v>0.89206642066420705</v>
      </c>
      <c r="O36" s="11">
        <v>1.4876657824933699</v>
      </c>
      <c r="P36" s="11">
        <v>0.89611486486486502</v>
      </c>
      <c r="Q36" s="11">
        <v>0.92307692307692302</v>
      </c>
      <c r="R36" s="11">
        <v>0.92829457364341095</v>
      </c>
      <c r="S36" s="10" t="s">
        <v>84</v>
      </c>
      <c r="T36" s="10" t="s">
        <v>84</v>
      </c>
      <c r="U36" s="10"/>
      <c r="V36" s="10"/>
      <c r="W36" s="10"/>
      <c r="X36" s="10"/>
      <c r="Y36" s="10"/>
      <c r="Z36" s="10"/>
      <c r="AA36" s="10"/>
    </row>
    <row r="37" spans="1:27" ht="12.5" x14ac:dyDescent="0.25">
      <c r="A37" s="10" t="s">
        <v>36</v>
      </c>
      <c r="B37" s="10" t="s">
        <v>395</v>
      </c>
      <c r="C37" s="10" t="s">
        <v>76</v>
      </c>
      <c r="D37" s="11">
        <v>2024</v>
      </c>
      <c r="E37" s="10" t="s">
        <v>81</v>
      </c>
      <c r="F37" s="10" t="s">
        <v>83</v>
      </c>
      <c r="G37" s="10" t="s">
        <v>84</v>
      </c>
      <c r="H37" s="12">
        <v>203591.83333333299</v>
      </c>
      <c r="I37" s="11">
        <v>42893</v>
      </c>
      <c r="J37" s="11">
        <v>25546</v>
      </c>
      <c r="K37" s="11">
        <v>279098</v>
      </c>
      <c r="L37" s="11">
        <v>0.21068133872429401</v>
      </c>
      <c r="M37" s="11">
        <v>21.068133872429431</v>
      </c>
      <c r="N37" s="11">
        <v>0.59557503555358704</v>
      </c>
      <c r="O37" s="11">
        <v>1.37087031159567</v>
      </c>
      <c r="P37" s="11">
        <v>0.891891891891892</v>
      </c>
      <c r="Q37" s="11">
        <v>0.76595744680851097</v>
      </c>
      <c r="R37" s="11">
        <v>0.92635658914728702</v>
      </c>
      <c r="S37" s="10" t="s">
        <v>84</v>
      </c>
      <c r="T37" s="10" t="s">
        <v>84</v>
      </c>
      <c r="U37" s="10"/>
      <c r="V37" s="10"/>
      <c r="W37" s="10"/>
      <c r="X37" s="10"/>
      <c r="Y37" s="10"/>
      <c r="Z37" s="10"/>
      <c r="AA37" s="10"/>
    </row>
    <row r="38" spans="1:27" ht="12.5" x14ac:dyDescent="0.25">
      <c r="A38" s="10" t="s">
        <v>29</v>
      </c>
      <c r="B38" s="10" t="s">
        <v>397</v>
      </c>
      <c r="C38" s="10" t="s">
        <v>76</v>
      </c>
      <c r="D38" s="11">
        <v>2024</v>
      </c>
      <c r="E38" s="10" t="s">
        <v>81</v>
      </c>
      <c r="F38" s="10" t="s">
        <v>83</v>
      </c>
      <c r="G38" s="10" t="s">
        <v>84</v>
      </c>
      <c r="H38" s="12">
        <v>100597</v>
      </c>
      <c r="I38" s="11">
        <v>21120</v>
      </c>
      <c r="J38" s="11">
        <v>13680</v>
      </c>
      <c r="K38" s="11">
        <v>105600</v>
      </c>
      <c r="L38" s="11">
        <v>0.20994661868644199</v>
      </c>
      <c r="M38" s="11">
        <v>20.994661868644194</v>
      </c>
      <c r="N38" s="11">
        <v>0.64772727272727304</v>
      </c>
      <c r="O38" s="11">
        <v>1.04973309343221</v>
      </c>
      <c r="P38" s="11">
        <v>0.89104729729729704</v>
      </c>
      <c r="Q38" s="11">
        <v>0.79591836734693899</v>
      </c>
      <c r="R38" s="11">
        <v>0.92441860465116299</v>
      </c>
      <c r="S38" s="10" t="s">
        <v>84</v>
      </c>
      <c r="T38" s="10" t="s">
        <v>84</v>
      </c>
      <c r="U38" s="10"/>
      <c r="V38" s="10"/>
      <c r="W38" s="10"/>
      <c r="X38" s="10"/>
      <c r="Y38" s="10"/>
      <c r="Z38" s="10"/>
      <c r="AA38" s="10"/>
    </row>
    <row r="39" spans="1:27" ht="12.5" x14ac:dyDescent="0.25">
      <c r="A39" s="10" t="s">
        <v>22</v>
      </c>
      <c r="B39" s="10" t="s">
        <v>400</v>
      </c>
      <c r="C39" s="10" t="s">
        <v>76</v>
      </c>
      <c r="D39" s="11">
        <v>2024</v>
      </c>
      <c r="E39" s="10" t="s">
        <v>81</v>
      </c>
      <c r="F39" s="10" t="s">
        <v>83</v>
      </c>
      <c r="G39" s="10" t="s">
        <v>84</v>
      </c>
      <c r="H39" s="12">
        <v>22368.25</v>
      </c>
      <c r="I39" s="11">
        <v>4688</v>
      </c>
      <c r="J39" s="11">
        <v>4045</v>
      </c>
      <c r="K39" s="11">
        <v>5509</v>
      </c>
      <c r="L39" s="11">
        <v>0.20958277916242901</v>
      </c>
      <c r="M39" s="11">
        <v>20.958277916242888</v>
      </c>
      <c r="N39" s="11">
        <v>0.86284129692832801</v>
      </c>
      <c r="O39" s="11">
        <v>0.24628658925038799</v>
      </c>
      <c r="P39" s="11">
        <v>0.89020270270270296</v>
      </c>
      <c r="Q39" s="11">
        <v>1</v>
      </c>
      <c r="R39" s="11">
        <v>0.92248062015503896</v>
      </c>
      <c r="S39" s="10" t="s">
        <v>84</v>
      </c>
      <c r="T39" s="10" t="s">
        <v>84</v>
      </c>
      <c r="U39" s="10"/>
      <c r="V39" s="10"/>
      <c r="W39" s="10"/>
      <c r="X39" s="10"/>
      <c r="Y39" s="10"/>
      <c r="Z39" s="10"/>
      <c r="AA39" s="10"/>
    </row>
    <row r="40" spans="1:27" ht="12.5" x14ac:dyDescent="0.25">
      <c r="A40" s="10" t="s">
        <v>13</v>
      </c>
      <c r="B40" s="10" t="s">
        <v>402</v>
      </c>
      <c r="C40" s="10" t="s">
        <v>76</v>
      </c>
      <c r="D40" s="11">
        <v>2024</v>
      </c>
      <c r="E40" s="10" t="s">
        <v>81</v>
      </c>
      <c r="F40" s="10" t="s">
        <v>83</v>
      </c>
      <c r="G40" s="10" t="s">
        <v>84</v>
      </c>
      <c r="H40" s="12">
        <v>108367.91666666701</v>
      </c>
      <c r="I40" s="11">
        <v>22374</v>
      </c>
      <c r="J40" s="11">
        <v>19447</v>
      </c>
      <c r="K40" s="11">
        <v>218949</v>
      </c>
      <c r="L40" s="11">
        <v>0.206463321324346</v>
      </c>
      <c r="M40" s="11">
        <v>20.64633213243458</v>
      </c>
      <c r="N40" s="11">
        <v>0.86917851077143105</v>
      </c>
      <c r="O40" s="11">
        <v>2.0204227112114199</v>
      </c>
      <c r="P40" s="11">
        <v>0.889358108108108</v>
      </c>
      <c r="Q40" s="11">
        <v>0.71428571428571397</v>
      </c>
      <c r="R40" s="11">
        <v>0.92054263565891503</v>
      </c>
      <c r="S40" s="10" t="s">
        <v>84</v>
      </c>
      <c r="T40" s="10" t="s">
        <v>84</v>
      </c>
      <c r="U40" s="10"/>
      <c r="V40" s="10"/>
      <c r="W40" s="10"/>
      <c r="X40" s="10"/>
      <c r="Y40" s="10"/>
      <c r="Z40" s="10"/>
      <c r="AA40" s="10"/>
    </row>
    <row r="41" spans="1:27" ht="12.5" x14ac:dyDescent="0.25">
      <c r="A41" s="10" t="s">
        <v>42</v>
      </c>
      <c r="B41" s="10" t="s">
        <v>211</v>
      </c>
      <c r="C41" s="10" t="s">
        <v>76</v>
      </c>
      <c r="D41" s="11">
        <v>2024</v>
      </c>
      <c r="E41" s="10" t="s">
        <v>81</v>
      </c>
      <c r="F41" s="10" t="s">
        <v>83</v>
      </c>
      <c r="G41" s="10" t="s">
        <v>84</v>
      </c>
      <c r="H41" s="12">
        <v>305.66666666666703</v>
      </c>
      <c r="I41" s="11">
        <v>63</v>
      </c>
      <c r="J41" s="11">
        <v>62</v>
      </c>
      <c r="K41" s="11">
        <v>517</v>
      </c>
      <c r="L41" s="11">
        <v>0.206106870229008</v>
      </c>
      <c r="M41" s="11">
        <v>20.610687022900738</v>
      </c>
      <c r="N41" s="11">
        <v>0.98412698412698396</v>
      </c>
      <c r="O41" s="11">
        <v>1.6913849509269401</v>
      </c>
      <c r="P41" s="11">
        <v>0.88851351351351304</v>
      </c>
      <c r="Q41" s="11">
        <v>0.92857142857142905</v>
      </c>
      <c r="R41" s="11">
        <v>0.918604651162791</v>
      </c>
      <c r="S41" s="10" t="s">
        <v>84</v>
      </c>
      <c r="T41" s="10" t="s">
        <v>84</v>
      </c>
      <c r="U41" s="10"/>
      <c r="V41" s="10"/>
      <c r="W41" s="10"/>
      <c r="X41" s="10"/>
      <c r="Y41" s="10"/>
      <c r="Z41" s="10"/>
      <c r="AA41" s="10"/>
    </row>
    <row r="42" spans="1:27" ht="12.5" x14ac:dyDescent="0.25">
      <c r="A42" s="10" t="s">
        <v>36</v>
      </c>
      <c r="B42" s="10" t="s">
        <v>405</v>
      </c>
      <c r="C42" s="10" t="s">
        <v>76</v>
      </c>
      <c r="D42" s="11">
        <v>2024</v>
      </c>
      <c r="E42" s="10" t="s">
        <v>81</v>
      </c>
      <c r="F42" s="10" t="s">
        <v>83</v>
      </c>
      <c r="G42" s="10" t="s">
        <v>84</v>
      </c>
      <c r="H42" s="12">
        <v>32234.333333333299</v>
      </c>
      <c r="I42" s="11">
        <v>6630</v>
      </c>
      <c r="J42" s="11">
        <v>2996</v>
      </c>
      <c r="K42" s="11">
        <v>3502</v>
      </c>
      <c r="L42" s="11">
        <v>0.20568131288584601</v>
      </c>
      <c r="M42" s="11">
        <v>20.568131288584656</v>
      </c>
      <c r="N42" s="11">
        <v>0.45188536953242803</v>
      </c>
      <c r="O42" s="11">
        <v>0.108641924242268</v>
      </c>
      <c r="P42" s="11">
        <v>0.88766891891891897</v>
      </c>
      <c r="Q42" s="11">
        <v>0.74468085106382997</v>
      </c>
      <c r="R42" s="11">
        <v>0.91666666666666696</v>
      </c>
      <c r="S42" s="10" t="s">
        <v>84</v>
      </c>
      <c r="T42" s="10" t="s">
        <v>84</v>
      </c>
      <c r="U42" s="10"/>
      <c r="V42" s="10"/>
      <c r="W42" s="10"/>
      <c r="X42" s="10"/>
      <c r="Y42" s="10"/>
      <c r="Z42" s="10"/>
      <c r="AA42" s="10"/>
    </row>
    <row r="43" spans="1:27" ht="12.5" x14ac:dyDescent="0.25">
      <c r="A43" s="10" t="s">
        <v>29</v>
      </c>
      <c r="B43" s="10" t="s">
        <v>408</v>
      </c>
      <c r="C43" s="10" t="s">
        <v>76</v>
      </c>
      <c r="D43" s="11">
        <v>2024</v>
      </c>
      <c r="E43" s="10" t="s">
        <v>81</v>
      </c>
      <c r="F43" s="10" t="s">
        <v>83</v>
      </c>
      <c r="G43" s="10" t="s">
        <v>84</v>
      </c>
      <c r="H43" s="12">
        <v>16333</v>
      </c>
      <c r="I43" s="11">
        <v>3339</v>
      </c>
      <c r="J43" s="11">
        <v>2986</v>
      </c>
      <c r="K43" s="11">
        <v>6531</v>
      </c>
      <c r="L43" s="11">
        <v>0.20443274352537799</v>
      </c>
      <c r="M43" s="11">
        <v>20.443274352537806</v>
      </c>
      <c r="N43" s="11">
        <v>0.89427972446840398</v>
      </c>
      <c r="O43" s="11">
        <v>0.39986530337353798</v>
      </c>
      <c r="P43" s="11">
        <v>0.88682432432432401</v>
      </c>
      <c r="Q43" s="11">
        <v>0.77551020408163296</v>
      </c>
      <c r="R43" s="11">
        <v>0.91472868217054304</v>
      </c>
      <c r="S43" s="10" t="s">
        <v>84</v>
      </c>
      <c r="T43" s="10" t="s">
        <v>84</v>
      </c>
      <c r="U43" s="10"/>
      <c r="V43" s="10"/>
      <c r="W43" s="10"/>
      <c r="X43" s="10"/>
      <c r="Y43" s="10"/>
      <c r="Z43" s="10"/>
      <c r="AA43" s="10"/>
    </row>
    <row r="44" spans="1:27" ht="12.5" x14ac:dyDescent="0.25">
      <c r="A44" s="10" t="s">
        <v>101</v>
      </c>
      <c r="B44" s="10" t="s">
        <v>410</v>
      </c>
      <c r="C44" s="10" t="s">
        <v>76</v>
      </c>
      <c r="D44" s="11">
        <v>2024</v>
      </c>
      <c r="E44" s="10" t="s">
        <v>81</v>
      </c>
      <c r="F44" s="10" t="s">
        <v>83</v>
      </c>
      <c r="G44" s="10" t="s">
        <v>84</v>
      </c>
      <c r="H44" s="12">
        <v>40606.25</v>
      </c>
      <c r="I44" s="11">
        <v>8054</v>
      </c>
      <c r="J44" s="11">
        <v>7502</v>
      </c>
      <c r="K44" s="11">
        <v>42158</v>
      </c>
      <c r="L44" s="11">
        <v>0.19834385100815799</v>
      </c>
      <c r="M44" s="11">
        <v>19.834385100815759</v>
      </c>
      <c r="N44" s="11">
        <v>0.93146262726595497</v>
      </c>
      <c r="O44" s="11">
        <v>1.0382145605664199</v>
      </c>
      <c r="P44" s="11">
        <v>0.88513513513513498</v>
      </c>
      <c r="Q44" s="11">
        <v>0.92857142857142905</v>
      </c>
      <c r="R44" s="11">
        <v>0.912790697674419</v>
      </c>
      <c r="S44" s="10" t="s">
        <v>84</v>
      </c>
      <c r="T44" s="10" t="s">
        <v>84</v>
      </c>
      <c r="U44" s="10"/>
      <c r="V44" s="10"/>
      <c r="W44" s="10"/>
      <c r="X44" s="10"/>
      <c r="Y44" s="10"/>
      <c r="Z44" s="10"/>
      <c r="AA44" s="10"/>
    </row>
    <row r="45" spans="1:27" ht="12.5" x14ac:dyDescent="0.25">
      <c r="A45" s="10" t="s">
        <v>26</v>
      </c>
      <c r="B45" s="10" t="s">
        <v>412</v>
      </c>
      <c r="C45" s="10" t="s">
        <v>76</v>
      </c>
      <c r="D45" s="11">
        <v>2024</v>
      </c>
      <c r="E45" s="10" t="s">
        <v>81</v>
      </c>
      <c r="F45" s="10" t="s">
        <v>83</v>
      </c>
      <c r="G45" s="10" t="s">
        <v>84</v>
      </c>
      <c r="H45" s="12">
        <v>102476.91666666701</v>
      </c>
      <c r="I45" s="11">
        <v>20217</v>
      </c>
      <c r="J45" s="11">
        <v>18454</v>
      </c>
      <c r="K45" s="11">
        <v>122386</v>
      </c>
      <c r="L45" s="11">
        <v>0.19728345326549099</v>
      </c>
      <c r="M45" s="11">
        <v>19.728345326549086</v>
      </c>
      <c r="N45" s="11">
        <v>0.91279616164613897</v>
      </c>
      <c r="O45" s="11">
        <v>1.19427871154723</v>
      </c>
      <c r="P45" s="11">
        <v>0.88344594594594605</v>
      </c>
      <c r="Q45" s="11">
        <v>0.73076923076923095</v>
      </c>
      <c r="R45" s="11">
        <v>0.91085271317829497</v>
      </c>
      <c r="S45" s="10" t="s">
        <v>84</v>
      </c>
      <c r="T45" s="10" t="s">
        <v>84</v>
      </c>
      <c r="U45" s="10"/>
      <c r="V45" s="10"/>
      <c r="W45" s="10"/>
      <c r="X45" s="10"/>
      <c r="Y45" s="10"/>
      <c r="Z45" s="10"/>
      <c r="AA45" s="10"/>
    </row>
    <row r="46" spans="1:27" ht="12.5" x14ac:dyDescent="0.25">
      <c r="A46" s="10" t="s">
        <v>55</v>
      </c>
      <c r="B46" s="10" t="s">
        <v>414</v>
      </c>
      <c r="C46" s="10" t="s">
        <v>76</v>
      </c>
      <c r="D46" s="11">
        <v>2024</v>
      </c>
      <c r="E46" s="10" t="s">
        <v>81</v>
      </c>
      <c r="F46" s="10" t="s">
        <v>83</v>
      </c>
      <c r="G46" s="10" t="s">
        <v>84</v>
      </c>
      <c r="H46" s="12">
        <v>12796.583333333299</v>
      </c>
      <c r="I46" s="11">
        <v>2495</v>
      </c>
      <c r="J46" s="11">
        <v>2253</v>
      </c>
      <c r="K46" s="11">
        <v>34485</v>
      </c>
      <c r="L46" s="11">
        <v>0.19497391881947701</v>
      </c>
      <c r="M46" s="11">
        <v>19.497391881947706</v>
      </c>
      <c r="N46" s="11">
        <v>0.90300601202404795</v>
      </c>
      <c r="O46" s="11">
        <v>2.6948599561080799</v>
      </c>
      <c r="P46" s="11">
        <v>0.88006756756756799</v>
      </c>
      <c r="Q46" s="11">
        <v>0.86363636363636398</v>
      </c>
      <c r="R46" s="11">
        <v>0.90891472868217005</v>
      </c>
      <c r="S46" s="10" t="s">
        <v>84</v>
      </c>
      <c r="T46" s="10" t="s">
        <v>84</v>
      </c>
      <c r="U46" s="10"/>
      <c r="V46" s="10"/>
      <c r="W46" s="10"/>
      <c r="X46" s="10"/>
      <c r="Y46" s="10"/>
      <c r="Z46" s="10"/>
      <c r="AA46" s="10"/>
    </row>
    <row r="47" spans="1:27" ht="12.5" x14ac:dyDescent="0.25">
      <c r="A47" s="10" t="s">
        <v>52</v>
      </c>
      <c r="B47" s="10" t="s">
        <v>416</v>
      </c>
      <c r="C47" s="10" t="s">
        <v>76</v>
      </c>
      <c r="D47" s="11">
        <v>2024</v>
      </c>
      <c r="E47" s="10" t="s">
        <v>81</v>
      </c>
      <c r="F47" s="10" t="s">
        <v>83</v>
      </c>
      <c r="G47" s="10" t="s">
        <v>84</v>
      </c>
      <c r="H47" s="12">
        <v>27998.916666666701</v>
      </c>
      <c r="I47" s="11">
        <v>5456</v>
      </c>
      <c r="J47" s="11">
        <v>4802</v>
      </c>
      <c r="K47" s="11">
        <v>48543</v>
      </c>
      <c r="L47" s="11">
        <v>0.194864682264492</v>
      </c>
      <c r="M47" s="11">
        <v>19.486468226449212</v>
      </c>
      <c r="N47" s="11">
        <v>0.88013196480938405</v>
      </c>
      <c r="O47" s="11">
        <v>1.7337456508733999</v>
      </c>
      <c r="P47" s="11">
        <v>0.87922297297297303</v>
      </c>
      <c r="Q47" s="11">
        <v>0.85106382978723405</v>
      </c>
      <c r="R47" s="11">
        <v>0.90697674418604601</v>
      </c>
      <c r="S47" s="10" t="s">
        <v>84</v>
      </c>
      <c r="T47" s="10" t="s">
        <v>84</v>
      </c>
      <c r="U47" s="10"/>
      <c r="V47" s="10"/>
      <c r="W47" s="10"/>
      <c r="X47" s="10"/>
      <c r="Y47" s="10"/>
      <c r="Z47" s="10"/>
      <c r="AA47" s="10"/>
    </row>
    <row r="48" spans="1:27" ht="12.5" x14ac:dyDescent="0.25">
      <c r="A48" s="10" t="s">
        <v>110</v>
      </c>
      <c r="B48" s="10" t="s">
        <v>418</v>
      </c>
      <c r="C48" s="10" t="s">
        <v>76</v>
      </c>
      <c r="D48" s="11">
        <v>2024</v>
      </c>
      <c r="E48" s="10" t="s">
        <v>81</v>
      </c>
      <c r="F48" s="10" t="s">
        <v>83</v>
      </c>
      <c r="G48" s="10" t="s">
        <v>84</v>
      </c>
      <c r="H48" s="12">
        <v>9036.1666666666697</v>
      </c>
      <c r="I48" s="11">
        <v>1756</v>
      </c>
      <c r="J48" s="11">
        <v>1740</v>
      </c>
      <c r="K48" s="11">
        <v>9220</v>
      </c>
      <c r="L48" s="11">
        <v>0.194330191637309</v>
      </c>
      <c r="M48" s="11">
        <v>19.433019163730929</v>
      </c>
      <c r="N48" s="11">
        <v>0.99088838268792701</v>
      </c>
      <c r="O48" s="11">
        <v>1.0203441724920199</v>
      </c>
      <c r="P48" s="11">
        <v>0.87837837837837796</v>
      </c>
      <c r="Q48" s="11">
        <v>0.93939393939394</v>
      </c>
      <c r="R48" s="11">
        <v>0.90503875968992298</v>
      </c>
      <c r="S48" s="10" t="s">
        <v>84</v>
      </c>
      <c r="T48" s="10" t="s">
        <v>84</v>
      </c>
      <c r="U48" s="10"/>
      <c r="V48" s="10"/>
      <c r="W48" s="10"/>
      <c r="X48" s="10"/>
      <c r="Y48" s="10"/>
      <c r="Z48" s="10"/>
      <c r="AA48" s="10"/>
    </row>
    <row r="49" spans="1:27" ht="12.5" x14ac:dyDescent="0.25">
      <c r="A49" s="10" t="s">
        <v>101</v>
      </c>
      <c r="B49" s="10" t="s">
        <v>421</v>
      </c>
      <c r="C49" s="10" t="s">
        <v>76</v>
      </c>
      <c r="D49" s="11">
        <v>2024</v>
      </c>
      <c r="E49" s="10" t="s">
        <v>81</v>
      </c>
      <c r="F49" s="10" t="s">
        <v>125</v>
      </c>
      <c r="G49" s="10" t="s">
        <v>84</v>
      </c>
      <c r="H49" s="12">
        <v>7247.3333333333303</v>
      </c>
      <c r="I49" s="11">
        <v>1405</v>
      </c>
      <c r="J49" s="11">
        <v>1355</v>
      </c>
      <c r="K49" s="11">
        <v>11399</v>
      </c>
      <c r="L49" s="11">
        <v>0.193864409897893</v>
      </c>
      <c r="M49" s="11">
        <v>19.386440989789357</v>
      </c>
      <c r="N49" s="11">
        <v>0.96441281138790003</v>
      </c>
      <c r="O49" s="11">
        <v>1.5728543832214099</v>
      </c>
      <c r="P49" s="11">
        <v>0.87668918918918903</v>
      </c>
      <c r="Q49" s="11">
        <v>0.85714285714285698</v>
      </c>
      <c r="R49" s="11">
        <v>0.90310077519379806</v>
      </c>
      <c r="S49" s="10" t="s">
        <v>84</v>
      </c>
      <c r="T49" s="10" t="s">
        <v>84</v>
      </c>
      <c r="U49" s="10"/>
      <c r="V49" s="10"/>
      <c r="W49" s="10"/>
      <c r="X49" s="10"/>
      <c r="Y49" s="10"/>
      <c r="Z49" s="10"/>
      <c r="AA49" s="10"/>
    </row>
    <row r="50" spans="1:27" ht="12.5" x14ac:dyDescent="0.25">
      <c r="A50" s="10" t="s">
        <v>29</v>
      </c>
      <c r="B50" s="10" t="s">
        <v>423</v>
      </c>
      <c r="C50" s="10" t="s">
        <v>76</v>
      </c>
      <c r="D50" s="11">
        <v>2024</v>
      </c>
      <c r="E50" s="10" t="s">
        <v>81</v>
      </c>
      <c r="F50" s="10" t="s">
        <v>83</v>
      </c>
      <c r="G50" s="10" t="s">
        <v>84</v>
      </c>
      <c r="H50" s="12">
        <v>113000</v>
      </c>
      <c r="I50" s="11">
        <v>21720</v>
      </c>
      <c r="J50" s="11">
        <v>14160</v>
      </c>
      <c r="K50" s="11">
        <v>108480</v>
      </c>
      <c r="L50" s="11">
        <v>0.19221238938053101</v>
      </c>
      <c r="M50" s="11">
        <v>19.221238938053098</v>
      </c>
      <c r="N50" s="11">
        <v>0.65193370165745901</v>
      </c>
      <c r="O50" s="11">
        <v>0.96</v>
      </c>
      <c r="P50" s="11">
        <v>0.87415540540540504</v>
      </c>
      <c r="Q50" s="11">
        <v>0.73469387755102</v>
      </c>
      <c r="R50" s="11">
        <v>0.90116279069767402</v>
      </c>
      <c r="S50" s="10" t="s">
        <v>84</v>
      </c>
      <c r="T50" s="10" t="s">
        <v>84</v>
      </c>
      <c r="U50" s="10"/>
      <c r="V50" s="10"/>
      <c r="W50" s="10"/>
      <c r="X50" s="10"/>
      <c r="Y50" s="10"/>
      <c r="Z50" s="10"/>
      <c r="AA50" s="10"/>
    </row>
    <row r="51" spans="1:27" ht="12.5" x14ac:dyDescent="0.25">
      <c r="A51" s="10" t="s">
        <v>86</v>
      </c>
      <c r="B51" s="10" t="s">
        <v>425</v>
      </c>
      <c r="C51" s="10" t="s">
        <v>76</v>
      </c>
      <c r="D51" s="11">
        <v>2024</v>
      </c>
      <c r="E51" s="10" t="s">
        <v>81</v>
      </c>
      <c r="F51" s="10" t="s">
        <v>83</v>
      </c>
      <c r="G51" s="10" t="s">
        <v>84</v>
      </c>
      <c r="H51" s="12">
        <v>30111.75</v>
      </c>
      <c r="I51" s="11">
        <v>5686</v>
      </c>
      <c r="J51" s="11">
        <v>5381</v>
      </c>
      <c r="K51" s="11">
        <v>823</v>
      </c>
      <c r="L51" s="11">
        <v>0.18882994180012799</v>
      </c>
      <c r="M51" s="11">
        <v>18.882994180012787</v>
      </c>
      <c r="N51" s="11">
        <v>0.94635947942314502</v>
      </c>
      <c r="O51" s="11">
        <v>2.7331523408636201E-2</v>
      </c>
      <c r="P51" s="11">
        <v>0.86908783783783805</v>
      </c>
      <c r="Q51" s="11">
        <v>0.65217391304347805</v>
      </c>
      <c r="R51" s="11">
        <v>0.89922480620154999</v>
      </c>
      <c r="S51" s="10" t="s">
        <v>84</v>
      </c>
      <c r="T51" s="10" t="s">
        <v>84</v>
      </c>
      <c r="U51" s="10"/>
      <c r="V51" s="10"/>
      <c r="W51" s="10"/>
      <c r="X51" s="10"/>
      <c r="Y51" s="10"/>
      <c r="Z51" s="10"/>
      <c r="AA51" s="10"/>
    </row>
    <row r="52" spans="1:27" ht="12.5" x14ac:dyDescent="0.25">
      <c r="A52" s="10" t="s">
        <v>62</v>
      </c>
      <c r="B52" s="10" t="s">
        <v>211</v>
      </c>
      <c r="C52" s="10" t="s">
        <v>76</v>
      </c>
      <c r="D52" s="11">
        <v>2024</v>
      </c>
      <c r="E52" s="10" t="s">
        <v>81</v>
      </c>
      <c r="F52" s="10" t="s">
        <v>83</v>
      </c>
      <c r="G52" s="10" t="s">
        <v>84</v>
      </c>
      <c r="H52" s="12">
        <v>865.33333333333303</v>
      </c>
      <c r="I52" s="11">
        <v>161</v>
      </c>
      <c r="J52" s="11">
        <v>159</v>
      </c>
      <c r="K52" s="11">
        <v>1178</v>
      </c>
      <c r="L52" s="11">
        <v>0.186055469953775</v>
      </c>
      <c r="M52" s="11">
        <v>18.605546995377512</v>
      </c>
      <c r="N52" s="11">
        <v>0.98757763975155299</v>
      </c>
      <c r="O52" s="11">
        <v>1.3613251155624</v>
      </c>
      <c r="P52" s="11">
        <v>0.86570945945945899</v>
      </c>
      <c r="Q52" s="11">
        <v>1</v>
      </c>
      <c r="R52" s="11">
        <v>0.89728682170542595</v>
      </c>
      <c r="S52" s="10" t="s">
        <v>84</v>
      </c>
      <c r="T52" s="10" t="s">
        <v>84</v>
      </c>
      <c r="U52" s="10"/>
      <c r="V52" s="10"/>
      <c r="W52" s="10"/>
      <c r="X52" s="10"/>
      <c r="Y52" s="10"/>
      <c r="Z52" s="10"/>
      <c r="AA52" s="10"/>
    </row>
    <row r="53" spans="1:27" ht="12.5" x14ac:dyDescent="0.25">
      <c r="A53" s="10" t="s">
        <v>36</v>
      </c>
      <c r="B53" s="10" t="s">
        <v>428</v>
      </c>
      <c r="C53" s="10" t="s">
        <v>76</v>
      </c>
      <c r="D53" s="11">
        <v>2024</v>
      </c>
      <c r="E53" s="10" t="s">
        <v>81</v>
      </c>
      <c r="F53" s="10" t="s">
        <v>83</v>
      </c>
      <c r="G53" s="10" t="s">
        <v>84</v>
      </c>
      <c r="H53" s="12">
        <v>47605.916666666701</v>
      </c>
      <c r="I53" s="11">
        <v>8624</v>
      </c>
      <c r="J53" s="11">
        <v>8037</v>
      </c>
      <c r="K53" s="11">
        <v>118890</v>
      </c>
      <c r="L53" s="11">
        <v>0.181153953202596</v>
      </c>
      <c r="M53" s="11">
        <v>18.115395320259548</v>
      </c>
      <c r="N53" s="11">
        <v>0.93193413729128005</v>
      </c>
      <c r="O53" s="11">
        <v>2.4973786521633299</v>
      </c>
      <c r="P53" s="11">
        <v>0.860641891891892</v>
      </c>
      <c r="Q53" s="11">
        <v>0.659574468085106</v>
      </c>
      <c r="R53" s="11">
        <v>0.89534883720930203</v>
      </c>
      <c r="S53" s="10" t="s">
        <v>84</v>
      </c>
      <c r="T53" s="10" t="s">
        <v>84</v>
      </c>
      <c r="U53" s="10"/>
      <c r="V53" s="10"/>
      <c r="W53" s="10"/>
      <c r="X53" s="10"/>
      <c r="Y53" s="10"/>
      <c r="Z53" s="10"/>
      <c r="AA53" s="10"/>
    </row>
    <row r="54" spans="1:27" ht="12.5" x14ac:dyDescent="0.25">
      <c r="A54" s="10" t="s">
        <v>32</v>
      </c>
      <c r="B54" s="10" t="s">
        <v>430</v>
      </c>
      <c r="C54" s="10" t="s">
        <v>76</v>
      </c>
      <c r="D54" s="11">
        <v>2024</v>
      </c>
      <c r="E54" s="10" t="s">
        <v>81</v>
      </c>
      <c r="F54" s="10" t="s">
        <v>83</v>
      </c>
      <c r="G54" s="10" t="s">
        <v>84</v>
      </c>
      <c r="H54" s="12">
        <v>34840.666666666701</v>
      </c>
      <c r="I54" s="11">
        <v>6299</v>
      </c>
      <c r="J54" s="11">
        <v>4095</v>
      </c>
      <c r="K54" s="11">
        <v>22537</v>
      </c>
      <c r="L54" s="11">
        <v>0.180794473890664</v>
      </c>
      <c r="M54" s="11">
        <v>18.079447389066399</v>
      </c>
      <c r="N54" s="11">
        <v>0.65010319098269598</v>
      </c>
      <c r="O54" s="11">
        <v>0.64685903446164394</v>
      </c>
      <c r="P54" s="11">
        <v>0.85979729729729704</v>
      </c>
      <c r="Q54" s="11">
        <v>0.68965517241379304</v>
      </c>
      <c r="R54" s="11">
        <v>0.89341085271317799</v>
      </c>
      <c r="S54" s="10" t="s">
        <v>84</v>
      </c>
      <c r="T54" s="10" t="s">
        <v>84</v>
      </c>
      <c r="U54" s="10"/>
      <c r="V54" s="10"/>
      <c r="W54" s="10"/>
      <c r="X54" s="10"/>
      <c r="Y54" s="10"/>
      <c r="Z54" s="10"/>
      <c r="AA54" s="10"/>
    </row>
    <row r="55" spans="1:27" ht="12.5" x14ac:dyDescent="0.25">
      <c r="A55" s="10" t="s">
        <v>72</v>
      </c>
      <c r="B55" s="10" t="s">
        <v>433</v>
      </c>
      <c r="C55" s="10" t="s">
        <v>76</v>
      </c>
      <c r="D55" s="11">
        <v>2024</v>
      </c>
      <c r="E55" s="10" t="s">
        <v>81</v>
      </c>
      <c r="F55" s="10" t="s">
        <v>83</v>
      </c>
      <c r="G55" s="10" t="s">
        <v>84</v>
      </c>
      <c r="H55" s="12">
        <v>4771.5</v>
      </c>
      <c r="I55" s="11">
        <v>857</v>
      </c>
      <c r="J55" s="11">
        <v>822</v>
      </c>
      <c r="K55" s="11">
        <v>2429</v>
      </c>
      <c r="L55" s="11">
        <v>0.17960808969925601</v>
      </c>
      <c r="M55" s="11">
        <v>17.960808969925601</v>
      </c>
      <c r="N55" s="11">
        <v>0.95915985997666298</v>
      </c>
      <c r="O55" s="11">
        <v>0.50906423556533598</v>
      </c>
      <c r="P55" s="11">
        <v>0.858108108108108</v>
      </c>
      <c r="Q55" s="11">
        <v>1</v>
      </c>
      <c r="R55" s="11">
        <v>0.89147286821705396</v>
      </c>
      <c r="S55" s="10" t="s">
        <v>84</v>
      </c>
      <c r="T55" s="10" t="s">
        <v>84</v>
      </c>
      <c r="U55" s="10"/>
      <c r="V55" s="10"/>
      <c r="W55" s="10"/>
      <c r="X55" s="10"/>
      <c r="Y55" s="10"/>
      <c r="Z55" s="10"/>
      <c r="AA55" s="10"/>
    </row>
    <row r="56" spans="1:27" ht="12.5" x14ac:dyDescent="0.25">
      <c r="A56" s="10" t="s">
        <v>16</v>
      </c>
      <c r="B56" s="10" t="s">
        <v>435</v>
      </c>
      <c r="C56" s="10" t="s">
        <v>76</v>
      </c>
      <c r="D56" s="11">
        <v>2024</v>
      </c>
      <c r="E56" s="10" t="s">
        <v>81</v>
      </c>
      <c r="F56" s="10" t="s">
        <v>83</v>
      </c>
      <c r="G56" s="10" t="s">
        <v>84</v>
      </c>
      <c r="H56" s="12">
        <v>57580.083333333299</v>
      </c>
      <c r="I56" s="11">
        <v>10333</v>
      </c>
      <c r="J56" s="11">
        <v>9810</v>
      </c>
      <c r="K56" s="11">
        <v>83849</v>
      </c>
      <c r="L56" s="11">
        <v>0.179454412043516</v>
      </c>
      <c r="M56" s="11">
        <v>17.945441204351631</v>
      </c>
      <c r="N56" s="11">
        <v>0.94938546404722701</v>
      </c>
      <c r="O56" s="11">
        <v>1.4562153290851401</v>
      </c>
      <c r="P56" s="11">
        <v>0.85726351351351304</v>
      </c>
      <c r="Q56" s="11">
        <v>0.56666666666666698</v>
      </c>
      <c r="R56" s="11">
        <v>0.88953488372093004</v>
      </c>
      <c r="S56" s="10" t="s">
        <v>84</v>
      </c>
      <c r="T56" s="10" t="s">
        <v>84</v>
      </c>
      <c r="U56" s="10"/>
      <c r="V56" s="10"/>
      <c r="W56" s="10"/>
      <c r="X56" s="10"/>
      <c r="Y56" s="10"/>
      <c r="Z56" s="10"/>
      <c r="AA56" s="10"/>
    </row>
    <row r="57" spans="1:27" ht="12.5" x14ac:dyDescent="0.25">
      <c r="A57" s="10" t="s">
        <v>67</v>
      </c>
      <c r="B57" s="10" t="s">
        <v>437</v>
      </c>
      <c r="C57" s="10" t="s">
        <v>76</v>
      </c>
      <c r="D57" s="11">
        <v>2024</v>
      </c>
      <c r="E57" s="10" t="s">
        <v>81</v>
      </c>
      <c r="F57" s="10" t="s">
        <v>83</v>
      </c>
      <c r="G57" s="10" t="s">
        <v>84</v>
      </c>
      <c r="H57" s="12">
        <v>18603.583333333299</v>
      </c>
      <c r="I57" s="11">
        <v>3318</v>
      </c>
      <c r="J57" s="11">
        <v>3559</v>
      </c>
      <c r="K57" s="11">
        <v>58740</v>
      </c>
      <c r="L57" s="11">
        <v>0.17835273670394999</v>
      </c>
      <c r="M57" s="11">
        <v>17.835273670395075</v>
      </c>
      <c r="N57" s="11">
        <v>1.0726341169379101</v>
      </c>
      <c r="O57" s="11">
        <v>3.1574562248312401</v>
      </c>
      <c r="P57" s="11">
        <v>0.85641891891891897</v>
      </c>
      <c r="Q57" s="11">
        <v>1</v>
      </c>
      <c r="R57" s="11">
        <v>0.887596899224806</v>
      </c>
      <c r="S57" s="10" t="s">
        <v>84</v>
      </c>
      <c r="T57" s="10" t="s">
        <v>84</v>
      </c>
      <c r="U57" s="10"/>
      <c r="V57" s="10"/>
      <c r="W57" s="10"/>
      <c r="X57" s="10"/>
      <c r="Y57" s="10"/>
      <c r="Z57" s="10"/>
      <c r="AA57" s="10"/>
    </row>
    <row r="58" spans="1:27" ht="12.5" x14ac:dyDescent="0.25">
      <c r="A58" s="10" t="s">
        <v>14</v>
      </c>
      <c r="B58" s="10" t="s">
        <v>405</v>
      </c>
      <c r="C58" s="10" t="s">
        <v>76</v>
      </c>
      <c r="D58" s="11">
        <v>2024</v>
      </c>
      <c r="E58" s="10" t="s">
        <v>81</v>
      </c>
      <c r="F58" s="10" t="s">
        <v>83</v>
      </c>
      <c r="G58" s="10" t="s">
        <v>84</v>
      </c>
      <c r="H58" s="12">
        <v>685.16666666666697</v>
      </c>
      <c r="I58" s="11">
        <v>122</v>
      </c>
      <c r="J58" s="11">
        <v>56</v>
      </c>
      <c r="K58" s="11">
        <v>65</v>
      </c>
      <c r="L58" s="11">
        <v>0.17805886645585001</v>
      </c>
      <c r="M58" s="11">
        <v>17.805886645585009</v>
      </c>
      <c r="N58" s="11">
        <v>0.45901639344262302</v>
      </c>
      <c r="O58" s="11">
        <v>9.4867428849428406E-2</v>
      </c>
      <c r="P58" s="11">
        <v>0.85472972972973005</v>
      </c>
      <c r="Q58" s="11">
        <v>0.67857142857142905</v>
      </c>
      <c r="R58" s="11">
        <v>0.88565891472868197</v>
      </c>
      <c r="S58" s="10" t="s">
        <v>84</v>
      </c>
      <c r="T58" s="10" t="s">
        <v>84</v>
      </c>
      <c r="U58" s="10"/>
      <c r="V58" s="10"/>
      <c r="W58" s="10"/>
      <c r="X58" s="10"/>
      <c r="Y58" s="10"/>
      <c r="Z58" s="10"/>
      <c r="AA58" s="10"/>
    </row>
    <row r="59" spans="1:27" ht="12.5" x14ac:dyDescent="0.25">
      <c r="A59" s="10" t="s">
        <v>72</v>
      </c>
      <c r="B59" s="10" t="s">
        <v>440</v>
      </c>
      <c r="C59" s="10" t="s">
        <v>76</v>
      </c>
      <c r="D59" s="11">
        <v>2024</v>
      </c>
      <c r="E59" s="10" t="s">
        <v>81</v>
      </c>
      <c r="F59" s="10" t="s">
        <v>83</v>
      </c>
      <c r="G59" s="10" t="s">
        <v>84</v>
      </c>
      <c r="H59" s="12">
        <v>11517.416666666701</v>
      </c>
      <c r="I59" s="11">
        <v>2034</v>
      </c>
      <c r="J59" s="11">
        <v>1679</v>
      </c>
      <c r="K59" s="11">
        <v>11596</v>
      </c>
      <c r="L59" s="11">
        <v>0.17660210261271</v>
      </c>
      <c r="M59" s="11">
        <v>17.660210261270922</v>
      </c>
      <c r="N59" s="11">
        <v>0.82546705998033398</v>
      </c>
      <c r="O59" s="11">
        <v>1.0068229999493501</v>
      </c>
      <c r="P59" s="11">
        <v>0.85219594594594605</v>
      </c>
      <c r="Q59" s="11">
        <v>0.9</v>
      </c>
      <c r="R59" s="11">
        <v>0.88372093023255804</v>
      </c>
      <c r="S59" s="10" t="s">
        <v>84</v>
      </c>
      <c r="T59" s="10" t="s">
        <v>84</v>
      </c>
      <c r="U59" s="10"/>
      <c r="V59" s="10"/>
      <c r="W59" s="10"/>
      <c r="X59" s="10"/>
      <c r="Y59" s="10"/>
      <c r="Z59" s="10"/>
      <c r="AA59" s="10"/>
    </row>
    <row r="60" spans="1:27" ht="12.5" x14ac:dyDescent="0.25">
      <c r="A60" s="10" t="s">
        <v>58</v>
      </c>
      <c r="B60" s="10" t="s">
        <v>442</v>
      </c>
      <c r="C60" s="10" t="s">
        <v>76</v>
      </c>
      <c r="D60" s="11">
        <v>2024</v>
      </c>
      <c r="E60" s="10" t="s">
        <v>81</v>
      </c>
      <c r="F60" s="10" t="s">
        <v>83</v>
      </c>
      <c r="G60" s="10" t="s">
        <v>84</v>
      </c>
      <c r="H60" s="12">
        <v>22478.333333333299</v>
      </c>
      <c r="I60" s="11">
        <v>3963</v>
      </c>
      <c r="J60" s="11">
        <v>3606</v>
      </c>
      <c r="K60" s="11">
        <v>51888</v>
      </c>
      <c r="L60" s="11">
        <v>0.176303106695336</v>
      </c>
      <c r="M60" s="11">
        <v>17.630310669533653</v>
      </c>
      <c r="N60" s="11">
        <v>0.909916729750189</v>
      </c>
      <c r="O60" s="11">
        <v>2.3083561948543001</v>
      </c>
      <c r="P60" s="11">
        <v>0.85135135135135098</v>
      </c>
      <c r="Q60" s="11">
        <v>0.94594594594594605</v>
      </c>
      <c r="R60" s="11">
        <v>0.88178294573643401</v>
      </c>
      <c r="S60" s="10" t="s">
        <v>84</v>
      </c>
      <c r="T60" s="10" t="s">
        <v>84</v>
      </c>
      <c r="U60" s="10"/>
      <c r="V60" s="10"/>
      <c r="W60" s="10"/>
      <c r="X60" s="10"/>
      <c r="Y60" s="10"/>
      <c r="Z60" s="10"/>
      <c r="AA60" s="10"/>
    </row>
    <row r="61" spans="1:27" ht="12.5" x14ac:dyDescent="0.25">
      <c r="A61" s="10" t="s">
        <v>26</v>
      </c>
      <c r="B61" s="10" t="s">
        <v>445</v>
      </c>
      <c r="C61" s="10" t="s">
        <v>76</v>
      </c>
      <c r="D61" s="11">
        <v>2024</v>
      </c>
      <c r="E61" s="10" t="s">
        <v>81</v>
      </c>
      <c r="F61" s="10" t="s">
        <v>83</v>
      </c>
      <c r="G61" s="10" t="s">
        <v>84</v>
      </c>
      <c r="H61" s="12">
        <v>24673.666666666701</v>
      </c>
      <c r="I61" s="11">
        <v>4332</v>
      </c>
      <c r="J61" s="11">
        <v>3884</v>
      </c>
      <c r="K61" s="11">
        <v>53141</v>
      </c>
      <c r="L61" s="11">
        <v>0.17557179719268901</v>
      </c>
      <c r="M61" s="11">
        <v>17.557179719268831</v>
      </c>
      <c r="N61" s="11">
        <v>0.89658356417359197</v>
      </c>
      <c r="O61" s="11">
        <v>2.1537536645006101</v>
      </c>
      <c r="P61" s="11">
        <v>0.85050675675675702</v>
      </c>
      <c r="Q61" s="11">
        <v>0.69230769230769196</v>
      </c>
      <c r="R61" s="11">
        <v>0.87984496124030998</v>
      </c>
      <c r="S61" s="10" t="s">
        <v>84</v>
      </c>
      <c r="T61" s="10" t="s">
        <v>84</v>
      </c>
      <c r="U61" s="10"/>
      <c r="V61" s="10"/>
      <c r="W61" s="10"/>
      <c r="X61" s="10"/>
      <c r="Y61" s="10"/>
      <c r="Z61" s="10"/>
      <c r="AA61" s="10"/>
    </row>
    <row r="62" spans="1:27" ht="12.5" x14ac:dyDescent="0.25">
      <c r="A62" s="10" t="s">
        <v>12</v>
      </c>
      <c r="B62" s="10" t="s">
        <v>447</v>
      </c>
      <c r="C62" s="10" t="s">
        <v>76</v>
      </c>
      <c r="D62" s="11">
        <v>2024</v>
      </c>
      <c r="E62" s="10" t="s">
        <v>81</v>
      </c>
      <c r="F62" s="10" t="s">
        <v>83</v>
      </c>
      <c r="G62" s="10" t="s">
        <v>84</v>
      </c>
      <c r="H62" s="12">
        <v>35818.833333333299</v>
      </c>
      <c r="I62" s="11">
        <v>6218</v>
      </c>
      <c r="J62" s="11">
        <v>5714</v>
      </c>
      <c r="K62" s="11">
        <v>12711</v>
      </c>
      <c r="L62" s="11">
        <v>0.17359582714866001</v>
      </c>
      <c r="M62" s="11">
        <v>17.359582714866033</v>
      </c>
      <c r="N62" s="11">
        <v>0.91894499839176602</v>
      </c>
      <c r="O62" s="11">
        <v>0.35486917962152098</v>
      </c>
      <c r="P62" s="11">
        <v>0.84797297297297303</v>
      </c>
      <c r="Q62" s="11">
        <v>0.81944444444444398</v>
      </c>
      <c r="R62" s="11">
        <v>0.87790697674418605</v>
      </c>
      <c r="S62" s="10" t="s">
        <v>84</v>
      </c>
      <c r="T62" s="10" t="s">
        <v>84</v>
      </c>
      <c r="U62" s="10"/>
      <c r="V62" s="10"/>
      <c r="W62" s="10"/>
      <c r="X62" s="10"/>
      <c r="Y62" s="10"/>
      <c r="Z62" s="10"/>
      <c r="AA62" s="10"/>
    </row>
    <row r="63" spans="1:27" ht="12.5" x14ac:dyDescent="0.25">
      <c r="A63" s="10" t="s">
        <v>36</v>
      </c>
      <c r="B63" s="10" t="s">
        <v>449</v>
      </c>
      <c r="C63" s="10" t="s">
        <v>76</v>
      </c>
      <c r="D63" s="11">
        <v>2024</v>
      </c>
      <c r="E63" s="10" t="s">
        <v>81</v>
      </c>
      <c r="F63" s="10" t="s">
        <v>83</v>
      </c>
      <c r="G63" s="10" t="s">
        <v>84</v>
      </c>
      <c r="H63" s="12">
        <v>139027.83333333299</v>
      </c>
      <c r="I63" s="11">
        <v>24006</v>
      </c>
      <c r="J63" s="11">
        <v>22577</v>
      </c>
      <c r="K63" s="11">
        <v>118587</v>
      </c>
      <c r="L63" s="11">
        <v>0.17267046047134399</v>
      </c>
      <c r="M63" s="11">
        <v>17.267046047134489</v>
      </c>
      <c r="N63" s="11">
        <v>0.94047321502957604</v>
      </c>
      <c r="O63" s="11">
        <v>0.85297308572504105</v>
      </c>
      <c r="P63" s="11">
        <v>0.84628378378378399</v>
      </c>
      <c r="Q63" s="11">
        <v>0.61702127659574502</v>
      </c>
      <c r="R63" s="11">
        <v>0.87596899224806202</v>
      </c>
      <c r="S63" s="10" t="s">
        <v>84</v>
      </c>
      <c r="T63" s="10" t="s">
        <v>84</v>
      </c>
      <c r="U63" s="10"/>
      <c r="V63" s="10"/>
      <c r="W63" s="10"/>
      <c r="X63" s="10"/>
      <c r="Y63" s="10"/>
      <c r="Z63" s="10"/>
      <c r="AA63" s="10"/>
    </row>
    <row r="64" spans="1:27" ht="12.5" x14ac:dyDescent="0.25">
      <c r="A64" s="10" t="s">
        <v>42</v>
      </c>
      <c r="B64" s="10" t="s">
        <v>451</v>
      </c>
      <c r="C64" s="10" t="s">
        <v>76</v>
      </c>
      <c r="D64" s="11">
        <v>2024</v>
      </c>
      <c r="E64" s="10" t="s">
        <v>81</v>
      </c>
      <c r="F64" s="10" t="s">
        <v>83</v>
      </c>
      <c r="G64" s="10" t="s">
        <v>84</v>
      </c>
      <c r="H64" s="12">
        <v>27948.25</v>
      </c>
      <c r="I64" s="11">
        <v>4674</v>
      </c>
      <c r="J64" s="11">
        <v>4522</v>
      </c>
      <c r="K64" s="11">
        <v>18466</v>
      </c>
      <c r="L64" s="11">
        <v>0.16723766246544999</v>
      </c>
      <c r="M64" s="11">
        <v>16.723766246544955</v>
      </c>
      <c r="N64" s="11">
        <v>0.96747967479674801</v>
      </c>
      <c r="O64" s="11">
        <v>0.66072115427620703</v>
      </c>
      <c r="P64" s="11">
        <v>0.83952702702702697</v>
      </c>
      <c r="Q64" s="11">
        <v>0.85714285714285698</v>
      </c>
      <c r="R64" s="11">
        <v>0.87403100775193798</v>
      </c>
      <c r="S64" s="10" t="s">
        <v>84</v>
      </c>
      <c r="T64" s="10" t="s">
        <v>84</v>
      </c>
      <c r="U64" s="10"/>
      <c r="V64" s="10"/>
      <c r="W64" s="10"/>
      <c r="X64" s="10"/>
      <c r="Y64" s="10"/>
      <c r="Z64" s="10"/>
      <c r="AA64" s="10"/>
    </row>
    <row r="65" spans="1:27" ht="12.5" x14ac:dyDescent="0.25">
      <c r="A65" s="10" t="s">
        <v>36</v>
      </c>
      <c r="B65" s="10" t="s">
        <v>454</v>
      </c>
      <c r="C65" s="10" t="s">
        <v>76</v>
      </c>
      <c r="D65" s="11">
        <v>2024</v>
      </c>
      <c r="E65" s="10" t="s">
        <v>81</v>
      </c>
      <c r="F65" s="10" t="s">
        <v>83</v>
      </c>
      <c r="G65" s="10" t="s">
        <v>84</v>
      </c>
      <c r="H65" s="12">
        <v>20119.25</v>
      </c>
      <c r="I65" s="11">
        <v>3362</v>
      </c>
      <c r="J65" s="11">
        <v>3744</v>
      </c>
      <c r="K65" s="11">
        <v>71202</v>
      </c>
      <c r="L65" s="11">
        <v>0.16710364451955201</v>
      </c>
      <c r="M65" s="11">
        <v>16.710364451955218</v>
      </c>
      <c r="N65" s="11">
        <v>1.11362284354551</v>
      </c>
      <c r="O65" s="11">
        <v>3.5389987201312199</v>
      </c>
      <c r="P65" s="11">
        <v>0.83868243243243201</v>
      </c>
      <c r="Q65" s="11">
        <v>0.57446808510638303</v>
      </c>
      <c r="R65" s="11">
        <v>0.87209302325581395</v>
      </c>
      <c r="S65" s="10" t="s">
        <v>84</v>
      </c>
      <c r="T65" s="10" t="s">
        <v>84</v>
      </c>
      <c r="U65" s="10"/>
      <c r="V65" s="10"/>
      <c r="W65" s="10"/>
      <c r="X65" s="10"/>
      <c r="Y65" s="10"/>
      <c r="Z65" s="10"/>
      <c r="AA65" s="10"/>
    </row>
    <row r="66" spans="1:27" ht="12.5" x14ac:dyDescent="0.25">
      <c r="A66" s="10" t="s">
        <v>26</v>
      </c>
      <c r="B66" s="10" t="s">
        <v>456</v>
      </c>
      <c r="C66" s="10" t="s">
        <v>76</v>
      </c>
      <c r="D66" s="11">
        <v>2024</v>
      </c>
      <c r="E66" s="10" t="s">
        <v>81</v>
      </c>
      <c r="F66" s="10" t="s">
        <v>83</v>
      </c>
      <c r="G66" s="10" t="s">
        <v>84</v>
      </c>
      <c r="H66" s="12">
        <v>10559</v>
      </c>
      <c r="I66" s="11">
        <v>1724</v>
      </c>
      <c r="J66" s="11">
        <v>1518</v>
      </c>
      <c r="K66" s="11">
        <v>2380</v>
      </c>
      <c r="L66" s="11">
        <v>0.16327303721943401</v>
      </c>
      <c r="M66" s="11">
        <v>16.327303721943366</v>
      </c>
      <c r="N66" s="11">
        <v>0.88051044083526697</v>
      </c>
      <c r="O66" s="11">
        <v>0.22540013258831301</v>
      </c>
      <c r="P66" s="11">
        <v>0.83699324324324298</v>
      </c>
      <c r="Q66" s="11">
        <v>0.65384615384615397</v>
      </c>
      <c r="R66" s="11">
        <v>0.87015503875969002</v>
      </c>
      <c r="S66" s="10" t="s">
        <v>84</v>
      </c>
      <c r="T66" s="10" t="s">
        <v>84</v>
      </c>
      <c r="U66" s="10"/>
      <c r="V66" s="10"/>
      <c r="W66" s="10"/>
      <c r="X66" s="10"/>
      <c r="Y66" s="10"/>
      <c r="Z66" s="10"/>
      <c r="AA66" s="10"/>
    </row>
    <row r="67" spans="1:27" ht="12.5" x14ac:dyDescent="0.25">
      <c r="A67" s="10" t="s">
        <v>36</v>
      </c>
      <c r="B67" s="10" t="s">
        <v>458</v>
      </c>
      <c r="C67" s="10" t="s">
        <v>76</v>
      </c>
      <c r="D67" s="11">
        <v>2024</v>
      </c>
      <c r="E67" s="10" t="s">
        <v>81</v>
      </c>
      <c r="F67" s="10" t="s">
        <v>83</v>
      </c>
      <c r="G67" s="10" t="s">
        <v>84</v>
      </c>
      <c r="H67" s="12">
        <v>15086</v>
      </c>
      <c r="I67" s="11">
        <v>2396</v>
      </c>
      <c r="J67" s="11">
        <v>1485</v>
      </c>
      <c r="K67" s="11">
        <v>27561</v>
      </c>
      <c r="L67" s="11">
        <v>0.158822749569137</v>
      </c>
      <c r="M67" s="11">
        <v>15.882274956913694</v>
      </c>
      <c r="N67" s="11">
        <v>0.61978297161936602</v>
      </c>
      <c r="O67" s="11">
        <v>1.82692562640859</v>
      </c>
      <c r="P67" s="11">
        <v>0.83277027027026995</v>
      </c>
      <c r="Q67" s="11">
        <v>0.55319148936170204</v>
      </c>
      <c r="R67" s="11">
        <v>0.86821705426356599</v>
      </c>
      <c r="S67" s="10" t="s">
        <v>84</v>
      </c>
      <c r="T67" s="10" t="s">
        <v>84</v>
      </c>
      <c r="U67" s="10"/>
      <c r="V67" s="10"/>
      <c r="W67" s="10"/>
      <c r="X67" s="10"/>
      <c r="Y67" s="10"/>
      <c r="Z67" s="10"/>
      <c r="AA67" s="10"/>
    </row>
    <row r="68" spans="1:27" ht="12.5" x14ac:dyDescent="0.25">
      <c r="A68" s="10" t="s">
        <v>12</v>
      </c>
      <c r="B68" s="10" t="s">
        <v>460</v>
      </c>
      <c r="C68" s="10" t="s">
        <v>76</v>
      </c>
      <c r="D68" s="11">
        <v>2024</v>
      </c>
      <c r="E68" s="10" t="s">
        <v>81</v>
      </c>
      <c r="F68" s="10" t="s">
        <v>83</v>
      </c>
      <c r="G68" s="10" t="s">
        <v>84</v>
      </c>
      <c r="H68" s="12">
        <v>81767.916666666701</v>
      </c>
      <c r="I68" s="11">
        <v>12979</v>
      </c>
      <c r="J68" s="11">
        <v>12151</v>
      </c>
      <c r="K68" s="11">
        <v>187289</v>
      </c>
      <c r="L68" s="11">
        <v>0.158729738130787</v>
      </c>
      <c r="M68" s="11">
        <v>15.872973813078675</v>
      </c>
      <c r="N68" s="11">
        <v>0.936204638261808</v>
      </c>
      <c r="O68" s="11">
        <v>2.2904949475904899</v>
      </c>
      <c r="P68" s="11">
        <v>0.83192567567567599</v>
      </c>
      <c r="Q68" s="11">
        <v>0.80555555555555602</v>
      </c>
      <c r="R68" s="11">
        <v>0.86627906976744196</v>
      </c>
      <c r="S68" s="10" t="s">
        <v>84</v>
      </c>
      <c r="T68" s="10" t="s">
        <v>84</v>
      </c>
      <c r="U68" s="10"/>
      <c r="V68" s="10"/>
      <c r="W68" s="10"/>
      <c r="X68" s="10"/>
      <c r="Y68" s="10"/>
      <c r="Z68" s="10"/>
      <c r="AA68" s="10"/>
    </row>
    <row r="69" spans="1:27" ht="12.5" x14ac:dyDescent="0.25">
      <c r="A69" s="10" t="s">
        <v>12</v>
      </c>
      <c r="B69" s="10" t="s">
        <v>462</v>
      </c>
      <c r="C69" s="10" t="s">
        <v>76</v>
      </c>
      <c r="D69" s="11">
        <v>2024</v>
      </c>
      <c r="E69" s="10" t="s">
        <v>81</v>
      </c>
      <c r="F69" s="10" t="s">
        <v>83</v>
      </c>
      <c r="G69" s="10" t="s">
        <v>84</v>
      </c>
      <c r="H69" s="12">
        <v>810.58333333333303</v>
      </c>
      <c r="I69" s="11">
        <v>128</v>
      </c>
      <c r="J69" s="11">
        <v>31</v>
      </c>
      <c r="K69" s="11">
        <v>390</v>
      </c>
      <c r="L69" s="11">
        <v>0.15791096946643399</v>
      </c>
      <c r="M69" s="11">
        <v>15.791096946643371</v>
      </c>
      <c r="N69" s="11">
        <v>0.2421875</v>
      </c>
      <c r="O69" s="11">
        <v>0.48113498509303998</v>
      </c>
      <c r="P69" s="11">
        <v>0.82854729729729704</v>
      </c>
      <c r="Q69" s="11">
        <v>0.79166666666666696</v>
      </c>
      <c r="R69" s="11">
        <v>0.86434108527131803</v>
      </c>
      <c r="S69" s="10" t="s">
        <v>84</v>
      </c>
      <c r="T69" s="10" t="s">
        <v>84</v>
      </c>
      <c r="U69" s="10"/>
      <c r="V69" s="10"/>
      <c r="W69" s="10"/>
      <c r="X69" s="10"/>
      <c r="Y69" s="10"/>
      <c r="Z69" s="10"/>
      <c r="AA69" s="10"/>
    </row>
    <row r="70" spans="1:27" ht="12.5" x14ac:dyDescent="0.25">
      <c r="A70" s="10" t="s">
        <v>32</v>
      </c>
      <c r="B70" s="10" t="s">
        <v>464</v>
      </c>
      <c r="C70" s="10" t="s">
        <v>76</v>
      </c>
      <c r="D70" s="11">
        <v>2024</v>
      </c>
      <c r="E70" s="10" t="s">
        <v>81</v>
      </c>
      <c r="F70" s="10" t="s">
        <v>83</v>
      </c>
      <c r="G70" s="10" t="s">
        <v>84</v>
      </c>
      <c r="H70" s="12">
        <v>74144.083333333299</v>
      </c>
      <c r="I70" s="11">
        <v>11646</v>
      </c>
      <c r="J70" s="11">
        <v>4151</v>
      </c>
      <c r="K70" s="11">
        <v>35975</v>
      </c>
      <c r="L70" s="11">
        <v>0.15707254680919699</v>
      </c>
      <c r="M70" s="11">
        <v>15.707254680919702</v>
      </c>
      <c r="N70" s="11">
        <v>0.356431392752876</v>
      </c>
      <c r="O70" s="11">
        <v>0.48520392164355702</v>
      </c>
      <c r="P70" s="11">
        <v>0.826858108108108</v>
      </c>
      <c r="Q70" s="11">
        <v>0.65517241379310298</v>
      </c>
      <c r="R70" s="11">
        <v>0.862403100775194</v>
      </c>
      <c r="S70" s="10" t="s">
        <v>84</v>
      </c>
      <c r="T70" s="10" t="s">
        <v>84</v>
      </c>
      <c r="U70" s="10"/>
      <c r="V70" s="10"/>
      <c r="W70" s="10"/>
      <c r="X70" s="10"/>
      <c r="Y70" s="10"/>
      <c r="Z70" s="10"/>
      <c r="AA70" s="10"/>
    </row>
    <row r="71" spans="1:27" ht="12.5" x14ac:dyDescent="0.25">
      <c r="A71" s="10" t="s">
        <v>110</v>
      </c>
      <c r="B71" s="10" t="s">
        <v>467</v>
      </c>
      <c r="C71" s="10" t="s">
        <v>76</v>
      </c>
      <c r="D71" s="11">
        <v>2024</v>
      </c>
      <c r="E71" s="10" t="s">
        <v>81</v>
      </c>
      <c r="F71" s="10" t="s">
        <v>83</v>
      </c>
      <c r="G71" s="10" t="s">
        <v>84</v>
      </c>
      <c r="H71" s="12">
        <v>16159.333333333299</v>
      </c>
      <c r="I71" s="11">
        <v>2538</v>
      </c>
      <c r="J71" s="11">
        <v>2393</v>
      </c>
      <c r="K71" s="11">
        <v>19790</v>
      </c>
      <c r="L71" s="11">
        <v>0.157060934857049</v>
      </c>
      <c r="M71" s="11">
        <v>15.706093485704889</v>
      </c>
      <c r="N71" s="11">
        <v>0.94286840031520902</v>
      </c>
      <c r="O71" s="11">
        <v>1.2246792359420799</v>
      </c>
      <c r="P71" s="11">
        <v>0.82601351351351304</v>
      </c>
      <c r="Q71" s="11">
        <v>0.87878787878787901</v>
      </c>
      <c r="R71" s="11">
        <v>0.86046511627906996</v>
      </c>
      <c r="S71" s="10" t="s">
        <v>84</v>
      </c>
      <c r="T71" s="10" t="s">
        <v>84</v>
      </c>
      <c r="U71" s="10"/>
      <c r="V71" s="10"/>
      <c r="W71" s="10"/>
      <c r="X71" s="10"/>
      <c r="Y71" s="10"/>
      <c r="Z71" s="10"/>
      <c r="AA71" s="10"/>
    </row>
    <row r="72" spans="1:27" ht="12.5" x14ac:dyDescent="0.25">
      <c r="A72" s="10" t="s">
        <v>22</v>
      </c>
      <c r="B72" s="10" t="s">
        <v>469</v>
      </c>
      <c r="C72" s="10" t="s">
        <v>76</v>
      </c>
      <c r="D72" s="11">
        <v>2024</v>
      </c>
      <c r="E72" s="10" t="s">
        <v>81</v>
      </c>
      <c r="F72" s="10" t="s">
        <v>83</v>
      </c>
      <c r="G72" s="10" t="s">
        <v>84</v>
      </c>
      <c r="H72" s="12">
        <v>1561.4166666666699</v>
      </c>
      <c r="I72" s="11">
        <v>245</v>
      </c>
      <c r="J72" s="11">
        <v>231</v>
      </c>
      <c r="K72" s="11">
        <v>2321</v>
      </c>
      <c r="L72" s="11">
        <v>0.15690879009446501</v>
      </c>
      <c r="M72" s="11">
        <v>15.690879009446517</v>
      </c>
      <c r="N72" s="11">
        <v>0.94285714285714295</v>
      </c>
      <c r="O72" s="11">
        <v>1.48647061962961</v>
      </c>
      <c r="P72" s="11">
        <v>0.82516891891891897</v>
      </c>
      <c r="Q72" s="11">
        <v>0.85714285714285698</v>
      </c>
      <c r="R72" s="11">
        <v>0.85852713178294604</v>
      </c>
      <c r="S72" s="10" t="s">
        <v>84</v>
      </c>
      <c r="T72" s="10" t="s">
        <v>84</v>
      </c>
      <c r="U72" s="10"/>
      <c r="V72" s="10"/>
      <c r="W72" s="10"/>
      <c r="X72" s="10"/>
      <c r="Y72" s="10"/>
      <c r="Z72" s="10"/>
      <c r="AA72" s="10"/>
    </row>
    <row r="73" spans="1:27" ht="12.5" x14ac:dyDescent="0.25">
      <c r="A73" s="10" t="s">
        <v>36</v>
      </c>
      <c r="B73" s="10" t="s">
        <v>471</v>
      </c>
      <c r="C73" s="10" t="s">
        <v>76</v>
      </c>
      <c r="D73" s="11">
        <v>2024</v>
      </c>
      <c r="E73" s="10" t="s">
        <v>81</v>
      </c>
      <c r="F73" s="10" t="s">
        <v>83</v>
      </c>
      <c r="G73" s="10" t="s">
        <v>84</v>
      </c>
      <c r="H73" s="12">
        <v>18196.583333333299</v>
      </c>
      <c r="I73" s="11">
        <v>2836</v>
      </c>
      <c r="J73" s="11">
        <v>2427</v>
      </c>
      <c r="K73" s="11">
        <v>34612</v>
      </c>
      <c r="L73" s="11">
        <v>0.15585343402378701</v>
      </c>
      <c r="M73" s="11">
        <v>15.585343402378681</v>
      </c>
      <c r="N73" s="11">
        <v>0.85578279266572599</v>
      </c>
      <c r="O73" s="11">
        <v>1.90211532384743</v>
      </c>
      <c r="P73" s="11">
        <v>0.82010135135135098</v>
      </c>
      <c r="Q73" s="11">
        <v>0.53191489361702105</v>
      </c>
      <c r="R73" s="11">
        <v>0.85658914728682201</v>
      </c>
      <c r="S73" s="10" t="s">
        <v>84</v>
      </c>
      <c r="T73" s="10" t="s">
        <v>84</v>
      </c>
      <c r="U73" s="10"/>
      <c r="V73" s="10"/>
      <c r="W73" s="10"/>
      <c r="X73" s="10"/>
      <c r="Y73" s="10"/>
      <c r="Z73" s="10"/>
      <c r="AA73" s="10"/>
    </row>
    <row r="74" spans="1:27" ht="12.5" x14ac:dyDescent="0.25">
      <c r="A74" s="10" t="s">
        <v>86</v>
      </c>
      <c r="B74" s="10" t="s">
        <v>473</v>
      </c>
      <c r="C74" s="10" t="s">
        <v>76</v>
      </c>
      <c r="D74" s="11">
        <v>2024</v>
      </c>
      <c r="E74" s="10" t="s">
        <v>81</v>
      </c>
      <c r="F74" s="10" t="s">
        <v>83</v>
      </c>
      <c r="G74" s="10" t="s">
        <v>84</v>
      </c>
      <c r="H74" s="12">
        <v>121250.83333333299</v>
      </c>
      <c r="I74" s="11">
        <v>18476</v>
      </c>
      <c r="J74" s="11">
        <v>16950</v>
      </c>
      <c r="K74" s="11">
        <v>129735</v>
      </c>
      <c r="L74" s="11">
        <v>0.15237833416952501</v>
      </c>
      <c r="M74" s="11">
        <v>15.237833416952503</v>
      </c>
      <c r="N74" s="11">
        <v>0.91740636501407202</v>
      </c>
      <c r="O74" s="11">
        <v>1.06997202768366</v>
      </c>
      <c r="P74" s="11">
        <v>0.81587837837837796</v>
      </c>
      <c r="Q74" s="11">
        <v>0.58695652173913004</v>
      </c>
      <c r="R74" s="11">
        <v>0.85465116279069797</v>
      </c>
      <c r="S74" s="10" t="s">
        <v>84</v>
      </c>
      <c r="T74" s="10" t="s">
        <v>84</v>
      </c>
      <c r="U74" s="10"/>
      <c r="V74" s="10"/>
      <c r="W74" s="10"/>
      <c r="X74" s="10"/>
      <c r="Y74" s="10"/>
      <c r="Z74" s="10"/>
      <c r="AA74" s="10"/>
    </row>
    <row r="75" spans="1:27" ht="12.5" x14ac:dyDescent="0.25">
      <c r="A75" s="10" t="s">
        <v>12</v>
      </c>
      <c r="B75" s="10" t="s">
        <v>475</v>
      </c>
      <c r="C75" s="10" t="s">
        <v>76</v>
      </c>
      <c r="D75" s="11">
        <v>2024</v>
      </c>
      <c r="E75" s="10" t="s">
        <v>81</v>
      </c>
      <c r="F75" s="10" t="s">
        <v>83</v>
      </c>
      <c r="G75" s="10" t="s">
        <v>84</v>
      </c>
      <c r="H75" s="12">
        <v>2627.0833333333298</v>
      </c>
      <c r="I75" s="11">
        <v>388</v>
      </c>
      <c r="J75" s="11">
        <v>360</v>
      </c>
      <c r="K75" s="11">
        <v>4330</v>
      </c>
      <c r="L75" s="11">
        <v>0.14769230769230801</v>
      </c>
      <c r="M75" s="11">
        <v>14.76923076923079</v>
      </c>
      <c r="N75" s="11">
        <v>0.92783505154639201</v>
      </c>
      <c r="O75" s="11">
        <v>1.6482157018239501</v>
      </c>
      <c r="P75" s="11">
        <v>0.80996621621621601</v>
      </c>
      <c r="Q75" s="11">
        <v>0.77777777777777801</v>
      </c>
      <c r="R75" s="11">
        <v>0.85271317829457405</v>
      </c>
      <c r="S75" s="10" t="s">
        <v>84</v>
      </c>
      <c r="T75" s="10" t="s">
        <v>84</v>
      </c>
      <c r="U75" s="10"/>
      <c r="V75" s="10"/>
      <c r="W75" s="10"/>
      <c r="X75" s="10"/>
      <c r="Y75" s="10"/>
      <c r="Z75" s="10"/>
      <c r="AA75" s="10"/>
    </row>
    <row r="76" spans="1:27" ht="12.5" x14ac:dyDescent="0.25">
      <c r="A76" s="10" t="s">
        <v>14</v>
      </c>
      <c r="B76" s="10" t="s">
        <v>477</v>
      </c>
      <c r="C76" s="10" t="s">
        <v>76</v>
      </c>
      <c r="D76" s="11">
        <v>2024</v>
      </c>
      <c r="E76" s="10" t="s">
        <v>81</v>
      </c>
      <c r="F76" s="10" t="s">
        <v>83</v>
      </c>
      <c r="G76" s="10" t="s">
        <v>84</v>
      </c>
      <c r="H76" s="12">
        <v>30287.833333333299</v>
      </c>
      <c r="I76" s="11">
        <v>4471</v>
      </c>
      <c r="J76" s="11">
        <v>2735</v>
      </c>
      <c r="K76" s="11">
        <v>83654</v>
      </c>
      <c r="L76" s="11">
        <v>0.14761702994051501</v>
      </c>
      <c r="M76" s="11">
        <v>14.761702994051534</v>
      </c>
      <c r="N76" s="11">
        <v>0.61171997316036697</v>
      </c>
      <c r="O76" s="11">
        <v>2.7619671265139498</v>
      </c>
      <c r="P76" s="11">
        <v>0.80827702702702697</v>
      </c>
      <c r="Q76" s="11">
        <v>0.53571428571428603</v>
      </c>
      <c r="R76" s="11">
        <v>0.85077519379845001</v>
      </c>
      <c r="S76" s="10" t="s">
        <v>84</v>
      </c>
      <c r="T76" s="10" t="s">
        <v>84</v>
      </c>
      <c r="U76" s="10"/>
      <c r="V76" s="10"/>
      <c r="W76" s="10"/>
      <c r="X76" s="10"/>
      <c r="Y76" s="10"/>
      <c r="Z76" s="10"/>
      <c r="AA76" s="10"/>
    </row>
    <row r="77" spans="1:27" ht="12.5" x14ac:dyDescent="0.25">
      <c r="A77" s="10" t="s">
        <v>109</v>
      </c>
      <c r="B77" s="10" t="s">
        <v>480</v>
      </c>
      <c r="C77" s="10" t="s">
        <v>76</v>
      </c>
      <c r="D77" s="11">
        <v>2024</v>
      </c>
      <c r="E77" s="10" t="s">
        <v>81</v>
      </c>
      <c r="F77" s="10" t="s">
        <v>83</v>
      </c>
      <c r="G77" s="10" t="s">
        <v>84</v>
      </c>
      <c r="H77" s="12">
        <v>25421.25</v>
      </c>
      <c r="I77" s="11">
        <v>3738</v>
      </c>
      <c r="J77" s="11">
        <v>3748</v>
      </c>
      <c r="K77" s="11">
        <v>7964</v>
      </c>
      <c r="L77" s="11">
        <v>0.14704233662782101</v>
      </c>
      <c r="M77" s="11">
        <v>14.704233662782121</v>
      </c>
      <c r="N77" s="11">
        <v>1.00267522739433</v>
      </c>
      <c r="O77" s="11">
        <v>0.31328121158479599</v>
      </c>
      <c r="P77" s="11">
        <v>0.80658783783783805</v>
      </c>
      <c r="Q77" s="11">
        <v>0.88888888888888895</v>
      </c>
      <c r="R77" s="11">
        <v>0.84883720930232598</v>
      </c>
      <c r="S77" s="10" t="s">
        <v>84</v>
      </c>
      <c r="T77" s="10" t="s">
        <v>84</v>
      </c>
      <c r="U77" s="10"/>
      <c r="V77" s="10"/>
      <c r="W77" s="10"/>
      <c r="X77" s="10"/>
      <c r="Y77" s="10"/>
      <c r="Z77" s="10"/>
      <c r="AA77" s="10"/>
    </row>
    <row r="78" spans="1:27" ht="12.5" x14ac:dyDescent="0.25">
      <c r="A78" s="10" t="s">
        <v>12</v>
      </c>
      <c r="B78" s="10" t="s">
        <v>393</v>
      </c>
      <c r="C78" s="10" t="s">
        <v>76</v>
      </c>
      <c r="D78" s="11">
        <v>2024</v>
      </c>
      <c r="E78" s="10" t="s">
        <v>81</v>
      </c>
      <c r="F78" s="10" t="s">
        <v>83</v>
      </c>
      <c r="G78" s="10" t="s">
        <v>84</v>
      </c>
      <c r="H78" s="12">
        <v>1946.8333333333301</v>
      </c>
      <c r="I78" s="11">
        <v>285</v>
      </c>
      <c r="J78" s="11">
        <v>239</v>
      </c>
      <c r="K78" s="11">
        <v>1768</v>
      </c>
      <c r="L78" s="11">
        <v>0.14639157606369299</v>
      </c>
      <c r="M78" s="11">
        <v>14.639157606369343</v>
      </c>
      <c r="N78" s="11">
        <v>0.83859649122807001</v>
      </c>
      <c r="O78" s="11">
        <v>0.90814142624775296</v>
      </c>
      <c r="P78" s="11">
        <v>0.80574324324324298</v>
      </c>
      <c r="Q78" s="11">
        <v>0.76388888888888895</v>
      </c>
      <c r="R78" s="11">
        <v>0.84689922480620194</v>
      </c>
      <c r="S78" s="10" t="s">
        <v>84</v>
      </c>
      <c r="T78" s="10" t="s">
        <v>84</v>
      </c>
      <c r="U78" s="10"/>
      <c r="V78" s="10"/>
      <c r="W78" s="10"/>
      <c r="X78" s="10"/>
      <c r="Y78" s="10"/>
      <c r="Z78" s="10"/>
      <c r="AA78" s="10"/>
    </row>
    <row r="79" spans="1:27" ht="12.5" x14ac:dyDescent="0.25">
      <c r="A79" s="10" t="s">
        <v>10</v>
      </c>
      <c r="B79" s="10" t="s">
        <v>484</v>
      </c>
      <c r="C79" s="10" t="s">
        <v>76</v>
      </c>
      <c r="D79" s="11">
        <v>2024</v>
      </c>
      <c r="E79" s="10" t="s">
        <v>81</v>
      </c>
      <c r="F79" s="10" t="s">
        <v>83</v>
      </c>
      <c r="G79" s="10" t="s">
        <v>84</v>
      </c>
      <c r="H79" s="12">
        <v>30532.666666666701</v>
      </c>
      <c r="I79" s="11">
        <v>4373</v>
      </c>
      <c r="J79" s="11">
        <v>3585</v>
      </c>
      <c r="K79" s="11">
        <v>21696</v>
      </c>
      <c r="L79" s="11">
        <v>0.14322365117142299</v>
      </c>
      <c r="M79" s="11">
        <v>14.322365117142279</v>
      </c>
      <c r="N79" s="11">
        <v>0.81980333866910604</v>
      </c>
      <c r="O79" s="11">
        <v>0.71058320050656099</v>
      </c>
      <c r="P79" s="11">
        <v>0.80152027027026995</v>
      </c>
      <c r="Q79" s="11">
        <v>0.73333333333333295</v>
      </c>
      <c r="R79" s="11">
        <v>0.84496124031007702</v>
      </c>
      <c r="S79" s="10" t="s">
        <v>84</v>
      </c>
      <c r="T79" s="10" t="s">
        <v>84</v>
      </c>
      <c r="U79" s="10"/>
      <c r="V79" s="10"/>
      <c r="W79" s="10"/>
      <c r="X79" s="10"/>
      <c r="Y79" s="10"/>
      <c r="Z79" s="10"/>
      <c r="AA79" s="10"/>
    </row>
    <row r="80" spans="1:27" ht="12.5" x14ac:dyDescent="0.25">
      <c r="A80" s="10" t="s">
        <v>32</v>
      </c>
      <c r="B80" s="10" t="s">
        <v>486</v>
      </c>
      <c r="C80" s="10" t="s">
        <v>76</v>
      </c>
      <c r="D80" s="11">
        <v>2024</v>
      </c>
      <c r="E80" s="10" t="s">
        <v>81</v>
      </c>
      <c r="F80" s="10" t="s">
        <v>83</v>
      </c>
      <c r="G80" s="10" t="s">
        <v>84</v>
      </c>
      <c r="H80" s="12">
        <v>112886.41666666701</v>
      </c>
      <c r="I80" s="11">
        <v>16041</v>
      </c>
      <c r="J80" s="11">
        <v>15295</v>
      </c>
      <c r="K80" s="11">
        <v>132444</v>
      </c>
      <c r="L80" s="11">
        <v>0.142098584343998</v>
      </c>
      <c r="M80" s="11">
        <v>14.209858434399727</v>
      </c>
      <c r="N80" s="11">
        <v>0.95349417118633495</v>
      </c>
      <c r="O80" s="11">
        <v>1.17325010316417</v>
      </c>
      <c r="P80" s="11">
        <v>0.798141891891892</v>
      </c>
      <c r="Q80" s="11">
        <v>0.62068965517241403</v>
      </c>
      <c r="R80" s="11">
        <v>0.84302325581395399</v>
      </c>
      <c r="S80" s="10" t="s">
        <v>84</v>
      </c>
      <c r="T80" s="10" t="s">
        <v>84</v>
      </c>
      <c r="U80" s="10"/>
      <c r="V80" s="10"/>
      <c r="W80" s="10"/>
      <c r="X80" s="10"/>
      <c r="Y80" s="10"/>
      <c r="Z80" s="10"/>
      <c r="AA80" s="10"/>
    </row>
    <row r="81" spans="1:27" ht="12.5" x14ac:dyDescent="0.25">
      <c r="A81" s="10" t="s">
        <v>104</v>
      </c>
      <c r="B81" s="10" t="s">
        <v>488</v>
      </c>
      <c r="C81" s="10" t="s">
        <v>76</v>
      </c>
      <c r="D81" s="11">
        <v>2024</v>
      </c>
      <c r="E81" s="10" t="s">
        <v>81</v>
      </c>
      <c r="F81" s="10" t="s">
        <v>83</v>
      </c>
      <c r="G81" s="10" t="s">
        <v>84</v>
      </c>
      <c r="H81" s="12">
        <v>56420.583333333299</v>
      </c>
      <c r="I81" s="11">
        <v>8010</v>
      </c>
      <c r="J81" s="11">
        <v>7672</v>
      </c>
      <c r="K81" s="11">
        <v>24022</v>
      </c>
      <c r="L81" s="11">
        <v>0.14196946445372299</v>
      </c>
      <c r="M81" s="11">
        <v>14.196946445372339</v>
      </c>
      <c r="N81" s="11">
        <v>0.95780274656679198</v>
      </c>
      <c r="O81" s="11">
        <v>0.42576660113699599</v>
      </c>
      <c r="P81" s="11">
        <v>0.79729729729729704</v>
      </c>
      <c r="Q81" s="11">
        <v>0.86206896551724099</v>
      </c>
      <c r="R81" s="11">
        <v>0.84108527131782995</v>
      </c>
      <c r="S81" s="10" t="s">
        <v>84</v>
      </c>
      <c r="T81" s="10" t="s">
        <v>84</v>
      </c>
      <c r="U81" s="10"/>
      <c r="V81" s="10"/>
      <c r="W81" s="10"/>
      <c r="X81" s="10"/>
      <c r="Y81" s="10"/>
      <c r="Z81" s="10"/>
      <c r="AA81" s="10"/>
    </row>
    <row r="82" spans="1:27" ht="12.5" x14ac:dyDescent="0.25">
      <c r="A82" s="10" t="s">
        <v>52</v>
      </c>
      <c r="B82" s="10" t="s">
        <v>490</v>
      </c>
      <c r="C82" s="10" t="s">
        <v>76</v>
      </c>
      <c r="D82" s="11">
        <v>2024</v>
      </c>
      <c r="E82" s="10" t="s">
        <v>81</v>
      </c>
      <c r="F82" s="10" t="s">
        <v>83</v>
      </c>
      <c r="G82" s="10" t="s">
        <v>84</v>
      </c>
      <c r="H82" s="12">
        <v>44495.5</v>
      </c>
      <c r="I82" s="11">
        <v>6198</v>
      </c>
      <c r="J82" s="11">
        <v>2007</v>
      </c>
      <c r="K82" s="11">
        <v>45870</v>
      </c>
      <c r="L82" s="11">
        <v>0.139294984886112</v>
      </c>
      <c r="M82" s="11">
        <v>13.929498488611209</v>
      </c>
      <c r="N82" s="11">
        <v>0.32381413359148098</v>
      </c>
      <c r="O82" s="11">
        <v>1.0308907642345899</v>
      </c>
      <c r="P82" s="11">
        <v>0.795608108108108</v>
      </c>
      <c r="Q82" s="11">
        <v>0.70212765957446799</v>
      </c>
      <c r="R82" s="11">
        <v>0.83914728682170503</v>
      </c>
      <c r="S82" s="10" t="s">
        <v>84</v>
      </c>
      <c r="T82" s="10" t="s">
        <v>84</v>
      </c>
      <c r="U82" s="10"/>
      <c r="V82" s="10"/>
      <c r="W82" s="10"/>
      <c r="X82" s="10"/>
      <c r="Y82" s="10"/>
      <c r="Z82" s="10"/>
      <c r="AA82" s="10"/>
    </row>
    <row r="83" spans="1:27" ht="12.5" x14ac:dyDescent="0.25">
      <c r="A83" s="10" t="s">
        <v>55</v>
      </c>
      <c r="B83" s="10" t="s">
        <v>492</v>
      </c>
      <c r="C83" s="10" t="s">
        <v>76</v>
      </c>
      <c r="D83" s="11">
        <v>2024</v>
      </c>
      <c r="E83" s="10" t="s">
        <v>81</v>
      </c>
      <c r="F83" s="10" t="s">
        <v>83</v>
      </c>
      <c r="G83" s="10" t="s">
        <v>84</v>
      </c>
      <c r="H83" s="12">
        <v>5059.9166666666697</v>
      </c>
      <c r="I83" s="11">
        <v>703</v>
      </c>
      <c r="J83" s="11">
        <v>655</v>
      </c>
      <c r="K83" s="11">
        <v>9813</v>
      </c>
      <c r="L83" s="11">
        <v>0.13893509445148999</v>
      </c>
      <c r="M83" s="11">
        <v>13.893509445148958</v>
      </c>
      <c r="N83" s="11">
        <v>0.93172119487909</v>
      </c>
      <c r="O83" s="11">
        <v>1.9393600026350899</v>
      </c>
      <c r="P83" s="11">
        <v>0.79307432432432401</v>
      </c>
      <c r="Q83" s="11">
        <v>0.77272727272727304</v>
      </c>
      <c r="R83" s="11">
        <v>0.837209302325581</v>
      </c>
      <c r="S83" s="10" t="s">
        <v>84</v>
      </c>
      <c r="T83" s="10" t="s">
        <v>84</v>
      </c>
      <c r="U83" s="10"/>
      <c r="V83" s="10"/>
      <c r="W83" s="10"/>
      <c r="X83" s="10"/>
      <c r="Y83" s="10"/>
      <c r="Z83" s="10"/>
      <c r="AA83" s="10"/>
    </row>
    <row r="84" spans="1:27" ht="12.5" x14ac:dyDescent="0.25">
      <c r="A84" s="10" t="s">
        <v>80</v>
      </c>
      <c r="B84" s="10" t="s">
        <v>495</v>
      </c>
      <c r="C84" s="10" t="s">
        <v>76</v>
      </c>
      <c r="D84" s="11">
        <v>2024</v>
      </c>
      <c r="E84" s="10" t="s">
        <v>81</v>
      </c>
      <c r="F84" s="10" t="s">
        <v>83</v>
      </c>
      <c r="G84" s="10" t="s">
        <v>84</v>
      </c>
      <c r="H84" s="12">
        <v>29324.833333333299</v>
      </c>
      <c r="I84" s="11">
        <v>4038</v>
      </c>
      <c r="J84" s="11">
        <v>3994</v>
      </c>
      <c r="K84" s="11">
        <v>7961</v>
      </c>
      <c r="L84" s="11">
        <v>0.13769899232163901</v>
      </c>
      <c r="M84" s="11">
        <v>13.769899232163882</v>
      </c>
      <c r="N84" s="11">
        <v>0.98910351659237306</v>
      </c>
      <c r="O84" s="11">
        <v>0.27147639372772803</v>
      </c>
      <c r="P84" s="11">
        <v>0.78969594594594605</v>
      </c>
      <c r="Q84" s="11">
        <v>0.9</v>
      </c>
      <c r="R84" s="11">
        <v>0.83527131782945696</v>
      </c>
      <c r="S84" s="10" t="s">
        <v>84</v>
      </c>
      <c r="T84" s="10" t="s">
        <v>84</v>
      </c>
      <c r="U84" s="10"/>
      <c r="V84" s="10"/>
      <c r="W84" s="10"/>
      <c r="X84" s="10"/>
      <c r="Y84" s="10"/>
      <c r="Z84" s="10"/>
      <c r="AA84" s="10"/>
    </row>
    <row r="85" spans="1:27" ht="12.5" x14ac:dyDescent="0.25">
      <c r="A85" s="10" t="s">
        <v>14</v>
      </c>
      <c r="B85" s="10" t="s">
        <v>497</v>
      </c>
      <c r="C85" s="10" t="s">
        <v>76</v>
      </c>
      <c r="D85" s="11">
        <v>2024</v>
      </c>
      <c r="E85" s="10" t="s">
        <v>81</v>
      </c>
      <c r="F85" s="10" t="s">
        <v>83</v>
      </c>
      <c r="G85" s="10" t="s">
        <v>84</v>
      </c>
      <c r="H85" s="12">
        <v>17719.166666666701</v>
      </c>
      <c r="I85" s="11">
        <v>2430</v>
      </c>
      <c r="J85" s="11">
        <v>2180</v>
      </c>
      <c r="K85" s="11">
        <v>44016</v>
      </c>
      <c r="L85" s="11">
        <v>0.13713963222499201</v>
      </c>
      <c r="M85" s="11">
        <v>13.713963222499151</v>
      </c>
      <c r="N85" s="11">
        <v>0.89711934156378603</v>
      </c>
      <c r="O85" s="11">
        <v>2.4840897333396001</v>
      </c>
      <c r="P85" s="11">
        <v>0.78800675675675702</v>
      </c>
      <c r="Q85" s="11">
        <v>0.5</v>
      </c>
      <c r="R85" s="11">
        <v>0.83333333333333304</v>
      </c>
      <c r="S85" s="10" t="s">
        <v>84</v>
      </c>
      <c r="T85" s="10" t="s">
        <v>84</v>
      </c>
      <c r="U85" s="10"/>
      <c r="V85" s="10"/>
      <c r="W85" s="10"/>
      <c r="X85" s="10"/>
      <c r="Y85" s="10"/>
      <c r="Z85" s="10"/>
      <c r="AA85" s="10"/>
    </row>
    <row r="86" spans="1:27" ht="12.5" x14ac:dyDescent="0.25">
      <c r="A86" s="10" t="s">
        <v>25</v>
      </c>
      <c r="B86" s="10" t="s">
        <v>500</v>
      </c>
      <c r="C86" s="10" t="s">
        <v>76</v>
      </c>
      <c r="D86" s="11">
        <v>2024</v>
      </c>
      <c r="E86" s="10" t="s">
        <v>81</v>
      </c>
      <c r="F86" s="10" t="s">
        <v>83</v>
      </c>
      <c r="G86" s="10" t="s">
        <v>84</v>
      </c>
      <c r="H86" s="12">
        <v>11441.083333333299</v>
      </c>
      <c r="I86" s="11">
        <v>1564</v>
      </c>
      <c r="J86" s="11">
        <v>1379</v>
      </c>
      <c r="K86" s="11">
        <v>14849</v>
      </c>
      <c r="L86" s="11">
        <v>0.13670034160517999</v>
      </c>
      <c r="M86" s="11">
        <v>13.670034160518057</v>
      </c>
      <c r="N86" s="11">
        <v>0.88171355498721204</v>
      </c>
      <c r="O86" s="11">
        <v>1.2978666064548099</v>
      </c>
      <c r="P86" s="11">
        <v>0.78631756756756799</v>
      </c>
      <c r="Q86" s="11">
        <v>0.875</v>
      </c>
      <c r="R86" s="11">
        <v>0.831395348837209</v>
      </c>
      <c r="S86" s="10" t="s">
        <v>84</v>
      </c>
      <c r="T86" s="10" t="s">
        <v>84</v>
      </c>
      <c r="U86" s="10"/>
      <c r="V86" s="10"/>
      <c r="W86" s="10"/>
      <c r="X86" s="10"/>
      <c r="Y86" s="10"/>
      <c r="Z86" s="10"/>
      <c r="AA86" s="10"/>
    </row>
    <row r="87" spans="1:27" ht="12.5" x14ac:dyDescent="0.25">
      <c r="A87" s="10" t="s">
        <v>65</v>
      </c>
      <c r="B87" s="10" t="s">
        <v>503</v>
      </c>
      <c r="C87" s="10" t="s">
        <v>76</v>
      </c>
      <c r="D87" s="11">
        <v>2024</v>
      </c>
      <c r="E87" s="10" t="s">
        <v>81</v>
      </c>
      <c r="F87" s="10" t="s">
        <v>83</v>
      </c>
      <c r="G87" s="10" t="s">
        <v>84</v>
      </c>
      <c r="H87" s="12">
        <v>19711.333333333299</v>
      </c>
      <c r="I87" s="11">
        <v>2671</v>
      </c>
      <c r="J87" s="11">
        <v>1663</v>
      </c>
      <c r="K87" s="11">
        <v>1105</v>
      </c>
      <c r="L87" s="11">
        <v>0.13550580038556501</v>
      </c>
      <c r="M87" s="11">
        <v>13.550580038556523</v>
      </c>
      <c r="N87" s="11">
        <v>0.62261325346312202</v>
      </c>
      <c r="O87" s="11">
        <v>5.6059119964825703E-2</v>
      </c>
      <c r="P87" s="11">
        <v>0.78209459459459496</v>
      </c>
      <c r="Q87" s="11">
        <v>0.84615384615384603</v>
      </c>
      <c r="R87" s="11">
        <v>0.82945736434108497</v>
      </c>
      <c r="S87" s="10" t="s">
        <v>84</v>
      </c>
      <c r="T87" s="10" t="s">
        <v>84</v>
      </c>
      <c r="U87" s="10"/>
      <c r="V87" s="10"/>
      <c r="W87" s="10"/>
      <c r="X87" s="10"/>
      <c r="Y87" s="10"/>
      <c r="Z87" s="10"/>
      <c r="AA87" s="10"/>
    </row>
    <row r="88" spans="1:27" ht="12.5" x14ac:dyDescent="0.25">
      <c r="A88" s="10" t="s">
        <v>67</v>
      </c>
      <c r="B88" s="10" t="s">
        <v>505</v>
      </c>
      <c r="C88" s="10" t="s">
        <v>76</v>
      </c>
      <c r="D88" s="11">
        <v>2024</v>
      </c>
      <c r="E88" s="10" t="s">
        <v>81</v>
      </c>
      <c r="F88" s="10" t="s">
        <v>83</v>
      </c>
      <c r="G88" s="10" t="s">
        <v>84</v>
      </c>
      <c r="H88" s="12">
        <v>20844.75</v>
      </c>
      <c r="I88" s="11">
        <v>2808</v>
      </c>
      <c r="J88" s="11">
        <v>2505</v>
      </c>
      <c r="K88" s="11">
        <v>16311</v>
      </c>
      <c r="L88" s="11">
        <v>0.134710178822006</v>
      </c>
      <c r="M88" s="11">
        <v>13.471017882200552</v>
      </c>
      <c r="N88" s="11">
        <v>0.89209401709401703</v>
      </c>
      <c r="O88" s="11">
        <v>0.78249919044363703</v>
      </c>
      <c r="P88" s="11">
        <v>0.77956081081081097</v>
      </c>
      <c r="Q88" s="11">
        <v>0.90476190476190499</v>
      </c>
      <c r="R88" s="11">
        <v>0.82751937984496104</v>
      </c>
      <c r="S88" s="10" t="s">
        <v>84</v>
      </c>
      <c r="T88" s="10" t="s">
        <v>84</v>
      </c>
      <c r="U88" s="10"/>
      <c r="V88" s="10"/>
      <c r="W88" s="10"/>
      <c r="X88" s="10"/>
      <c r="Y88" s="10"/>
      <c r="Z88" s="10"/>
      <c r="AA88" s="10"/>
    </row>
    <row r="89" spans="1:27" ht="12.5" x14ac:dyDescent="0.25">
      <c r="A89" s="10" t="s">
        <v>91</v>
      </c>
      <c r="B89" s="10" t="s">
        <v>507</v>
      </c>
      <c r="C89" s="10" t="s">
        <v>76</v>
      </c>
      <c r="D89" s="11">
        <v>2024</v>
      </c>
      <c r="E89" s="10" t="s">
        <v>81</v>
      </c>
      <c r="F89" s="10" t="s">
        <v>83</v>
      </c>
      <c r="G89" s="10" t="s">
        <v>84</v>
      </c>
      <c r="H89" s="12">
        <v>11182.916666666701</v>
      </c>
      <c r="I89" s="11">
        <v>1506</v>
      </c>
      <c r="J89" s="11">
        <v>1404</v>
      </c>
      <c r="K89" s="11">
        <v>8677</v>
      </c>
      <c r="L89" s="11">
        <v>0.13466969708260401</v>
      </c>
      <c r="M89" s="11">
        <v>13.466969708260326</v>
      </c>
      <c r="N89" s="11">
        <v>0.93227091633466097</v>
      </c>
      <c r="O89" s="11">
        <v>0.77591564514326195</v>
      </c>
      <c r="P89" s="11">
        <v>0.77871621621621601</v>
      </c>
      <c r="Q89" s="11">
        <v>0.93333333333333302</v>
      </c>
      <c r="R89" s="11">
        <v>0.82558139534883701</v>
      </c>
      <c r="S89" s="10" t="s">
        <v>84</v>
      </c>
      <c r="T89" s="10" t="s">
        <v>84</v>
      </c>
      <c r="U89" s="10"/>
      <c r="V89" s="10"/>
      <c r="W89" s="10"/>
      <c r="X89" s="10"/>
      <c r="Y89" s="10"/>
      <c r="Z89" s="10"/>
      <c r="AA89" s="10"/>
    </row>
    <row r="90" spans="1:27" ht="12.5" x14ac:dyDescent="0.25">
      <c r="A90" s="10" t="s">
        <v>14</v>
      </c>
      <c r="B90" s="10" t="s">
        <v>509</v>
      </c>
      <c r="C90" s="10" t="s">
        <v>76</v>
      </c>
      <c r="D90" s="11">
        <v>2024</v>
      </c>
      <c r="E90" s="10" t="s">
        <v>81</v>
      </c>
      <c r="F90" s="10" t="s">
        <v>83</v>
      </c>
      <c r="G90" s="10" t="s">
        <v>84</v>
      </c>
      <c r="H90" s="12">
        <v>18425.75</v>
      </c>
      <c r="I90" s="11">
        <v>2472</v>
      </c>
      <c r="J90" s="11">
        <v>1713</v>
      </c>
      <c r="K90" s="11">
        <v>0</v>
      </c>
      <c r="L90" s="11">
        <v>0.134160074895187</v>
      </c>
      <c r="M90" s="11">
        <v>13.416007489518744</v>
      </c>
      <c r="N90" s="11">
        <v>0.69296116504854399</v>
      </c>
      <c r="O90" s="11">
        <v>0</v>
      </c>
      <c r="P90" s="11">
        <v>0.77787162162162204</v>
      </c>
      <c r="Q90" s="11">
        <v>0.46428571428571402</v>
      </c>
      <c r="R90" s="11">
        <v>0.82364341085271298</v>
      </c>
      <c r="S90" s="10" t="s">
        <v>84</v>
      </c>
      <c r="T90" s="10" t="s">
        <v>84</v>
      </c>
      <c r="U90" s="10"/>
      <c r="V90" s="10"/>
      <c r="W90" s="10"/>
      <c r="X90" s="10"/>
      <c r="Y90" s="10"/>
      <c r="Z90" s="10"/>
      <c r="AA90" s="10"/>
    </row>
    <row r="91" spans="1:27" ht="12.5" x14ac:dyDescent="0.25">
      <c r="A91" s="10" t="s">
        <v>32</v>
      </c>
      <c r="B91" s="10" t="s">
        <v>512</v>
      </c>
      <c r="C91" s="10" t="s">
        <v>76</v>
      </c>
      <c r="D91" s="11">
        <v>2024</v>
      </c>
      <c r="E91" s="10" t="s">
        <v>81</v>
      </c>
      <c r="F91" s="10" t="s">
        <v>83</v>
      </c>
      <c r="G91" s="10" t="s">
        <v>84</v>
      </c>
      <c r="H91" s="12">
        <v>33985</v>
      </c>
      <c r="I91" s="11">
        <v>4509</v>
      </c>
      <c r="J91" s="11">
        <v>4277</v>
      </c>
      <c r="K91" s="11">
        <v>9439</v>
      </c>
      <c r="L91" s="11">
        <v>0.13267618066794201</v>
      </c>
      <c r="M91" s="11">
        <v>13.267618066794174</v>
      </c>
      <c r="N91" s="11">
        <v>0.94854734974495503</v>
      </c>
      <c r="O91" s="11">
        <v>0.27774017949095198</v>
      </c>
      <c r="P91" s="11">
        <v>0.77618243243243201</v>
      </c>
      <c r="Q91" s="11">
        <v>0.55172413793103403</v>
      </c>
      <c r="R91" s="11">
        <v>0.82170542635658905</v>
      </c>
      <c r="S91" s="10" t="s">
        <v>84</v>
      </c>
      <c r="T91" s="10" t="s">
        <v>84</v>
      </c>
      <c r="U91" s="10"/>
      <c r="V91" s="10"/>
      <c r="W91" s="10"/>
      <c r="X91" s="10"/>
      <c r="Y91" s="10"/>
      <c r="Z91" s="10"/>
      <c r="AA91" s="10"/>
    </row>
    <row r="92" spans="1:27" ht="12.5" x14ac:dyDescent="0.25">
      <c r="A92" s="10" t="s">
        <v>19</v>
      </c>
      <c r="B92" s="10" t="s">
        <v>515</v>
      </c>
      <c r="C92" s="10" t="s">
        <v>76</v>
      </c>
      <c r="D92" s="11">
        <v>2024</v>
      </c>
      <c r="E92" s="10" t="s">
        <v>81</v>
      </c>
      <c r="F92" s="10" t="s">
        <v>83</v>
      </c>
      <c r="G92" s="10" t="s">
        <v>84</v>
      </c>
      <c r="H92" s="12">
        <v>26087.416666666701</v>
      </c>
      <c r="I92" s="11">
        <v>3435</v>
      </c>
      <c r="J92" s="11">
        <v>3124</v>
      </c>
      <c r="K92" s="11">
        <v>24189</v>
      </c>
      <c r="L92" s="11">
        <v>0.131672677440273</v>
      </c>
      <c r="M92" s="11">
        <v>13.167267744027274</v>
      </c>
      <c r="N92" s="11">
        <v>0.90946142649199402</v>
      </c>
      <c r="O92" s="11">
        <v>0.92722864471696098</v>
      </c>
      <c r="P92" s="11">
        <v>0.77533783783783805</v>
      </c>
      <c r="Q92" s="11">
        <v>0.72222222222222199</v>
      </c>
      <c r="R92" s="11">
        <v>0.81976744186046502</v>
      </c>
      <c r="S92" s="10" t="s">
        <v>84</v>
      </c>
      <c r="T92" s="10" t="s">
        <v>84</v>
      </c>
      <c r="U92" s="10"/>
      <c r="V92" s="10"/>
      <c r="W92" s="10"/>
      <c r="X92" s="10"/>
      <c r="Y92" s="10"/>
      <c r="Z92" s="10"/>
      <c r="AA92" s="10"/>
    </row>
    <row r="93" spans="1:27" ht="12.5" x14ac:dyDescent="0.25">
      <c r="A93" s="10" t="s">
        <v>42</v>
      </c>
      <c r="B93" s="10" t="s">
        <v>517</v>
      </c>
      <c r="C93" s="10" t="s">
        <v>76</v>
      </c>
      <c r="D93" s="11">
        <v>2024</v>
      </c>
      <c r="E93" s="10" t="s">
        <v>81</v>
      </c>
      <c r="F93" s="10" t="s">
        <v>83</v>
      </c>
      <c r="G93" s="10" t="s">
        <v>84</v>
      </c>
      <c r="H93" s="12">
        <v>28526.583333333299</v>
      </c>
      <c r="I93" s="11">
        <v>3755</v>
      </c>
      <c r="J93" s="11">
        <v>3529</v>
      </c>
      <c r="K93" s="11">
        <v>37646</v>
      </c>
      <c r="L93" s="11">
        <v>0.131631606776136</v>
      </c>
      <c r="M93" s="11">
        <v>13.163160677613586</v>
      </c>
      <c r="N93" s="11">
        <v>0.93981358189081199</v>
      </c>
      <c r="O93" s="11">
        <v>1.3196813498520401</v>
      </c>
      <c r="P93" s="11">
        <v>0.77449324324324298</v>
      </c>
      <c r="Q93" s="11">
        <v>0.73809523809523803</v>
      </c>
      <c r="R93" s="11">
        <v>0.81782945736434098</v>
      </c>
      <c r="S93" s="10" t="s">
        <v>84</v>
      </c>
      <c r="T93" s="10" t="s">
        <v>84</v>
      </c>
      <c r="U93" s="10"/>
      <c r="V93" s="10"/>
      <c r="W93" s="10"/>
      <c r="X93" s="10"/>
      <c r="Y93" s="10"/>
      <c r="Z93" s="10"/>
      <c r="AA93" s="10"/>
    </row>
    <row r="94" spans="1:27" ht="12.5" x14ac:dyDescent="0.25">
      <c r="A94" s="10" t="s">
        <v>26</v>
      </c>
      <c r="B94" s="10" t="s">
        <v>462</v>
      </c>
      <c r="C94" s="10" t="s">
        <v>76</v>
      </c>
      <c r="D94" s="11">
        <v>2024</v>
      </c>
      <c r="E94" s="10" t="s">
        <v>81</v>
      </c>
      <c r="F94" s="10" t="s">
        <v>83</v>
      </c>
      <c r="G94" s="10" t="s">
        <v>84</v>
      </c>
      <c r="H94" s="12">
        <v>16875.416666666701</v>
      </c>
      <c r="I94" s="11">
        <v>2212</v>
      </c>
      <c r="J94" s="11">
        <v>1279</v>
      </c>
      <c r="K94" s="11">
        <v>8775</v>
      </c>
      <c r="L94" s="11">
        <v>0.131078244981605</v>
      </c>
      <c r="M94" s="11">
        <v>13.107824498160515</v>
      </c>
      <c r="N94" s="11">
        <v>0.57820976491862597</v>
      </c>
      <c r="O94" s="11">
        <v>0.51998716081084395</v>
      </c>
      <c r="P94" s="11">
        <v>0.77195945945945899</v>
      </c>
      <c r="Q94" s="11">
        <v>0.57692307692307698</v>
      </c>
      <c r="R94" s="11">
        <v>0.81589147286821695</v>
      </c>
      <c r="S94" s="10" t="s">
        <v>84</v>
      </c>
      <c r="T94" s="10" t="s">
        <v>84</v>
      </c>
      <c r="U94" s="10"/>
      <c r="V94" s="10"/>
      <c r="W94" s="10"/>
      <c r="X94" s="10"/>
      <c r="Y94" s="10"/>
      <c r="Z94" s="10"/>
      <c r="AA94" s="10"/>
    </row>
    <row r="95" spans="1:27" ht="12.5" x14ac:dyDescent="0.25">
      <c r="A95" s="10" t="s">
        <v>13</v>
      </c>
      <c r="B95" s="10" t="s">
        <v>520</v>
      </c>
      <c r="C95" s="10" t="s">
        <v>76</v>
      </c>
      <c r="D95" s="11">
        <v>2024</v>
      </c>
      <c r="E95" s="10" t="s">
        <v>81</v>
      </c>
      <c r="F95" s="10" t="s">
        <v>83</v>
      </c>
      <c r="G95" s="10" t="s">
        <v>84</v>
      </c>
      <c r="H95" s="12">
        <v>7354.3333333333303</v>
      </c>
      <c r="I95" s="11">
        <v>949</v>
      </c>
      <c r="J95" s="11">
        <v>821</v>
      </c>
      <c r="K95" s="11">
        <v>20553</v>
      </c>
      <c r="L95" s="11">
        <v>0.12903956850836201</v>
      </c>
      <c r="M95" s="11">
        <v>12.903956850836245</v>
      </c>
      <c r="N95" s="11">
        <v>0.86512118018967299</v>
      </c>
      <c r="O95" s="11">
        <v>2.7946788741331599</v>
      </c>
      <c r="P95" s="11">
        <v>0.76942567567567599</v>
      </c>
      <c r="Q95" s="11">
        <v>0.52380952380952395</v>
      </c>
      <c r="R95" s="11">
        <v>0.81395348837209303</v>
      </c>
      <c r="S95" s="10" t="s">
        <v>84</v>
      </c>
      <c r="T95" s="10" t="s">
        <v>84</v>
      </c>
      <c r="U95" s="10"/>
      <c r="V95" s="10"/>
      <c r="W95" s="10"/>
      <c r="X95" s="10"/>
      <c r="Y95" s="10"/>
      <c r="Z95" s="10"/>
      <c r="AA95" s="10"/>
    </row>
    <row r="96" spans="1:27" ht="12.5" x14ac:dyDescent="0.25">
      <c r="A96" s="10" t="s">
        <v>58</v>
      </c>
      <c r="B96" s="10" t="s">
        <v>522</v>
      </c>
      <c r="C96" s="10" t="s">
        <v>76</v>
      </c>
      <c r="D96" s="11">
        <v>2024</v>
      </c>
      <c r="E96" s="10" t="s">
        <v>81</v>
      </c>
      <c r="F96" s="10" t="s">
        <v>83</v>
      </c>
      <c r="G96" s="10" t="s">
        <v>84</v>
      </c>
      <c r="H96" s="12">
        <v>28177.5</v>
      </c>
      <c r="I96" s="11">
        <v>3610</v>
      </c>
      <c r="J96" s="11">
        <v>3223</v>
      </c>
      <c r="K96" s="11">
        <v>35000</v>
      </c>
      <c r="L96" s="11">
        <v>0.12811640493301399</v>
      </c>
      <c r="M96" s="11">
        <v>12.811640493301393</v>
      </c>
      <c r="N96" s="11">
        <v>0.89279778393351805</v>
      </c>
      <c r="O96" s="11">
        <v>1.24212580959986</v>
      </c>
      <c r="P96" s="11">
        <v>0.76773648648648696</v>
      </c>
      <c r="Q96" s="11">
        <v>0.86486486486486502</v>
      </c>
      <c r="R96" s="11">
        <v>0.81201550387596899</v>
      </c>
      <c r="S96" s="10" t="s">
        <v>84</v>
      </c>
      <c r="T96" s="10" t="s">
        <v>84</v>
      </c>
      <c r="U96" s="10"/>
      <c r="V96" s="10"/>
      <c r="W96" s="10"/>
      <c r="X96" s="10"/>
      <c r="Y96" s="10"/>
      <c r="Z96" s="10"/>
      <c r="AA96" s="10"/>
    </row>
    <row r="97" spans="1:27" ht="12.5" x14ac:dyDescent="0.25">
      <c r="A97" s="10" t="s">
        <v>16</v>
      </c>
      <c r="B97" s="10" t="s">
        <v>524</v>
      </c>
      <c r="C97" s="10" t="s">
        <v>76</v>
      </c>
      <c r="D97" s="11">
        <v>2024</v>
      </c>
      <c r="E97" s="10" t="s">
        <v>81</v>
      </c>
      <c r="F97" s="10" t="s">
        <v>83</v>
      </c>
      <c r="G97" s="10" t="s">
        <v>84</v>
      </c>
      <c r="H97" s="12">
        <v>21178.916666666701</v>
      </c>
      <c r="I97" s="11">
        <v>2709</v>
      </c>
      <c r="J97" s="11">
        <v>2472</v>
      </c>
      <c r="K97" s="11">
        <v>43777</v>
      </c>
      <c r="L97" s="11">
        <v>0.12791022518463699</v>
      </c>
      <c r="M97" s="11">
        <v>12.791022518463704</v>
      </c>
      <c r="N97" s="11">
        <v>0.91251384274640102</v>
      </c>
      <c r="O97" s="11">
        <v>2.0670084636057098</v>
      </c>
      <c r="P97" s="11">
        <v>0.76604729729729704</v>
      </c>
      <c r="Q97" s="11">
        <v>0.4</v>
      </c>
      <c r="R97" s="11">
        <v>0.81007751937984496</v>
      </c>
      <c r="S97" s="10" t="s">
        <v>84</v>
      </c>
      <c r="T97" s="10" t="s">
        <v>84</v>
      </c>
      <c r="U97" s="10"/>
      <c r="V97" s="10"/>
      <c r="W97" s="10"/>
      <c r="X97" s="10"/>
      <c r="Y97" s="10"/>
      <c r="Z97" s="10"/>
      <c r="AA97" s="10"/>
    </row>
    <row r="98" spans="1:27" ht="12.5" x14ac:dyDescent="0.25">
      <c r="A98" s="10" t="s">
        <v>19</v>
      </c>
      <c r="B98" s="10" t="s">
        <v>526</v>
      </c>
      <c r="C98" s="10" t="s">
        <v>76</v>
      </c>
      <c r="D98" s="11">
        <v>2024</v>
      </c>
      <c r="E98" s="10" t="s">
        <v>81</v>
      </c>
      <c r="F98" s="10" t="s">
        <v>83</v>
      </c>
      <c r="G98" s="10" t="s">
        <v>84</v>
      </c>
      <c r="H98" s="12">
        <v>65010.916666666701</v>
      </c>
      <c r="I98" s="11">
        <v>8263</v>
      </c>
      <c r="J98" s="11">
        <v>6636</v>
      </c>
      <c r="K98" s="11">
        <v>45293</v>
      </c>
      <c r="L98" s="11">
        <v>0.127101730350415</v>
      </c>
      <c r="M98" s="11">
        <v>12.710173035041544</v>
      </c>
      <c r="N98" s="11">
        <v>0.80309814837226201</v>
      </c>
      <c r="O98" s="11">
        <v>0.696698375016504</v>
      </c>
      <c r="P98" s="11">
        <v>0.76351351351351304</v>
      </c>
      <c r="Q98" s="11">
        <v>0.66666666666666696</v>
      </c>
      <c r="R98" s="11">
        <v>0.80813953488372103</v>
      </c>
      <c r="S98" s="10" t="s">
        <v>84</v>
      </c>
      <c r="T98" s="10" t="s">
        <v>84</v>
      </c>
      <c r="U98" s="10"/>
      <c r="V98" s="10"/>
      <c r="W98" s="10"/>
      <c r="X98" s="10"/>
      <c r="Y98" s="10"/>
      <c r="Z98" s="10"/>
      <c r="AA98" s="10"/>
    </row>
    <row r="99" spans="1:27" ht="12.5" x14ac:dyDescent="0.25">
      <c r="A99" s="10" t="s">
        <v>104</v>
      </c>
      <c r="B99" s="10" t="s">
        <v>528</v>
      </c>
      <c r="C99" s="10" t="s">
        <v>76</v>
      </c>
      <c r="D99" s="11">
        <v>2024</v>
      </c>
      <c r="E99" s="10" t="s">
        <v>81</v>
      </c>
      <c r="F99" s="10" t="s">
        <v>83</v>
      </c>
      <c r="G99" s="10" t="s">
        <v>84</v>
      </c>
      <c r="H99" s="12">
        <v>114019.33333333299</v>
      </c>
      <c r="I99" s="11">
        <v>14274</v>
      </c>
      <c r="J99" s="11">
        <v>13619</v>
      </c>
      <c r="K99" s="11">
        <v>87715</v>
      </c>
      <c r="L99" s="11">
        <v>0.125189295382654</v>
      </c>
      <c r="M99" s="11">
        <v>12.518929538265478</v>
      </c>
      <c r="N99" s="11">
        <v>0.95411237214515898</v>
      </c>
      <c r="O99" s="11">
        <v>0.76929935858831</v>
      </c>
      <c r="P99" s="11">
        <v>0.75675675675675702</v>
      </c>
      <c r="Q99" s="11">
        <v>0.82758620689655205</v>
      </c>
      <c r="R99" s="11">
        <v>0.806201550387597</v>
      </c>
      <c r="S99" s="10" t="s">
        <v>84</v>
      </c>
      <c r="T99" s="10" t="s">
        <v>84</v>
      </c>
      <c r="U99" s="10"/>
      <c r="V99" s="10"/>
      <c r="W99" s="10"/>
      <c r="X99" s="10"/>
      <c r="Y99" s="10"/>
      <c r="Z99" s="10"/>
      <c r="AA99" s="10"/>
    </row>
    <row r="100" spans="1:27" ht="12.5" x14ac:dyDescent="0.25">
      <c r="A100" s="10" t="s">
        <v>29</v>
      </c>
      <c r="B100" s="10" t="s">
        <v>529</v>
      </c>
      <c r="C100" s="10" t="s">
        <v>76</v>
      </c>
      <c r="D100" s="11">
        <v>2024</v>
      </c>
      <c r="E100" s="10" t="s">
        <v>81</v>
      </c>
      <c r="F100" s="10" t="s">
        <v>83</v>
      </c>
      <c r="G100" s="10" t="s">
        <v>84</v>
      </c>
      <c r="H100" s="12">
        <v>303851.08333333302</v>
      </c>
      <c r="I100" s="11">
        <v>37907</v>
      </c>
      <c r="J100" s="11">
        <v>33813</v>
      </c>
      <c r="K100" s="11">
        <v>155999</v>
      </c>
      <c r="L100" s="11">
        <v>0.124755191207974</v>
      </c>
      <c r="M100" s="11">
        <v>12.475519120797399</v>
      </c>
      <c r="N100" s="11">
        <v>0.89199883926451595</v>
      </c>
      <c r="O100" s="11">
        <v>0.51340610106979501</v>
      </c>
      <c r="P100" s="11">
        <v>0.75506756756756799</v>
      </c>
      <c r="Q100" s="11">
        <v>0.530612244897959</v>
      </c>
      <c r="R100" s="11">
        <v>0.80426356589147296</v>
      </c>
      <c r="S100" s="10" t="s">
        <v>84</v>
      </c>
      <c r="T100" s="10" t="s">
        <v>84</v>
      </c>
      <c r="U100" s="10"/>
      <c r="V100" s="10"/>
      <c r="W100" s="10"/>
      <c r="X100" s="10"/>
      <c r="Y100" s="10"/>
      <c r="Z100" s="10"/>
      <c r="AA100" s="10"/>
    </row>
    <row r="101" spans="1:27" ht="12.5" x14ac:dyDescent="0.25">
      <c r="A101" s="10" t="s">
        <v>12</v>
      </c>
      <c r="B101" s="10" t="s">
        <v>531</v>
      </c>
      <c r="C101" s="10" t="s">
        <v>76</v>
      </c>
      <c r="D101" s="11">
        <v>2024</v>
      </c>
      <c r="E101" s="10" t="s">
        <v>81</v>
      </c>
      <c r="F101" s="10" t="s">
        <v>83</v>
      </c>
      <c r="G101" s="10" t="s">
        <v>84</v>
      </c>
      <c r="H101" s="12">
        <v>2225.75</v>
      </c>
      <c r="I101" s="11">
        <v>275</v>
      </c>
      <c r="J101" s="11">
        <v>232</v>
      </c>
      <c r="K101" s="11">
        <v>2098</v>
      </c>
      <c r="L101" s="11">
        <v>0.123553858250028</v>
      </c>
      <c r="M101" s="11">
        <v>12.355385825002809</v>
      </c>
      <c r="N101" s="11">
        <v>0.84363636363636396</v>
      </c>
      <c r="O101" s="11">
        <v>0.94260361675839599</v>
      </c>
      <c r="P101" s="11">
        <v>0.75337837837837796</v>
      </c>
      <c r="Q101" s="11">
        <v>0.70833333333333304</v>
      </c>
      <c r="R101" s="11">
        <v>0.80232558139534904</v>
      </c>
      <c r="S101" s="10" t="s">
        <v>84</v>
      </c>
      <c r="T101" s="10" t="s">
        <v>84</v>
      </c>
      <c r="U101" s="10"/>
      <c r="V101" s="10"/>
      <c r="W101" s="10"/>
      <c r="X101" s="10"/>
      <c r="Y101" s="10"/>
      <c r="Z101" s="10"/>
      <c r="AA101" s="10"/>
    </row>
    <row r="102" spans="1:27" ht="12.5" x14ac:dyDescent="0.25">
      <c r="A102" s="10" t="s">
        <v>26</v>
      </c>
      <c r="B102" s="10" t="s">
        <v>534</v>
      </c>
      <c r="C102" s="10" t="s">
        <v>76</v>
      </c>
      <c r="D102" s="11">
        <v>2024</v>
      </c>
      <c r="E102" s="10" t="s">
        <v>81</v>
      </c>
      <c r="F102" s="10" t="s">
        <v>83</v>
      </c>
      <c r="G102" s="10" t="s">
        <v>84</v>
      </c>
      <c r="H102" s="12">
        <v>58565.833333333299</v>
      </c>
      <c r="I102" s="11">
        <v>7215</v>
      </c>
      <c r="J102" s="11">
        <v>8003</v>
      </c>
      <c r="K102" s="11">
        <v>103889</v>
      </c>
      <c r="L102" s="11">
        <v>0.12319469542822201</v>
      </c>
      <c r="M102" s="11">
        <v>12.319469542822187</v>
      </c>
      <c r="N102" s="11">
        <v>1.10921690921691</v>
      </c>
      <c r="O102" s="11">
        <v>1.7738840905533699</v>
      </c>
      <c r="P102" s="11">
        <v>0.75253378378378399</v>
      </c>
      <c r="Q102" s="11">
        <v>0.46153846153846201</v>
      </c>
      <c r="R102" s="11">
        <v>0.80038759689922501</v>
      </c>
      <c r="S102" s="10" t="s">
        <v>84</v>
      </c>
      <c r="T102" s="10" t="s">
        <v>84</v>
      </c>
      <c r="U102" s="10"/>
      <c r="V102" s="10"/>
      <c r="W102" s="10"/>
      <c r="X102" s="10"/>
      <c r="Y102" s="10"/>
      <c r="Z102" s="10"/>
      <c r="AA102" s="10"/>
    </row>
    <row r="103" spans="1:27" ht="12.5" x14ac:dyDescent="0.25">
      <c r="A103" s="10" t="s">
        <v>36</v>
      </c>
      <c r="B103" s="10" t="s">
        <v>537</v>
      </c>
      <c r="C103" s="10" t="s">
        <v>76</v>
      </c>
      <c r="D103" s="11">
        <v>2024</v>
      </c>
      <c r="E103" s="10" t="s">
        <v>81</v>
      </c>
      <c r="F103" s="10" t="s">
        <v>83</v>
      </c>
      <c r="G103" s="10" t="s">
        <v>84</v>
      </c>
      <c r="H103" s="12">
        <v>200600.75</v>
      </c>
      <c r="I103" s="11">
        <v>24214</v>
      </c>
      <c r="J103" s="11">
        <v>24293</v>
      </c>
      <c r="K103" s="11">
        <v>127964</v>
      </c>
      <c r="L103" s="11">
        <v>0.12070742507194</v>
      </c>
      <c r="M103" s="11">
        <v>12.070742507194016</v>
      </c>
      <c r="N103" s="11">
        <v>1.00326257536962</v>
      </c>
      <c r="O103" s="11">
        <v>0.63790389617187404</v>
      </c>
      <c r="P103" s="11">
        <v>0.74662162162162204</v>
      </c>
      <c r="Q103" s="11">
        <v>0.51063829787234005</v>
      </c>
      <c r="R103" s="11">
        <v>0.79844961240310097</v>
      </c>
      <c r="S103" s="10" t="s">
        <v>84</v>
      </c>
      <c r="T103" s="10" t="s">
        <v>84</v>
      </c>
      <c r="U103" s="10"/>
      <c r="V103" s="10"/>
      <c r="W103" s="10"/>
      <c r="X103" s="10"/>
      <c r="Y103" s="10"/>
      <c r="Z103" s="10"/>
      <c r="AA103" s="10"/>
    </row>
    <row r="104" spans="1:27" ht="12.5" x14ac:dyDescent="0.25">
      <c r="A104" s="10" t="s">
        <v>14</v>
      </c>
      <c r="B104" s="10" t="s">
        <v>539</v>
      </c>
      <c r="C104" s="10" t="s">
        <v>76</v>
      </c>
      <c r="D104" s="11">
        <v>2024</v>
      </c>
      <c r="E104" s="10" t="s">
        <v>81</v>
      </c>
      <c r="F104" s="10" t="s">
        <v>83</v>
      </c>
      <c r="G104" s="10" t="s">
        <v>84</v>
      </c>
      <c r="H104" s="12">
        <v>21093.75</v>
      </c>
      <c r="I104" s="11">
        <v>2541</v>
      </c>
      <c r="J104" s="11">
        <v>2441</v>
      </c>
      <c r="K104" s="11">
        <v>7720</v>
      </c>
      <c r="L104" s="11">
        <v>0.120462222222222</v>
      </c>
      <c r="M104" s="11">
        <v>12.046222222222221</v>
      </c>
      <c r="N104" s="11">
        <v>0.96064541519086999</v>
      </c>
      <c r="O104" s="11">
        <v>0.36598518518518502</v>
      </c>
      <c r="P104" s="11">
        <v>0.74577702702702697</v>
      </c>
      <c r="Q104" s="11">
        <v>0.39285714285714302</v>
      </c>
      <c r="R104" s="11">
        <v>0.79651162790697705</v>
      </c>
      <c r="S104" s="10" t="s">
        <v>84</v>
      </c>
      <c r="T104" s="10" t="s">
        <v>84</v>
      </c>
      <c r="U104" s="10"/>
      <c r="V104" s="10"/>
      <c r="W104" s="10"/>
      <c r="X104" s="10"/>
      <c r="Y104" s="10"/>
      <c r="Z104" s="10"/>
      <c r="AA104" s="10"/>
    </row>
    <row r="105" spans="1:27" ht="12.5" x14ac:dyDescent="0.25">
      <c r="A105" s="10" t="s">
        <v>12</v>
      </c>
      <c r="B105" s="10" t="s">
        <v>540</v>
      </c>
      <c r="C105" s="10" t="s">
        <v>76</v>
      </c>
      <c r="D105" s="11">
        <v>2024</v>
      </c>
      <c r="E105" s="10" t="s">
        <v>81</v>
      </c>
      <c r="F105" s="10" t="s">
        <v>83</v>
      </c>
      <c r="G105" s="10" t="s">
        <v>84</v>
      </c>
      <c r="H105" s="12">
        <v>33416</v>
      </c>
      <c r="I105" s="11">
        <v>4006</v>
      </c>
      <c r="J105" s="11">
        <v>223</v>
      </c>
      <c r="K105" s="11">
        <v>56182</v>
      </c>
      <c r="L105" s="11">
        <v>0.119882690926502</v>
      </c>
      <c r="M105" s="11">
        <v>11.988269092650228</v>
      </c>
      <c r="N105" s="11">
        <v>5.5666500249625599E-2</v>
      </c>
      <c r="O105" s="11">
        <v>1.6812903998084701</v>
      </c>
      <c r="P105" s="11">
        <v>0.74493243243243201</v>
      </c>
      <c r="Q105" s="11">
        <v>0.68055555555555602</v>
      </c>
      <c r="R105" s="11">
        <v>0.79457364341085301</v>
      </c>
      <c r="S105" s="10" t="s">
        <v>84</v>
      </c>
      <c r="T105" s="10" t="s">
        <v>84</v>
      </c>
      <c r="U105" s="10"/>
      <c r="V105" s="10"/>
      <c r="W105" s="10"/>
      <c r="X105" s="10"/>
      <c r="Y105" s="10"/>
      <c r="Z105" s="10"/>
      <c r="AA105" s="10"/>
    </row>
    <row r="106" spans="1:27" ht="12.5" x14ac:dyDescent="0.25">
      <c r="A106" s="10" t="s">
        <v>12</v>
      </c>
      <c r="B106" s="10" t="s">
        <v>542</v>
      </c>
      <c r="C106" s="10" t="s">
        <v>76</v>
      </c>
      <c r="D106" s="11">
        <v>2024</v>
      </c>
      <c r="E106" s="10" t="s">
        <v>81</v>
      </c>
      <c r="F106" s="10" t="s">
        <v>83</v>
      </c>
      <c r="G106" s="10" t="s">
        <v>84</v>
      </c>
      <c r="H106" s="12">
        <v>22735.916666666701</v>
      </c>
      <c r="I106" s="11">
        <v>2723</v>
      </c>
      <c r="J106" s="11">
        <v>2163</v>
      </c>
      <c r="K106" s="11">
        <v>19791</v>
      </c>
      <c r="L106" s="11">
        <v>0.11976644882729599</v>
      </c>
      <c r="M106" s="11">
        <v>11.976644882729584</v>
      </c>
      <c r="N106" s="11">
        <v>0.79434447300771205</v>
      </c>
      <c r="O106" s="11">
        <v>0.87047293012890803</v>
      </c>
      <c r="P106" s="11">
        <v>0.74408783783783805</v>
      </c>
      <c r="Q106" s="11">
        <v>0.66666666666666696</v>
      </c>
      <c r="R106" s="11">
        <v>0.79263565891472898</v>
      </c>
      <c r="S106" s="10" t="s">
        <v>84</v>
      </c>
      <c r="T106" s="10" t="s">
        <v>84</v>
      </c>
      <c r="U106" s="10"/>
      <c r="V106" s="10"/>
      <c r="W106" s="10"/>
      <c r="X106" s="10"/>
      <c r="Y106" s="10"/>
      <c r="Z106" s="10"/>
      <c r="AA106" s="10"/>
    </row>
    <row r="107" spans="1:27" ht="12.5" x14ac:dyDescent="0.25">
      <c r="A107" s="10" t="s">
        <v>52</v>
      </c>
      <c r="B107" s="10" t="s">
        <v>544</v>
      </c>
      <c r="C107" s="10" t="s">
        <v>76</v>
      </c>
      <c r="D107" s="11">
        <v>2024</v>
      </c>
      <c r="E107" s="10" t="s">
        <v>81</v>
      </c>
      <c r="F107" s="10" t="s">
        <v>83</v>
      </c>
      <c r="G107" s="10" t="s">
        <v>84</v>
      </c>
      <c r="H107" s="12">
        <v>34909.833333333299</v>
      </c>
      <c r="I107" s="11">
        <v>4146</v>
      </c>
      <c r="J107" s="11">
        <v>3548</v>
      </c>
      <c r="K107" s="11">
        <v>36737</v>
      </c>
      <c r="L107" s="11">
        <v>0.118763099222282</v>
      </c>
      <c r="M107" s="11">
        <v>11.876309922228229</v>
      </c>
      <c r="N107" s="11">
        <v>0.85576459237819602</v>
      </c>
      <c r="O107" s="11">
        <v>1.05233959868041</v>
      </c>
      <c r="P107" s="11">
        <v>0.73986486486486502</v>
      </c>
      <c r="Q107" s="11">
        <v>0.63829787234042601</v>
      </c>
      <c r="R107" s="11">
        <v>0.79069767441860495</v>
      </c>
      <c r="S107" s="10" t="s">
        <v>84</v>
      </c>
      <c r="T107" s="10" t="s">
        <v>84</v>
      </c>
      <c r="U107" s="10"/>
      <c r="V107" s="10"/>
      <c r="W107" s="10"/>
      <c r="X107" s="10"/>
      <c r="Y107" s="10"/>
      <c r="Z107" s="10"/>
      <c r="AA107" s="10"/>
    </row>
    <row r="108" spans="1:27" ht="12.5" x14ac:dyDescent="0.25">
      <c r="A108" s="10" t="s">
        <v>36</v>
      </c>
      <c r="B108" s="10" t="s">
        <v>546</v>
      </c>
      <c r="C108" s="10" t="s">
        <v>76</v>
      </c>
      <c r="D108" s="11">
        <v>2024</v>
      </c>
      <c r="E108" s="10" t="s">
        <v>81</v>
      </c>
      <c r="F108" s="10" t="s">
        <v>125</v>
      </c>
      <c r="G108" s="10" t="s">
        <v>84</v>
      </c>
      <c r="H108" s="12">
        <v>56054.25</v>
      </c>
      <c r="I108" s="11">
        <v>6578</v>
      </c>
      <c r="J108" s="11">
        <v>5048</v>
      </c>
      <c r="K108" s="11">
        <v>113435</v>
      </c>
      <c r="L108" s="11">
        <v>0.11735060231829</v>
      </c>
      <c r="M108" s="11">
        <v>11.735060231828987</v>
      </c>
      <c r="N108" s="11">
        <v>0.76740650653694098</v>
      </c>
      <c r="O108" s="11">
        <v>2.02366457494302</v>
      </c>
      <c r="P108" s="11">
        <v>0.73902027027026995</v>
      </c>
      <c r="Q108" s="11">
        <v>0.48936170212766</v>
      </c>
      <c r="R108" s="11">
        <v>0.78875968992248102</v>
      </c>
      <c r="S108" s="10" t="s">
        <v>84</v>
      </c>
      <c r="T108" s="10" t="s">
        <v>84</v>
      </c>
      <c r="U108" s="10"/>
      <c r="V108" s="10"/>
      <c r="W108" s="10"/>
      <c r="X108" s="10"/>
      <c r="Y108" s="10"/>
      <c r="Z108" s="10"/>
      <c r="AA108" s="10"/>
    </row>
    <row r="109" spans="1:27" ht="12.5" x14ac:dyDescent="0.25">
      <c r="A109" s="10" t="s">
        <v>109</v>
      </c>
      <c r="B109" s="10" t="s">
        <v>548</v>
      </c>
      <c r="C109" s="10" t="s">
        <v>76</v>
      </c>
      <c r="D109" s="11">
        <v>2024</v>
      </c>
      <c r="E109" s="10" t="s">
        <v>81</v>
      </c>
      <c r="F109" s="10" t="s">
        <v>83</v>
      </c>
      <c r="G109" s="10" t="s">
        <v>84</v>
      </c>
      <c r="H109" s="12">
        <v>5536.1666666666697</v>
      </c>
      <c r="I109" s="11">
        <v>649</v>
      </c>
      <c r="J109" s="11">
        <v>527</v>
      </c>
      <c r="K109" s="11">
        <v>3634</v>
      </c>
      <c r="L109" s="11">
        <v>0.117229129662522</v>
      </c>
      <c r="M109" s="11">
        <v>11.722912966252213</v>
      </c>
      <c r="N109" s="11">
        <v>0.81201848998459203</v>
      </c>
      <c r="O109" s="11">
        <v>0.65641087395008602</v>
      </c>
      <c r="P109" s="11">
        <v>0.73648648648648696</v>
      </c>
      <c r="Q109" s="11">
        <v>0.83333333333333304</v>
      </c>
      <c r="R109" s="11">
        <v>0.78682170542635699</v>
      </c>
      <c r="S109" s="10" t="s">
        <v>84</v>
      </c>
      <c r="T109" s="10" t="s">
        <v>84</v>
      </c>
      <c r="U109" s="10"/>
      <c r="V109" s="10"/>
      <c r="W109" s="10"/>
      <c r="X109" s="10"/>
      <c r="Y109" s="10"/>
      <c r="Z109" s="10"/>
      <c r="AA109" s="10"/>
    </row>
    <row r="110" spans="1:27" ht="12.5" x14ac:dyDescent="0.25">
      <c r="A110" s="10" t="s">
        <v>29</v>
      </c>
      <c r="B110" s="10" t="s">
        <v>549</v>
      </c>
      <c r="C110" s="10" t="s">
        <v>76</v>
      </c>
      <c r="D110" s="11">
        <v>2024</v>
      </c>
      <c r="E110" s="10" t="s">
        <v>81</v>
      </c>
      <c r="F110" s="10" t="s">
        <v>83</v>
      </c>
      <c r="G110" s="10" t="s">
        <v>84</v>
      </c>
      <c r="H110" s="12">
        <v>30212.916666666701</v>
      </c>
      <c r="I110" s="11">
        <v>3535</v>
      </c>
      <c r="J110" s="11">
        <v>3268</v>
      </c>
      <c r="K110" s="11">
        <v>31821</v>
      </c>
      <c r="L110" s="11">
        <v>0.117002937485347</v>
      </c>
      <c r="M110" s="11">
        <v>11.700293748534692</v>
      </c>
      <c r="N110" s="11">
        <v>0.92446958981612404</v>
      </c>
      <c r="O110" s="11">
        <v>1.0532250279268001</v>
      </c>
      <c r="P110" s="11">
        <v>0.735641891891892</v>
      </c>
      <c r="Q110" s="11">
        <v>0.48979591836734698</v>
      </c>
      <c r="R110" s="11">
        <v>0.78488372093023295</v>
      </c>
      <c r="S110" s="10" t="s">
        <v>84</v>
      </c>
      <c r="T110" s="10" t="s">
        <v>84</v>
      </c>
      <c r="U110" s="10"/>
      <c r="V110" s="10"/>
      <c r="W110" s="10"/>
      <c r="X110" s="10"/>
      <c r="Y110" s="10"/>
      <c r="Z110" s="10"/>
      <c r="AA110" s="10"/>
    </row>
    <row r="111" spans="1:27" ht="12.5" x14ac:dyDescent="0.25">
      <c r="A111" s="10" t="s">
        <v>10</v>
      </c>
      <c r="B111" s="10" t="s">
        <v>552</v>
      </c>
      <c r="C111" s="10" t="s">
        <v>76</v>
      </c>
      <c r="D111" s="11">
        <v>2024</v>
      </c>
      <c r="E111" s="10" t="s">
        <v>81</v>
      </c>
      <c r="F111" s="10" t="s">
        <v>83</v>
      </c>
      <c r="G111" s="10" t="s">
        <v>84</v>
      </c>
      <c r="H111" s="12">
        <v>24311.333333333299</v>
      </c>
      <c r="I111" s="11">
        <v>2839</v>
      </c>
      <c r="J111" s="11">
        <v>2510</v>
      </c>
      <c r="K111" s="11">
        <v>26989</v>
      </c>
      <c r="L111" s="11">
        <v>0.11677681191214</v>
      </c>
      <c r="M111" s="11">
        <v>11.67768119121399</v>
      </c>
      <c r="N111" s="11">
        <v>0.88411412469179296</v>
      </c>
      <c r="O111" s="11">
        <v>1.1101406751309399</v>
      </c>
      <c r="P111" s="11">
        <v>0.73479729729729704</v>
      </c>
      <c r="Q111" s="11">
        <v>0.63333333333333297</v>
      </c>
      <c r="R111" s="11">
        <v>0.78294573643410803</v>
      </c>
      <c r="S111" s="10" t="s">
        <v>84</v>
      </c>
      <c r="T111" s="10" t="s">
        <v>84</v>
      </c>
      <c r="U111" s="10"/>
      <c r="V111" s="10"/>
      <c r="W111" s="10"/>
      <c r="X111" s="10"/>
      <c r="Y111" s="10"/>
      <c r="Z111" s="10"/>
      <c r="AA111" s="10"/>
    </row>
    <row r="112" spans="1:27" ht="12.5" x14ac:dyDescent="0.25">
      <c r="A112" s="10" t="s">
        <v>55</v>
      </c>
      <c r="B112" s="10" t="s">
        <v>554</v>
      </c>
      <c r="C112" s="10" t="s">
        <v>76</v>
      </c>
      <c r="D112" s="11">
        <v>2024</v>
      </c>
      <c r="E112" s="10" t="s">
        <v>81</v>
      </c>
      <c r="F112" s="10" t="s">
        <v>83</v>
      </c>
      <c r="G112" s="10" t="s">
        <v>84</v>
      </c>
      <c r="H112" s="12">
        <v>14230.25</v>
      </c>
      <c r="I112" s="11">
        <v>1661</v>
      </c>
      <c r="J112" s="11">
        <v>1530</v>
      </c>
      <c r="K112" s="11">
        <v>34356</v>
      </c>
      <c r="L112" s="11">
        <v>0.11672317773756601</v>
      </c>
      <c r="M112" s="11">
        <v>11.67231777375661</v>
      </c>
      <c r="N112" s="11">
        <v>0.92113184828416605</v>
      </c>
      <c r="O112" s="11">
        <v>2.41429349449237</v>
      </c>
      <c r="P112" s="11">
        <v>0.73395270270270296</v>
      </c>
      <c r="Q112" s="11">
        <v>0.72727272727272696</v>
      </c>
      <c r="R112" s="11">
        <v>0.781007751937985</v>
      </c>
      <c r="S112" s="10" t="s">
        <v>84</v>
      </c>
      <c r="T112" s="10" t="s">
        <v>84</v>
      </c>
      <c r="U112" s="10"/>
      <c r="V112" s="10"/>
      <c r="W112" s="10"/>
      <c r="X112" s="10"/>
      <c r="Y112" s="10"/>
      <c r="Z112" s="10"/>
      <c r="AA112" s="10"/>
    </row>
    <row r="113" spans="1:27" ht="12.5" x14ac:dyDescent="0.25">
      <c r="A113" s="10" t="s">
        <v>13</v>
      </c>
      <c r="B113" s="10" t="s">
        <v>557</v>
      </c>
      <c r="C113" s="10" t="s">
        <v>76</v>
      </c>
      <c r="D113" s="11">
        <v>2024</v>
      </c>
      <c r="E113" s="10" t="s">
        <v>81</v>
      </c>
      <c r="F113" s="10" t="s">
        <v>83</v>
      </c>
      <c r="G113" s="10" t="s">
        <v>84</v>
      </c>
      <c r="H113" s="12">
        <v>44424.333333333299</v>
      </c>
      <c r="I113" s="11">
        <v>5024</v>
      </c>
      <c r="J113" s="11">
        <v>4234</v>
      </c>
      <c r="K113" s="11">
        <v>83704</v>
      </c>
      <c r="L113" s="11">
        <v>0.113091173756125</v>
      </c>
      <c r="M113" s="11">
        <v>11.309117375612473</v>
      </c>
      <c r="N113" s="11">
        <v>0.84275477707006397</v>
      </c>
      <c r="O113" s="11">
        <v>1.88419259715021</v>
      </c>
      <c r="P113" s="11">
        <v>0.72972972972973005</v>
      </c>
      <c r="Q113" s="11">
        <v>0.33333333333333298</v>
      </c>
      <c r="R113" s="11">
        <v>0.77906976744185996</v>
      </c>
      <c r="S113" s="10" t="s">
        <v>84</v>
      </c>
      <c r="T113" s="10" t="s">
        <v>84</v>
      </c>
      <c r="U113" s="10"/>
      <c r="V113" s="10"/>
      <c r="W113" s="10"/>
      <c r="X113" s="10"/>
      <c r="Y113" s="10"/>
      <c r="Z113" s="10"/>
      <c r="AA113" s="10"/>
    </row>
    <row r="114" spans="1:27" ht="12.5" x14ac:dyDescent="0.25">
      <c r="A114" s="10" t="s">
        <v>52</v>
      </c>
      <c r="B114" s="10" t="s">
        <v>558</v>
      </c>
      <c r="C114" s="10" t="s">
        <v>76</v>
      </c>
      <c r="D114" s="11">
        <v>2024</v>
      </c>
      <c r="E114" s="10" t="s">
        <v>81</v>
      </c>
      <c r="F114" s="10" t="s">
        <v>83</v>
      </c>
      <c r="G114" s="10" t="s">
        <v>84</v>
      </c>
      <c r="H114" s="12">
        <v>18676.666666666701</v>
      </c>
      <c r="I114" s="11">
        <v>2046</v>
      </c>
      <c r="J114" s="11">
        <v>1774</v>
      </c>
      <c r="K114" s="11">
        <v>16001</v>
      </c>
      <c r="L114" s="11">
        <v>0.109548456184187</v>
      </c>
      <c r="M114" s="11">
        <v>10.954845618418684</v>
      </c>
      <c r="N114" s="11">
        <v>0.86705767350928598</v>
      </c>
      <c r="O114" s="11">
        <v>0.85673746207388901</v>
      </c>
      <c r="P114" s="11">
        <v>0.72466216216216195</v>
      </c>
      <c r="Q114" s="11">
        <v>0.61702127659574502</v>
      </c>
      <c r="R114" s="11">
        <v>0.77713178294573604</v>
      </c>
      <c r="S114" s="10" t="s">
        <v>84</v>
      </c>
      <c r="T114" s="10" t="s">
        <v>84</v>
      </c>
      <c r="U114" s="10"/>
      <c r="V114" s="10"/>
      <c r="W114" s="10"/>
      <c r="X114" s="10"/>
      <c r="Y114" s="10"/>
      <c r="Z114" s="10"/>
      <c r="AA114" s="10"/>
    </row>
    <row r="115" spans="1:27" ht="12.5" x14ac:dyDescent="0.25">
      <c r="A115" s="10" t="s">
        <v>67</v>
      </c>
      <c r="B115" s="10" t="s">
        <v>560</v>
      </c>
      <c r="C115" s="10" t="s">
        <v>76</v>
      </c>
      <c r="D115" s="11">
        <v>2024</v>
      </c>
      <c r="E115" s="10" t="s">
        <v>81</v>
      </c>
      <c r="F115" s="10" t="s">
        <v>83</v>
      </c>
      <c r="G115" s="10" t="s">
        <v>84</v>
      </c>
      <c r="H115" s="12">
        <v>12619.833333333299</v>
      </c>
      <c r="I115" s="11">
        <v>1378</v>
      </c>
      <c r="J115" s="11">
        <v>1326</v>
      </c>
      <c r="K115" s="11">
        <v>9540</v>
      </c>
      <c r="L115" s="11">
        <v>0.10919320117804</v>
      </c>
      <c r="M115" s="11">
        <v>10.919320117804016</v>
      </c>
      <c r="N115" s="11">
        <v>0.96226415094339601</v>
      </c>
      <c r="O115" s="11">
        <v>0.755952931232584</v>
      </c>
      <c r="P115" s="11">
        <v>0.72297297297297303</v>
      </c>
      <c r="Q115" s="11">
        <v>0.80952380952380998</v>
      </c>
      <c r="R115" s="11">
        <v>0.775193798449612</v>
      </c>
      <c r="S115" s="10" t="s">
        <v>84</v>
      </c>
      <c r="T115" s="10" t="s">
        <v>84</v>
      </c>
      <c r="U115" s="10"/>
      <c r="V115" s="10"/>
      <c r="W115" s="10"/>
      <c r="X115" s="10"/>
      <c r="Y115" s="10"/>
      <c r="Z115" s="10"/>
      <c r="AA115" s="10"/>
    </row>
    <row r="116" spans="1:27" ht="12.5" x14ac:dyDescent="0.25">
      <c r="A116" s="10" t="s">
        <v>32</v>
      </c>
      <c r="B116" s="10" t="s">
        <v>562</v>
      </c>
      <c r="C116" s="10" t="s">
        <v>76</v>
      </c>
      <c r="D116" s="11">
        <v>2024</v>
      </c>
      <c r="E116" s="10" t="s">
        <v>81</v>
      </c>
      <c r="F116" s="10" t="s">
        <v>83</v>
      </c>
      <c r="G116" s="10" t="s">
        <v>84</v>
      </c>
      <c r="H116" s="12">
        <v>56463</v>
      </c>
      <c r="I116" s="11">
        <v>6163</v>
      </c>
      <c r="J116" s="11">
        <v>5266</v>
      </c>
      <c r="K116" s="11">
        <v>79501</v>
      </c>
      <c r="L116" s="11">
        <v>0.109151125515825</v>
      </c>
      <c r="M116" s="11">
        <v>10.915112551582453</v>
      </c>
      <c r="N116" s="11">
        <v>0.85445399967548297</v>
      </c>
      <c r="O116" s="11">
        <v>1.4080194109416799</v>
      </c>
      <c r="P116" s="11">
        <v>0.72212837837837796</v>
      </c>
      <c r="Q116" s="11">
        <v>0.48275862068965503</v>
      </c>
      <c r="R116" s="11">
        <v>0.77325581395348797</v>
      </c>
      <c r="S116" s="10" t="s">
        <v>84</v>
      </c>
      <c r="T116" s="10" t="s">
        <v>84</v>
      </c>
      <c r="U116" s="10"/>
      <c r="V116" s="10"/>
      <c r="W116" s="10"/>
      <c r="X116" s="10"/>
      <c r="Y116" s="10"/>
      <c r="Z116" s="10"/>
      <c r="AA116" s="10"/>
    </row>
    <row r="117" spans="1:27" ht="12.5" x14ac:dyDescent="0.25">
      <c r="A117" s="10" t="s">
        <v>91</v>
      </c>
      <c r="B117" s="10" t="s">
        <v>564</v>
      </c>
      <c r="C117" s="10" t="s">
        <v>76</v>
      </c>
      <c r="D117" s="11">
        <v>2024</v>
      </c>
      <c r="E117" s="10" t="s">
        <v>81</v>
      </c>
      <c r="F117" s="10" t="s">
        <v>83</v>
      </c>
      <c r="G117" s="10" t="s">
        <v>84</v>
      </c>
      <c r="H117" s="12">
        <v>10344.666666666701</v>
      </c>
      <c r="I117" s="11">
        <v>1116</v>
      </c>
      <c r="J117" s="11">
        <v>1028</v>
      </c>
      <c r="K117" s="11">
        <v>1200</v>
      </c>
      <c r="L117" s="11">
        <v>0.107881678159438</v>
      </c>
      <c r="M117" s="11">
        <v>10.788167815943767</v>
      </c>
      <c r="N117" s="11">
        <v>0.92114695340501795</v>
      </c>
      <c r="O117" s="11">
        <v>0.116001804472514</v>
      </c>
      <c r="P117" s="11">
        <v>0.72043918918918903</v>
      </c>
      <c r="Q117" s="11">
        <v>0.86666666666666703</v>
      </c>
      <c r="R117" s="11">
        <v>0.77131782945736405</v>
      </c>
      <c r="S117" s="10" t="s">
        <v>84</v>
      </c>
      <c r="T117" s="10" t="s">
        <v>84</v>
      </c>
      <c r="U117" s="10"/>
      <c r="V117" s="10"/>
      <c r="W117" s="10"/>
      <c r="X117" s="10"/>
      <c r="Y117" s="10"/>
      <c r="Z117" s="10"/>
      <c r="AA117" s="10"/>
    </row>
    <row r="118" spans="1:27" ht="12.5" x14ac:dyDescent="0.25">
      <c r="A118" s="10" t="s">
        <v>13</v>
      </c>
      <c r="B118" s="10" t="s">
        <v>565</v>
      </c>
      <c r="C118" s="10" t="s">
        <v>76</v>
      </c>
      <c r="D118" s="11">
        <v>2024</v>
      </c>
      <c r="E118" s="10" t="s">
        <v>81</v>
      </c>
      <c r="F118" s="10" t="s">
        <v>83</v>
      </c>
      <c r="G118" s="10" t="s">
        <v>84</v>
      </c>
      <c r="H118" s="12">
        <v>110020.16666666701</v>
      </c>
      <c r="I118" s="11">
        <v>11812</v>
      </c>
      <c r="J118" s="11">
        <v>8399</v>
      </c>
      <c r="K118" s="11">
        <v>248637</v>
      </c>
      <c r="L118" s="11">
        <v>0.107362135123712</v>
      </c>
      <c r="M118" s="11">
        <v>10.736213512371183</v>
      </c>
      <c r="N118" s="11">
        <v>0.71105655265831402</v>
      </c>
      <c r="O118" s="11">
        <v>2.25992204459485</v>
      </c>
      <c r="P118" s="11">
        <v>0.71875</v>
      </c>
      <c r="Q118" s="11">
        <v>0.28571428571428598</v>
      </c>
      <c r="R118" s="11">
        <v>0.76937984496124001</v>
      </c>
      <c r="S118" s="10" t="s">
        <v>84</v>
      </c>
      <c r="T118" s="10" t="s">
        <v>84</v>
      </c>
      <c r="U118" s="10"/>
      <c r="V118" s="10"/>
      <c r="W118" s="10"/>
      <c r="X118" s="10"/>
      <c r="Y118" s="10"/>
      <c r="Z118" s="10"/>
      <c r="AA118" s="10"/>
    </row>
    <row r="119" spans="1:27" ht="12.5" x14ac:dyDescent="0.25">
      <c r="A119" s="10" t="s">
        <v>10</v>
      </c>
      <c r="B119" s="10" t="s">
        <v>568</v>
      </c>
      <c r="C119" s="10" t="s">
        <v>76</v>
      </c>
      <c r="D119" s="11">
        <v>2024</v>
      </c>
      <c r="E119" s="10" t="s">
        <v>81</v>
      </c>
      <c r="F119" s="10" t="s">
        <v>83</v>
      </c>
      <c r="G119" s="10" t="s">
        <v>84</v>
      </c>
      <c r="H119" s="12">
        <v>6504.0833333333303</v>
      </c>
      <c r="I119" s="11">
        <v>686</v>
      </c>
      <c r="J119" s="11">
        <v>542</v>
      </c>
      <c r="K119" s="11">
        <v>20880</v>
      </c>
      <c r="L119" s="11">
        <v>0.105472203359428</v>
      </c>
      <c r="M119" s="11">
        <v>10.547220335942811</v>
      </c>
      <c r="N119" s="11">
        <v>0.790087463556851</v>
      </c>
      <c r="O119" s="11">
        <v>3.2102909710566401</v>
      </c>
      <c r="P119" s="11">
        <v>0.71368243243243201</v>
      </c>
      <c r="Q119" s="11">
        <v>0.56666666666666698</v>
      </c>
      <c r="R119" s="11">
        <v>0.76744186046511598</v>
      </c>
      <c r="S119" s="10" t="s">
        <v>84</v>
      </c>
      <c r="T119" s="10" t="s">
        <v>84</v>
      </c>
      <c r="U119" s="10"/>
      <c r="V119" s="10"/>
      <c r="W119" s="10"/>
      <c r="X119" s="10"/>
      <c r="Y119" s="10"/>
      <c r="Z119" s="10"/>
      <c r="AA119" s="10"/>
    </row>
    <row r="120" spans="1:27" ht="12.5" x14ac:dyDescent="0.25">
      <c r="A120" s="10" t="s">
        <v>86</v>
      </c>
      <c r="B120" s="10" t="s">
        <v>570</v>
      </c>
      <c r="C120" s="10" t="s">
        <v>76</v>
      </c>
      <c r="D120" s="11">
        <v>2024</v>
      </c>
      <c r="E120" s="10" t="s">
        <v>81</v>
      </c>
      <c r="F120" s="10" t="s">
        <v>83</v>
      </c>
      <c r="G120" s="10" t="s">
        <v>84</v>
      </c>
      <c r="H120" s="12">
        <v>78924.25</v>
      </c>
      <c r="I120" s="11">
        <v>8288</v>
      </c>
      <c r="J120" s="11">
        <v>7344</v>
      </c>
      <c r="K120" s="11">
        <v>82854</v>
      </c>
      <c r="L120" s="11">
        <v>0.10501208437204</v>
      </c>
      <c r="M120" s="11">
        <v>10.501208437204028</v>
      </c>
      <c r="N120" s="11">
        <v>0.88610038610038599</v>
      </c>
      <c r="O120" s="11">
        <v>1.0497914139190401</v>
      </c>
      <c r="P120" s="11">
        <v>0.71199324324324298</v>
      </c>
      <c r="Q120" s="11">
        <v>0.5</v>
      </c>
      <c r="R120" s="11">
        <v>0.76550387596899205</v>
      </c>
      <c r="S120" s="10" t="s">
        <v>84</v>
      </c>
      <c r="T120" s="10" t="s">
        <v>84</v>
      </c>
      <c r="U120" s="10"/>
      <c r="V120" s="10"/>
      <c r="W120" s="10"/>
      <c r="X120" s="10"/>
      <c r="Y120" s="10"/>
      <c r="Z120" s="10"/>
      <c r="AA120" s="10"/>
    </row>
    <row r="121" spans="1:27" ht="12.5" x14ac:dyDescent="0.25">
      <c r="A121" s="10" t="s">
        <v>12</v>
      </c>
      <c r="B121" s="10" t="s">
        <v>572</v>
      </c>
      <c r="C121" s="10" t="s">
        <v>76</v>
      </c>
      <c r="D121" s="11">
        <v>2024</v>
      </c>
      <c r="E121" s="10" t="s">
        <v>81</v>
      </c>
      <c r="F121" s="10" t="s">
        <v>83</v>
      </c>
      <c r="G121" s="10" t="s">
        <v>84</v>
      </c>
      <c r="H121" s="12">
        <v>95238</v>
      </c>
      <c r="I121" s="11">
        <v>9982</v>
      </c>
      <c r="J121" s="11">
        <v>8702</v>
      </c>
      <c r="K121" s="11">
        <v>39995</v>
      </c>
      <c r="L121" s="11">
        <v>0.104811104811105</v>
      </c>
      <c r="M121" s="11">
        <v>10.48111048111048</v>
      </c>
      <c r="N121" s="11">
        <v>0.87176918453215801</v>
      </c>
      <c r="O121" s="11">
        <v>0.41994791994792002</v>
      </c>
      <c r="P121" s="11">
        <v>0.71114864864864902</v>
      </c>
      <c r="Q121" s="11">
        <v>0.625</v>
      </c>
      <c r="R121" s="11">
        <v>0.76356589147286802</v>
      </c>
      <c r="S121" s="10" t="s">
        <v>84</v>
      </c>
      <c r="T121" s="10" t="s">
        <v>84</v>
      </c>
      <c r="U121" s="10"/>
      <c r="V121" s="10"/>
      <c r="W121" s="10"/>
      <c r="X121" s="10"/>
      <c r="Y121" s="10"/>
      <c r="Z121" s="10"/>
      <c r="AA121" s="10"/>
    </row>
    <row r="122" spans="1:27" ht="12.5" x14ac:dyDescent="0.25">
      <c r="A122" s="10" t="s">
        <v>104</v>
      </c>
      <c r="B122" s="10" t="s">
        <v>575</v>
      </c>
      <c r="C122" s="10" t="s">
        <v>76</v>
      </c>
      <c r="D122" s="11">
        <v>2024</v>
      </c>
      <c r="E122" s="10" t="s">
        <v>81</v>
      </c>
      <c r="F122" s="10" t="s">
        <v>83</v>
      </c>
      <c r="G122" s="10" t="s">
        <v>84</v>
      </c>
      <c r="H122" s="12">
        <v>32575.25</v>
      </c>
      <c r="I122" s="11">
        <v>3411</v>
      </c>
      <c r="J122" s="11">
        <v>3269</v>
      </c>
      <c r="K122" s="11">
        <v>5937</v>
      </c>
      <c r="L122" s="11">
        <v>0.10471139899156599</v>
      </c>
      <c r="M122" s="11">
        <v>10.471139899156569</v>
      </c>
      <c r="N122" s="11">
        <v>0.95836997947815905</v>
      </c>
      <c r="O122" s="11">
        <v>0.18225493280941801</v>
      </c>
      <c r="P122" s="11">
        <v>0.71030405405405395</v>
      </c>
      <c r="Q122" s="11">
        <v>0.75862068965517204</v>
      </c>
      <c r="R122" s="11">
        <v>0.76162790697674398</v>
      </c>
      <c r="S122" s="10" t="s">
        <v>84</v>
      </c>
      <c r="T122" s="10" t="s">
        <v>84</v>
      </c>
      <c r="U122" s="10"/>
      <c r="V122" s="10"/>
      <c r="W122" s="10"/>
      <c r="X122" s="10"/>
      <c r="Y122" s="10"/>
      <c r="Z122" s="10"/>
      <c r="AA122" s="10"/>
    </row>
    <row r="123" spans="1:27" ht="12.5" x14ac:dyDescent="0.25">
      <c r="A123" s="10" t="s">
        <v>10</v>
      </c>
      <c r="B123" s="10" t="s">
        <v>576</v>
      </c>
      <c r="C123" s="10" t="s">
        <v>76</v>
      </c>
      <c r="D123" s="11">
        <v>2024</v>
      </c>
      <c r="E123" s="10" t="s">
        <v>81</v>
      </c>
      <c r="F123" s="10" t="s">
        <v>83</v>
      </c>
      <c r="G123" s="10" t="s">
        <v>84</v>
      </c>
      <c r="H123" s="12">
        <v>15976.583333333299</v>
      </c>
      <c r="I123" s="11">
        <v>1654</v>
      </c>
      <c r="J123" s="11">
        <v>1452</v>
      </c>
      <c r="K123" s="11">
        <v>3579</v>
      </c>
      <c r="L123" s="11">
        <v>0.10352651536884699</v>
      </c>
      <c r="M123" s="11">
        <v>10.352651536884734</v>
      </c>
      <c r="N123" s="11">
        <v>0.87787182587666301</v>
      </c>
      <c r="O123" s="11">
        <v>0.224015355807197</v>
      </c>
      <c r="P123" s="11">
        <v>0.70777027027026995</v>
      </c>
      <c r="Q123" s="11">
        <v>0.53333333333333299</v>
      </c>
      <c r="R123" s="11">
        <v>0.75968992248061995</v>
      </c>
      <c r="S123" s="10" t="s">
        <v>84</v>
      </c>
      <c r="T123" s="10" t="s">
        <v>84</v>
      </c>
      <c r="U123" s="10"/>
      <c r="V123" s="10"/>
      <c r="W123" s="10"/>
      <c r="X123" s="10"/>
      <c r="Y123" s="10"/>
      <c r="Z123" s="10"/>
      <c r="AA123" s="10"/>
    </row>
    <row r="124" spans="1:27" ht="12.5" x14ac:dyDescent="0.25">
      <c r="A124" s="10" t="s">
        <v>26</v>
      </c>
      <c r="B124" s="10" t="s">
        <v>578</v>
      </c>
      <c r="C124" s="10" t="s">
        <v>76</v>
      </c>
      <c r="D124" s="11">
        <v>2024</v>
      </c>
      <c r="E124" s="10" t="s">
        <v>81</v>
      </c>
      <c r="F124" s="10" t="s">
        <v>83</v>
      </c>
      <c r="G124" s="10" t="s">
        <v>84</v>
      </c>
      <c r="H124" s="12">
        <v>8384.75</v>
      </c>
      <c r="I124" s="11">
        <v>868</v>
      </c>
      <c r="J124" s="11">
        <v>648</v>
      </c>
      <c r="K124" s="11">
        <v>11949</v>
      </c>
      <c r="L124" s="11">
        <v>0.10352127374101799</v>
      </c>
      <c r="M124" s="11">
        <v>10.352127374101793</v>
      </c>
      <c r="N124" s="11">
        <v>0.74654377880184297</v>
      </c>
      <c r="O124" s="11">
        <v>1.4250872119025599</v>
      </c>
      <c r="P124" s="11">
        <v>0.70692567567567599</v>
      </c>
      <c r="Q124" s="11">
        <v>0.42307692307692302</v>
      </c>
      <c r="R124" s="11">
        <v>0.75775193798449603</v>
      </c>
      <c r="S124" s="10" t="s">
        <v>84</v>
      </c>
      <c r="T124" s="10" t="s">
        <v>84</v>
      </c>
      <c r="U124" s="10"/>
      <c r="V124" s="10"/>
      <c r="W124" s="10"/>
      <c r="X124" s="10"/>
      <c r="Y124" s="10"/>
      <c r="Z124" s="10"/>
      <c r="AA124" s="10"/>
    </row>
    <row r="125" spans="1:27" ht="12.5" x14ac:dyDescent="0.25">
      <c r="A125" s="10" t="s">
        <v>12</v>
      </c>
      <c r="B125" s="10" t="s">
        <v>580</v>
      </c>
      <c r="C125" s="10" t="s">
        <v>76</v>
      </c>
      <c r="D125" s="11">
        <v>2024</v>
      </c>
      <c r="E125" s="10" t="s">
        <v>81</v>
      </c>
      <c r="F125" s="10" t="s">
        <v>83</v>
      </c>
      <c r="G125" s="10" t="s">
        <v>84</v>
      </c>
      <c r="H125" s="12">
        <v>1455</v>
      </c>
      <c r="I125" s="11">
        <v>150</v>
      </c>
      <c r="J125" s="11">
        <v>143</v>
      </c>
      <c r="K125" s="11">
        <v>179</v>
      </c>
      <c r="L125" s="11">
        <v>0.10309278350515499</v>
      </c>
      <c r="M125" s="11">
        <v>10.309278350515463</v>
      </c>
      <c r="N125" s="11">
        <v>0.95333333333333303</v>
      </c>
      <c r="O125" s="11">
        <v>0.123024054982818</v>
      </c>
      <c r="P125" s="11">
        <v>0.70523648648648696</v>
      </c>
      <c r="Q125" s="11">
        <v>0.61111111111111105</v>
      </c>
      <c r="R125" s="11">
        <v>0.75581395348837199</v>
      </c>
      <c r="S125" s="10" t="s">
        <v>84</v>
      </c>
      <c r="T125" s="10" t="s">
        <v>84</v>
      </c>
      <c r="U125" s="10"/>
      <c r="V125" s="10"/>
      <c r="W125" s="10"/>
      <c r="X125" s="10"/>
      <c r="Y125" s="10"/>
      <c r="Z125" s="10"/>
      <c r="AA125" s="10"/>
    </row>
    <row r="126" spans="1:27" ht="12.5" x14ac:dyDescent="0.25">
      <c r="A126" s="10" t="s">
        <v>58</v>
      </c>
      <c r="B126" s="10" t="s">
        <v>582</v>
      </c>
      <c r="C126" s="10" t="s">
        <v>76</v>
      </c>
      <c r="D126" s="11">
        <v>2024</v>
      </c>
      <c r="E126" s="10" t="s">
        <v>81</v>
      </c>
      <c r="F126" s="10" t="s">
        <v>83</v>
      </c>
      <c r="G126" s="10" t="s">
        <v>84</v>
      </c>
      <c r="H126" s="12">
        <v>63616.166666666701</v>
      </c>
      <c r="I126" s="11">
        <v>6351</v>
      </c>
      <c r="J126" s="11">
        <v>5769</v>
      </c>
      <c r="K126" s="11">
        <v>101142</v>
      </c>
      <c r="L126" s="11">
        <v>9.9833113700133896E-2</v>
      </c>
      <c r="M126" s="11">
        <v>9.9833113700133822</v>
      </c>
      <c r="N126" s="11">
        <v>0.90836088804912596</v>
      </c>
      <c r="O126" s="11">
        <v>1.5898788829883399</v>
      </c>
      <c r="P126" s="11">
        <v>0.69679054054054101</v>
      </c>
      <c r="Q126" s="11">
        <v>0.75675675675675702</v>
      </c>
      <c r="R126" s="11">
        <v>0.75387596899224796</v>
      </c>
      <c r="S126" s="10" t="s">
        <v>84</v>
      </c>
      <c r="T126" s="10" t="s">
        <v>84</v>
      </c>
      <c r="U126" s="10"/>
      <c r="V126" s="10"/>
      <c r="W126" s="10"/>
      <c r="X126" s="10"/>
      <c r="Y126" s="10"/>
      <c r="Z126" s="10"/>
      <c r="AA126" s="10"/>
    </row>
    <row r="127" spans="1:27" ht="12.5" x14ac:dyDescent="0.25">
      <c r="A127" s="10" t="s">
        <v>58</v>
      </c>
      <c r="B127" s="10" t="s">
        <v>585</v>
      </c>
      <c r="C127" s="10" t="s">
        <v>76</v>
      </c>
      <c r="D127" s="11">
        <v>2024</v>
      </c>
      <c r="E127" s="10" t="s">
        <v>81</v>
      </c>
      <c r="F127" s="10" t="s">
        <v>83</v>
      </c>
      <c r="G127" s="10" t="s">
        <v>84</v>
      </c>
      <c r="H127" s="12">
        <v>23887.083333333299</v>
      </c>
      <c r="I127" s="11">
        <v>2371</v>
      </c>
      <c r="J127" s="11">
        <v>2164</v>
      </c>
      <c r="K127" s="11">
        <v>44277</v>
      </c>
      <c r="L127" s="11">
        <v>9.9258664899091201E-2</v>
      </c>
      <c r="M127" s="11">
        <v>9.9258664899091347</v>
      </c>
      <c r="N127" s="11">
        <v>0.91269506537325995</v>
      </c>
      <c r="O127" s="11">
        <v>1.85359591131888</v>
      </c>
      <c r="P127" s="11">
        <v>0.69594594594594605</v>
      </c>
      <c r="Q127" s="11">
        <v>0.72972972972973005</v>
      </c>
      <c r="R127" s="11">
        <v>0.75193798449612403</v>
      </c>
      <c r="S127" s="10" t="s">
        <v>84</v>
      </c>
      <c r="T127" s="10" t="s">
        <v>84</v>
      </c>
      <c r="U127" s="10"/>
      <c r="V127" s="10"/>
      <c r="W127" s="10"/>
      <c r="X127" s="10"/>
      <c r="Y127" s="10"/>
      <c r="Z127" s="10"/>
      <c r="AA127" s="10"/>
    </row>
    <row r="128" spans="1:27" ht="12.5" x14ac:dyDescent="0.25">
      <c r="A128" s="10" t="s">
        <v>58</v>
      </c>
      <c r="B128" s="10" t="s">
        <v>586</v>
      </c>
      <c r="C128" s="10" t="s">
        <v>76</v>
      </c>
      <c r="D128" s="11">
        <v>2024</v>
      </c>
      <c r="E128" s="10" t="s">
        <v>81</v>
      </c>
      <c r="F128" s="10" t="s">
        <v>83</v>
      </c>
      <c r="G128" s="10" t="s">
        <v>84</v>
      </c>
      <c r="H128" s="12">
        <v>32055.583333333299</v>
      </c>
      <c r="I128" s="11">
        <v>3125</v>
      </c>
      <c r="J128" s="11">
        <v>2495</v>
      </c>
      <c r="K128" s="11">
        <v>21200</v>
      </c>
      <c r="L128" s="11">
        <v>9.7486917255704297E-2</v>
      </c>
      <c r="M128" s="11">
        <v>9.7486917255704402</v>
      </c>
      <c r="N128" s="11">
        <v>0.7984</v>
      </c>
      <c r="O128" s="11">
        <v>0.66135124666269796</v>
      </c>
      <c r="P128" s="11">
        <v>0.69087837837837796</v>
      </c>
      <c r="Q128" s="11">
        <v>0.64864864864864902</v>
      </c>
      <c r="R128" s="11">
        <v>0.75</v>
      </c>
      <c r="S128" s="10" t="s">
        <v>84</v>
      </c>
      <c r="T128" s="10" t="s">
        <v>84</v>
      </c>
      <c r="U128" s="10"/>
      <c r="V128" s="10"/>
      <c r="W128" s="10"/>
      <c r="X128" s="10"/>
      <c r="Y128" s="10"/>
      <c r="Z128" s="10"/>
      <c r="AA128" s="10"/>
    </row>
    <row r="129" spans="1:27" ht="12.5" x14ac:dyDescent="0.25">
      <c r="A129" s="10" t="s">
        <v>52</v>
      </c>
      <c r="B129" s="10" t="s">
        <v>589</v>
      </c>
      <c r="C129" s="10" t="s">
        <v>76</v>
      </c>
      <c r="D129" s="11">
        <v>2024</v>
      </c>
      <c r="E129" s="10" t="s">
        <v>81</v>
      </c>
      <c r="F129" s="10" t="s">
        <v>83</v>
      </c>
      <c r="G129" s="10" t="s">
        <v>84</v>
      </c>
      <c r="H129" s="12">
        <v>9993</v>
      </c>
      <c r="I129" s="11">
        <v>960</v>
      </c>
      <c r="J129" s="11">
        <v>859</v>
      </c>
      <c r="K129" s="11">
        <v>10784</v>
      </c>
      <c r="L129" s="11">
        <v>9.6067247072951098E-2</v>
      </c>
      <c r="M129" s="11">
        <v>9.6067247072951076</v>
      </c>
      <c r="N129" s="11">
        <v>0.89479166666666698</v>
      </c>
      <c r="O129" s="11">
        <v>1.0791554087861499</v>
      </c>
      <c r="P129" s="11">
        <v>0.68834459459459496</v>
      </c>
      <c r="Q129" s="11">
        <v>0.59574468085106402</v>
      </c>
      <c r="R129" s="11">
        <v>0.74806201550387597</v>
      </c>
      <c r="S129" s="10" t="s">
        <v>84</v>
      </c>
      <c r="T129" s="10" t="s">
        <v>84</v>
      </c>
      <c r="U129" s="10"/>
      <c r="V129" s="10"/>
      <c r="W129" s="10"/>
      <c r="X129" s="10"/>
      <c r="Y129" s="10"/>
      <c r="Z129" s="10"/>
      <c r="AA129" s="10"/>
    </row>
    <row r="130" spans="1:27" ht="12.5" x14ac:dyDescent="0.25">
      <c r="A130" s="10" t="s">
        <v>12</v>
      </c>
      <c r="B130" s="10" t="s">
        <v>591</v>
      </c>
      <c r="C130" s="10" t="s">
        <v>76</v>
      </c>
      <c r="D130" s="11">
        <v>2024</v>
      </c>
      <c r="E130" s="10" t="s">
        <v>81</v>
      </c>
      <c r="F130" s="10" t="s">
        <v>83</v>
      </c>
      <c r="G130" s="10" t="s">
        <v>84</v>
      </c>
      <c r="H130" s="12">
        <v>26333.166666666701</v>
      </c>
      <c r="I130" s="11">
        <v>2514</v>
      </c>
      <c r="J130" s="11">
        <v>2387</v>
      </c>
      <c r="K130" s="11">
        <v>6419</v>
      </c>
      <c r="L130" s="11">
        <v>9.5468958664295306E-2</v>
      </c>
      <c r="M130" s="11">
        <v>9.5468958664295229</v>
      </c>
      <c r="N130" s="11">
        <v>0.949482895783612</v>
      </c>
      <c r="O130" s="11">
        <v>0.243761036462256</v>
      </c>
      <c r="P130" s="11">
        <v>0.68665540540540504</v>
      </c>
      <c r="Q130" s="11">
        <v>0.59722222222222199</v>
      </c>
      <c r="R130" s="11">
        <v>0.74612403100775204</v>
      </c>
      <c r="S130" s="10" t="s">
        <v>84</v>
      </c>
      <c r="T130" s="10" t="s">
        <v>84</v>
      </c>
      <c r="U130" s="10"/>
      <c r="V130" s="10"/>
      <c r="W130" s="10"/>
      <c r="X130" s="10"/>
      <c r="Y130" s="10"/>
      <c r="Z130" s="10"/>
      <c r="AA130" s="10"/>
    </row>
    <row r="131" spans="1:27" ht="12.5" x14ac:dyDescent="0.25">
      <c r="A131" s="10" t="s">
        <v>16</v>
      </c>
      <c r="B131" s="10" t="s">
        <v>592</v>
      </c>
      <c r="C131" s="10" t="s">
        <v>76</v>
      </c>
      <c r="D131" s="11">
        <v>2024</v>
      </c>
      <c r="E131" s="10" t="s">
        <v>81</v>
      </c>
      <c r="F131" s="10" t="s">
        <v>83</v>
      </c>
      <c r="G131" s="10" t="s">
        <v>84</v>
      </c>
      <c r="H131" s="12">
        <v>29884.333333333299</v>
      </c>
      <c r="I131" s="11">
        <v>2800</v>
      </c>
      <c r="J131" s="11">
        <v>404</v>
      </c>
      <c r="K131" s="11">
        <v>3047</v>
      </c>
      <c r="L131" s="11">
        <v>9.3694577984005004E-2</v>
      </c>
      <c r="M131" s="11">
        <v>9.3694577984005107</v>
      </c>
      <c r="N131" s="11">
        <v>0.14428571428571399</v>
      </c>
      <c r="O131" s="11">
        <v>0.10195977825616501</v>
      </c>
      <c r="P131" s="11">
        <v>0.68158783783783805</v>
      </c>
      <c r="Q131" s="11">
        <v>0.36666666666666697</v>
      </c>
      <c r="R131" s="11">
        <v>0.74418604651162801</v>
      </c>
      <c r="S131" s="10" t="s">
        <v>84</v>
      </c>
      <c r="T131" s="10" t="s">
        <v>84</v>
      </c>
      <c r="U131" s="10"/>
      <c r="V131" s="10"/>
      <c r="W131" s="10"/>
      <c r="X131" s="10"/>
      <c r="Y131" s="10"/>
      <c r="Z131" s="10"/>
      <c r="AA131" s="10"/>
    </row>
    <row r="132" spans="1:27" ht="12.5" x14ac:dyDescent="0.25">
      <c r="A132" s="10" t="s">
        <v>26</v>
      </c>
      <c r="B132" s="10" t="s">
        <v>594</v>
      </c>
      <c r="C132" s="10" t="s">
        <v>76</v>
      </c>
      <c r="D132" s="11">
        <v>2024</v>
      </c>
      <c r="E132" s="10" t="s">
        <v>81</v>
      </c>
      <c r="F132" s="10" t="s">
        <v>83</v>
      </c>
      <c r="G132" s="10" t="s">
        <v>84</v>
      </c>
      <c r="H132" s="12">
        <v>36354.666666666701</v>
      </c>
      <c r="I132" s="11">
        <v>3398</v>
      </c>
      <c r="J132" s="11">
        <v>2845</v>
      </c>
      <c r="K132" s="11">
        <v>61949</v>
      </c>
      <c r="L132" s="11">
        <v>9.3468055453678603E-2</v>
      </c>
      <c r="M132" s="11">
        <v>9.3468055453678485</v>
      </c>
      <c r="N132" s="11">
        <v>0.83725721012360199</v>
      </c>
      <c r="O132" s="11">
        <v>1.7040178243966799</v>
      </c>
      <c r="P132" s="11">
        <v>0.67989864864864902</v>
      </c>
      <c r="Q132" s="11">
        <v>0.34615384615384598</v>
      </c>
      <c r="R132" s="11">
        <v>0.74224806201550397</v>
      </c>
      <c r="S132" s="10" t="s">
        <v>84</v>
      </c>
      <c r="T132" s="10" t="s">
        <v>84</v>
      </c>
      <c r="U132" s="10"/>
      <c r="V132" s="10"/>
      <c r="W132" s="10"/>
      <c r="X132" s="10"/>
      <c r="Y132" s="10"/>
      <c r="Z132" s="10"/>
      <c r="AA132" s="10"/>
    </row>
    <row r="133" spans="1:27" ht="12.5" x14ac:dyDescent="0.25">
      <c r="A133" s="10" t="s">
        <v>109</v>
      </c>
      <c r="B133" s="10" t="s">
        <v>596</v>
      </c>
      <c r="C133" s="10" t="s">
        <v>76</v>
      </c>
      <c r="D133" s="11">
        <v>2024</v>
      </c>
      <c r="E133" s="10" t="s">
        <v>81</v>
      </c>
      <c r="F133" s="10" t="s">
        <v>83</v>
      </c>
      <c r="G133" s="10" t="s">
        <v>84</v>
      </c>
      <c r="H133" s="12">
        <v>20159.916666666701</v>
      </c>
      <c r="I133" s="11">
        <v>1879</v>
      </c>
      <c r="J133" s="11">
        <v>1864</v>
      </c>
      <c r="K133" s="11">
        <v>2353</v>
      </c>
      <c r="L133" s="11">
        <v>9.3204750350323898E-2</v>
      </c>
      <c r="M133" s="11">
        <v>9.3204750350323717</v>
      </c>
      <c r="N133" s="11">
        <v>0.99201703033528499</v>
      </c>
      <c r="O133" s="11">
        <v>0.11671675230139</v>
      </c>
      <c r="P133" s="11">
        <v>0.67820945945945899</v>
      </c>
      <c r="Q133" s="11">
        <v>0.72222222222222199</v>
      </c>
      <c r="R133" s="11">
        <v>0.74031007751938005</v>
      </c>
      <c r="S133" s="10" t="s">
        <v>84</v>
      </c>
      <c r="T133" s="10" t="s">
        <v>84</v>
      </c>
      <c r="U133" s="10"/>
      <c r="V133" s="10"/>
      <c r="W133" s="10"/>
      <c r="X133" s="10"/>
      <c r="Y133" s="10"/>
      <c r="Z133" s="10"/>
      <c r="AA133" s="10"/>
    </row>
    <row r="134" spans="1:27" ht="12.5" x14ac:dyDescent="0.25">
      <c r="A134" s="10" t="s">
        <v>58</v>
      </c>
      <c r="B134" s="10" t="s">
        <v>598</v>
      </c>
      <c r="C134" s="10" t="s">
        <v>76</v>
      </c>
      <c r="D134" s="11">
        <v>2024</v>
      </c>
      <c r="E134" s="10" t="s">
        <v>81</v>
      </c>
      <c r="F134" s="10" t="s">
        <v>83</v>
      </c>
      <c r="G134" s="10" t="s">
        <v>84</v>
      </c>
      <c r="H134" s="12">
        <v>23979.166666666701</v>
      </c>
      <c r="I134" s="11">
        <v>2218</v>
      </c>
      <c r="J134" s="11">
        <v>1876</v>
      </c>
      <c r="K134" s="11">
        <v>52608</v>
      </c>
      <c r="L134" s="11">
        <v>9.2496959165942694E-2</v>
      </c>
      <c r="M134" s="11">
        <v>9.2496959165942521</v>
      </c>
      <c r="N134" s="11">
        <v>0.84580703336339003</v>
      </c>
      <c r="O134" s="11">
        <v>2.1939044309296301</v>
      </c>
      <c r="P134" s="11">
        <v>0.67567567567567599</v>
      </c>
      <c r="Q134" s="11">
        <v>0.56756756756756799</v>
      </c>
      <c r="R134" s="11">
        <v>0.73837209302325602</v>
      </c>
      <c r="S134" s="10" t="s">
        <v>84</v>
      </c>
      <c r="T134" s="10" t="s">
        <v>84</v>
      </c>
      <c r="U134" s="10"/>
      <c r="V134" s="10"/>
      <c r="W134" s="10"/>
      <c r="X134" s="10"/>
      <c r="Y134" s="10"/>
      <c r="Z134" s="10"/>
      <c r="AA134" s="10"/>
    </row>
    <row r="135" spans="1:27" ht="12.5" x14ac:dyDescent="0.25">
      <c r="A135" s="10" t="s">
        <v>52</v>
      </c>
      <c r="B135" s="10" t="s">
        <v>599</v>
      </c>
      <c r="C135" s="10" t="s">
        <v>76</v>
      </c>
      <c r="D135" s="11">
        <v>2024</v>
      </c>
      <c r="E135" s="10" t="s">
        <v>81</v>
      </c>
      <c r="F135" s="10" t="s">
        <v>83</v>
      </c>
      <c r="G135" s="10" t="s">
        <v>84</v>
      </c>
      <c r="H135" s="12">
        <v>72974</v>
      </c>
      <c r="I135" s="11">
        <v>6739</v>
      </c>
      <c r="J135" s="11">
        <v>6471</v>
      </c>
      <c r="K135" s="11">
        <v>15869</v>
      </c>
      <c r="L135" s="11">
        <v>9.2347959547236E-2</v>
      </c>
      <c r="M135" s="11">
        <v>9.2347959547235998</v>
      </c>
      <c r="N135" s="11">
        <v>0.96023148835138705</v>
      </c>
      <c r="O135" s="11">
        <v>0.217461013511662</v>
      </c>
      <c r="P135" s="11">
        <v>0.67483108108108103</v>
      </c>
      <c r="Q135" s="11">
        <v>0.57446808510638303</v>
      </c>
      <c r="R135" s="11">
        <v>0.73643410852713198</v>
      </c>
      <c r="S135" s="10" t="s">
        <v>84</v>
      </c>
      <c r="T135" s="10" t="s">
        <v>84</v>
      </c>
      <c r="U135" s="10"/>
      <c r="V135" s="10"/>
      <c r="W135" s="10"/>
      <c r="X135" s="10"/>
      <c r="Y135" s="10"/>
      <c r="Z135" s="10"/>
      <c r="AA135" s="10"/>
    </row>
    <row r="136" spans="1:27" ht="12.5" x14ac:dyDescent="0.25">
      <c r="A136" s="10" t="s">
        <v>62</v>
      </c>
      <c r="B136" s="10" t="s">
        <v>601</v>
      </c>
      <c r="C136" s="10" t="s">
        <v>76</v>
      </c>
      <c r="D136" s="11">
        <v>2024</v>
      </c>
      <c r="E136" s="10" t="s">
        <v>81</v>
      </c>
      <c r="F136" s="10" t="s">
        <v>83</v>
      </c>
      <c r="G136" s="10" t="s">
        <v>84</v>
      </c>
      <c r="H136" s="12">
        <v>11780.916666666701</v>
      </c>
      <c r="I136" s="11">
        <v>1081</v>
      </c>
      <c r="J136" s="11">
        <v>1016</v>
      </c>
      <c r="K136" s="11">
        <v>7075</v>
      </c>
      <c r="L136" s="11">
        <v>9.1758564344879806E-2</v>
      </c>
      <c r="M136" s="11">
        <v>9.175856434487951</v>
      </c>
      <c r="N136" s="11">
        <v>0.93987049028677105</v>
      </c>
      <c r="O136" s="11">
        <v>0.60054749559669196</v>
      </c>
      <c r="P136" s="11">
        <v>0.67145270270270296</v>
      </c>
      <c r="Q136" s="11">
        <v>0.80555555555555602</v>
      </c>
      <c r="R136" s="11">
        <v>0.73449612403100795</v>
      </c>
      <c r="S136" s="10" t="s">
        <v>84</v>
      </c>
      <c r="T136" s="10" t="s">
        <v>84</v>
      </c>
      <c r="U136" s="10"/>
      <c r="V136" s="10"/>
      <c r="W136" s="10"/>
      <c r="X136" s="10"/>
      <c r="Y136" s="10"/>
      <c r="Z136" s="10"/>
      <c r="AA136" s="10"/>
    </row>
    <row r="137" spans="1:27" ht="12.5" x14ac:dyDescent="0.25">
      <c r="A137" s="10" t="s">
        <v>58</v>
      </c>
      <c r="B137" s="10" t="s">
        <v>603</v>
      </c>
      <c r="C137" s="10" t="s">
        <v>76</v>
      </c>
      <c r="D137" s="11">
        <v>2024</v>
      </c>
      <c r="E137" s="10" t="s">
        <v>81</v>
      </c>
      <c r="F137" s="10" t="s">
        <v>125</v>
      </c>
      <c r="G137" s="10" t="s">
        <v>84</v>
      </c>
      <c r="H137" s="12">
        <v>13891</v>
      </c>
      <c r="I137" s="11">
        <v>1273</v>
      </c>
      <c r="J137" s="11">
        <v>1171</v>
      </c>
      <c r="K137" s="11">
        <v>19562</v>
      </c>
      <c r="L137" s="11">
        <v>9.1642070405298398E-2</v>
      </c>
      <c r="M137" s="11">
        <v>9.1642070405298401</v>
      </c>
      <c r="N137" s="11">
        <v>0.91987431264729003</v>
      </c>
      <c r="O137" s="11">
        <v>1.4082499460082101</v>
      </c>
      <c r="P137" s="11">
        <v>0.670608108108108</v>
      </c>
      <c r="Q137" s="11">
        <v>0.54054054054054101</v>
      </c>
      <c r="R137" s="11">
        <v>0.73255813953488402</v>
      </c>
      <c r="S137" s="10" t="s">
        <v>84</v>
      </c>
      <c r="T137" s="10" t="s">
        <v>84</v>
      </c>
      <c r="U137" s="10"/>
      <c r="V137" s="10"/>
      <c r="W137" s="10"/>
      <c r="X137" s="10"/>
      <c r="Y137" s="10"/>
      <c r="Z137" s="10"/>
      <c r="AA137" s="10"/>
    </row>
    <row r="138" spans="1:27" ht="12.5" x14ac:dyDescent="0.25">
      <c r="A138" s="10" t="s">
        <v>36</v>
      </c>
      <c r="B138" s="10" t="s">
        <v>605</v>
      </c>
      <c r="C138" s="10" t="s">
        <v>76</v>
      </c>
      <c r="D138" s="11">
        <v>2024</v>
      </c>
      <c r="E138" s="10" t="s">
        <v>81</v>
      </c>
      <c r="F138" s="10" t="s">
        <v>83</v>
      </c>
      <c r="G138" s="10" t="s">
        <v>84</v>
      </c>
      <c r="H138" s="12">
        <v>10676.166666666701</v>
      </c>
      <c r="I138" s="11">
        <v>972</v>
      </c>
      <c r="J138" s="11">
        <v>851</v>
      </c>
      <c r="K138" s="11">
        <v>0</v>
      </c>
      <c r="L138" s="11">
        <v>9.1043914014081198E-2</v>
      </c>
      <c r="M138" s="11">
        <v>9.1043914014080922</v>
      </c>
      <c r="N138" s="11">
        <v>0.875514403292181</v>
      </c>
      <c r="O138" s="11">
        <v>0</v>
      </c>
      <c r="P138" s="11">
        <v>0.66722972972973005</v>
      </c>
      <c r="Q138" s="11">
        <v>0.42553191489361702</v>
      </c>
      <c r="R138" s="11">
        <v>0.73062015503875999</v>
      </c>
      <c r="S138" s="10" t="s">
        <v>84</v>
      </c>
      <c r="T138" s="10" t="s">
        <v>84</v>
      </c>
      <c r="U138" s="10"/>
      <c r="V138" s="10"/>
      <c r="W138" s="10"/>
      <c r="X138" s="10"/>
      <c r="Y138" s="10"/>
      <c r="Z138" s="10"/>
      <c r="AA138" s="10"/>
    </row>
    <row r="139" spans="1:27" ht="12.5" x14ac:dyDescent="0.25">
      <c r="A139" s="10" t="s">
        <v>16</v>
      </c>
      <c r="B139" s="10" t="s">
        <v>606</v>
      </c>
      <c r="C139" s="10" t="s">
        <v>76</v>
      </c>
      <c r="D139" s="11">
        <v>2024</v>
      </c>
      <c r="E139" s="10" t="s">
        <v>81</v>
      </c>
      <c r="F139" s="10" t="s">
        <v>83</v>
      </c>
      <c r="G139" s="10" t="s">
        <v>84</v>
      </c>
      <c r="H139" s="12">
        <v>227665.5</v>
      </c>
      <c r="I139" s="11">
        <v>20633</v>
      </c>
      <c r="J139" s="11">
        <v>18513</v>
      </c>
      <c r="K139" s="11">
        <v>133745</v>
      </c>
      <c r="L139" s="11">
        <v>9.0628575695483105E-2</v>
      </c>
      <c r="M139" s="11">
        <v>9.0628575695483065</v>
      </c>
      <c r="N139" s="11">
        <v>0.89725197499151799</v>
      </c>
      <c r="O139" s="11">
        <v>0.58746274688083999</v>
      </c>
      <c r="P139" s="11">
        <v>0.66554054054054101</v>
      </c>
      <c r="Q139" s="11">
        <v>0.33333333333333298</v>
      </c>
      <c r="R139" s="11">
        <v>0.72868217054263595</v>
      </c>
      <c r="S139" s="10" t="s">
        <v>84</v>
      </c>
      <c r="T139" s="10" t="s">
        <v>84</v>
      </c>
      <c r="U139" s="10"/>
      <c r="V139" s="10"/>
      <c r="W139" s="10"/>
      <c r="X139" s="10"/>
      <c r="Y139" s="10"/>
      <c r="Z139" s="10"/>
      <c r="AA139" s="10"/>
    </row>
    <row r="140" spans="1:27" ht="12.5" x14ac:dyDescent="0.25">
      <c r="A140" s="10" t="s">
        <v>12</v>
      </c>
      <c r="B140" s="10" t="s">
        <v>608</v>
      </c>
      <c r="C140" s="10" t="s">
        <v>76</v>
      </c>
      <c r="D140" s="11">
        <v>2024</v>
      </c>
      <c r="E140" s="10" t="s">
        <v>81</v>
      </c>
      <c r="F140" s="10" t="s">
        <v>83</v>
      </c>
      <c r="G140" s="10" t="s">
        <v>84</v>
      </c>
      <c r="H140" s="12">
        <v>2917</v>
      </c>
      <c r="I140" s="11">
        <v>263</v>
      </c>
      <c r="J140" s="11">
        <v>257</v>
      </c>
      <c r="K140" s="11">
        <v>4918</v>
      </c>
      <c r="L140" s="11">
        <v>9.0161124442920806E-2</v>
      </c>
      <c r="M140" s="11">
        <v>9.0161124442920801</v>
      </c>
      <c r="N140" s="11">
        <v>0.97718631178707205</v>
      </c>
      <c r="O140" s="11">
        <v>1.68597874528625</v>
      </c>
      <c r="P140" s="11">
        <v>0.66300675675675702</v>
      </c>
      <c r="Q140" s="11">
        <v>0.58333333333333304</v>
      </c>
      <c r="R140" s="11">
        <v>0.72674418604651203</v>
      </c>
      <c r="S140" s="10" t="s">
        <v>84</v>
      </c>
      <c r="T140" s="10" t="s">
        <v>84</v>
      </c>
      <c r="U140" s="10"/>
      <c r="V140" s="10"/>
      <c r="W140" s="10"/>
      <c r="X140" s="10"/>
      <c r="Y140" s="10"/>
      <c r="Z140" s="10"/>
      <c r="AA140" s="10"/>
    </row>
    <row r="141" spans="1:27" ht="12.5" x14ac:dyDescent="0.25">
      <c r="A141" s="10" t="s">
        <v>86</v>
      </c>
      <c r="B141" s="10" t="s">
        <v>611</v>
      </c>
      <c r="C141" s="10" t="s">
        <v>76</v>
      </c>
      <c r="D141" s="11">
        <v>2024</v>
      </c>
      <c r="E141" s="10" t="s">
        <v>81</v>
      </c>
      <c r="F141" s="10" t="s">
        <v>83</v>
      </c>
      <c r="G141" s="10" t="s">
        <v>84</v>
      </c>
      <c r="H141" s="12">
        <v>41496.166666666701</v>
      </c>
      <c r="I141" s="11">
        <v>3693</v>
      </c>
      <c r="J141" s="11">
        <v>3289</v>
      </c>
      <c r="K141" s="11">
        <v>79029</v>
      </c>
      <c r="L141" s="11">
        <v>8.8996172337203805E-2</v>
      </c>
      <c r="M141" s="11">
        <v>8.8996172337203756</v>
      </c>
      <c r="N141" s="11">
        <v>0.890603845112375</v>
      </c>
      <c r="O141" s="11">
        <v>1.9044891696823401</v>
      </c>
      <c r="P141" s="11">
        <v>0.66047297297297303</v>
      </c>
      <c r="Q141" s="11">
        <v>0.47826086956521702</v>
      </c>
      <c r="R141" s="11">
        <v>0.724806201550388</v>
      </c>
      <c r="S141" s="10" t="s">
        <v>84</v>
      </c>
      <c r="T141" s="10" t="s">
        <v>84</v>
      </c>
      <c r="U141" s="10"/>
      <c r="V141" s="10"/>
      <c r="W141" s="10"/>
      <c r="X141" s="10"/>
      <c r="Y141" s="10"/>
      <c r="Z141" s="10"/>
      <c r="AA141" s="10"/>
    </row>
    <row r="142" spans="1:27" ht="12.5" x14ac:dyDescent="0.25">
      <c r="A142" s="10" t="s">
        <v>36</v>
      </c>
      <c r="B142" s="10" t="s">
        <v>612</v>
      </c>
      <c r="C142" s="10" t="s">
        <v>76</v>
      </c>
      <c r="D142" s="11">
        <v>2024</v>
      </c>
      <c r="E142" s="10" t="s">
        <v>81</v>
      </c>
      <c r="F142" s="10" t="s">
        <v>83</v>
      </c>
      <c r="G142" s="10" t="s">
        <v>84</v>
      </c>
      <c r="H142" s="12">
        <v>15199.833333333299</v>
      </c>
      <c r="I142" s="11">
        <v>1343</v>
      </c>
      <c r="J142" s="11">
        <v>1176</v>
      </c>
      <c r="K142" s="11">
        <v>38838</v>
      </c>
      <c r="L142" s="11">
        <v>8.83562319762278E-2</v>
      </c>
      <c r="M142" s="11">
        <v>8.8356231976228017</v>
      </c>
      <c r="N142" s="11">
        <v>0.87565152643335797</v>
      </c>
      <c r="O142" s="11">
        <v>2.5551595960481999</v>
      </c>
      <c r="P142" s="11">
        <v>0.65878378378378399</v>
      </c>
      <c r="Q142" s="11">
        <v>0.40425531914893598</v>
      </c>
      <c r="R142" s="11">
        <v>0.72286821705426396</v>
      </c>
      <c r="S142" s="10" t="s">
        <v>84</v>
      </c>
      <c r="T142" s="10" t="s">
        <v>84</v>
      </c>
      <c r="U142" s="10"/>
      <c r="V142" s="10"/>
      <c r="W142" s="10"/>
      <c r="X142" s="10"/>
      <c r="Y142" s="10"/>
      <c r="Z142" s="10"/>
      <c r="AA142" s="10"/>
    </row>
    <row r="143" spans="1:27" ht="12.5" x14ac:dyDescent="0.25">
      <c r="A143" s="10" t="s">
        <v>19</v>
      </c>
      <c r="B143" s="10" t="s">
        <v>614</v>
      </c>
      <c r="C143" s="10" t="s">
        <v>76</v>
      </c>
      <c r="D143" s="11">
        <v>2024</v>
      </c>
      <c r="E143" s="10" t="s">
        <v>81</v>
      </c>
      <c r="F143" s="10" t="s">
        <v>83</v>
      </c>
      <c r="G143" s="10" t="s">
        <v>84</v>
      </c>
      <c r="H143" s="12">
        <v>9488</v>
      </c>
      <c r="I143" s="11">
        <v>838</v>
      </c>
      <c r="J143" s="11">
        <v>620</v>
      </c>
      <c r="K143" s="11">
        <v>0</v>
      </c>
      <c r="L143" s="11">
        <v>8.8322091062394595E-2</v>
      </c>
      <c r="M143" s="11">
        <v>8.8322091062394605</v>
      </c>
      <c r="N143" s="11">
        <v>0.73985680190930803</v>
      </c>
      <c r="O143" s="11">
        <v>0</v>
      </c>
      <c r="P143" s="11">
        <v>0.65793918918918903</v>
      </c>
      <c r="Q143" s="11">
        <v>0.44444444444444398</v>
      </c>
      <c r="R143" s="11">
        <v>0.72093023255814004</v>
      </c>
      <c r="S143" s="10" t="s">
        <v>84</v>
      </c>
      <c r="T143" s="10" t="s">
        <v>84</v>
      </c>
      <c r="U143" s="10"/>
      <c r="V143" s="10"/>
      <c r="W143" s="10"/>
      <c r="X143" s="10"/>
      <c r="Y143" s="10"/>
      <c r="Z143" s="10"/>
      <c r="AA143" s="10"/>
    </row>
    <row r="144" spans="1:27" ht="12.5" x14ac:dyDescent="0.25">
      <c r="A144" s="10" t="s">
        <v>12</v>
      </c>
      <c r="B144" s="10" t="s">
        <v>617</v>
      </c>
      <c r="C144" s="10" t="s">
        <v>76</v>
      </c>
      <c r="D144" s="11">
        <v>2024</v>
      </c>
      <c r="E144" s="10" t="s">
        <v>81</v>
      </c>
      <c r="F144" s="10" t="s">
        <v>83</v>
      </c>
      <c r="G144" s="10" t="s">
        <v>84</v>
      </c>
      <c r="H144" s="12">
        <v>14015.333333333299</v>
      </c>
      <c r="I144" s="11">
        <v>1223</v>
      </c>
      <c r="J144" s="11">
        <v>1260</v>
      </c>
      <c r="K144" s="11">
        <v>1446</v>
      </c>
      <c r="L144" s="11">
        <v>8.7261570660704904E-2</v>
      </c>
      <c r="M144" s="11">
        <v>8.726157066070515</v>
      </c>
      <c r="N144" s="11">
        <v>1.0302534750613199</v>
      </c>
      <c r="O144" s="11">
        <v>0.10317271559720299</v>
      </c>
      <c r="P144" s="11">
        <v>0.65456081081081097</v>
      </c>
      <c r="Q144" s="11">
        <v>0.56944444444444398</v>
      </c>
      <c r="R144" s="11">
        <v>0.718992248062015</v>
      </c>
      <c r="S144" s="10" t="s">
        <v>84</v>
      </c>
      <c r="T144" s="10" t="s">
        <v>84</v>
      </c>
      <c r="U144" s="10"/>
      <c r="V144" s="10"/>
      <c r="W144" s="10"/>
      <c r="X144" s="10"/>
      <c r="Y144" s="10"/>
      <c r="Z144" s="10"/>
      <c r="AA144" s="10"/>
    </row>
    <row r="145" spans="1:27" ht="12.5" x14ac:dyDescent="0.25">
      <c r="A145" s="10" t="s">
        <v>42</v>
      </c>
      <c r="B145" s="10" t="s">
        <v>619</v>
      </c>
      <c r="C145" s="10" t="s">
        <v>76</v>
      </c>
      <c r="D145" s="11">
        <v>2024</v>
      </c>
      <c r="E145" s="10" t="s">
        <v>81</v>
      </c>
      <c r="F145" s="10" t="s">
        <v>83</v>
      </c>
      <c r="G145" s="10" t="s">
        <v>84</v>
      </c>
      <c r="H145" s="12">
        <v>23220.916666666701</v>
      </c>
      <c r="I145" s="11">
        <v>2018</v>
      </c>
      <c r="J145" s="11">
        <v>1939</v>
      </c>
      <c r="K145" s="11">
        <v>0</v>
      </c>
      <c r="L145" s="11">
        <v>8.69044073051954E-2</v>
      </c>
      <c r="M145" s="11">
        <v>8.6904407305195264</v>
      </c>
      <c r="N145" s="11">
        <v>0.96085232903865203</v>
      </c>
      <c r="O145" s="11">
        <v>0</v>
      </c>
      <c r="P145" s="11">
        <v>0.65371621621621601</v>
      </c>
      <c r="Q145" s="11">
        <v>0.64285714285714302</v>
      </c>
      <c r="R145" s="11">
        <v>0.71705426356589197</v>
      </c>
      <c r="S145" s="10" t="s">
        <v>84</v>
      </c>
      <c r="T145" s="10" t="s">
        <v>84</v>
      </c>
      <c r="U145" s="10"/>
      <c r="V145" s="10"/>
      <c r="W145" s="10"/>
      <c r="X145" s="10"/>
      <c r="Y145" s="10"/>
      <c r="Z145" s="10"/>
      <c r="AA145" s="10"/>
    </row>
    <row r="146" spans="1:27" ht="12.5" x14ac:dyDescent="0.25">
      <c r="A146" s="10" t="s">
        <v>12</v>
      </c>
      <c r="B146" s="10" t="s">
        <v>621</v>
      </c>
      <c r="C146" s="10" t="s">
        <v>76</v>
      </c>
      <c r="D146" s="11">
        <v>2024</v>
      </c>
      <c r="E146" s="10" t="s">
        <v>81</v>
      </c>
      <c r="F146" s="10" t="s">
        <v>83</v>
      </c>
      <c r="G146" s="10" t="s">
        <v>84</v>
      </c>
      <c r="H146" s="12">
        <v>17925.166666666701</v>
      </c>
      <c r="I146" s="11">
        <v>1554</v>
      </c>
      <c r="J146" s="11">
        <v>1295</v>
      </c>
      <c r="K146" s="11">
        <v>9725</v>
      </c>
      <c r="L146" s="11">
        <v>8.6693754590845301E-2</v>
      </c>
      <c r="M146" s="11">
        <v>8.6693754590845113</v>
      </c>
      <c r="N146" s="11">
        <v>0.83333333333333304</v>
      </c>
      <c r="O146" s="11">
        <v>0.54253330977861702</v>
      </c>
      <c r="P146" s="11">
        <v>0.65202702702702697</v>
      </c>
      <c r="Q146" s="11">
        <v>0.55555555555555602</v>
      </c>
      <c r="R146" s="11">
        <v>0.71511627906976705</v>
      </c>
      <c r="S146" s="10" t="s">
        <v>84</v>
      </c>
      <c r="T146" s="10" t="s">
        <v>84</v>
      </c>
      <c r="U146" s="10"/>
      <c r="V146" s="10"/>
      <c r="W146" s="10"/>
      <c r="X146" s="10"/>
      <c r="Y146" s="10"/>
      <c r="Z146" s="10"/>
      <c r="AA146" s="10"/>
    </row>
    <row r="147" spans="1:27" ht="12.5" x14ac:dyDescent="0.25">
      <c r="A147" s="10" t="s">
        <v>62</v>
      </c>
      <c r="B147" s="10" t="s">
        <v>624</v>
      </c>
      <c r="C147" s="10" t="s">
        <v>76</v>
      </c>
      <c r="D147" s="11">
        <v>2024</v>
      </c>
      <c r="E147" s="10" t="s">
        <v>81</v>
      </c>
      <c r="F147" s="10" t="s">
        <v>83</v>
      </c>
      <c r="G147" s="10" t="s">
        <v>84</v>
      </c>
      <c r="H147" s="12">
        <v>16087.666666666701</v>
      </c>
      <c r="I147" s="11">
        <v>1392</v>
      </c>
      <c r="J147" s="11">
        <v>1175</v>
      </c>
      <c r="K147" s="11">
        <v>12843</v>
      </c>
      <c r="L147" s="11">
        <v>8.65259101174813E-2</v>
      </c>
      <c r="M147" s="11">
        <v>8.6525910117481111</v>
      </c>
      <c r="N147" s="11">
        <v>0.84410919540229901</v>
      </c>
      <c r="O147" s="11">
        <v>0.79831340778650295</v>
      </c>
      <c r="P147" s="11">
        <v>0.65118243243243201</v>
      </c>
      <c r="Q147" s="11">
        <v>0.77777777777777801</v>
      </c>
      <c r="R147" s="11">
        <v>0.71317829457364301</v>
      </c>
      <c r="S147" s="10" t="s">
        <v>84</v>
      </c>
      <c r="T147" s="10" t="s">
        <v>84</v>
      </c>
      <c r="U147" s="10"/>
      <c r="V147" s="10"/>
      <c r="W147" s="10"/>
      <c r="X147" s="10"/>
      <c r="Y147" s="10"/>
      <c r="Z147" s="10"/>
      <c r="AA147" s="10"/>
    </row>
    <row r="148" spans="1:27" ht="12.5" x14ac:dyDescent="0.25">
      <c r="A148" s="10" t="s">
        <v>42</v>
      </c>
      <c r="B148" s="10" t="s">
        <v>626</v>
      </c>
      <c r="C148" s="10" t="s">
        <v>76</v>
      </c>
      <c r="D148" s="11">
        <v>2024</v>
      </c>
      <c r="E148" s="10" t="s">
        <v>81</v>
      </c>
      <c r="F148" s="10" t="s">
        <v>83</v>
      </c>
      <c r="G148" s="10" t="s">
        <v>84</v>
      </c>
      <c r="H148" s="12">
        <v>35779.333333333299</v>
      </c>
      <c r="I148" s="11">
        <v>3072</v>
      </c>
      <c r="J148" s="11">
        <v>2185</v>
      </c>
      <c r="K148" s="11">
        <v>224</v>
      </c>
      <c r="L148" s="11">
        <v>8.5859621010266604E-2</v>
      </c>
      <c r="M148" s="11">
        <v>8.5859621010266718</v>
      </c>
      <c r="N148" s="11">
        <v>0.71126302083333304</v>
      </c>
      <c r="O148" s="11">
        <v>6.2605973653319397E-3</v>
      </c>
      <c r="P148" s="11">
        <v>0.65033783783783805</v>
      </c>
      <c r="Q148" s="11">
        <v>0.61904761904761896</v>
      </c>
      <c r="R148" s="11">
        <v>0.71124031007751898</v>
      </c>
      <c r="S148" s="10" t="s">
        <v>84</v>
      </c>
      <c r="T148" s="10" t="s">
        <v>84</v>
      </c>
      <c r="U148" s="10"/>
      <c r="V148" s="10"/>
      <c r="W148" s="10"/>
      <c r="X148" s="10"/>
      <c r="Y148" s="10"/>
      <c r="Z148" s="10"/>
      <c r="AA148" s="10"/>
    </row>
    <row r="149" spans="1:27" ht="12.5" x14ac:dyDescent="0.25">
      <c r="A149" s="10" t="s">
        <v>62</v>
      </c>
      <c r="B149" s="10" t="s">
        <v>628</v>
      </c>
      <c r="C149" s="10" t="s">
        <v>76</v>
      </c>
      <c r="D149" s="11">
        <v>2024</v>
      </c>
      <c r="E149" s="10" t="s">
        <v>81</v>
      </c>
      <c r="F149" s="10" t="s">
        <v>83</v>
      </c>
      <c r="G149" s="10" t="s">
        <v>84</v>
      </c>
      <c r="H149" s="12">
        <v>130770.16666666701</v>
      </c>
      <c r="I149" s="11">
        <v>11018</v>
      </c>
      <c r="J149" s="11">
        <v>9151</v>
      </c>
      <c r="K149" s="11">
        <v>151351</v>
      </c>
      <c r="L149" s="11">
        <v>8.4254691118387098E-2</v>
      </c>
      <c r="M149" s="11">
        <v>8.4254691118386873</v>
      </c>
      <c r="N149" s="11">
        <v>0.83055000907605703</v>
      </c>
      <c r="O149" s="11">
        <v>1.1573817167779099</v>
      </c>
      <c r="P149" s="11">
        <v>0.64780405405405395</v>
      </c>
      <c r="Q149" s="11">
        <v>0.75</v>
      </c>
      <c r="R149" s="11">
        <v>0.70930232558139505</v>
      </c>
      <c r="S149" s="10" t="s">
        <v>84</v>
      </c>
      <c r="T149" s="10" t="s">
        <v>84</v>
      </c>
      <c r="U149" s="10"/>
      <c r="V149" s="10"/>
      <c r="W149" s="10"/>
      <c r="X149" s="10"/>
      <c r="Y149" s="10"/>
      <c r="Z149" s="10"/>
      <c r="AA149" s="10"/>
    </row>
    <row r="150" spans="1:27" ht="12.5" x14ac:dyDescent="0.25">
      <c r="A150" s="10" t="s">
        <v>65</v>
      </c>
      <c r="B150" s="10" t="s">
        <v>630</v>
      </c>
      <c r="C150" s="10" t="s">
        <v>76</v>
      </c>
      <c r="D150" s="11">
        <v>2024</v>
      </c>
      <c r="E150" s="10" t="s">
        <v>81</v>
      </c>
      <c r="F150" s="10" t="s">
        <v>83</v>
      </c>
      <c r="G150" s="10" t="s">
        <v>84</v>
      </c>
      <c r="H150" s="12">
        <v>16434</v>
      </c>
      <c r="I150" s="11">
        <v>1383</v>
      </c>
      <c r="J150" s="11">
        <v>1102</v>
      </c>
      <c r="K150" s="11">
        <v>12787</v>
      </c>
      <c r="L150" s="11">
        <v>8.4154801022270895E-2</v>
      </c>
      <c r="M150" s="11">
        <v>8.4154801022270913</v>
      </c>
      <c r="N150" s="11">
        <v>0.79681851048445396</v>
      </c>
      <c r="O150" s="11">
        <v>0.77808202506997703</v>
      </c>
      <c r="P150" s="11">
        <v>0.64695945945945899</v>
      </c>
      <c r="Q150" s="11">
        <v>0.76923076923076905</v>
      </c>
      <c r="R150" s="11">
        <v>0.70736434108527102</v>
      </c>
      <c r="S150" s="10" t="s">
        <v>84</v>
      </c>
      <c r="T150" s="10" t="s">
        <v>84</v>
      </c>
      <c r="U150" s="10"/>
      <c r="V150" s="10"/>
      <c r="W150" s="10"/>
      <c r="X150" s="10"/>
      <c r="Y150" s="10"/>
      <c r="Z150" s="10"/>
      <c r="AA150" s="10"/>
    </row>
    <row r="151" spans="1:27" ht="12.5" x14ac:dyDescent="0.25">
      <c r="A151" s="10" t="s">
        <v>55</v>
      </c>
      <c r="B151" s="10" t="s">
        <v>632</v>
      </c>
      <c r="C151" s="10" t="s">
        <v>76</v>
      </c>
      <c r="D151" s="11">
        <v>2024</v>
      </c>
      <c r="E151" s="10" t="s">
        <v>81</v>
      </c>
      <c r="F151" s="10" t="s">
        <v>83</v>
      </c>
      <c r="G151" s="10" t="s">
        <v>84</v>
      </c>
      <c r="H151" s="12">
        <v>5758.0833333333303</v>
      </c>
      <c r="I151" s="11">
        <v>476</v>
      </c>
      <c r="J151" s="11">
        <v>423</v>
      </c>
      <c r="K151" s="11">
        <v>2228</v>
      </c>
      <c r="L151" s="11">
        <v>8.2666396515044094E-2</v>
      </c>
      <c r="M151" s="11">
        <v>8.2666396515044109</v>
      </c>
      <c r="N151" s="11">
        <v>0.88865546218487401</v>
      </c>
      <c r="O151" s="11">
        <v>0.38693430973848397</v>
      </c>
      <c r="P151" s="11">
        <v>0.64358108108108103</v>
      </c>
      <c r="Q151" s="11">
        <v>0.54545454545454497</v>
      </c>
      <c r="R151" s="11">
        <v>0.70542635658914699</v>
      </c>
      <c r="S151" s="10" t="s">
        <v>84</v>
      </c>
      <c r="T151" s="10" t="s">
        <v>84</v>
      </c>
      <c r="U151" s="10"/>
      <c r="V151" s="10"/>
      <c r="W151" s="10"/>
      <c r="X151" s="10"/>
      <c r="Y151" s="10"/>
      <c r="Z151" s="10"/>
      <c r="AA151" s="10"/>
    </row>
    <row r="152" spans="1:27" ht="12.5" x14ac:dyDescent="0.25">
      <c r="A152" s="10" t="s">
        <v>10</v>
      </c>
      <c r="B152" s="10" t="s">
        <v>635</v>
      </c>
      <c r="C152" s="10" t="s">
        <v>76</v>
      </c>
      <c r="D152" s="11">
        <v>2024</v>
      </c>
      <c r="E152" s="10" t="s">
        <v>81</v>
      </c>
      <c r="F152" s="10" t="s">
        <v>83</v>
      </c>
      <c r="G152" s="10" t="s">
        <v>84</v>
      </c>
      <c r="H152" s="12">
        <v>14842</v>
      </c>
      <c r="I152" s="11">
        <v>1221</v>
      </c>
      <c r="J152" s="11">
        <v>1093</v>
      </c>
      <c r="K152" s="11">
        <v>25684</v>
      </c>
      <c r="L152" s="11">
        <v>8.2266540897453194E-2</v>
      </c>
      <c r="M152" s="11">
        <v>8.2266540897453186</v>
      </c>
      <c r="N152" s="11">
        <v>0.89516789516789497</v>
      </c>
      <c r="O152" s="11">
        <v>1.73049454251449</v>
      </c>
      <c r="P152" s="11">
        <v>0.64273648648648696</v>
      </c>
      <c r="Q152" s="11">
        <v>0.46666666666666701</v>
      </c>
      <c r="R152" s="11">
        <v>0.70348837209302295</v>
      </c>
      <c r="S152" s="10" t="s">
        <v>84</v>
      </c>
      <c r="T152" s="10" t="s">
        <v>84</v>
      </c>
      <c r="U152" s="10"/>
      <c r="V152" s="10"/>
      <c r="W152" s="10"/>
      <c r="X152" s="10"/>
      <c r="Y152" s="10"/>
      <c r="Z152" s="10"/>
      <c r="AA152" s="10"/>
    </row>
    <row r="153" spans="1:27" ht="12.5" x14ac:dyDescent="0.25">
      <c r="A153" s="10" t="s">
        <v>58</v>
      </c>
      <c r="B153" s="10" t="s">
        <v>636</v>
      </c>
      <c r="C153" s="10" t="s">
        <v>76</v>
      </c>
      <c r="D153" s="11">
        <v>2024</v>
      </c>
      <c r="E153" s="10" t="s">
        <v>81</v>
      </c>
      <c r="F153" s="10" t="s">
        <v>83</v>
      </c>
      <c r="G153" s="10" t="s">
        <v>84</v>
      </c>
      <c r="H153" s="12">
        <v>16233.666666666701</v>
      </c>
      <c r="I153" s="11">
        <v>1328</v>
      </c>
      <c r="J153" s="11">
        <v>1126</v>
      </c>
      <c r="K153" s="11">
        <v>9990</v>
      </c>
      <c r="L153" s="11">
        <v>8.1805301739184003E-2</v>
      </c>
      <c r="M153" s="11">
        <v>8.1805301739183829</v>
      </c>
      <c r="N153" s="11">
        <v>0.84789156626506001</v>
      </c>
      <c r="O153" s="11">
        <v>0.61538777437835002</v>
      </c>
      <c r="P153" s="11">
        <v>0.64104729729729704</v>
      </c>
      <c r="Q153" s="11">
        <v>0.43243243243243201</v>
      </c>
      <c r="R153" s="11">
        <v>0.70155038759689903</v>
      </c>
      <c r="S153" s="10" t="s">
        <v>84</v>
      </c>
      <c r="T153" s="10" t="s">
        <v>84</v>
      </c>
      <c r="U153" s="10"/>
      <c r="V153" s="10"/>
      <c r="W153" s="10"/>
      <c r="X153" s="10"/>
      <c r="Y153" s="10"/>
      <c r="Z153" s="10"/>
      <c r="AA153" s="10"/>
    </row>
    <row r="154" spans="1:27" ht="12.5" x14ac:dyDescent="0.25">
      <c r="A154" s="10" t="s">
        <v>58</v>
      </c>
      <c r="B154" s="10" t="s">
        <v>638</v>
      </c>
      <c r="C154" s="10" t="s">
        <v>76</v>
      </c>
      <c r="D154" s="11">
        <v>2024</v>
      </c>
      <c r="E154" s="10" t="s">
        <v>81</v>
      </c>
      <c r="F154" s="10" t="s">
        <v>83</v>
      </c>
      <c r="G154" s="10" t="s">
        <v>84</v>
      </c>
      <c r="H154" s="12">
        <v>48398.583333333299</v>
      </c>
      <c r="I154" s="11">
        <v>3958</v>
      </c>
      <c r="J154" s="11">
        <v>3428</v>
      </c>
      <c r="K154" s="11">
        <v>96205</v>
      </c>
      <c r="L154" s="11">
        <v>8.1779253180620001E-2</v>
      </c>
      <c r="M154" s="11">
        <v>8.1779253180620017</v>
      </c>
      <c r="N154" s="11">
        <v>0.86609398686205197</v>
      </c>
      <c r="O154" s="11">
        <v>1.9877647933909901</v>
      </c>
      <c r="P154" s="11">
        <v>0.64020270270270296</v>
      </c>
      <c r="Q154" s="11">
        <v>0.40540540540540498</v>
      </c>
      <c r="R154" s="11">
        <v>0.69961240310077499</v>
      </c>
      <c r="S154" s="10" t="s">
        <v>84</v>
      </c>
      <c r="T154" s="10" t="s">
        <v>84</v>
      </c>
      <c r="U154" s="10"/>
      <c r="V154" s="10"/>
      <c r="W154" s="10"/>
      <c r="X154" s="10"/>
      <c r="Y154" s="10"/>
      <c r="Z154" s="10"/>
      <c r="AA154" s="10"/>
    </row>
    <row r="155" spans="1:27" ht="12.5" x14ac:dyDescent="0.25">
      <c r="A155" s="10" t="s">
        <v>42</v>
      </c>
      <c r="B155" s="10" t="s">
        <v>640</v>
      </c>
      <c r="C155" s="10" t="s">
        <v>76</v>
      </c>
      <c r="D155" s="11">
        <v>2024</v>
      </c>
      <c r="E155" s="10" t="s">
        <v>81</v>
      </c>
      <c r="F155" s="10" t="s">
        <v>83</v>
      </c>
      <c r="G155" s="10" t="s">
        <v>84</v>
      </c>
      <c r="H155" s="12">
        <v>18897.416666666701</v>
      </c>
      <c r="I155" s="11">
        <v>1544</v>
      </c>
      <c r="J155" s="11">
        <v>1509</v>
      </c>
      <c r="K155" s="11">
        <v>3854</v>
      </c>
      <c r="L155" s="11">
        <v>8.1704289386997295E-2</v>
      </c>
      <c r="M155" s="11">
        <v>8.17042893869972</v>
      </c>
      <c r="N155" s="11">
        <v>0.97733160621761705</v>
      </c>
      <c r="O155" s="11">
        <v>0.20394321975225899</v>
      </c>
      <c r="P155" s="11">
        <v>0.639358108108108</v>
      </c>
      <c r="Q155" s="11">
        <v>0.59523809523809501</v>
      </c>
      <c r="R155" s="11">
        <v>0.69767441860465096</v>
      </c>
      <c r="S155" s="10" t="s">
        <v>84</v>
      </c>
      <c r="T155" s="10" t="s">
        <v>84</v>
      </c>
      <c r="U155" s="10"/>
      <c r="V155" s="10"/>
      <c r="W155" s="10"/>
      <c r="X155" s="10"/>
      <c r="Y155" s="10"/>
      <c r="Z155" s="10"/>
      <c r="AA155" s="10"/>
    </row>
    <row r="156" spans="1:27" ht="12.5" x14ac:dyDescent="0.25">
      <c r="A156" s="10" t="s">
        <v>10</v>
      </c>
      <c r="B156" s="10" t="s">
        <v>462</v>
      </c>
      <c r="C156" s="10" t="s">
        <v>76</v>
      </c>
      <c r="D156" s="11">
        <v>2024</v>
      </c>
      <c r="E156" s="10" t="s">
        <v>81</v>
      </c>
      <c r="F156" s="10" t="s">
        <v>83</v>
      </c>
      <c r="G156" s="10" t="s">
        <v>84</v>
      </c>
      <c r="H156" s="12">
        <v>134.916666666667</v>
      </c>
      <c r="I156" s="11">
        <v>11</v>
      </c>
      <c r="J156" s="11">
        <v>4</v>
      </c>
      <c r="K156" s="11">
        <v>75</v>
      </c>
      <c r="L156" s="11">
        <v>8.1531809759110604E-2</v>
      </c>
      <c r="M156" s="11">
        <v>8.1531809759110363</v>
      </c>
      <c r="N156" s="11">
        <v>0.36363636363636398</v>
      </c>
      <c r="O156" s="11">
        <v>0.55589870290302701</v>
      </c>
      <c r="P156" s="11">
        <v>0.63766891891891897</v>
      </c>
      <c r="Q156" s="11">
        <v>0.43333333333333302</v>
      </c>
      <c r="R156" s="11">
        <v>0.69573643410852704</v>
      </c>
      <c r="S156" s="10" t="s">
        <v>84</v>
      </c>
      <c r="T156" s="10" t="s">
        <v>84</v>
      </c>
      <c r="U156" s="10"/>
      <c r="V156" s="10"/>
      <c r="W156" s="10"/>
      <c r="X156" s="10"/>
      <c r="Y156" s="10"/>
      <c r="Z156" s="10"/>
      <c r="AA156" s="10"/>
    </row>
    <row r="157" spans="1:27" ht="12.5" x14ac:dyDescent="0.25">
      <c r="A157" s="10" t="s">
        <v>12</v>
      </c>
      <c r="B157" s="10" t="s">
        <v>643</v>
      </c>
      <c r="C157" s="10" t="s">
        <v>76</v>
      </c>
      <c r="D157" s="11">
        <v>2024</v>
      </c>
      <c r="E157" s="10" t="s">
        <v>81</v>
      </c>
      <c r="F157" s="10" t="s">
        <v>83</v>
      </c>
      <c r="G157" s="10" t="s">
        <v>84</v>
      </c>
      <c r="H157" s="12">
        <v>26728.5</v>
      </c>
      <c r="I157" s="11">
        <v>2160</v>
      </c>
      <c r="J157" s="11">
        <v>1941</v>
      </c>
      <c r="K157" s="11">
        <v>41212</v>
      </c>
      <c r="L157" s="11">
        <v>8.0812615747236097E-2</v>
      </c>
      <c r="M157" s="11">
        <v>8.0812615747236105</v>
      </c>
      <c r="N157" s="11">
        <v>0.89861111111111103</v>
      </c>
      <c r="O157" s="11">
        <v>1.54187477785884</v>
      </c>
      <c r="P157" s="11">
        <v>0.63597972972973005</v>
      </c>
      <c r="Q157" s="11">
        <v>0.52777777777777801</v>
      </c>
      <c r="R157" s="11">
        <v>0.693798449612403</v>
      </c>
      <c r="S157" s="10" t="s">
        <v>84</v>
      </c>
      <c r="T157" s="10" t="s">
        <v>84</v>
      </c>
      <c r="U157" s="10"/>
      <c r="V157" s="10"/>
      <c r="W157" s="10"/>
      <c r="X157" s="10"/>
      <c r="Y157" s="10"/>
      <c r="Z157" s="10"/>
      <c r="AA157" s="10"/>
    </row>
    <row r="158" spans="1:27" ht="12.5" x14ac:dyDescent="0.25">
      <c r="A158" s="10" t="s">
        <v>65</v>
      </c>
      <c r="B158" s="10" t="s">
        <v>645</v>
      </c>
      <c r="C158" s="10" t="s">
        <v>76</v>
      </c>
      <c r="D158" s="11">
        <v>2024</v>
      </c>
      <c r="E158" s="10" t="s">
        <v>81</v>
      </c>
      <c r="F158" s="10" t="s">
        <v>83</v>
      </c>
      <c r="G158" s="10" t="s">
        <v>84</v>
      </c>
      <c r="H158" s="12">
        <v>3883.5833333333298</v>
      </c>
      <c r="I158" s="11">
        <v>313</v>
      </c>
      <c r="J158" s="11">
        <v>244</v>
      </c>
      <c r="K158" s="11">
        <v>3570</v>
      </c>
      <c r="L158" s="11">
        <v>8.0595669806664799E-2</v>
      </c>
      <c r="M158" s="11">
        <v>8.0595669806664887</v>
      </c>
      <c r="N158" s="11">
        <v>0.77955271565495199</v>
      </c>
      <c r="O158" s="11">
        <v>0.919254125270905</v>
      </c>
      <c r="P158" s="11">
        <v>0.63513513513513498</v>
      </c>
      <c r="Q158" s="11">
        <v>0.69230769230769196</v>
      </c>
      <c r="R158" s="11">
        <v>0.69186046511627897</v>
      </c>
      <c r="S158" s="10" t="s">
        <v>84</v>
      </c>
      <c r="T158" s="10" t="s">
        <v>84</v>
      </c>
      <c r="U158" s="10"/>
      <c r="V158" s="10"/>
      <c r="W158" s="10"/>
      <c r="X158" s="10"/>
      <c r="Y158" s="10"/>
      <c r="Z158" s="10"/>
      <c r="AA158" s="10"/>
    </row>
    <row r="159" spans="1:27" ht="12.5" x14ac:dyDescent="0.25">
      <c r="A159" s="10" t="s">
        <v>58</v>
      </c>
      <c r="B159" s="10" t="s">
        <v>647</v>
      </c>
      <c r="C159" s="10" t="s">
        <v>76</v>
      </c>
      <c r="D159" s="11">
        <v>2024</v>
      </c>
      <c r="E159" s="10" t="s">
        <v>81</v>
      </c>
      <c r="F159" s="10" t="s">
        <v>83</v>
      </c>
      <c r="G159" s="10" t="s">
        <v>84</v>
      </c>
      <c r="H159" s="12">
        <v>59189.416666666701</v>
      </c>
      <c r="I159" s="11">
        <v>4760</v>
      </c>
      <c r="J159" s="11">
        <v>4178</v>
      </c>
      <c r="K159" s="11">
        <v>80922</v>
      </c>
      <c r="L159" s="11">
        <v>8.0419782252739394E-2</v>
      </c>
      <c r="M159" s="11">
        <v>8.0419782252739402</v>
      </c>
      <c r="N159" s="11">
        <v>0.877731092436975</v>
      </c>
      <c r="O159" s="11">
        <v>1.36717008812105</v>
      </c>
      <c r="P159" s="11">
        <v>0.63429054054054101</v>
      </c>
      <c r="Q159" s="11">
        <v>0.37837837837837801</v>
      </c>
      <c r="R159" s="11">
        <v>0.68992248062015504</v>
      </c>
      <c r="S159" s="10" t="s">
        <v>84</v>
      </c>
      <c r="T159" s="10" t="s">
        <v>84</v>
      </c>
      <c r="U159" s="10"/>
      <c r="V159" s="10"/>
      <c r="W159" s="10"/>
      <c r="X159" s="10"/>
      <c r="Y159" s="10"/>
      <c r="Z159" s="10"/>
      <c r="AA159" s="10"/>
    </row>
    <row r="160" spans="1:27" ht="12.5" x14ac:dyDescent="0.25">
      <c r="A160" s="10" t="s">
        <v>12</v>
      </c>
      <c r="B160" s="10" t="s">
        <v>649</v>
      </c>
      <c r="C160" s="10" t="s">
        <v>76</v>
      </c>
      <c r="D160" s="11">
        <v>2024</v>
      </c>
      <c r="E160" s="10" t="s">
        <v>81</v>
      </c>
      <c r="F160" s="10" t="s">
        <v>83</v>
      </c>
      <c r="G160" s="10" t="s">
        <v>84</v>
      </c>
      <c r="H160" s="12">
        <v>11518.916666666701</v>
      </c>
      <c r="I160" s="11">
        <v>924</v>
      </c>
      <c r="J160" s="11">
        <v>828</v>
      </c>
      <c r="K160" s="11">
        <v>27508</v>
      </c>
      <c r="L160" s="11">
        <v>8.0215876782394196E-2</v>
      </c>
      <c r="M160" s="11">
        <v>8.0215876782393956</v>
      </c>
      <c r="N160" s="11">
        <v>0.89610389610389596</v>
      </c>
      <c r="O160" s="11">
        <v>2.3880717949460002</v>
      </c>
      <c r="P160" s="11">
        <v>0.63344594594594605</v>
      </c>
      <c r="Q160" s="11">
        <v>0.51388888888888895</v>
      </c>
      <c r="R160" s="11">
        <v>0.68798449612403101</v>
      </c>
      <c r="S160" s="10" t="s">
        <v>84</v>
      </c>
      <c r="T160" s="10" t="s">
        <v>84</v>
      </c>
      <c r="U160" s="10"/>
      <c r="V160" s="10"/>
      <c r="W160" s="10"/>
      <c r="X160" s="10"/>
      <c r="Y160" s="10"/>
      <c r="Z160" s="10"/>
      <c r="AA160" s="10"/>
    </row>
    <row r="161" spans="1:27" ht="12.5" x14ac:dyDescent="0.25">
      <c r="A161" s="10" t="s">
        <v>65</v>
      </c>
      <c r="B161" s="10" t="s">
        <v>652</v>
      </c>
      <c r="C161" s="10" t="s">
        <v>76</v>
      </c>
      <c r="D161" s="11">
        <v>2024</v>
      </c>
      <c r="E161" s="10" t="s">
        <v>81</v>
      </c>
      <c r="F161" s="10" t="s">
        <v>83</v>
      </c>
      <c r="G161" s="10" t="s">
        <v>84</v>
      </c>
      <c r="H161" s="12">
        <v>20441.916666666701</v>
      </c>
      <c r="I161" s="11">
        <v>1638</v>
      </c>
      <c r="J161" s="11">
        <v>1115</v>
      </c>
      <c r="K161" s="11">
        <v>58266</v>
      </c>
      <c r="L161" s="11">
        <v>8.0129472529891596E-2</v>
      </c>
      <c r="M161" s="11">
        <v>8.0129472529891466</v>
      </c>
      <c r="N161" s="11">
        <v>0.68070818070818095</v>
      </c>
      <c r="O161" s="11">
        <v>2.8503198085632899</v>
      </c>
      <c r="P161" s="11">
        <v>0.63260135135135098</v>
      </c>
      <c r="Q161" s="11">
        <v>0.61538461538461497</v>
      </c>
      <c r="R161" s="11">
        <v>0.68604651162790697</v>
      </c>
      <c r="S161" s="10" t="s">
        <v>84</v>
      </c>
      <c r="T161" s="10" t="s">
        <v>84</v>
      </c>
      <c r="U161" s="10"/>
      <c r="V161" s="10"/>
      <c r="W161" s="10"/>
      <c r="X161" s="10"/>
      <c r="Y161" s="10"/>
      <c r="Z161" s="10"/>
      <c r="AA161" s="10"/>
    </row>
    <row r="162" spans="1:27" ht="12.5" x14ac:dyDescent="0.25">
      <c r="A162" s="10" t="s">
        <v>19</v>
      </c>
      <c r="B162" s="10" t="s">
        <v>654</v>
      </c>
      <c r="C162" s="10" t="s">
        <v>76</v>
      </c>
      <c r="D162" s="11">
        <v>2024</v>
      </c>
      <c r="E162" s="10" t="s">
        <v>81</v>
      </c>
      <c r="F162" s="10" t="s">
        <v>83</v>
      </c>
      <c r="G162" s="10" t="s">
        <v>84</v>
      </c>
      <c r="H162" s="12">
        <v>10969.083333333299</v>
      </c>
      <c r="I162" s="11">
        <v>877</v>
      </c>
      <c r="J162" s="11">
        <v>468</v>
      </c>
      <c r="K162" s="11">
        <v>4334</v>
      </c>
      <c r="L162" s="11">
        <v>7.9951986264424998E-2</v>
      </c>
      <c r="M162" s="11">
        <v>7.9951986264425265</v>
      </c>
      <c r="N162" s="11">
        <v>0.53363740022804995</v>
      </c>
      <c r="O162" s="11">
        <v>0.39511049996581299</v>
      </c>
      <c r="P162" s="11">
        <v>0.63175675675675702</v>
      </c>
      <c r="Q162" s="11">
        <v>0.38888888888888901</v>
      </c>
      <c r="R162" s="11">
        <v>0.68410852713178305</v>
      </c>
      <c r="S162" s="10" t="s">
        <v>84</v>
      </c>
      <c r="T162" s="10" t="s">
        <v>84</v>
      </c>
      <c r="U162" s="10"/>
      <c r="V162" s="10"/>
      <c r="W162" s="10"/>
      <c r="X162" s="10"/>
      <c r="Y162" s="10"/>
      <c r="Z162" s="10"/>
      <c r="AA162" s="10"/>
    </row>
    <row r="163" spans="1:27" ht="12.5" x14ac:dyDescent="0.25">
      <c r="A163" s="10" t="s">
        <v>26</v>
      </c>
      <c r="B163" s="10" t="s">
        <v>656</v>
      </c>
      <c r="C163" s="10" t="s">
        <v>76</v>
      </c>
      <c r="D163" s="11">
        <v>2024</v>
      </c>
      <c r="E163" s="10" t="s">
        <v>81</v>
      </c>
      <c r="F163" s="10" t="s">
        <v>83</v>
      </c>
      <c r="G163" s="10" t="s">
        <v>84</v>
      </c>
      <c r="H163" s="12">
        <v>12124.666666666701</v>
      </c>
      <c r="I163" s="11">
        <v>956</v>
      </c>
      <c r="J163" s="11">
        <v>651</v>
      </c>
      <c r="K163" s="11">
        <v>22293</v>
      </c>
      <c r="L163" s="11">
        <v>7.8847528454390498E-2</v>
      </c>
      <c r="M163" s="11">
        <v>7.8847528454390279</v>
      </c>
      <c r="N163" s="11">
        <v>0.68096234309623405</v>
      </c>
      <c r="O163" s="11">
        <v>1.83864848518172</v>
      </c>
      <c r="P163" s="11">
        <v>0.62668918918918903</v>
      </c>
      <c r="Q163" s="11">
        <v>0.30769230769230799</v>
      </c>
      <c r="R163" s="11">
        <v>0.68217054263565902</v>
      </c>
      <c r="S163" s="10" t="s">
        <v>84</v>
      </c>
      <c r="T163" s="10" t="s">
        <v>84</v>
      </c>
      <c r="U163" s="10"/>
      <c r="V163" s="10"/>
      <c r="W163" s="10"/>
      <c r="X163" s="10"/>
      <c r="Y163" s="10"/>
      <c r="Z163" s="10"/>
      <c r="AA163" s="10"/>
    </row>
    <row r="164" spans="1:27" ht="12.5" x14ac:dyDescent="0.25">
      <c r="A164" s="10" t="s">
        <v>12</v>
      </c>
      <c r="B164" s="10" t="s">
        <v>657</v>
      </c>
      <c r="C164" s="10" t="s">
        <v>76</v>
      </c>
      <c r="D164" s="11">
        <v>2024</v>
      </c>
      <c r="E164" s="10" t="s">
        <v>81</v>
      </c>
      <c r="F164" s="10" t="s">
        <v>83</v>
      </c>
      <c r="G164" s="10" t="s">
        <v>84</v>
      </c>
      <c r="H164" s="12">
        <v>381493.75</v>
      </c>
      <c r="I164" s="11">
        <v>29867</v>
      </c>
      <c r="J164" s="11">
        <v>26739</v>
      </c>
      <c r="K164" s="11">
        <v>133634</v>
      </c>
      <c r="L164" s="11">
        <v>7.8289618113009704E-2</v>
      </c>
      <c r="M164" s="11">
        <v>7.8289618113009718</v>
      </c>
      <c r="N164" s="11">
        <v>0.89526902601533498</v>
      </c>
      <c r="O164" s="11">
        <v>0.350291453005456</v>
      </c>
      <c r="P164" s="11">
        <v>0.62415540540540504</v>
      </c>
      <c r="Q164" s="11">
        <v>0.5</v>
      </c>
      <c r="R164" s="11">
        <v>0.68023255813953498</v>
      </c>
      <c r="S164" s="10" t="s">
        <v>84</v>
      </c>
      <c r="T164" s="10" t="s">
        <v>84</v>
      </c>
      <c r="U164" s="10"/>
      <c r="V164" s="10"/>
      <c r="W164" s="10"/>
      <c r="X164" s="10"/>
      <c r="Y164" s="10"/>
      <c r="Z164" s="10"/>
      <c r="AA164" s="10"/>
    </row>
    <row r="165" spans="1:27" ht="12.5" x14ac:dyDescent="0.25">
      <c r="A165" s="10" t="s">
        <v>12</v>
      </c>
      <c r="B165" s="10" t="s">
        <v>659</v>
      </c>
      <c r="C165" s="10" t="s">
        <v>76</v>
      </c>
      <c r="D165" s="11">
        <v>2024</v>
      </c>
      <c r="E165" s="10" t="s">
        <v>81</v>
      </c>
      <c r="F165" s="10" t="s">
        <v>83</v>
      </c>
      <c r="G165" s="10" t="s">
        <v>84</v>
      </c>
      <c r="H165" s="12">
        <v>47693</v>
      </c>
      <c r="I165" s="11">
        <v>3717</v>
      </c>
      <c r="J165" s="11">
        <v>3297</v>
      </c>
      <c r="K165" s="11">
        <v>62833</v>
      </c>
      <c r="L165" s="11">
        <v>7.7935965445662905E-2</v>
      </c>
      <c r="M165" s="11">
        <v>7.7935965445662889</v>
      </c>
      <c r="N165" s="11">
        <v>0.88700564971751406</v>
      </c>
      <c r="O165" s="11">
        <v>1.3174470048015401</v>
      </c>
      <c r="P165" s="11">
        <v>0.62331081081081097</v>
      </c>
      <c r="Q165" s="11">
        <v>0.48611111111111099</v>
      </c>
      <c r="R165" s="11">
        <v>0.67829457364341095</v>
      </c>
      <c r="S165" s="10" t="s">
        <v>84</v>
      </c>
      <c r="T165" s="10" t="s">
        <v>84</v>
      </c>
      <c r="U165" s="10"/>
      <c r="V165" s="10"/>
      <c r="W165" s="10"/>
      <c r="X165" s="10"/>
      <c r="Y165" s="10"/>
      <c r="Z165" s="10"/>
      <c r="AA165" s="10"/>
    </row>
    <row r="166" spans="1:27" ht="12.5" x14ac:dyDescent="0.25">
      <c r="A166" s="10" t="s">
        <v>12</v>
      </c>
      <c r="B166" s="10" t="s">
        <v>661</v>
      </c>
      <c r="C166" s="10" t="s">
        <v>76</v>
      </c>
      <c r="D166" s="11">
        <v>2024</v>
      </c>
      <c r="E166" s="10" t="s">
        <v>81</v>
      </c>
      <c r="F166" s="10" t="s">
        <v>83</v>
      </c>
      <c r="G166" s="10" t="s">
        <v>84</v>
      </c>
      <c r="H166" s="12">
        <v>18274.75</v>
      </c>
      <c r="I166" s="11">
        <v>1423</v>
      </c>
      <c r="J166" s="11">
        <v>1300</v>
      </c>
      <c r="K166" s="11">
        <v>16590</v>
      </c>
      <c r="L166" s="11">
        <v>7.7867002284572995E-2</v>
      </c>
      <c r="M166" s="11">
        <v>7.7867002284572981</v>
      </c>
      <c r="N166" s="11">
        <v>0.91356289529163703</v>
      </c>
      <c r="O166" s="11">
        <v>0.90780995636055195</v>
      </c>
      <c r="P166" s="11">
        <v>0.62246621621621601</v>
      </c>
      <c r="Q166" s="11">
        <v>0.47222222222222199</v>
      </c>
      <c r="R166" s="11">
        <v>0.67635658914728702</v>
      </c>
      <c r="S166" s="10" t="s">
        <v>84</v>
      </c>
      <c r="T166" s="10" t="s">
        <v>84</v>
      </c>
      <c r="U166" s="10"/>
      <c r="V166" s="10"/>
      <c r="W166" s="10"/>
      <c r="X166" s="10"/>
      <c r="Y166" s="10"/>
      <c r="Z166" s="10"/>
      <c r="AA166" s="10"/>
    </row>
    <row r="167" spans="1:27" ht="12.5" x14ac:dyDescent="0.25">
      <c r="A167" s="10" t="s">
        <v>12</v>
      </c>
      <c r="B167" s="10" t="s">
        <v>663</v>
      </c>
      <c r="C167" s="10" t="s">
        <v>76</v>
      </c>
      <c r="D167" s="11">
        <v>2024</v>
      </c>
      <c r="E167" s="10" t="s">
        <v>81</v>
      </c>
      <c r="F167" s="10" t="s">
        <v>83</v>
      </c>
      <c r="G167" s="10" t="s">
        <v>84</v>
      </c>
      <c r="H167" s="12">
        <v>21752.166666666701</v>
      </c>
      <c r="I167" s="11">
        <v>1687</v>
      </c>
      <c r="J167" s="11">
        <v>1343</v>
      </c>
      <c r="K167" s="11">
        <v>34461</v>
      </c>
      <c r="L167" s="11">
        <v>7.7555492556297095E-2</v>
      </c>
      <c r="M167" s="11">
        <v>7.7555492556296954</v>
      </c>
      <c r="N167" s="11">
        <v>0.79608772969768804</v>
      </c>
      <c r="O167" s="11">
        <v>1.5842559745006199</v>
      </c>
      <c r="P167" s="11">
        <v>0.62077702702702697</v>
      </c>
      <c r="Q167" s="11">
        <v>0.45833333333333298</v>
      </c>
      <c r="R167" s="11">
        <v>0.67441860465116299</v>
      </c>
      <c r="S167" s="10" t="s">
        <v>84</v>
      </c>
      <c r="T167" s="10" t="s">
        <v>84</v>
      </c>
      <c r="U167" s="10"/>
      <c r="V167" s="10"/>
      <c r="W167" s="10"/>
      <c r="X167" s="10"/>
      <c r="Y167" s="10"/>
      <c r="Z167" s="10"/>
      <c r="AA167" s="10"/>
    </row>
    <row r="168" spans="1:27" ht="12.5" x14ac:dyDescent="0.25">
      <c r="A168" s="10" t="s">
        <v>26</v>
      </c>
      <c r="B168" s="10" t="s">
        <v>664</v>
      </c>
      <c r="C168" s="10" t="s">
        <v>76</v>
      </c>
      <c r="D168" s="11">
        <v>2024</v>
      </c>
      <c r="E168" s="10" t="s">
        <v>81</v>
      </c>
      <c r="F168" s="10" t="s">
        <v>83</v>
      </c>
      <c r="G168" s="10" t="s">
        <v>84</v>
      </c>
      <c r="H168" s="12">
        <v>21415.083333333299</v>
      </c>
      <c r="I168" s="11">
        <v>1654</v>
      </c>
      <c r="J168" s="11">
        <v>1278</v>
      </c>
      <c r="K168" s="11">
        <v>12424</v>
      </c>
      <c r="L168" s="11">
        <v>7.7235281985827797E-2</v>
      </c>
      <c r="M168" s="11">
        <v>7.7235281985827866</v>
      </c>
      <c r="N168" s="11">
        <v>0.77267230955260002</v>
      </c>
      <c r="O168" s="11">
        <v>0.58015184001930098</v>
      </c>
      <c r="P168" s="11">
        <v>0.61993243243243201</v>
      </c>
      <c r="Q168" s="11">
        <v>0.269230769230769</v>
      </c>
      <c r="R168" s="11">
        <v>0.67248062015503896</v>
      </c>
      <c r="S168" s="10" t="s">
        <v>84</v>
      </c>
      <c r="T168" s="10" t="s">
        <v>84</v>
      </c>
      <c r="U168" s="10"/>
      <c r="V168" s="10"/>
      <c r="W168" s="10"/>
      <c r="X168" s="10"/>
      <c r="Y168" s="10"/>
      <c r="Z168" s="10"/>
      <c r="AA168" s="10"/>
    </row>
    <row r="169" spans="1:27" ht="12.5" x14ac:dyDescent="0.25">
      <c r="A169" s="10" t="s">
        <v>86</v>
      </c>
      <c r="B169" s="10" t="s">
        <v>667</v>
      </c>
      <c r="C169" s="10" t="s">
        <v>76</v>
      </c>
      <c r="D169" s="11">
        <v>2024</v>
      </c>
      <c r="E169" s="10" t="s">
        <v>81</v>
      </c>
      <c r="F169" s="10" t="s">
        <v>83</v>
      </c>
      <c r="G169" s="10" t="s">
        <v>84</v>
      </c>
      <c r="H169" s="12">
        <v>65660.666666666701</v>
      </c>
      <c r="I169" s="11">
        <v>5017</v>
      </c>
      <c r="J169" s="11">
        <v>4115</v>
      </c>
      <c r="K169" s="11">
        <v>15841</v>
      </c>
      <c r="L169" s="11">
        <v>7.64079966697465E-2</v>
      </c>
      <c r="M169" s="11">
        <v>7.640799666974643</v>
      </c>
      <c r="N169" s="11">
        <v>0.82021128164241597</v>
      </c>
      <c r="O169" s="11">
        <v>0.24125554619203801</v>
      </c>
      <c r="P169" s="11">
        <v>0.61739864864864902</v>
      </c>
      <c r="Q169" s="11">
        <v>0.45652173913043498</v>
      </c>
      <c r="R169" s="11">
        <v>0.67054263565891503</v>
      </c>
      <c r="S169" s="10" t="s">
        <v>84</v>
      </c>
      <c r="T169" s="10" t="s">
        <v>84</v>
      </c>
      <c r="U169" s="10"/>
      <c r="V169" s="10"/>
      <c r="W169" s="10"/>
      <c r="X169" s="10"/>
      <c r="Y169" s="10"/>
      <c r="Z169" s="10"/>
      <c r="AA169" s="10"/>
    </row>
    <row r="170" spans="1:27" ht="12.5" x14ac:dyDescent="0.25">
      <c r="A170" s="10" t="s">
        <v>19</v>
      </c>
      <c r="B170" s="10" t="s">
        <v>669</v>
      </c>
      <c r="C170" s="10" t="s">
        <v>76</v>
      </c>
      <c r="D170" s="11">
        <v>2024</v>
      </c>
      <c r="E170" s="10" t="s">
        <v>81</v>
      </c>
      <c r="F170" s="10" t="s">
        <v>83</v>
      </c>
      <c r="G170" s="10" t="s">
        <v>84</v>
      </c>
      <c r="H170" s="12">
        <v>28934.416666666701</v>
      </c>
      <c r="I170" s="11">
        <v>2175</v>
      </c>
      <c r="J170" s="11">
        <v>1835</v>
      </c>
      <c r="K170" s="11">
        <v>3124</v>
      </c>
      <c r="L170" s="11">
        <v>7.5169996515107404E-2</v>
      </c>
      <c r="M170" s="11">
        <v>7.5169996515107345</v>
      </c>
      <c r="N170" s="11">
        <v>0.84367816091953995</v>
      </c>
      <c r="O170" s="11">
        <v>0.10796830763825099</v>
      </c>
      <c r="P170" s="11">
        <v>0.61148648648648696</v>
      </c>
      <c r="Q170" s="11">
        <v>0.33333333333333298</v>
      </c>
      <c r="R170" s="11">
        <v>0.668604651162791</v>
      </c>
      <c r="S170" s="10" t="s">
        <v>84</v>
      </c>
      <c r="T170" s="10" t="s">
        <v>84</v>
      </c>
      <c r="U170" s="10"/>
      <c r="V170" s="10"/>
      <c r="W170" s="10"/>
      <c r="X170" s="10"/>
      <c r="Y170" s="10"/>
      <c r="Z170" s="10"/>
      <c r="AA170" s="10"/>
    </row>
    <row r="171" spans="1:27" ht="12.5" x14ac:dyDescent="0.25">
      <c r="A171" s="10" t="s">
        <v>12</v>
      </c>
      <c r="B171" s="10" t="s">
        <v>671</v>
      </c>
      <c r="C171" s="10" t="s">
        <v>76</v>
      </c>
      <c r="D171" s="11">
        <v>2024</v>
      </c>
      <c r="E171" s="10" t="s">
        <v>81</v>
      </c>
      <c r="F171" s="10" t="s">
        <v>83</v>
      </c>
      <c r="G171" s="10" t="s">
        <v>84</v>
      </c>
      <c r="H171" s="12">
        <v>7568</v>
      </c>
      <c r="I171" s="11">
        <v>563</v>
      </c>
      <c r="J171" s="11">
        <v>464</v>
      </c>
      <c r="K171" s="11">
        <v>4659</v>
      </c>
      <c r="L171" s="11">
        <v>7.4392177589852004E-2</v>
      </c>
      <c r="M171" s="11">
        <v>7.4392177589852002</v>
      </c>
      <c r="N171" s="11">
        <v>0.82415630550621699</v>
      </c>
      <c r="O171" s="11">
        <v>0.61561839323467205</v>
      </c>
      <c r="P171" s="11">
        <v>0.60726351351351304</v>
      </c>
      <c r="Q171" s="11">
        <v>0.43055555555555602</v>
      </c>
      <c r="R171" s="11">
        <v>0.66666666666666696</v>
      </c>
      <c r="S171" s="10" t="s">
        <v>84</v>
      </c>
      <c r="T171" s="10" t="s">
        <v>84</v>
      </c>
      <c r="U171" s="10"/>
      <c r="V171" s="10"/>
      <c r="W171" s="10"/>
      <c r="X171" s="10"/>
      <c r="Y171" s="10"/>
      <c r="Z171" s="10"/>
      <c r="AA171" s="10"/>
    </row>
    <row r="172" spans="1:27" ht="12.5" x14ac:dyDescent="0.25">
      <c r="A172" s="10" t="s">
        <v>12</v>
      </c>
      <c r="B172" s="10" t="s">
        <v>673</v>
      </c>
      <c r="C172" s="10" t="s">
        <v>76</v>
      </c>
      <c r="D172" s="11">
        <v>2024</v>
      </c>
      <c r="E172" s="10" t="s">
        <v>81</v>
      </c>
      <c r="F172" s="10" t="s">
        <v>83</v>
      </c>
      <c r="G172" s="10" t="s">
        <v>84</v>
      </c>
      <c r="H172" s="12">
        <v>19569.25</v>
      </c>
      <c r="I172" s="11">
        <v>1453</v>
      </c>
      <c r="J172" s="11">
        <v>1406</v>
      </c>
      <c r="K172" s="11">
        <v>1550</v>
      </c>
      <c r="L172" s="11">
        <v>7.4249140871520403E-2</v>
      </c>
      <c r="M172" s="11">
        <v>7.4249140871520378</v>
      </c>
      <c r="N172" s="11">
        <v>0.96765313145216802</v>
      </c>
      <c r="O172" s="11">
        <v>7.9205897006783599E-2</v>
      </c>
      <c r="P172" s="11">
        <v>0.60557432432432401</v>
      </c>
      <c r="Q172" s="11">
        <v>0.41666666666666702</v>
      </c>
      <c r="R172" s="11">
        <v>0.66472868217054304</v>
      </c>
      <c r="S172" s="10" t="s">
        <v>84</v>
      </c>
      <c r="T172" s="10" t="s">
        <v>84</v>
      </c>
      <c r="U172" s="10"/>
      <c r="V172" s="10"/>
      <c r="W172" s="10"/>
      <c r="X172" s="10"/>
      <c r="Y172" s="10"/>
      <c r="Z172" s="10"/>
      <c r="AA172" s="10"/>
    </row>
    <row r="173" spans="1:27" ht="12.5" x14ac:dyDescent="0.25">
      <c r="A173" s="10" t="s">
        <v>104</v>
      </c>
      <c r="B173" s="10" t="s">
        <v>675</v>
      </c>
      <c r="C173" s="10" t="s">
        <v>76</v>
      </c>
      <c r="D173" s="11">
        <v>2024</v>
      </c>
      <c r="E173" s="10" t="s">
        <v>81</v>
      </c>
      <c r="F173" s="10" t="s">
        <v>83</v>
      </c>
      <c r="G173" s="10" t="s">
        <v>84</v>
      </c>
      <c r="H173" s="12">
        <v>165007.58333333299</v>
      </c>
      <c r="I173" s="11">
        <v>11857</v>
      </c>
      <c r="J173" s="11">
        <v>12984</v>
      </c>
      <c r="K173" s="11">
        <v>91114</v>
      </c>
      <c r="L173" s="11">
        <v>7.1857303527969194E-2</v>
      </c>
      <c r="M173" s="11">
        <v>7.1857303527969316</v>
      </c>
      <c r="N173" s="11">
        <v>1.09504933794383</v>
      </c>
      <c r="O173" s="11">
        <v>0.55218068260499098</v>
      </c>
      <c r="P173" s="11">
        <v>0.60135135135135098</v>
      </c>
      <c r="Q173" s="11">
        <v>0.68965517241379304</v>
      </c>
      <c r="R173" s="11">
        <v>0.662790697674419</v>
      </c>
      <c r="S173" s="10" t="s">
        <v>84</v>
      </c>
      <c r="T173" s="10" t="s">
        <v>84</v>
      </c>
      <c r="U173" s="10"/>
      <c r="V173" s="10"/>
      <c r="W173" s="10"/>
      <c r="X173" s="10"/>
      <c r="Y173" s="10"/>
      <c r="Z173" s="10"/>
      <c r="AA173" s="10"/>
    </row>
    <row r="174" spans="1:27" ht="12.5" x14ac:dyDescent="0.25">
      <c r="A174" s="10" t="s">
        <v>34</v>
      </c>
      <c r="B174" s="10" t="s">
        <v>677</v>
      </c>
      <c r="C174" s="10" t="s">
        <v>76</v>
      </c>
      <c r="D174" s="11">
        <v>2024</v>
      </c>
      <c r="E174" s="10" t="s">
        <v>81</v>
      </c>
      <c r="F174" s="10" t="s">
        <v>83</v>
      </c>
      <c r="G174" s="10" t="s">
        <v>84</v>
      </c>
      <c r="H174" s="12">
        <v>7789.4166666666697</v>
      </c>
      <c r="I174" s="11">
        <v>559</v>
      </c>
      <c r="J174" s="11">
        <v>497</v>
      </c>
      <c r="K174" s="11">
        <v>6515</v>
      </c>
      <c r="L174" s="11">
        <v>7.1764038813347197E-2</v>
      </c>
      <c r="M174" s="11">
        <v>7.1764038813347142</v>
      </c>
      <c r="N174" s="11">
        <v>0.88908765652951705</v>
      </c>
      <c r="O174" s="11">
        <v>0.836391257368438</v>
      </c>
      <c r="P174" s="11">
        <v>0.60050675675675702</v>
      </c>
      <c r="Q174" s="11">
        <v>0.91836734693877597</v>
      </c>
      <c r="R174" s="11">
        <v>0.66085271317829497</v>
      </c>
      <c r="S174" s="10" t="s">
        <v>84</v>
      </c>
      <c r="T174" s="10" t="s">
        <v>84</v>
      </c>
      <c r="U174" s="10"/>
      <c r="V174" s="10"/>
      <c r="W174" s="10"/>
      <c r="X174" s="10"/>
      <c r="Y174" s="10"/>
      <c r="Z174" s="10"/>
      <c r="AA174" s="10"/>
    </row>
    <row r="175" spans="1:27" ht="12.5" x14ac:dyDescent="0.25">
      <c r="A175" s="10" t="s">
        <v>14</v>
      </c>
      <c r="B175" s="10" t="s">
        <v>678</v>
      </c>
      <c r="C175" s="10" t="s">
        <v>76</v>
      </c>
      <c r="D175" s="11">
        <v>2024</v>
      </c>
      <c r="E175" s="10" t="s">
        <v>81</v>
      </c>
      <c r="F175" s="10" t="s">
        <v>83</v>
      </c>
      <c r="G175" s="10" t="s">
        <v>84</v>
      </c>
      <c r="H175" s="12">
        <v>36747.916666666701</v>
      </c>
      <c r="I175" s="11">
        <v>2624</v>
      </c>
      <c r="J175" s="11">
        <v>2385</v>
      </c>
      <c r="K175" s="11">
        <v>74353</v>
      </c>
      <c r="L175" s="11">
        <v>7.1405408469867898E-2</v>
      </c>
      <c r="M175" s="11">
        <v>7.1405408469867844</v>
      </c>
      <c r="N175" s="11">
        <v>0.90891768292682895</v>
      </c>
      <c r="O175" s="11">
        <v>2.0233255853506402</v>
      </c>
      <c r="P175" s="11">
        <v>0.59966216216216195</v>
      </c>
      <c r="Q175" s="11">
        <v>0.28571428571428598</v>
      </c>
      <c r="R175" s="11">
        <v>0.65891472868217005</v>
      </c>
      <c r="S175" s="10" t="s">
        <v>84</v>
      </c>
      <c r="T175" s="10" t="s">
        <v>84</v>
      </c>
      <c r="U175" s="10"/>
      <c r="V175" s="10"/>
      <c r="W175" s="10"/>
      <c r="X175" s="10"/>
      <c r="Y175" s="10"/>
      <c r="Z175" s="10"/>
      <c r="AA175" s="10"/>
    </row>
    <row r="176" spans="1:27" ht="12.5" x14ac:dyDescent="0.25">
      <c r="A176" s="10" t="s">
        <v>36</v>
      </c>
      <c r="B176" s="10" t="s">
        <v>680</v>
      </c>
      <c r="C176" s="10" t="s">
        <v>76</v>
      </c>
      <c r="D176" s="11">
        <v>2024</v>
      </c>
      <c r="E176" s="10" t="s">
        <v>81</v>
      </c>
      <c r="F176" s="10" t="s">
        <v>125</v>
      </c>
      <c r="G176" s="10" t="s">
        <v>84</v>
      </c>
      <c r="H176" s="12">
        <v>21056</v>
      </c>
      <c r="I176" s="11">
        <v>1502</v>
      </c>
      <c r="J176" s="11">
        <v>1253</v>
      </c>
      <c r="K176" s="11">
        <v>12333</v>
      </c>
      <c r="L176" s="11">
        <v>7.1333586626139797E-2</v>
      </c>
      <c r="M176" s="11">
        <v>7.1333586626139809</v>
      </c>
      <c r="N176" s="11">
        <v>0.83422103861518004</v>
      </c>
      <c r="O176" s="11">
        <v>0.58572378419452897</v>
      </c>
      <c r="P176" s="11">
        <v>0.59881756756756799</v>
      </c>
      <c r="Q176" s="11">
        <v>0.340425531914894</v>
      </c>
      <c r="R176" s="11">
        <v>0.65697674418604601</v>
      </c>
      <c r="S176" s="10" t="s">
        <v>84</v>
      </c>
      <c r="T176" s="10" t="s">
        <v>84</v>
      </c>
      <c r="U176" s="10"/>
      <c r="V176" s="10"/>
      <c r="W176" s="10"/>
      <c r="X176" s="10"/>
      <c r="Y176" s="10"/>
      <c r="Z176" s="10"/>
      <c r="AA176" s="10"/>
    </row>
    <row r="177" spans="1:27" ht="12.5" x14ac:dyDescent="0.25">
      <c r="A177" s="10" t="s">
        <v>86</v>
      </c>
      <c r="B177" s="10" t="s">
        <v>682</v>
      </c>
      <c r="C177" s="10" t="s">
        <v>76</v>
      </c>
      <c r="D177" s="11">
        <v>2024</v>
      </c>
      <c r="E177" s="10" t="s">
        <v>81</v>
      </c>
      <c r="F177" s="10" t="s">
        <v>83</v>
      </c>
      <c r="G177" s="10" t="s">
        <v>84</v>
      </c>
      <c r="H177" s="12">
        <v>10623.333333333299</v>
      </c>
      <c r="I177" s="11">
        <v>748</v>
      </c>
      <c r="J177" s="11">
        <v>660</v>
      </c>
      <c r="K177" s="11">
        <v>27437</v>
      </c>
      <c r="L177" s="11">
        <v>7.0411044869783501E-2</v>
      </c>
      <c r="M177" s="11">
        <v>7.0411044869783721</v>
      </c>
      <c r="N177" s="11">
        <v>0.88235294117647001</v>
      </c>
      <c r="O177" s="11">
        <v>2.5827110134923101</v>
      </c>
      <c r="P177" s="11">
        <v>0.59797297297297303</v>
      </c>
      <c r="Q177" s="11">
        <v>0.41304347826087001</v>
      </c>
      <c r="R177" s="11">
        <v>0.65503875968992298</v>
      </c>
      <c r="S177" s="10" t="s">
        <v>84</v>
      </c>
      <c r="T177" s="10" t="s">
        <v>84</v>
      </c>
      <c r="U177" s="10"/>
      <c r="V177" s="10"/>
      <c r="W177" s="10"/>
      <c r="X177" s="10"/>
      <c r="Y177" s="10"/>
      <c r="Z177" s="10"/>
      <c r="AA177" s="10"/>
    </row>
    <row r="178" spans="1:27" ht="12.5" x14ac:dyDescent="0.25">
      <c r="A178" s="10" t="s">
        <v>80</v>
      </c>
      <c r="B178" s="10" t="s">
        <v>684</v>
      </c>
      <c r="C178" s="10" t="s">
        <v>76</v>
      </c>
      <c r="D178" s="11">
        <v>2024</v>
      </c>
      <c r="E178" s="10" t="s">
        <v>81</v>
      </c>
      <c r="F178" s="10" t="s">
        <v>83</v>
      </c>
      <c r="G178" s="10" t="s">
        <v>84</v>
      </c>
      <c r="H178" s="12">
        <v>1771.6666666666699</v>
      </c>
      <c r="I178" s="11">
        <v>124</v>
      </c>
      <c r="J178" s="11">
        <v>122</v>
      </c>
      <c r="K178" s="11">
        <v>239</v>
      </c>
      <c r="L178" s="11">
        <v>6.9990592662276599E-2</v>
      </c>
      <c r="M178" s="11">
        <v>6.9990592662276443</v>
      </c>
      <c r="N178" s="11">
        <v>0.98387096774193505</v>
      </c>
      <c r="O178" s="11">
        <v>0.134901222953904</v>
      </c>
      <c r="P178" s="11">
        <v>0.59459459459459496</v>
      </c>
      <c r="Q178" s="11">
        <v>0.7</v>
      </c>
      <c r="R178" s="11">
        <v>0.65310077519379806</v>
      </c>
      <c r="S178" s="10" t="s">
        <v>84</v>
      </c>
      <c r="T178" s="10" t="s">
        <v>84</v>
      </c>
      <c r="U178" s="10"/>
      <c r="V178" s="10"/>
      <c r="W178" s="10"/>
      <c r="X178" s="10"/>
      <c r="Y178" s="10"/>
      <c r="Z178" s="10"/>
      <c r="AA178" s="10"/>
    </row>
    <row r="179" spans="1:27" ht="12.5" x14ac:dyDescent="0.25">
      <c r="A179" s="10" t="s">
        <v>25</v>
      </c>
      <c r="B179" s="10" t="s">
        <v>685</v>
      </c>
      <c r="C179" s="10" t="s">
        <v>76</v>
      </c>
      <c r="D179" s="11">
        <v>2024</v>
      </c>
      <c r="E179" s="10" t="s">
        <v>81</v>
      </c>
      <c r="F179" s="10" t="s">
        <v>83</v>
      </c>
      <c r="G179" s="10" t="s">
        <v>84</v>
      </c>
      <c r="H179" s="12">
        <v>56734.833333333299</v>
      </c>
      <c r="I179" s="11">
        <v>3968</v>
      </c>
      <c r="J179" s="11">
        <v>3630</v>
      </c>
      <c r="K179" s="11">
        <v>95105</v>
      </c>
      <c r="L179" s="11">
        <v>6.9939396431939194E-2</v>
      </c>
      <c r="M179" s="11">
        <v>6.9939396431939267</v>
      </c>
      <c r="N179" s="11">
        <v>0.91481854838709697</v>
      </c>
      <c r="O179" s="11">
        <v>1.6763070306601799</v>
      </c>
      <c r="P179" s="11">
        <v>0.59375</v>
      </c>
      <c r="Q179" s="11">
        <v>0.5</v>
      </c>
      <c r="R179" s="11">
        <v>0.65116279069767402</v>
      </c>
      <c r="S179" s="10" t="s">
        <v>84</v>
      </c>
      <c r="T179" s="10" t="s">
        <v>84</v>
      </c>
      <c r="U179" s="10"/>
      <c r="V179" s="10"/>
      <c r="W179" s="10"/>
      <c r="X179" s="10"/>
      <c r="Y179" s="10"/>
      <c r="Z179" s="10"/>
      <c r="AA179" s="10"/>
    </row>
    <row r="180" spans="1:27" ht="12.5" x14ac:dyDescent="0.25">
      <c r="A180" s="10" t="s">
        <v>52</v>
      </c>
      <c r="B180" s="10" t="s">
        <v>687</v>
      </c>
      <c r="C180" s="10" t="s">
        <v>76</v>
      </c>
      <c r="D180" s="11">
        <v>2024</v>
      </c>
      <c r="E180" s="10" t="s">
        <v>81</v>
      </c>
      <c r="F180" s="10" t="s">
        <v>83</v>
      </c>
      <c r="G180" s="10" t="s">
        <v>84</v>
      </c>
      <c r="H180" s="12">
        <v>40896.916666666701</v>
      </c>
      <c r="I180" s="11">
        <v>2843</v>
      </c>
      <c r="J180" s="11">
        <v>2365</v>
      </c>
      <c r="K180" s="11">
        <v>70028</v>
      </c>
      <c r="L180" s="11">
        <v>6.9516243074559406E-2</v>
      </c>
      <c r="M180" s="11">
        <v>6.9516243074559352</v>
      </c>
      <c r="N180" s="11">
        <v>0.83186774533942998</v>
      </c>
      <c r="O180" s="11">
        <v>1.7123051248769801</v>
      </c>
      <c r="P180" s="11">
        <v>0.59121621621621601</v>
      </c>
      <c r="Q180" s="11">
        <v>0.48936170212766</v>
      </c>
      <c r="R180" s="11">
        <v>0.64922480620154999</v>
      </c>
      <c r="S180" s="10" t="s">
        <v>84</v>
      </c>
      <c r="T180" s="10" t="s">
        <v>84</v>
      </c>
      <c r="U180" s="10"/>
      <c r="V180" s="10"/>
      <c r="W180" s="10"/>
      <c r="X180" s="10"/>
      <c r="Y180" s="10"/>
      <c r="Z180" s="10"/>
      <c r="AA180" s="10"/>
    </row>
    <row r="181" spans="1:27" ht="12.5" x14ac:dyDescent="0.25">
      <c r="A181" s="10" t="s">
        <v>58</v>
      </c>
      <c r="B181" s="10" t="s">
        <v>689</v>
      </c>
      <c r="C181" s="10" t="s">
        <v>76</v>
      </c>
      <c r="D181" s="11">
        <v>2024</v>
      </c>
      <c r="E181" s="10" t="s">
        <v>81</v>
      </c>
      <c r="F181" s="10" t="s">
        <v>83</v>
      </c>
      <c r="G181" s="10" t="s">
        <v>84</v>
      </c>
      <c r="H181" s="12">
        <v>24837.833333333299</v>
      </c>
      <c r="I181" s="11">
        <v>1702</v>
      </c>
      <c r="J181" s="11">
        <v>1342</v>
      </c>
      <c r="K181" s="11">
        <v>39401</v>
      </c>
      <c r="L181" s="11">
        <v>6.8524495561207002E-2</v>
      </c>
      <c r="M181" s="11">
        <v>6.852449556120713</v>
      </c>
      <c r="N181" s="11">
        <v>0.78848413631022296</v>
      </c>
      <c r="O181" s="11">
        <v>1.5863299938937201</v>
      </c>
      <c r="P181" s="11">
        <v>0.58783783783783805</v>
      </c>
      <c r="Q181" s="11">
        <v>0.32432432432432401</v>
      </c>
      <c r="R181" s="11">
        <v>0.64728682170542595</v>
      </c>
      <c r="S181" s="10" t="s">
        <v>84</v>
      </c>
      <c r="T181" s="10" t="s">
        <v>84</v>
      </c>
      <c r="U181" s="10"/>
      <c r="V181" s="10"/>
      <c r="W181" s="10"/>
      <c r="X181" s="10"/>
      <c r="Y181" s="10"/>
      <c r="Z181" s="10"/>
      <c r="AA181" s="10"/>
    </row>
    <row r="182" spans="1:27" ht="12.5" x14ac:dyDescent="0.25">
      <c r="A182" s="10" t="s">
        <v>12</v>
      </c>
      <c r="B182" s="10" t="s">
        <v>690</v>
      </c>
      <c r="C182" s="10" t="s">
        <v>76</v>
      </c>
      <c r="D182" s="11">
        <v>2024</v>
      </c>
      <c r="E182" s="10" t="s">
        <v>81</v>
      </c>
      <c r="F182" s="10" t="s">
        <v>83</v>
      </c>
      <c r="G182" s="10" t="s">
        <v>84</v>
      </c>
      <c r="H182" s="12">
        <v>317096.91666666698</v>
      </c>
      <c r="I182" s="11">
        <v>21594</v>
      </c>
      <c r="J182" s="11">
        <v>12818</v>
      </c>
      <c r="K182" s="11">
        <v>24029</v>
      </c>
      <c r="L182" s="11">
        <v>6.8099053838166695E-2</v>
      </c>
      <c r="M182" s="11">
        <v>6.8099053838166652</v>
      </c>
      <c r="N182" s="11">
        <v>0.59359081226266597</v>
      </c>
      <c r="O182" s="11">
        <v>7.5778094131578599E-2</v>
      </c>
      <c r="P182" s="11">
        <v>0.58445945945945899</v>
      </c>
      <c r="Q182" s="11">
        <v>0.38888888888888901</v>
      </c>
      <c r="R182" s="11">
        <v>0.64534883720930203</v>
      </c>
      <c r="S182" s="10" t="s">
        <v>84</v>
      </c>
      <c r="T182" s="10" t="s">
        <v>84</v>
      </c>
      <c r="U182" s="10"/>
      <c r="V182" s="10"/>
      <c r="W182" s="10"/>
      <c r="X182" s="10"/>
      <c r="Y182" s="10"/>
      <c r="Z182" s="10"/>
      <c r="AA182" s="10"/>
    </row>
    <row r="183" spans="1:27" ht="12.5" x14ac:dyDescent="0.25">
      <c r="A183" s="10" t="s">
        <v>19</v>
      </c>
      <c r="B183" s="10" t="s">
        <v>692</v>
      </c>
      <c r="C183" s="10" t="s">
        <v>76</v>
      </c>
      <c r="D183" s="11">
        <v>2024</v>
      </c>
      <c r="E183" s="10" t="s">
        <v>81</v>
      </c>
      <c r="F183" s="10" t="s">
        <v>83</v>
      </c>
      <c r="G183" s="10" t="s">
        <v>84</v>
      </c>
      <c r="H183" s="12">
        <v>38826.083333333299</v>
      </c>
      <c r="I183" s="11">
        <v>2608</v>
      </c>
      <c r="J183" s="11">
        <v>1964</v>
      </c>
      <c r="K183" s="11">
        <v>79012</v>
      </c>
      <c r="L183" s="11">
        <v>6.7171338855108106E-2</v>
      </c>
      <c r="M183" s="11">
        <v>6.7171338855108207</v>
      </c>
      <c r="N183" s="11">
        <v>0.753067484662577</v>
      </c>
      <c r="O183" s="11">
        <v>2.0350237061425598</v>
      </c>
      <c r="P183" s="11">
        <v>0.58277027027026995</v>
      </c>
      <c r="Q183" s="11">
        <v>0.22222222222222199</v>
      </c>
      <c r="R183" s="11">
        <v>0.64341085271317799</v>
      </c>
      <c r="S183" s="10" t="s">
        <v>84</v>
      </c>
      <c r="T183" s="10" t="s">
        <v>84</v>
      </c>
      <c r="U183" s="10"/>
      <c r="V183" s="10"/>
      <c r="W183" s="10"/>
      <c r="X183" s="10"/>
      <c r="Y183" s="10"/>
      <c r="Z183" s="10"/>
      <c r="AA183" s="10"/>
    </row>
    <row r="184" spans="1:27" ht="12.5" x14ac:dyDescent="0.25">
      <c r="A184" s="10" t="s">
        <v>14</v>
      </c>
      <c r="B184" s="10" t="s">
        <v>695</v>
      </c>
      <c r="C184" s="10" t="s">
        <v>76</v>
      </c>
      <c r="D184" s="11">
        <v>2024</v>
      </c>
      <c r="E184" s="10" t="s">
        <v>81</v>
      </c>
      <c r="F184" s="10" t="s">
        <v>83</v>
      </c>
      <c r="G184" s="10" t="s">
        <v>84</v>
      </c>
      <c r="H184" s="12">
        <v>81881.583333333299</v>
      </c>
      <c r="I184" s="11">
        <v>5488</v>
      </c>
      <c r="J184" s="11">
        <v>4198</v>
      </c>
      <c r="K184" s="11">
        <v>17577</v>
      </c>
      <c r="L184" s="11">
        <v>6.7023618457141901E-2</v>
      </c>
      <c r="M184" s="11">
        <v>6.70236184571419</v>
      </c>
      <c r="N184" s="11">
        <v>0.76494169096209896</v>
      </c>
      <c r="O184" s="11">
        <v>0.21466365554321801</v>
      </c>
      <c r="P184" s="11">
        <v>0.58192567567567599</v>
      </c>
      <c r="Q184" s="11">
        <v>0.25</v>
      </c>
      <c r="R184" s="11">
        <v>0.64147286821705396</v>
      </c>
      <c r="S184" s="10" t="s">
        <v>84</v>
      </c>
      <c r="T184" s="10" t="s">
        <v>84</v>
      </c>
      <c r="U184" s="10"/>
      <c r="V184" s="10"/>
      <c r="W184" s="10"/>
      <c r="X184" s="10"/>
      <c r="Y184" s="10"/>
      <c r="Z184" s="10"/>
      <c r="AA184" s="10"/>
    </row>
    <row r="185" spans="1:27" ht="12.5" x14ac:dyDescent="0.25">
      <c r="A185" s="10" t="s">
        <v>52</v>
      </c>
      <c r="B185" s="10" t="s">
        <v>697</v>
      </c>
      <c r="C185" s="10" t="s">
        <v>76</v>
      </c>
      <c r="D185" s="11">
        <v>2024</v>
      </c>
      <c r="E185" s="10" t="s">
        <v>81</v>
      </c>
      <c r="F185" s="10" t="s">
        <v>83</v>
      </c>
      <c r="G185" s="10" t="s">
        <v>84</v>
      </c>
      <c r="H185" s="12">
        <v>18896.333333333299</v>
      </c>
      <c r="I185" s="11">
        <v>1265</v>
      </c>
      <c r="J185" s="11">
        <v>1056</v>
      </c>
      <c r="K185" s="11">
        <v>3265</v>
      </c>
      <c r="L185" s="11">
        <v>6.6944204342994196E-2</v>
      </c>
      <c r="M185" s="11">
        <v>6.6944204342994347</v>
      </c>
      <c r="N185" s="11">
        <v>0.83478260869565202</v>
      </c>
      <c r="O185" s="11">
        <v>0.17278484362045499</v>
      </c>
      <c r="P185" s="11">
        <v>0.58108108108108103</v>
      </c>
      <c r="Q185" s="11">
        <v>0.46808510638297901</v>
      </c>
      <c r="R185" s="11">
        <v>0.63953488372093004</v>
      </c>
      <c r="S185" s="10" t="s">
        <v>84</v>
      </c>
      <c r="T185" s="10" t="s">
        <v>84</v>
      </c>
      <c r="U185" s="10"/>
      <c r="V185" s="10"/>
      <c r="W185" s="10"/>
      <c r="X185" s="10"/>
      <c r="Y185" s="10"/>
      <c r="Z185" s="10"/>
      <c r="AA185" s="10"/>
    </row>
    <row r="186" spans="1:27" ht="12.5" x14ac:dyDescent="0.25">
      <c r="A186" s="10" t="s">
        <v>34</v>
      </c>
      <c r="B186" s="10" t="s">
        <v>480</v>
      </c>
      <c r="C186" s="10" t="s">
        <v>76</v>
      </c>
      <c r="D186" s="11">
        <v>2024</v>
      </c>
      <c r="E186" s="10" t="s">
        <v>81</v>
      </c>
      <c r="F186" s="10" t="s">
        <v>83</v>
      </c>
      <c r="G186" s="10" t="s">
        <v>84</v>
      </c>
      <c r="H186" s="12">
        <v>3894.5</v>
      </c>
      <c r="I186" s="11">
        <v>257</v>
      </c>
      <c r="J186" s="11">
        <v>256</v>
      </c>
      <c r="K186" s="11">
        <v>1158</v>
      </c>
      <c r="L186" s="11">
        <v>6.5990499422262205E-2</v>
      </c>
      <c r="M186" s="11">
        <v>6.5990499422262161</v>
      </c>
      <c r="N186" s="11">
        <v>0.99610894941634198</v>
      </c>
      <c r="O186" s="11">
        <v>0.29734240595711903</v>
      </c>
      <c r="P186" s="11">
        <v>0.579391891891892</v>
      </c>
      <c r="Q186" s="11">
        <v>0.89795918367346905</v>
      </c>
      <c r="R186" s="11">
        <v>0.637596899224806</v>
      </c>
      <c r="S186" s="10" t="s">
        <v>84</v>
      </c>
      <c r="T186" s="10" t="s">
        <v>84</v>
      </c>
      <c r="U186" s="10"/>
      <c r="V186" s="10"/>
      <c r="W186" s="10"/>
      <c r="X186" s="10"/>
      <c r="Y186" s="10"/>
      <c r="Z186" s="10"/>
      <c r="AA186" s="10"/>
    </row>
    <row r="187" spans="1:27" ht="12.5" x14ac:dyDescent="0.25">
      <c r="A187" s="10" t="s">
        <v>14</v>
      </c>
      <c r="B187" s="10" t="s">
        <v>700</v>
      </c>
      <c r="C187" s="10" t="s">
        <v>76</v>
      </c>
      <c r="D187" s="11">
        <v>2024</v>
      </c>
      <c r="E187" s="10" t="s">
        <v>81</v>
      </c>
      <c r="F187" s="10" t="s">
        <v>83</v>
      </c>
      <c r="G187" s="10" t="s">
        <v>84</v>
      </c>
      <c r="H187" s="12">
        <v>20513.666666666701</v>
      </c>
      <c r="I187" s="11">
        <v>1344</v>
      </c>
      <c r="J187" s="11">
        <v>796</v>
      </c>
      <c r="K187" s="11">
        <v>20403</v>
      </c>
      <c r="L187" s="11">
        <v>6.5517297411481795E-2</v>
      </c>
      <c r="M187" s="11">
        <v>6.5517297411481668</v>
      </c>
      <c r="N187" s="11">
        <v>0.59226190476190499</v>
      </c>
      <c r="O187" s="11">
        <v>0.99460522253456995</v>
      </c>
      <c r="P187" s="11">
        <v>0.576858108108108</v>
      </c>
      <c r="Q187" s="11">
        <v>0.214285714285714</v>
      </c>
      <c r="R187" s="11">
        <v>0.63565891472868197</v>
      </c>
      <c r="S187" s="10" t="s">
        <v>84</v>
      </c>
      <c r="T187" s="10" t="s">
        <v>84</v>
      </c>
      <c r="U187" s="10"/>
      <c r="V187" s="10"/>
      <c r="W187" s="10"/>
      <c r="X187" s="10"/>
      <c r="Y187" s="10"/>
      <c r="Z187" s="10"/>
      <c r="AA187" s="10"/>
    </row>
    <row r="188" spans="1:27" ht="12.5" x14ac:dyDescent="0.25">
      <c r="A188" s="10" t="s">
        <v>58</v>
      </c>
      <c r="B188" s="10" t="s">
        <v>702</v>
      </c>
      <c r="C188" s="10" t="s">
        <v>76</v>
      </c>
      <c r="D188" s="11">
        <v>2024</v>
      </c>
      <c r="E188" s="10" t="s">
        <v>81</v>
      </c>
      <c r="F188" s="10" t="s">
        <v>83</v>
      </c>
      <c r="G188" s="10" t="s">
        <v>84</v>
      </c>
      <c r="H188" s="12">
        <v>32951.416666666701</v>
      </c>
      <c r="I188" s="11">
        <v>2157</v>
      </c>
      <c r="J188" s="11">
        <v>1801</v>
      </c>
      <c r="K188" s="11">
        <v>54520</v>
      </c>
      <c r="L188" s="11">
        <v>6.54600080421429E-2</v>
      </c>
      <c r="M188" s="11">
        <v>6.5460008042142785</v>
      </c>
      <c r="N188" s="11">
        <v>0.83495595734816896</v>
      </c>
      <c r="O188" s="11">
        <v>1.65455708783386</v>
      </c>
      <c r="P188" s="11">
        <v>0.57601351351351304</v>
      </c>
      <c r="Q188" s="11">
        <v>0.29729729729729698</v>
      </c>
      <c r="R188" s="11">
        <v>0.63372093023255804</v>
      </c>
      <c r="S188" s="10" t="s">
        <v>84</v>
      </c>
      <c r="T188" s="10" t="s">
        <v>84</v>
      </c>
      <c r="U188" s="10"/>
      <c r="V188" s="10"/>
      <c r="W188" s="10"/>
      <c r="X188" s="10"/>
      <c r="Y188" s="10"/>
      <c r="Z188" s="10"/>
      <c r="AA188" s="10"/>
    </row>
    <row r="189" spans="1:27" ht="12.5" x14ac:dyDescent="0.25">
      <c r="A189" s="10" t="s">
        <v>86</v>
      </c>
      <c r="B189" s="10" t="s">
        <v>705</v>
      </c>
      <c r="C189" s="10" t="s">
        <v>76</v>
      </c>
      <c r="D189" s="11">
        <v>2024</v>
      </c>
      <c r="E189" s="10" t="s">
        <v>81</v>
      </c>
      <c r="F189" s="10" t="s">
        <v>83</v>
      </c>
      <c r="G189" s="10" t="s">
        <v>84</v>
      </c>
      <c r="H189" s="12">
        <v>26981.25</v>
      </c>
      <c r="I189" s="11">
        <v>1759</v>
      </c>
      <c r="J189" s="11">
        <v>1512</v>
      </c>
      <c r="K189" s="11">
        <v>24384</v>
      </c>
      <c r="L189" s="11">
        <v>6.5193421357424106E-2</v>
      </c>
      <c r="M189" s="11">
        <v>6.5193421357424137</v>
      </c>
      <c r="N189" s="11">
        <v>0.85957930642410496</v>
      </c>
      <c r="O189" s="11">
        <v>0.90373870743571905</v>
      </c>
      <c r="P189" s="11">
        <v>0.57516891891891897</v>
      </c>
      <c r="Q189" s="11">
        <v>0.39130434782608697</v>
      </c>
      <c r="R189" s="11">
        <v>0.63178294573643401</v>
      </c>
      <c r="S189" s="10" t="s">
        <v>84</v>
      </c>
      <c r="T189" s="10" t="s">
        <v>84</v>
      </c>
      <c r="U189" s="10"/>
      <c r="V189" s="10"/>
      <c r="W189" s="10"/>
      <c r="X189" s="10"/>
      <c r="Y189" s="10"/>
      <c r="Z189" s="10"/>
      <c r="AA189" s="10"/>
    </row>
    <row r="190" spans="1:27" ht="12.5" x14ac:dyDescent="0.25">
      <c r="A190" s="10" t="s">
        <v>16</v>
      </c>
      <c r="B190" s="10" t="s">
        <v>706</v>
      </c>
      <c r="C190" s="10" t="s">
        <v>76</v>
      </c>
      <c r="D190" s="11">
        <v>2024</v>
      </c>
      <c r="E190" s="10" t="s">
        <v>81</v>
      </c>
      <c r="F190" s="10" t="s">
        <v>83</v>
      </c>
      <c r="G190" s="10" t="s">
        <v>84</v>
      </c>
      <c r="H190" s="12">
        <v>255748.75</v>
      </c>
      <c r="I190" s="11">
        <v>16120</v>
      </c>
      <c r="J190" s="11">
        <v>14027</v>
      </c>
      <c r="K190" s="11">
        <v>244197</v>
      </c>
      <c r="L190" s="11">
        <v>6.3030611097806E-2</v>
      </c>
      <c r="M190" s="11">
        <v>6.3030611097805957</v>
      </c>
      <c r="N190" s="11">
        <v>0.87016129032258105</v>
      </c>
      <c r="O190" s="11">
        <v>0.95483164629348105</v>
      </c>
      <c r="P190" s="11">
        <v>0.56756756756756799</v>
      </c>
      <c r="Q190" s="11">
        <v>0.266666666666667</v>
      </c>
      <c r="R190" s="11">
        <v>0.62984496124030998</v>
      </c>
      <c r="S190" s="10" t="s">
        <v>84</v>
      </c>
      <c r="T190" s="10" t="s">
        <v>84</v>
      </c>
      <c r="U190" s="10"/>
      <c r="V190" s="10"/>
      <c r="W190" s="10"/>
      <c r="X190" s="10"/>
      <c r="Y190" s="10"/>
      <c r="Z190" s="10"/>
      <c r="AA190" s="10"/>
    </row>
    <row r="191" spans="1:27" ht="12.5" x14ac:dyDescent="0.25">
      <c r="A191" s="10" t="s">
        <v>42</v>
      </c>
      <c r="B191" s="10" t="s">
        <v>708</v>
      </c>
      <c r="C191" s="10" t="s">
        <v>76</v>
      </c>
      <c r="D191" s="11">
        <v>2024</v>
      </c>
      <c r="E191" s="10" t="s">
        <v>81</v>
      </c>
      <c r="F191" s="10" t="s">
        <v>83</v>
      </c>
      <c r="G191" s="10" t="s">
        <v>84</v>
      </c>
      <c r="H191" s="12">
        <v>8070.9166666666697</v>
      </c>
      <c r="I191" s="11">
        <v>504</v>
      </c>
      <c r="J191" s="11">
        <v>363</v>
      </c>
      <c r="K191" s="11">
        <v>3878</v>
      </c>
      <c r="L191" s="11">
        <v>6.2446438343434801E-2</v>
      </c>
      <c r="M191" s="11">
        <v>6.2446438343434743</v>
      </c>
      <c r="N191" s="11">
        <v>0.72023809523809501</v>
      </c>
      <c r="O191" s="11">
        <v>0.48049065058698398</v>
      </c>
      <c r="P191" s="11">
        <v>0.56587837837837796</v>
      </c>
      <c r="Q191" s="11">
        <v>0.52380952380952395</v>
      </c>
      <c r="R191" s="11">
        <v>0.62790697674418605</v>
      </c>
      <c r="S191" s="10" t="s">
        <v>84</v>
      </c>
      <c r="T191" s="10" t="s">
        <v>84</v>
      </c>
      <c r="U191" s="10"/>
      <c r="V191" s="10"/>
      <c r="W191" s="10"/>
      <c r="X191" s="10"/>
      <c r="Y191" s="10"/>
      <c r="Z191" s="10"/>
      <c r="AA191" s="10"/>
    </row>
    <row r="192" spans="1:27" ht="12.5" x14ac:dyDescent="0.25">
      <c r="A192" s="10" t="s">
        <v>104</v>
      </c>
      <c r="B192" s="10" t="s">
        <v>710</v>
      </c>
      <c r="C192" s="10" t="s">
        <v>76</v>
      </c>
      <c r="D192" s="11">
        <v>2024</v>
      </c>
      <c r="E192" s="10" t="s">
        <v>81</v>
      </c>
      <c r="F192" s="10" t="s">
        <v>83</v>
      </c>
      <c r="G192" s="10" t="s">
        <v>84</v>
      </c>
      <c r="H192" s="12">
        <v>17277.083333333299</v>
      </c>
      <c r="I192" s="11">
        <v>1071</v>
      </c>
      <c r="J192" s="11">
        <v>1062</v>
      </c>
      <c r="K192" s="11">
        <v>1729</v>
      </c>
      <c r="L192" s="11">
        <v>6.1989629808272002E-2</v>
      </c>
      <c r="M192" s="11">
        <v>6.1989629808272158</v>
      </c>
      <c r="N192" s="11">
        <v>0.99159663865546199</v>
      </c>
      <c r="O192" s="11">
        <v>0.100074761847341</v>
      </c>
      <c r="P192" s="11">
        <v>0.5625</v>
      </c>
      <c r="Q192" s="11">
        <v>0.62068965517241403</v>
      </c>
      <c r="R192" s="11">
        <v>0.62596899224806202</v>
      </c>
      <c r="S192" s="10" t="s">
        <v>84</v>
      </c>
      <c r="T192" s="10" t="s">
        <v>84</v>
      </c>
      <c r="U192" s="10"/>
      <c r="V192" s="10"/>
      <c r="W192" s="10"/>
      <c r="X192" s="10"/>
      <c r="Y192" s="10"/>
      <c r="Z192" s="10"/>
      <c r="AA192" s="10"/>
    </row>
    <row r="193" spans="1:27" ht="12.5" x14ac:dyDescent="0.25">
      <c r="A193" s="10" t="s">
        <v>86</v>
      </c>
      <c r="B193" s="10" t="s">
        <v>712</v>
      </c>
      <c r="C193" s="10" t="s">
        <v>76</v>
      </c>
      <c r="D193" s="11">
        <v>2024</v>
      </c>
      <c r="E193" s="10" t="s">
        <v>81</v>
      </c>
      <c r="F193" s="10" t="s">
        <v>83</v>
      </c>
      <c r="G193" s="10" t="s">
        <v>84</v>
      </c>
      <c r="H193" s="12">
        <v>25596</v>
      </c>
      <c r="I193" s="11">
        <v>1579</v>
      </c>
      <c r="J193" s="11">
        <v>1359</v>
      </c>
      <c r="K193" s="11">
        <v>9667</v>
      </c>
      <c r="L193" s="11">
        <v>6.1689326457258997E-2</v>
      </c>
      <c r="M193" s="11">
        <v>6.1689326457258948</v>
      </c>
      <c r="N193" s="11">
        <v>0.86067131095630101</v>
      </c>
      <c r="O193" s="11">
        <v>0.37767619940615699</v>
      </c>
      <c r="P193" s="11">
        <v>0.56165540540540504</v>
      </c>
      <c r="Q193" s="11">
        <v>0.36956521739130399</v>
      </c>
      <c r="R193" s="11">
        <v>0.62403100775193798</v>
      </c>
      <c r="S193" s="10" t="s">
        <v>84</v>
      </c>
      <c r="T193" s="10" t="s">
        <v>84</v>
      </c>
      <c r="U193" s="10"/>
      <c r="V193" s="10"/>
      <c r="W193" s="10"/>
      <c r="X193" s="10"/>
      <c r="Y193" s="10"/>
      <c r="Z193" s="10"/>
      <c r="AA193" s="10"/>
    </row>
    <row r="194" spans="1:27" ht="12.5" x14ac:dyDescent="0.25">
      <c r="A194" s="10" t="s">
        <v>12</v>
      </c>
      <c r="B194" s="10" t="s">
        <v>713</v>
      </c>
      <c r="C194" s="10" t="s">
        <v>76</v>
      </c>
      <c r="D194" s="11">
        <v>2024</v>
      </c>
      <c r="E194" s="10" t="s">
        <v>81</v>
      </c>
      <c r="F194" s="10" t="s">
        <v>83</v>
      </c>
      <c r="G194" s="10" t="s">
        <v>84</v>
      </c>
      <c r="H194" s="12">
        <v>15652.5</v>
      </c>
      <c r="I194" s="11">
        <v>962</v>
      </c>
      <c r="J194" s="11">
        <v>865</v>
      </c>
      <c r="K194" s="11">
        <v>24321</v>
      </c>
      <c r="L194" s="11">
        <v>6.1459830697971597E-2</v>
      </c>
      <c r="M194" s="11">
        <v>6.1459830697971567</v>
      </c>
      <c r="N194" s="11">
        <v>0.89916839916839897</v>
      </c>
      <c r="O194" s="11">
        <v>1.5538092956396701</v>
      </c>
      <c r="P194" s="11">
        <v>0.56081081081081097</v>
      </c>
      <c r="Q194" s="11">
        <v>0.36111111111111099</v>
      </c>
      <c r="R194" s="11">
        <v>0.62209302325581395</v>
      </c>
      <c r="S194" s="10" t="s">
        <v>84</v>
      </c>
      <c r="T194" s="10" t="s">
        <v>84</v>
      </c>
      <c r="U194" s="10"/>
      <c r="V194" s="10"/>
      <c r="W194" s="10"/>
      <c r="X194" s="10"/>
      <c r="Y194" s="10"/>
      <c r="Z194" s="10"/>
      <c r="AA194" s="10"/>
    </row>
    <row r="195" spans="1:27" ht="12.5" x14ac:dyDescent="0.25">
      <c r="A195" s="10" t="s">
        <v>91</v>
      </c>
      <c r="B195" s="10" t="s">
        <v>715</v>
      </c>
      <c r="C195" s="10" t="s">
        <v>76</v>
      </c>
      <c r="D195" s="11">
        <v>2024</v>
      </c>
      <c r="E195" s="10" t="s">
        <v>81</v>
      </c>
      <c r="F195" s="10" t="s">
        <v>83</v>
      </c>
      <c r="G195" s="10" t="s">
        <v>84</v>
      </c>
      <c r="H195" s="12">
        <v>7830.25</v>
      </c>
      <c r="I195" s="11">
        <v>474</v>
      </c>
      <c r="J195" s="11">
        <v>368</v>
      </c>
      <c r="K195" s="11">
        <v>5652</v>
      </c>
      <c r="L195" s="11">
        <v>6.0534465693943398E-2</v>
      </c>
      <c r="M195" s="11">
        <v>6.0534465693943362</v>
      </c>
      <c r="N195" s="11">
        <v>0.77637130801687804</v>
      </c>
      <c r="O195" s="11">
        <v>0.72181603397081795</v>
      </c>
      <c r="P195" s="11">
        <v>0.55827702702702697</v>
      </c>
      <c r="Q195" s="11">
        <v>0.8</v>
      </c>
      <c r="R195" s="11">
        <v>0.62015503875969002</v>
      </c>
      <c r="S195" s="10" t="s">
        <v>84</v>
      </c>
      <c r="T195" s="10" t="s">
        <v>84</v>
      </c>
      <c r="U195" s="10"/>
      <c r="V195" s="10"/>
      <c r="W195" s="10"/>
      <c r="X195" s="10"/>
      <c r="Y195" s="10"/>
      <c r="Z195" s="10"/>
      <c r="AA195" s="10"/>
    </row>
    <row r="196" spans="1:27" ht="12.5" x14ac:dyDescent="0.25">
      <c r="A196" s="10" t="s">
        <v>26</v>
      </c>
      <c r="B196" s="10" t="s">
        <v>717</v>
      </c>
      <c r="C196" s="10" t="s">
        <v>76</v>
      </c>
      <c r="D196" s="11">
        <v>2024</v>
      </c>
      <c r="E196" s="10" t="s">
        <v>81</v>
      </c>
      <c r="F196" s="10" t="s">
        <v>83</v>
      </c>
      <c r="G196" s="10" t="s">
        <v>84</v>
      </c>
      <c r="H196" s="12">
        <v>105971.91666666701</v>
      </c>
      <c r="I196" s="11">
        <v>6313</v>
      </c>
      <c r="J196" s="11">
        <v>5027</v>
      </c>
      <c r="K196" s="11">
        <v>136575</v>
      </c>
      <c r="L196" s="11">
        <v>5.95723867093719E-2</v>
      </c>
      <c r="M196" s="11">
        <v>5.957238670937171</v>
      </c>
      <c r="N196" s="11">
        <v>0.79629336290194797</v>
      </c>
      <c r="O196" s="11">
        <v>1.2887848431541999</v>
      </c>
      <c r="P196" s="11">
        <v>0.55574324324324298</v>
      </c>
      <c r="Q196" s="11">
        <v>0.19230769230769201</v>
      </c>
      <c r="R196" s="11">
        <v>0.61821705426356599</v>
      </c>
      <c r="S196" s="10" t="s">
        <v>84</v>
      </c>
      <c r="T196" s="10" t="s">
        <v>84</v>
      </c>
      <c r="U196" s="10"/>
      <c r="V196" s="10"/>
      <c r="W196" s="10"/>
      <c r="X196" s="10"/>
      <c r="Y196" s="10"/>
      <c r="Z196" s="10"/>
      <c r="AA196" s="10"/>
    </row>
    <row r="197" spans="1:27" ht="12.5" x14ac:dyDescent="0.25">
      <c r="A197" s="10" t="s">
        <v>32</v>
      </c>
      <c r="B197" s="10" t="s">
        <v>719</v>
      </c>
      <c r="C197" s="10" t="s">
        <v>76</v>
      </c>
      <c r="D197" s="11">
        <v>2024</v>
      </c>
      <c r="E197" s="10" t="s">
        <v>81</v>
      </c>
      <c r="F197" s="10" t="s">
        <v>83</v>
      </c>
      <c r="G197" s="10" t="s">
        <v>84</v>
      </c>
      <c r="H197" s="12">
        <v>58099.333333333299</v>
      </c>
      <c r="I197" s="11">
        <v>3405</v>
      </c>
      <c r="J197" s="11">
        <v>2920</v>
      </c>
      <c r="K197" s="11">
        <v>95067</v>
      </c>
      <c r="L197" s="11">
        <v>5.8606524458112E-2</v>
      </c>
      <c r="M197" s="11">
        <v>5.8606524458112004</v>
      </c>
      <c r="N197" s="11">
        <v>0.85756240822320096</v>
      </c>
      <c r="O197" s="11">
        <v>1.6362838357296099</v>
      </c>
      <c r="P197" s="11">
        <v>0.55236486486486502</v>
      </c>
      <c r="Q197" s="11">
        <v>0.37931034482758602</v>
      </c>
      <c r="R197" s="11">
        <v>0.61627906976744196</v>
      </c>
      <c r="S197" s="10" t="s">
        <v>84</v>
      </c>
      <c r="T197" s="10" t="s">
        <v>84</v>
      </c>
      <c r="U197" s="10"/>
      <c r="V197" s="10"/>
      <c r="W197" s="10"/>
      <c r="X197" s="10"/>
      <c r="Y197" s="10"/>
      <c r="Z197" s="10"/>
      <c r="AA197" s="10"/>
    </row>
    <row r="198" spans="1:27" ht="12.5" x14ac:dyDescent="0.25">
      <c r="A198" s="10" t="s">
        <v>36</v>
      </c>
      <c r="B198" s="10" t="s">
        <v>720</v>
      </c>
      <c r="C198" s="10" t="s">
        <v>76</v>
      </c>
      <c r="D198" s="11">
        <v>2024</v>
      </c>
      <c r="E198" s="10" t="s">
        <v>81</v>
      </c>
      <c r="F198" s="10" t="s">
        <v>83</v>
      </c>
      <c r="G198" s="10" t="s">
        <v>84</v>
      </c>
      <c r="H198" s="12">
        <v>18918.666666666701</v>
      </c>
      <c r="I198" s="11">
        <v>1107</v>
      </c>
      <c r="J198" s="11">
        <v>940</v>
      </c>
      <c r="K198" s="11">
        <v>36799</v>
      </c>
      <c r="L198" s="11">
        <v>5.8513637324688103E-2</v>
      </c>
      <c r="M198" s="11">
        <v>5.851363732468803</v>
      </c>
      <c r="N198" s="11">
        <v>0.84914182475158095</v>
      </c>
      <c r="O198" s="11">
        <v>1.94511593487913</v>
      </c>
      <c r="P198" s="11">
        <v>0.55067567567567599</v>
      </c>
      <c r="Q198" s="11">
        <v>0.319148936170213</v>
      </c>
      <c r="R198" s="11">
        <v>0.61434108527131803</v>
      </c>
      <c r="S198" s="10" t="s">
        <v>84</v>
      </c>
      <c r="T198" s="10" t="s">
        <v>84</v>
      </c>
      <c r="U198" s="10"/>
      <c r="V198" s="10"/>
      <c r="W198" s="10"/>
      <c r="X198" s="10"/>
      <c r="Y198" s="10"/>
      <c r="Z198" s="10"/>
      <c r="AA198" s="10"/>
    </row>
    <row r="199" spans="1:27" ht="12.5" x14ac:dyDescent="0.25">
      <c r="A199" s="10" t="s">
        <v>98</v>
      </c>
      <c r="B199" s="10" t="s">
        <v>722</v>
      </c>
      <c r="C199" s="10" t="s">
        <v>76</v>
      </c>
      <c r="D199" s="11">
        <v>2024</v>
      </c>
      <c r="E199" s="10" t="s">
        <v>81</v>
      </c>
      <c r="F199" s="10" t="s">
        <v>83</v>
      </c>
      <c r="G199" s="10" t="s">
        <v>84</v>
      </c>
      <c r="H199" s="12">
        <v>50558.083333333299</v>
      </c>
      <c r="I199" s="11">
        <v>2958</v>
      </c>
      <c r="J199" s="11">
        <v>2629</v>
      </c>
      <c r="K199" s="11">
        <v>15332</v>
      </c>
      <c r="L199" s="11">
        <v>5.8506964761652E-2</v>
      </c>
      <c r="M199" s="11">
        <v>5.8506964761652069</v>
      </c>
      <c r="N199" s="11">
        <v>0.88877620013522696</v>
      </c>
      <c r="O199" s="11">
        <v>0.30325516691198401</v>
      </c>
      <c r="P199" s="11">
        <v>0.54983108108108103</v>
      </c>
      <c r="Q199" s="11">
        <v>0.85714285714285698</v>
      </c>
      <c r="R199" s="11">
        <v>0.612403100775194</v>
      </c>
      <c r="S199" s="10" t="s">
        <v>84</v>
      </c>
      <c r="T199" s="10" t="s">
        <v>84</v>
      </c>
      <c r="U199" s="10"/>
      <c r="V199" s="10"/>
      <c r="W199" s="10"/>
      <c r="X199" s="10"/>
      <c r="Y199" s="10"/>
      <c r="Z199" s="10"/>
      <c r="AA199" s="10"/>
    </row>
    <row r="200" spans="1:27" ht="12.5" x14ac:dyDescent="0.25">
      <c r="A200" s="10" t="s">
        <v>86</v>
      </c>
      <c r="B200" s="10" t="s">
        <v>724</v>
      </c>
      <c r="C200" s="10" t="s">
        <v>76</v>
      </c>
      <c r="D200" s="11">
        <v>2024</v>
      </c>
      <c r="E200" s="10" t="s">
        <v>81</v>
      </c>
      <c r="F200" s="10" t="s">
        <v>83</v>
      </c>
      <c r="G200" s="10" t="s">
        <v>84</v>
      </c>
      <c r="H200" s="12">
        <v>114831</v>
      </c>
      <c r="I200" s="11">
        <v>6709</v>
      </c>
      <c r="J200" s="11">
        <v>3027</v>
      </c>
      <c r="K200" s="11">
        <v>75813</v>
      </c>
      <c r="L200" s="11">
        <v>5.8424989767571503E-2</v>
      </c>
      <c r="M200" s="11">
        <v>5.8424989767571471</v>
      </c>
      <c r="N200" s="11">
        <v>0.45118497540617097</v>
      </c>
      <c r="O200" s="11">
        <v>0.66021370535830903</v>
      </c>
      <c r="P200" s="11">
        <v>0.54898648648648696</v>
      </c>
      <c r="Q200" s="11">
        <v>0.32608695652173902</v>
      </c>
      <c r="R200" s="11">
        <v>0.61046511627906996</v>
      </c>
      <c r="S200" s="10" t="s">
        <v>84</v>
      </c>
      <c r="T200" s="10" t="s">
        <v>84</v>
      </c>
      <c r="U200" s="10"/>
      <c r="V200" s="10"/>
      <c r="W200" s="10"/>
      <c r="X200" s="10"/>
      <c r="Y200" s="10"/>
      <c r="Z200" s="10"/>
      <c r="AA200" s="10"/>
    </row>
    <row r="201" spans="1:27" ht="12.5" x14ac:dyDescent="0.25">
      <c r="A201" s="10" t="s">
        <v>14</v>
      </c>
      <c r="B201" s="10" t="s">
        <v>726</v>
      </c>
      <c r="C201" s="10" t="s">
        <v>76</v>
      </c>
      <c r="D201" s="11">
        <v>2024</v>
      </c>
      <c r="E201" s="10" t="s">
        <v>81</v>
      </c>
      <c r="F201" s="10" t="s">
        <v>83</v>
      </c>
      <c r="G201" s="10" t="s">
        <v>84</v>
      </c>
      <c r="H201" s="12">
        <v>20447.75</v>
      </c>
      <c r="I201" s="11">
        <v>1194</v>
      </c>
      <c r="J201" s="11">
        <v>801</v>
      </c>
      <c r="K201" s="11">
        <v>5107</v>
      </c>
      <c r="L201" s="11">
        <v>5.83927326967515E-2</v>
      </c>
      <c r="M201" s="11">
        <v>5.8392732696751475</v>
      </c>
      <c r="N201" s="11">
        <v>0.67085427135678399</v>
      </c>
      <c r="O201" s="11">
        <v>0.24975853088970701</v>
      </c>
      <c r="P201" s="11">
        <v>0.548141891891892</v>
      </c>
      <c r="Q201" s="11">
        <v>0.17857142857142899</v>
      </c>
      <c r="R201" s="11">
        <v>0.60852713178294604</v>
      </c>
      <c r="S201" s="10" t="s">
        <v>84</v>
      </c>
      <c r="T201" s="10" t="s">
        <v>84</v>
      </c>
      <c r="U201" s="10"/>
      <c r="V201" s="10"/>
      <c r="W201" s="10"/>
      <c r="X201" s="10"/>
      <c r="Y201" s="10"/>
      <c r="Z201" s="10"/>
      <c r="AA201" s="10"/>
    </row>
    <row r="202" spans="1:27" ht="12.5" x14ac:dyDescent="0.25">
      <c r="A202" s="10" t="s">
        <v>118</v>
      </c>
      <c r="B202" s="10" t="s">
        <v>469</v>
      </c>
      <c r="C202" s="10" t="s">
        <v>76</v>
      </c>
      <c r="D202" s="11">
        <v>2024</v>
      </c>
      <c r="E202" s="10" t="s">
        <v>81</v>
      </c>
      <c r="F202" s="10" t="s">
        <v>83</v>
      </c>
      <c r="G202" s="10" t="s">
        <v>84</v>
      </c>
      <c r="H202" s="12">
        <v>377.5</v>
      </c>
      <c r="I202" s="11">
        <v>22</v>
      </c>
      <c r="J202" s="11">
        <v>20</v>
      </c>
      <c r="K202" s="11">
        <v>355</v>
      </c>
      <c r="L202" s="11">
        <v>5.82781456953642E-2</v>
      </c>
      <c r="M202" s="11">
        <v>5.8278145695364243</v>
      </c>
      <c r="N202" s="11">
        <v>0.90909090909090895</v>
      </c>
      <c r="O202" s="11">
        <v>0.94039735099337796</v>
      </c>
      <c r="P202" s="11">
        <v>0.54729729729729704</v>
      </c>
      <c r="Q202" s="11">
        <v>0.64285714285714302</v>
      </c>
      <c r="R202" s="11">
        <v>0.60658914728682201</v>
      </c>
      <c r="S202" s="10" t="s">
        <v>84</v>
      </c>
      <c r="T202" s="10" t="s">
        <v>84</v>
      </c>
      <c r="U202" s="10"/>
      <c r="V202" s="10"/>
      <c r="W202" s="10"/>
      <c r="X202" s="10"/>
      <c r="Y202" s="10"/>
      <c r="Z202" s="10"/>
      <c r="AA202" s="10"/>
    </row>
    <row r="203" spans="1:27" ht="12.5" x14ac:dyDescent="0.25">
      <c r="A203" s="10" t="s">
        <v>110</v>
      </c>
      <c r="B203" s="10" t="s">
        <v>684</v>
      </c>
      <c r="C203" s="10" t="s">
        <v>76</v>
      </c>
      <c r="D203" s="11">
        <v>2024</v>
      </c>
      <c r="E203" s="10" t="s">
        <v>81</v>
      </c>
      <c r="F203" s="10" t="s">
        <v>83</v>
      </c>
      <c r="G203" s="10" t="s">
        <v>84</v>
      </c>
      <c r="H203" s="12">
        <v>34130.5</v>
      </c>
      <c r="I203" s="11">
        <v>1975</v>
      </c>
      <c r="J203" s="11">
        <v>1942</v>
      </c>
      <c r="K203" s="11">
        <v>5683</v>
      </c>
      <c r="L203" s="11">
        <v>5.7866131465990803E-2</v>
      </c>
      <c r="M203" s="11">
        <v>5.7866131465990831</v>
      </c>
      <c r="N203" s="11">
        <v>0.98329113924050604</v>
      </c>
      <c r="O203" s="11">
        <v>0.16650796208669699</v>
      </c>
      <c r="P203" s="11">
        <v>0.54476351351351304</v>
      </c>
      <c r="Q203" s="11">
        <v>0.75757575757575801</v>
      </c>
      <c r="R203" s="11">
        <v>0.60465116279069797</v>
      </c>
      <c r="S203" s="10" t="s">
        <v>84</v>
      </c>
      <c r="T203" s="10" t="s">
        <v>84</v>
      </c>
      <c r="U203" s="10"/>
      <c r="V203" s="10"/>
      <c r="W203" s="10"/>
      <c r="X203" s="10"/>
      <c r="Y203" s="10"/>
      <c r="Z203" s="10"/>
      <c r="AA203" s="10"/>
    </row>
    <row r="204" spans="1:27" ht="12.5" x14ac:dyDescent="0.25">
      <c r="A204" s="10" t="s">
        <v>16</v>
      </c>
      <c r="B204" s="10" t="s">
        <v>729</v>
      </c>
      <c r="C204" s="10" t="s">
        <v>76</v>
      </c>
      <c r="D204" s="11">
        <v>2024</v>
      </c>
      <c r="E204" s="10" t="s">
        <v>81</v>
      </c>
      <c r="F204" s="10" t="s">
        <v>83</v>
      </c>
      <c r="G204" s="10" t="s">
        <v>84</v>
      </c>
      <c r="H204" s="12">
        <v>32583.166666666701</v>
      </c>
      <c r="I204" s="11">
        <v>1874</v>
      </c>
      <c r="J204" s="11">
        <v>1555</v>
      </c>
      <c r="K204" s="11">
        <v>5718</v>
      </c>
      <c r="L204" s="11">
        <v>5.7514360687266897E-2</v>
      </c>
      <c r="M204" s="11">
        <v>5.7514360687266883</v>
      </c>
      <c r="N204" s="11">
        <v>0.82977588046958395</v>
      </c>
      <c r="O204" s="11">
        <v>0.17548938869252501</v>
      </c>
      <c r="P204" s="11">
        <v>0.54391891891891897</v>
      </c>
      <c r="Q204" s="11">
        <v>0.233333333333333</v>
      </c>
      <c r="R204" s="11">
        <v>0.60271317829457405</v>
      </c>
      <c r="S204" s="10" t="s">
        <v>84</v>
      </c>
      <c r="T204" s="10" t="s">
        <v>84</v>
      </c>
      <c r="U204" s="10"/>
      <c r="V204" s="10"/>
      <c r="W204" s="10"/>
      <c r="X204" s="10"/>
      <c r="Y204" s="10"/>
      <c r="Z204" s="10"/>
      <c r="AA204" s="10"/>
    </row>
    <row r="205" spans="1:27" ht="12.5" x14ac:dyDescent="0.25">
      <c r="A205" s="10" t="s">
        <v>25</v>
      </c>
      <c r="B205" s="10" t="s">
        <v>731</v>
      </c>
      <c r="C205" s="10" t="s">
        <v>76</v>
      </c>
      <c r="D205" s="11">
        <v>2024</v>
      </c>
      <c r="E205" s="10" t="s">
        <v>81</v>
      </c>
      <c r="F205" s="10" t="s">
        <v>83</v>
      </c>
      <c r="G205" s="10" t="s">
        <v>84</v>
      </c>
      <c r="H205" s="12">
        <v>167258.91666666701</v>
      </c>
      <c r="I205" s="11">
        <v>9578</v>
      </c>
      <c r="J205" s="11">
        <v>7617</v>
      </c>
      <c r="K205" s="11">
        <v>145510</v>
      </c>
      <c r="L205" s="11">
        <v>5.7264510561718898E-2</v>
      </c>
      <c r="M205" s="11">
        <v>5.7264510561718813</v>
      </c>
      <c r="N205" s="11">
        <v>0.79525997076634003</v>
      </c>
      <c r="O205" s="11">
        <v>0.86996856669823797</v>
      </c>
      <c r="P205" s="11">
        <v>0.54222972972973005</v>
      </c>
      <c r="Q205" s="11">
        <v>0.375</v>
      </c>
      <c r="R205" s="11">
        <v>0.60077519379845001</v>
      </c>
      <c r="S205" s="10" t="s">
        <v>84</v>
      </c>
      <c r="T205" s="10" t="s">
        <v>84</v>
      </c>
      <c r="U205" s="10"/>
      <c r="V205" s="10"/>
      <c r="W205" s="10"/>
      <c r="X205" s="10"/>
      <c r="Y205" s="10"/>
      <c r="Z205" s="10"/>
      <c r="AA205" s="10"/>
    </row>
    <row r="206" spans="1:27" ht="12.5" x14ac:dyDescent="0.25">
      <c r="A206" s="10" t="s">
        <v>80</v>
      </c>
      <c r="B206" s="10" t="s">
        <v>469</v>
      </c>
      <c r="C206" s="10" t="s">
        <v>76</v>
      </c>
      <c r="D206" s="11">
        <v>2024</v>
      </c>
      <c r="E206" s="10" t="s">
        <v>81</v>
      </c>
      <c r="F206" s="10" t="s">
        <v>83</v>
      </c>
      <c r="G206" s="10" t="s">
        <v>84</v>
      </c>
      <c r="H206" s="12">
        <v>1383.9166666666699</v>
      </c>
      <c r="I206" s="11">
        <v>78</v>
      </c>
      <c r="J206" s="11">
        <v>71</v>
      </c>
      <c r="K206" s="11">
        <v>1238</v>
      </c>
      <c r="L206" s="11">
        <v>5.6361775155055097E-2</v>
      </c>
      <c r="M206" s="11">
        <v>5.6361775155054961</v>
      </c>
      <c r="N206" s="11">
        <v>0.91025641025641002</v>
      </c>
      <c r="O206" s="11">
        <v>0.89456253387125895</v>
      </c>
      <c r="P206" s="11">
        <v>0.53969594594594605</v>
      </c>
      <c r="Q206" s="11">
        <v>0.6</v>
      </c>
      <c r="R206" s="11">
        <v>0.59883720930232598</v>
      </c>
      <c r="S206" s="10" t="s">
        <v>84</v>
      </c>
      <c r="T206" s="10" t="s">
        <v>84</v>
      </c>
      <c r="U206" s="10"/>
      <c r="V206" s="10"/>
      <c r="W206" s="10"/>
      <c r="X206" s="10"/>
      <c r="Y206" s="10"/>
      <c r="Z206" s="10"/>
      <c r="AA206" s="10"/>
    </row>
    <row r="207" spans="1:27" ht="12.5" x14ac:dyDescent="0.25">
      <c r="A207" s="10" t="s">
        <v>86</v>
      </c>
      <c r="B207" s="10" t="s">
        <v>734</v>
      </c>
      <c r="C207" s="10" t="s">
        <v>76</v>
      </c>
      <c r="D207" s="11">
        <v>2024</v>
      </c>
      <c r="E207" s="10" t="s">
        <v>81</v>
      </c>
      <c r="F207" s="10" t="s">
        <v>83</v>
      </c>
      <c r="G207" s="10" t="s">
        <v>84</v>
      </c>
      <c r="H207" s="12">
        <v>53167.166666666701</v>
      </c>
      <c r="I207" s="11">
        <v>2981</v>
      </c>
      <c r="J207" s="11">
        <v>2733</v>
      </c>
      <c r="K207" s="11">
        <v>17430</v>
      </c>
      <c r="L207" s="11">
        <v>5.6068438227853699E-2</v>
      </c>
      <c r="M207" s="11">
        <v>5.6068438227853621</v>
      </c>
      <c r="N207" s="11">
        <v>0.91680644079168105</v>
      </c>
      <c r="O207" s="11">
        <v>0.32783390751811098</v>
      </c>
      <c r="P207" s="11">
        <v>0.53716216216216195</v>
      </c>
      <c r="Q207" s="11">
        <v>0.30434782608695699</v>
      </c>
      <c r="R207" s="11">
        <v>0.59689922480620194</v>
      </c>
      <c r="S207" s="10" t="s">
        <v>84</v>
      </c>
      <c r="T207" s="10" t="s">
        <v>84</v>
      </c>
      <c r="U207" s="10"/>
      <c r="V207" s="10"/>
      <c r="W207" s="10"/>
      <c r="X207" s="10"/>
      <c r="Y207" s="10"/>
      <c r="Z207" s="10"/>
      <c r="AA207" s="10"/>
    </row>
    <row r="208" spans="1:27" ht="12.5" x14ac:dyDescent="0.25">
      <c r="A208" s="10" t="s">
        <v>42</v>
      </c>
      <c r="B208" s="10" t="s">
        <v>737</v>
      </c>
      <c r="C208" s="10" t="s">
        <v>76</v>
      </c>
      <c r="D208" s="11">
        <v>2024</v>
      </c>
      <c r="E208" s="10" t="s">
        <v>81</v>
      </c>
      <c r="F208" s="10" t="s">
        <v>83</v>
      </c>
      <c r="G208" s="10" t="s">
        <v>84</v>
      </c>
      <c r="H208" s="12">
        <v>9882.6666666666697</v>
      </c>
      <c r="I208" s="11">
        <v>550</v>
      </c>
      <c r="J208" s="11">
        <v>506</v>
      </c>
      <c r="K208" s="11">
        <v>1968</v>
      </c>
      <c r="L208" s="11">
        <v>5.5652995143011301E-2</v>
      </c>
      <c r="M208" s="11">
        <v>5.5652995143011319</v>
      </c>
      <c r="N208" s="11">
        <v>0.92</v>
      </c>
      <c r="O208" s="11">
        <v>0.19913653534808401</v>
      </c>
      <c r="P208" s="11">
        <v>0.53631756756756799</v>
      </c>
      <c r="Q208" s="11">
        <v>0.5</v>
      </c>
      <c r="R208" s="11">
        <v>0.59496124031007702</v>
      </c>
      <c r="S208" s="10" t="s">
        <v>84</v>
      </c>
      <c r="T208" s="10" t="s">
        <v>84</v>
      </c>
      <c r="U208" s="10"/>
      <c r="V208" s="10"/>
      <c r="W208" s="10"/>
      <c r="X208" s="10"/>
      <c r="Y208" s="10"/>
      <c r="Z208" s="10"/>
      <c r="AA208" s="10"/>
    </row>
    <row r="209" spans="1:27" ht="12.5" x14ac:dyDescent="0.25">
      <c r="A209" s="10" t="s">
        <v>65</v>
      </c>
      <c r="B209" s="10" t="s">
        <v>740</v>
      </c>
      <c r="C209" s="10" t="s">
        <v>76</v>
      </c>
      <c r="D209" s="11">
        <v>2024</v>
      </c>
      <c r="E209" s="10" t="s">
        <v>81</v>
      </c>
      <c r="F209" s="10" t="s">
        <v>83</v>
      </c>
      <c r="G209" s="10" t="s">
        <v>84</v>
      </c>
      <c r="H209" s="12">
        <v>31675.75</v>
      </c>
      <c r="I209" s="11">
        <v>1751</v>
      </c>
      <c r="J209" s="11">
        <v>1125</v>
      </c>
      <c r="K209" s="11">
        <v>22954</v>
      </c>
      <c r="L209" s="11">
        <v>5.5278880531637001E-2</v>
      </c>
      <c r="M209" s="11">
        <v>5.5278880531636982</v>
      </c>
      <c r="N209" s="11">
        <v>0.64249000571102199</v>
      </c>
      <c r="O209" s="11">
        <v>0.72465529624397196</v>
      </c>
      <c r="P209" s="11">
        <v>0.53378378378378399</v>
      </c>
      <c r="Q209" s="11">
        <v>0.46153846153846201</v>
      </c>
      <c r="R209" s="11">
        <v>0.59302325581395399</v>
      </c>
      <c r="S209" s="10" t="s">
        <v>84</v>
      </c>
      <c r="T209" s="10" t="s">
        <v>84</v>
      </c>
      <c r="U209" s="10"/>
      <c r="V209" s="10"/>
      <c r="W209" s="10"/>
      <c r="X209" s="10"/>
      <c r="Y209" s="10"/>
      <c r="Z209" s="10"/>
      <c r="AA209" s="10"/>
    </row>
    <row r="210" spans="1:27" ht="12.5" x14ac:dyDescent="0.25">
      <c r="A210" s="10" t="s">
        <v>13</v>
      </c>
      <c r="B210" s="10" t="s">
        <v>741</v>
      </c>
      <c r="C210" s="10" t="s">
        <v>76</v>
      </c>
      <c r="D210" s="11">
        <v>2024</v>
      </c>
      <c r="E210" s="10" t="s">
        <v>81</v>
      </c>
      <c r="F210" s="10" t="s">
        <v>83</v>
      </c>
      <c r="G210" s="10" t="s">
        <v>84</v>
      </c>
      <c r="H210" s="12">
        <v>9193.6666666666697</v>
      </c>
      <c r="I210" s="11">
        <v>504</v>
      </c>
      <c r="J210" s="11">
        <v>353</v>
      </c>
      <c r="K210" s="11">
        <v>0</v>
      </c>
      <c r="L210" s="11">
        <v>5.4820347340560502E-2</v>
      </c>
      <c r="M210" s="11">
        <v>5.482034734056052</v>
      </c>
      <c r="N210" s="11">
        <v>0.70039682539682502</v>
      </c>
      <c r="O210" s="11">
        <v>0</v>
      </c>
      <c r="P210" s="11">
        <v>0.52956081081081097</v>
      </c>
      <c r="Q210" s="11">
        <v>0.238095238095238</v>
      </c>
      <c r="R210" s="11">
        <v>0.59108527131782995</v>
      </c>
      <c r="S210" s="10" t="s">
        <v>84</v>
      </c>
      <c r="T210" s="10" t="s">
        <v>84</v>
      </c>
      <c r="U210" s="10"/>
      <c r="V210" s="10"/>
      <c r="W210" s="10"/>
      <c r="X210" s="10"/>
      <c r="Y210" s="10"/>
      <c r="Z210" s="10"/>
      <c r="AA210" s="10"/>
    </row>
    <row r="211" spans="1:27" ht="12.5" x14ac:dyDescent="0.25">
      <c r="A211" s="10" t="s">
        <v>72</v>
      </c>
      <c r="B211" s="10" t="s">
        <v>743</v>
      </c>
      <c r="C211" s="10" t="s">
        <v>76</v>
      </c>
      <c r="D211" s="11">
        <v>2024</v>
      </c>
      <c r="E211" s="10" t="s">
        <v>81</v>
      </c>
      <c r="F211" s="10" t="s">
        <v>83</v>
      </c>
      <c r="G211" s="10" t="s">
        <v>84</v>
      </c>
      <c r="H211" s="12">
        <v>40674.5</v>
      </c>
      <c r="I211" s="11">
        <v>2228</v>
      </c>
      <c r="J211" s="11">
        <v>1575</v>
      </c>
      <c r="K211" s="11">
        <v>19908</v>
      </c>
      <c r="L211" s="11">
        <v>5.4776334066798597E-2</v>
      </c>
      <c r="M211" s="11">
        <v>5.4776334066798613</v>
      </c>
      <c r="N211" s="11">
        <v>0.706912028725314</v>
      </c>
      <c r="O211" s="11">
        <v>0.48944670493798298</v>
      </c>
      <c r="P211" s="11">
        <v>0.52787162162162204</v>
      </c>
      <c r="Q211" s="11">
        <v>0.8</v>
      </c>
      <c r="R211" s="11">
        <v>0.58914728682170503</v>
      </c>
      <c r="S211" s="10" t="s">
        <v>84</v>
      </c>
      <c r="T211" s="10" t="s">
        <v>84</v>
      </c>
      <c r="U211" s="10"/>
      <c r="V211" s="10"/>
      <c r="W211" s="10"/>
      <c r="X211" s="10"/>
      <c r="Y211" s="10"/>
      <c r="Z211" s="10"/>
      <c r="AA211" s="10"/>
    </row>
    <row r="212" spans="1:27" ht="12.5" x14ac:dyDescent="0.25">
      <c r="A212" s="10" t="s">
        <v>10</v>
      </c>
      <c r="B212" s="10" t="s">
        <v>745</v>
      </c>
      <c r="C212" s="10" t="s">
        <v>76</v>
      </c>
      <c r="D212" s="11">
        <v>2024</v>
      </c>
      <c r="E212" s="10" t="s">
        <v>81</v>
      </c>
      <c r="F212" s="10" t="s">
        <v>83</v>
      </c>
      <c r="G212" s="10" t="s">
        <v>84</v>
      </c>
      <c r="H212" s="12">
        <v>64245.75</v>
      </c>
      <c r="I212" s="11">
        <v>3519</v>
      </c>
      <c r="J212" s="11">
        <v>3219</v>
      </c>
      <c r="K212" s="11">
        <v>72842</v>
      </c>
      <c r="L212" s="11">
        <v>5.4774051201830501E-2</v>
      </c>
      <c r="M212" s="11">
        <v>5.4774051201830476</v>
      </c>
      <c r="N212" s="11">
        <v>0.91474850809889197</v>
      </c>
      <c r="O212" s="11">
        <v>1.13380262507637</v>
      </c>
      <c r="P212" s="11">
        <v>0.52702702702702697</v>
      </c>
      <c r="Q212" s="11">
        <v>0.4</v>
      </c>
      <c r="R212" s="11">
        <v>0.587209302325581</v>
      </c>
      <c r="S212" s="10" t="s">
        <v>84</v>
      </c>
      <c r="T212" s="10" t="s">
        <v>84</v>
      </c>
      <c r="U212" s="10"/>
      <c r="V212" s="10"/>
      <c r="W212" s="10"/>
      <c r="X212" s="10"/>
      <c r="Y212" s="10"/>
      <c r="Z212" s="10"/>
      <c r="AA212" s="10"/>
    </row>
    <row r="213" spans="1:27" ht="12.5" x14ac:dyDescent="0.25">
      <c r="A213" s="10" t="s">
        <v>12</v>
      </c>
      <c r="B213" s="10" t="s">
        <v>746</v>
      </c>
      <c r="C213" s="10" t="s">
        <v>76</v>
      </c>
      <c r="D213" s="11">
        <v>2024</v>
      </c>
      <c r="E213" s="10" t="s">
        <v>81</v>
      </c>
      <c r="F213" s="10" t="s">
        <v>83</v>
      </c>
      <c r="G213" s="10" t="s">
        <v>84</v>
      </c>
      <c r="H213" s="12">
        <v>8369.6666666666697</v>
      </c>
      <c r="I213" s="11">
        <v>458</v>
      </c>
      <c r="J213" s="11">
        <v>401</v>
      </c>
      <c r="K213" s="11">
        <v>4436</v>
      </c>
      <c r="L213" s="11">
        <v>5.4721414632203598E-2</v>
      </c>
      <c r="M213" s="11">
        <v>5.4721414632203569</v>
      </c>
      <c r="N213" s="11">
        <v>0.87554585152838404</v>
      </c>
      <c r="O213" s="11">
        <v>0.53000916006212895</v>
      </c>
      <c r="P213" s="11">
        <v>0.52618243243243201</v>
      </c>
      <c r="Q213" s="11">
        <v>0.34722222222222199</v>
      </c>
      <c r="R213" s="11">
        <v>0.58527131782945696</v>
      </c>
      <c r="S213" s="10" t="s">
        <v>84</v>
      </c>
      <c r="T213" s="10" t="s">
        <v>84</v>
      </c>
      <c r="U213" s="10"/>
      <c r="V213" s="10"/>
      <c r="W213" s="10"/>
      <c r="X213" s="10"/>
      <c r="Y213" s="10"/>
      <c r="Z213" s="10"/>
      <c r="AA213" s="10"/>
    </row>
    <row r="214" spans="1:27" ht="12.5" x14ac:dyDescent="0.25">
      <c r="A214" s="10" t="s">
        <v>12</v>
      </c>
      <c r="B214" s="10" t="s">
        <v>748</v>
      </c>
      <c r="C214" s="10" t="s">
        <v>76</v>
      </c>
      <c r="D214" s="11">
        <v>2024</v>
      </c>
      <c r="E214" s="10" t="s">
        <v>81</v>
      </c>
      <c r="F214" s="10" t="s">
        <v>83</v>
      </c>
      <c r="G214" s="10" t="s">
        <v>84</v>
      </c>
      <c r="H214" s="12">
        <v>21500.25</v>
      </c>
      <c r="I214" s="11">
        <v>1176</v>
      </c>
      <c r="J214" s="11">
        <v>1008</v>
      </c>
      <c r="K214" s="11">
        <v>36613</v>
      </c>
      <c r="L214" s="11">
        <v>5.4697038406530202E-2</v>
      </c>
      <c r="M214" s="11">
        <v>5.4697038406530156</v>
      </c>
      <c r="N214" s="11">
        <v>0.85714285714285698</v>
      </c>
      <c r="O214" s="11">
        <v>1.7029104312740599</v>
      </c>
      <c r="P214" s="11">
        <v>0.52449324324324298</v>
      </c>
      <c r="Q214" s="11">
        <v>0.33333333333333298</v>
      </c>
      <c r="R214" s="11">
        <v>0.58333333333333304</v>
      </c>
      <c r="S214" s="10" t="s">
        <v>84</v>
      </c>
      <c r="T214" s="10" t="s">
        <v>84</v>
      </c>
      <c r="U214" s="10"/>
      <c r="V214" s="10"/>
      <c r="W214" s="10"/>
      <c r="X214" s="10"/>
      <c r="Y214" s="10"/>
      <c r="Z214" s="10"/>
      <c r="AA214" s="10"/>
    </row>
    <row r="215" spans="1:27" ht="12.5" x14ac:dyDescent="0.25">
      <c r="A215" s="10" t="s">
        <v>55</v>
      </c>
      <c r="B215" s="10" t="s">
        <v>750</v>
      </c>
      <c r="C215" s="10" t="s">
        <v>76</v>
      </c>
      <c r="D215" s="11">
        <v>2024</v>
      </c>
      <c r="E215" s="10" t="s">
        <v>81</v>
      </c>
      <c r="F215" s="10" t="s">
        <v>83</v>
      </c>
      <c r="G215" s="10" t="s">
        <v>84</v>
      </c>
      <c r="H215" s="12">
        <v>13110.083333333299</v>
      </c>
      <c r="I215" s="11">
        <v>712</v>
      </c>
      <c r="J215" s="11">
        <v>678</v>
      </c>
      <c r="K215" s="11">
        <v>17561</v>
      </c>
      <c r="L215" s="11">
        <v>5.4309342045880699E-2</v>
      </c>
      <c r="M215" s="11">
        <v>5.4309342045880857</v>
      </c>
      <c r="N215" s="11">
        <v>0.952247191011236</v>
      </c>
      <c r="O215" s="11">
        <v>1.33950330852207</v>
      </c>
      <c r="P215" s="11">
        <v>0.52280405405405395</v>
      </c>
      <c r="Q215" s="11">
        <v>0.36363636363636398</v>
      </c>
      <c r="R215" s="11">
        <v>0.581395348837209</v>
      </c>
      <c r="S215" s="10" t="s">
        <v>84</v>
      </c>
      <c r="T215" s="10" t="s">
        <v>84</v>
      </c>
      <c r="U215" s="10"/>
      <c r="V215" s="10"/>
      <c r="W215" s="10"/>
      <c r="X215" s="10"/>
      <c r="Y215" s="10"/>
      <c r="Z215" s="10"/>
      <c r="AA215" s="10"/>
    </row>
    <row r="216" spans="1:27" ht="12.5" x14ac:dyDescent="0.25">
      <c r="A216" s="10" t="s">
        <v>104</v>
      </c>
      <c r="B216" s="10" t="s">
        <v>752</v>
      </c>
      <c r="C216" s="10" t="s">
        <v>76</v>
      </c>
      <c r="D216" s="11">
        <v>2024</v>
      </c>
      <c r="E216" s="10" t="s">
        <v>81</v>
      </c>
      <c r="F216" s="10" t="s">
        <v>83</v>
      </c>
      <c r="G216" s="10" t="s">
        <v>84</v>
      </c>
      <c r="H216" s="12">
        <v>3446.4166666666702</v>
      </c>
      <c r="I216" s="11">
        <v>187</v>
      </c>
      <c r="J216" s="11">
        <v>171</v>
      </c>
      <c r="K216" s="11">
        <v>2621</v>
      </c>
      <c r="L216" s="11">
        <v>5.4259254781536398E-2</v>
      </c>
      <c r="M216" s="11">
        <v>5.4259254781536326</v>
      </c>
      <c r="N216" s="11">
        <v>0.914438502673797</v>
      </c>
      <c r="O216" s="11">
        <v>0.76050003626955498</v>
      </c>
      <c r="P216" s="11">
        <v>0.52195945945945899</v>
      </c>
      <c r="Q216" s="11">
        <v>0.58620689655172398</v>
      </c>
      <c r="R216" s="11">
        <v>0.57945736434108497</v>
      </c>
      <c r="S216" s="10" t="s">
        <v>84</v>
      </c>
      <c r="T216" s="10" t="s">
        <v>84</v>
      </c>
      <c r="U216" s="10"/>
      <c r="V216" s="10"/>
      <c r="W216" s="10"/>
      <c r="X216" s="10"/>
      <c r="Y216" s="10"/>
      <c r="Z216" s="10"/>
      <c r="AA216" s="10"/>
    </row>
    <row r="217" spans="1:27" ht="12.5" x14ac:dyDescent="0.25">
      <c r="A217" s="10" t="s">
        <v>12</v>
      </c>
      <c r="B217" s="10" t="s">
        <v>753</v>
      </c>
      <c r="C217" s="10" t="s">
        <v>76</v>
      </c>
      <c r="D217" s="11">
        <v>2024</v>
      </c>
      <c r="E217" s="10" t="s">
        <v>81</v>
      </c>
      <c r="F217" s="10" t="s">
        <v>83</v>
      </c>
      <c r="G217" s="10" t="s">
        <v>84</v>
      </c>
      <c r="H217" s="12">
        <v>12869.583333333299</v>
      </c>
      <c r="I217" s="11">
        <v>693</v>
      </c>
      <c r="J217" s="11">
        <v>594</v>
      </c>
      <c r="K217" s="11">
        <v>7395</v>
      </c>
      <c r="L217" s="11">
        <v>5.38478971735682E-2</v>
      </c>
      <c r="M217" s="11">
        <v>5.3847897173568313</v>
      </c>
      <c r="N217" s="11">
        <v>0.85714285714285698</v>
      </c>
      <c r="O217" s="11">
        <v>0.57461067763136597</v>
      </c>
      <c r="P217" s="11">
        <v>0.51858108108108103</v>
      </c>
      <c r="Q217" s="11">
        <v>0.31944444444444398</v>
      </c>
      <c r="R217" s="11">
        <v>0.57751937984496104</v>
      </c>
      <c r="S217" s="10" t="s">
        <v>84</v>
      </c>
      <c r="T217" s="10" t="s">
        <v>84</v>
      </c>
      <c r="U217" s="10"/>
      <c r="V217" s="10"/>
      <c r="W217" s="10"/>
      <c r="X217" s="10"/>
      <c r="Y217" s="10"/>
      <c r="Z217" s="10"/>
      <c r="AA217" s="10"/>
    </row>
    <row r="218" spans="1:27" ht="12.5" x14ac:dyDescent="0.25">
      <c r="A218" s="10" t="s">
        <v>14</v>
      </c>
      <c r="B218" s="10" t="s">
        <v>755</v>
      </c>
      <c r="C218" s="10" t="s">
        <v>76</v>
      </c>
      <c r="D218" s="11">
        <v>2024</v>
      </c>
      <c r="E218" s="10" t="s">
        <v>81</v>
      </c>
      <c r="F218" s="10" t="s">
        <v>83</v>
      </c>
      <c r="G218" s="10" t="s">
        <v>84</v>
      </c>
      <c r="H218" s="12">
        <v>20605.416666666701</v>
      </c>
      <c r="I218" s="11">
        <v>1109</v>
      </c>
      <c r="J218" s="11">
        <v>1109</v>
      </c>
      <c r="K218" s="11">
        <v>4800</v>
      </c>
      <c r="L218" s="11">
        <v>5.3820799547044697E-2</v>
      </c>
      <c r="M218" s="11">
        <v>5.3820799547044578</v>
      </c>
      <c r="N218" s="11">
        <v>1</v>
      </c>
      <c r="O218" s="11">
        <v>0.23294845610984199</v>
      </c>
      <c r="P218" s="11">
        <v>0.51773648648648696</v>
      </c>
      <c r="Q218" s="11">
        <v>0.14285714285714299</v>
      </c>
      <c r="R218" s="11">
        <v>0.57558139534883701</v>
      </c>
      <c r="S218" s="10" t="s">
        <v>84</v>
      </c>
      <c r="T218" s="10" t="s">
        <v>84</v>
      </c>
      <c r="U218" s="10"/>
      <c r="V218" s="10"/>
      <c r="W218" s="10"/>
      <c r="X218" s="10"/>
      <c r="Y218" s="10"/>
      <c r="Z218" s="10"/>
      <c r="AA218" s="10"/>
    </row>
    <row r="219" spans="1:27" ht="12.5" x14ac:dyDescent="0.25">
      <c r="A219" s="10" t="s">
        <v>58</v>
      </c>
      <c r="B219" s="10" t="s">
        <v>757</v>
      </c>
      <c r="C219" s="10" t="s">
        <v>76</v>
      </c>
      <c r="D219" s="11">
        <v>2024</v>
      </c>
      <c r="E219" s="10" t="s">
        <v>81</v>
      </c>
      <c r="F219" s="10" t="s">
        <v>83</v>
      </c>
      <c r="G219" s="10" t="s">
        <v>84</v>
      </c>
      <c r="H219" s="12">
        <v>12607</v>
      </c>
      <c r="I219" s="11">
        <v>670</v>
      </c>
      <c r="J219" s="11">
        <v>526</v>
      </c>
      <c r="K219" s="11">
        <v>26578</v>
      </c>
      <c r="L219" s="11">
        <v>5.3145078131197003E-2</v>
      </c>
      <c r="M219" s="11">
        <v>5.314507813119695</v>
      </c>
      <c r="N219" s="11">
        <v>0.78507462686567198</v>
      </c>
      <c r="O219" s="11">
        <v>2.1081938605536599</v>
      </c>
      <c r="P219" s="11">
        <v>0.51604729729729704</v>
      </c>
      <c r="Q219" s="11">
        <v>0.27027027027027001</v>
      </c>
      <c r="R219" s="11">
        <v>0.57364341085271298</v>
      </c>
      <c r="S219" s="10" t="s">
        <v>84</v>
      </c>
      <c r="T219" s="10" t="s">
        <v>84</v>
      </c>
      <c r="U219" s="10"/>
      <c r="V219" s="10"/>
      <c r="W219" s="10"/>
      <c r="X219" s="10"/>
      <c r="Y219" s="10"/>
      <c r="Z219" s="10"/>
      <c r="AA219" s="10"/>
    </row>
    <row r="220" spans="1:27" ht="12.5" x14ac:dyDescent="0.25">
      <c r="A220" s="10" t="s">
        <v>52</v>
      </c>
      <c r="B220" s="10" t="s">
        <v>758</v>
      </c>
      <c r="C220" s="10" t="s">
        <v>76</v>
      </c>
      <c r="D220" s="11">
        <v>2024</v>
      </c>
      <c r="E220" s="10" t="s">
        <v>81</v>
      </c>
      <c r="F220" s="10" t="s">
        <v>83</v>
      </c>
      <c r="G220" s="10" t="s">
        <v>84</v>
      </c>
      <c r="H220" s="12">
        <v>24826.416666666701</v>
      </c>
      <c r="I220" s="11">
        <v>1318</v>
      </c>
      <c r="J220" s="11">
        <v>1253</v>
      </c>
      <c r="K220" s="11">
        <v>34511</v>
      </c>
      <c r="L220" s="11">
        <v>5.3088611928825802E-2</v>
      </c>
      <c r="M220" s="11">
        <v>5.3088611928825742</v>
      </c>
      <c r="N220" s="11">
        <v>0.95068285280728404</v>
      </c>
      <c r="O220" s="11">
        <v>1.3900918712258801</v>
      </c>
      <c r="P220" s="11">
        <v>0.51520270270270296</v>
      </c>
      <c r="Q220" s="11">
        <v>0.42553191489361702</v>
      </c>
      <c r="R220" s="11">
        <v>0.57170542635658905</v>
      </c>
      <c r="S220" s="10" t="s">
        <v>84</v>
      </c>
      <c r="T220" s="10" t="s">
        <v>84</v>
      </c>
      <c r="U220" s="10"/>
      <c r="V220" s="10"/>
      <c r="W220" s="10"/>
      <c r="X220" s="10"/>
      <c r="Y220" s="10"/>
      <c r="Z220" s="10"/>
      <c r="AA220" s="10"/>
    </row>
    <row r="221" spans="1:27" ht="12.5" x14ac:dyDescent="0.25">
      <c r="A221" s="10" t="s">
        <v>104</v>
      </c>
      <c r="B221" s="10" t="s">
        <v>761</v>
      </c>
      <c r="C221" s="10" t="s">
        <v>76</v>
      </c>
      <c r="D221" s="11">
        <v>2024</v>
      </c>
      <c r="E221" s="10" t="s">
        <v>81</v>
      </c>
      <c r="F221" s="10" t="s">
        <v>83</v>
      </c>
      <c r="G221" s="10" t="s">
        <v>84</v>
      </c>
      <c r="H221" s="12">
        <v>5145.4166666666697</v>
      </c>
      <c r="I221" s="11">
        <v>273</v>
      </c>
      <c r="J221" s="11">
        <v>231</v>
      </c>
      <c r="K221" s="11">
        <v>6771</v>
      </c>
      <c r="L221" s="11">
        <v>5.3056927686452302E-2</v>
      </c>
      <c r="M221" s="11">
        <v>5.3056927686452315</v>
      </c>
      <c r="N221" s="11">
        <v>0.84615384615384603</v>
      </c>
      <c r="O221" s="11">
        <v>1.3159284152563</v>
      </c>
      <c r="P221" s="11">
        <v>0.51351351351351304</v>
      </c>
      <c r="Q221" s="11">
        <v>0.55172413793103403</v>
      </c>
      <c r="R221" s="11">
        <v>0.56976744186046502</v>
      </c>
      <c r="S221" s="10" t="s">
        <v>84</v>
      </c>
      <c r="T221" s="10" t="s">
        <v>84</v>
      </c>
      <c r="U221" s="10"/>
      <c r="V221" s="10"/>
      <c r="W221" s="10"/>
      <c r="X221" s="10"/>
      <c r="Y221" s="10"/>
      <c r="Z221" s="10"/>
      <c r="AA221" s="10"/>
    </row>
    <row r="222" spans="1:27" ht="12.5" x14ac:dyDescent="0.25">
      <c r="A222" s="10" t="s">
        <v>55</v>
      </c>
      <c r="B222" s="10" t="s">
        <v>763</v>
      </c>
      <c r="C222" s="10" t="s">
        <v>76</v>
      </c>
      <c r="D222" s="11">
        <v>2024</v>
      </c>
      <c r="E222" s="10" t="s">
        <v>81</v>
      </c>
      <c r="F222" s="10" t="s">
        <v>83</v>
      </c>
      <c r="G222" s="10" t="s">
        <v>84</v>
      </c>
      <c r="H222" s="12">
        <v>15345.333333333299</v>
      </c>
      <c r="I222" s="11">
        <v>813</v>
      </c>
      <c r="J222" s="11">
        <v>768</v>
      </c>
      <c r="K222" s="11">
        <v>5323</v>
      </c>
      <c r="L222" s="11">
        <v>5.29802763055E-2</v>
      </c>
      <c r="M222" s="11">
        <v>5.298027630550016</v>
      </c>
      <c r="N222" s="11">
        <v>0.94464944649446503</v>
      </c>
      <c r="O222" s="11">
        <v>0.34688070205925797</v>
      </c>
      <c r="P222" s="11">
        <v>0.51182432432432401</v>
      </c>
      <c r="Q222" s="11">
        <v>0.31818181818181801</v>
      </c>
      <c r="R222" s="11">
        <v>0.56782945736434098</v>
      </c>
      <c r="S222" s="10" t="s">
        <v>84</v>
      </c>
      <c r="T222" s="10" t="s">
        <v>84</v>
      </c>
      <c r="U222" s="10"/>
      <c r="V222" s="10"/>
      <c r="W222" s="10"/>
      <c r="X222" s="10"/>
      <c r="Y222" s="10"/>
      <c r="Z222" s="10"/>
      <c r="AA222" s="10"/>
    </row>
    <row r="223" spans="1:27" ht="12.5" x14ac:dyDescent="0.25">
      <c r="A223" s="10" t="s">
        <v>52</v>
      </c>
      <c r="B223" s="10" t="s">
        <v>764</v>
      </c>
      <c r="C223" s="10" t="s">
        <v>76</v>
      </c>
      <c r="D223" s="11">
        <v>2024</v>
      </c>
      <c r="E223" s="10" t="s">
        <v>81</v>
      </c>
      <c r="F223" s="10" t="s">
        <v>83</v>
      </c>
      <c r="G223" s="10" t="s">
        <v>84</v>
      </c>
      <c r="H223" s="12">
        <v>18770.333333333299</v>
      </c>
      <c r="I223" s="11">
        <v>981</v>
      </c>
      <c r="J223" s="11">
        <v>791</v>
      </c>
      <c r="K223" s="11">
        <v>14787</v>
      </c>
      <c r="L223" s="11">
        <v>5.2263323329367298E-2</v>
      </c>
      <c r="M223" s="11">
        <v>5.2263323329367362</v>
      </c>
      <c r="N223" s="11">
        <v>0.80632008154943902</v>
      </c>
      <c r="O223" s="11">
        <v>0.78778569018486599</v>
      </c>
      <c r="P223" s="11">
        <v>0.50929054054054101</v>
      </c>
      <c r="Q223" s="11">
        <v>0.40425531914893598</v>
      </c>
      <c r="R223" s="11">
        <v>0.56589147286821695</v>
      </c>
      <c r="S223" s="10" t="s">
        <v>84</v>
      </c>
      <c r="T223" s="10" t="s">
        <v>84</v>
      </c>
      <c r="U223" s="10"/>
      <c r="V223" s="10"/>
      <c r="W223" s="10"/>
      <c r="X223" s="10"/>
      <c r="Y223" s="10"/>
      <c r="Z223" s="10"/>
      <c r="AA223" s="10"/>
    </row>
    <row r="224" spans="1:27" ht="12.5" x14ac:dyDescent="0.25">
      <c r="A224" s="10" t="s">
        <v>91</v>
      </c>
      <c r="B224" s="10" t="s">
        <v>766</v>
      </c>
      <c r="C224" s="10" t="s">
        <v>76</v>
      </c>
      <c r="D224" s="11">
        <v>2024</v>
      </c>
      <c r="E224" s="10" t="s">
        <v>81</v>
      </c>
      <c r="F224" s="10" t="s">
        <v>83</v>
      </c>
      <c r="G224" s="10" t="s">
        <v>84</v>
      </c>
      <c r="H224" s="12">
        <v>13576.25</v>
      </c>
      <c r="I224" s="11">
        <v>707</v>
      </c>
      <c r="J224" s="11">
        <v>698</v>
      </c>
      <c r="K224" s="11">
        <v>6632</v>
      </c>
      <c r="L224" s="11">
        <v>5.2076236074026297E-2</v>
      </c>
      <c r="M224" s="11">
        <v>5.207623607402633</v>
      </c>
      <c r="N224" s="11">
        <v>0.98727015558698705</v>
      </c>
      <c r="O224" s="11">
        <v>0.48850013810882997</v>
      </c>
      <c r="P224" s="11">
        <v>0.50760135135135098</v>
      </c>
      <c r="Q224" s="11">
        <v>0.66666666666666696</v>
      </c>
      <c r="R224" s="11">
        <v>0.56395348837209303</v>
      </c>
      <c r="S224" s="10" t="s">
        <v>84</v>
      </c>
      <c r="T224" s="10" t="s">
        <v>84</v>
      </c>
      <c r="U224" s="10"/>
      <c r="V224" s="10"/>
      <c r="W224" s="10"/>
      <c r="X224" s="10"/>
      <c r="Y224" s="10"/>
      <c r="Z224" s="10"/>
      <c r="AA224" s="10"/>
    </row>
    <row r="225" spans="1:27" ht="12.5" x14ac:dyDescent="0.25">
      <c r="A225" s="10" t="s">
        <v>12</v>
      </c>
      <c r="B225" s="10" t="s">
        <v>769</v>
      </c>
      <c r="C225" s="10" t="s">
        <v>76</v>
      </c>
      <c r="D225" s="11">
        <v>2024</v>
      </c>
      <c r="E225" s="10" t="s">
        <v>81</v>
      </c>
      <c r="F225" s="10" t="s">
        <v>83</v>
      </c>
      <c r="G225" s="10" t="s">
        <v>84</v>
      </c>
      <c r="H225" s="12">
        <v>4860.9166666666697</v>
      </c>
      <c r="I225" s="11">
        <v>252</v>
      </c>
      <c r="J225" s="11">
        <v>166</v>
      </c>
      <c r="K225" s="11">
        <v>13435</v>
      </c>
      <c r="L225" s="11">
        <v>5.1842073682947298E-2</v>
      </c>
      <c r="M225" s="11">
        <v>5.1842073682947287</v>
      </c>
      <c r="N225" s="11">
        <v>0.65873015873015905</v>
      </c>
      <c r="O225" s="11">
        <v>2.76388198385078</v>
      </c>
      <c r="P225" s="11">
        <v>0.50591216216216195</v>
      </c>
      <c r="Q225" s="11">
        <v>0.30555555555555602</v>
      </c>
      <c r="R225" s="11">
        <v>0.56201550387596899</v>
      </c>
      <c r="S225" s="10" t="s">
        <v>84</v>
      </c>
      <c r="T225" s="10" t="s">
        <v>84</v>
      </c>
      <c r="U225" s="10"/>
      <c r="V225" s="10"/>
      <c r="W225" s="10"/>
      <c r="X225" s="10"/>
      <c r="Y225" s="10"/>
      <c r="Z225" s="10"/>
      <c r="AA225" s="10"/>
    </row>
    <row r="226" spans="1:27" ht="12.5" x14ac:dyDescent="0.25">
      <c r="A226" s="10" t="s">
        <v>58</v>
      </c>
      <c r="B226" s="10" t="s">
        <v>771</v>
      </c>
      <c r="C226" s="10" t="s">
        <v>76</v>
      </c>
      <c r="D226" s="11">
        <v>2024</v>
      </c>
      <c r="E226" s="10" t="s">
        <v>81</v>
      </c>
      <c r="F226" s="10" t="s">
        <v>83</v>
      </c>
      <c r="G226" s="10" t="s">
        <v>84</v>
      </c>
      <c r="H226" s="12">
        <v>60641.416666666701</v>
      </c>
      <c r="I226" s="11">
        <v>3141</v>
      </c>
      <c r="J226" s="11">
        <v>2844</v>
      </c>
      <c r="K226" s="11">
        <v>83612</v>
      </c>
      <c r="L226" s="11">
        <v>5.1796283343204699E-2</v>
      </c>
      <c r="M226" s="11">
        <v>5.179628334320463</v>
      </c>
      <c r="N226" s="11">
        <v>0.90544412607449898</v>
      </c>
      <c r="O226" s="11">
        <v>1.3787936462566199</v>
      </c>
      <c r="P226" s="11">
        <v>0.50506756756756799</v>
      </c>
      <c r="Q226" s="11">
        <v>0.24324324324324301</v>
      </c>
      <c r="R226" s="11">
        <v>0.56007751937984496</v>
      </c>
      <c r="S226" s="10" t="s">
        <v>84</v>
      </c>
      <c r="T226" s="10" t="s">
        <v>84</v>
      </c>
      <c r="U226" s="10"/>
      <c r="V226" s="10"/>
      <c r="W226" s="10"/>
      <c r="X226" s="10"/>
      <c r="Y226" s="10"/>
      <c r="Z226" s="10"/>
      <c r="AA226" s="10"/>
    </row>
    <row r="227" spans="1:27" ht="12.5" x14ac:dyDescent="0.25">
      <c r="A227" s="10" t="s">
        <v>52</v>
      </c>
      <c r="B227" s="10" t="s">
        <v>774</v>
      </c>
      <c r="C227" s="10" t="s">
        <v>76</v>
      </c>
      <c r="D227" s="11">
        <v>2024</v>
      </c>
      <c r="E227" s="10" t="s">
        <v>81</v>
      </c>
      <c r="F227" s="10" t="s">
        <v>83</v>
      </c>
      <c r="G227" s="10" t="s">
        <v>84</v>
      </c>
      <c r="H227" s="12">
        <v>22446.166666666701</v>
      </c>
      <c r="I227" s="11">
        <v>1161</v>
      </c>
      <c r="J227" s="11">
        <v>1070</v>
      </c>
      <c r="K227" s="11">
        <v>7455</v>
      </c>
      <c r="L227" s="11">
        <v>5.17237538703713E-2</v>
      </c>
      <c r="M227" s="11">
        <v>5.1723753870371247</v>
      </c>
      <c r="N227" s="11">
        <v>0.92161929371231699</v>
      </c>
      <c r="O227" s="11">
        <v>0.33212798027874102</v>
      </c>
      <c r="P227" s="11">
        <v>0.50422297297297303</v>
      </c>
      <c r="Q227" s="11">
        <v>0.38297872340425498</v>
      </c>
      <c r="R227" s="11">
        <v>0.55813953488372103</v>
      </c>
      <c r="S227" s="10" t="s">
        <v>84</v>
      </c>
      <c r="T227" s="10" t="s">
        <v>84</v>
      </c>
      <c r="U227" s="10"/>
      <c r="V227" s="10"/>
      <c r="W227" s="10"/>
      <c r="X227" s="10"/>
      <c r="Y227" s="10"/>
      <c r="Z227" s="10"/>
      <c r="AA227" s="10"/>
    </row>
    <row r="228" spans="1:27" ht="12.5" x14ac:dyDescent="0.25">
      <c r="A228" s="10" t="s">
        <v>16</v>
      </c>
      <c r="B228" s="10" t="s">
        <v>776</v>
      </c>
      <c r="C228" s="10" t="s">
        <v>76</v>
      </c>
      <c r="D228" s="11">
        <v>2024</v>
      </c>
      <c r="E228" s="10" t="s">
        <v>81</v>
      </c>
      <c r="F228" s="10" t="s">
        <v>83</v>
      </c>
      <c r="G228" s="10" t="s">
        <v>84</v>
      </c>
      <c r="H228" s="12">
        <v>25814.333333333299</v>
      </c>
      <c r="I228" s="11">
        <v>1328</v>
      </c>
      <c r="J228" s="11">
        <v>1197</v>
      </c>
      <c r="K228" s="11">
        <v>23830</v>
      </c>
      <c r="L228" s="11">
        <v>5.14442880570226E-2</v>
      </c>
      <c r="M228" s="11">
        <v>5.1444288057022654</v>
      </c>
      <c r="N228" s="11">
        <v>0.90135542168674698</v>
      </c>
      <c r="O228" s="11">
        <v>0.92313056054130105</v>
      </c>
      <c r="P228" s="11">
        <v>0.50337837837837796</v>
      </c>
      <c r="Q228" s="11">
        <v>0.16666666666666699</v>
      </c>
      <c r="R228" s="11">
        <v>0.556201550387597</v>
      </c>
      <c r="S228" s="10" t="s">
        <v>84</v>
      </c>
      <c r="T228" s="10" t="s">
        <v>84</v>
      </c>
      <c r="U228" s="10"/>
      <c r="V228" s="10"/>
      <c r="W228" s="10"/>
      <c r="X228" s="10"/>
      <c r="Y228" s="10"/>
      <c r="Z228" s="10"/>
      <c r="AA228" s="10"/>
    </row>
    <row r="229" spans="1:27" ht="12.5" x14ac:dyDescent="0.25">
      <c r="A229" s="10" t="s">
        <v>32</v>
      </c>
      <c r="B229" s="10" t="s">
        <v>777</v>
      </c>
      <c r="C229" s="10" t="s">
        <v>76</v>
      </c>
      <c r="D229" s="11">
        <v>2024</v>
      </c>
      <c r="E229" s="10" t="s">
        <v>81</v>
      </c>
      <c r="F229" s="10" t="s">
        <v>83</v>
      </c>
      <c r="G229" s="10" t="s">
        <v>84</v>
      </c>
      <c r="H229" s="12">
        <v>34239.5</v>
      </c>
      <c r="I229" s="11">
        <v>1751</v>
      </c>
      <c r="J229" s="11">
        <v>1709</v>
      </c>
      <c r="K229" s="11">
        <v>256228</v>
      </c>
      <c r="L229" s="11">
        <v>5.11397654755473E-2</v>
      </c>
      <c r="M229" s="11">
        <v>5.1139765475547252</v>
      </c>
      <c r="N229" s="11">
        <v>0.97601370645345498</v>
      </c>
      <c r="O229" s="11">
        <v>7.4834036711984702</v>
      </c>
      <c r="P229" s="11">
        <v>0.50253378378378399</v>
      </c>
      <c r="Q229" s="11">
        <v>0.27586206896551702</v>
      </c>
      <c r="R229" s="11">
        <v>0.55426356589147296</v>
      </c>
      <c r="S229" s="10" t="s">
        <v>84</v>
      </c>
      <c r="T229" s="10" t="s">
        <v>84</v>
      </c>
      <c r="U229" s="10"/>
      <c r="V229" s="10"/>
      <c r="W229" s="10"/>
      <c r="X229" s="10"/>
      <c r="Y229" s="10"/>
      <c r="Z229" s="10"/>
      <c r="AA229" s="10"/>
    </row>
    <row r="230" spans="1:27" ht="12.5" x14ac:dyDescent="0.25">
      <c r="A230" s="10" t="s">
        <v>69</v>
      </c>
      <c r="B230" s="10" t="s">
        <v>780</v>
      </c>
      <c r="C230" s="10" t="s">
        <v>76</v>
      </c>
      <c r="D230" s="11">
        <v>2024</v>
      </c>
      <c r="E230" s="10" t="s">
        <v>81</v>
      </c>
      <c r="F230" s="10" t="s">
        <v>83</v>
      </c>
      <c r="G230" s="10" t="s">
        <v>84</v>
      </c>
      <c r="H230" s="12">
        <v>13213.333333333299</v>
      </c>
      <c r="I230" s="11">
        <v>653</v>
      </c>
      <c r="J230" s="11">
        <v>537</v>
      </c>
      <c r="K230" s="11">
        <v>6362</v>
      </c>
      <c r="L230" s="11">
        <v>4.9419778002018203E-2</v>
      </c>
      <c r="M230" s="11">
        <v>4.9419778002018289</v>
      </c>
      <c r="N230" s="11">
        <v>0.82235834609494596</v>
      </c>
      <c r="O230" s="11">
        <v>0.48148335015136201</v>
      </c>
      <c r="P230" s="11">
        <v>0.49493243243243201</v>
      </c>
      <c r="Q230" s="11">
        <v>0.66666666666666696</v>
      </c>
      <c r="R230" s="11">
        <v>0.55232558139534904</v>
      </c>
      <c r="S230" s="10" t="s">
        <v>84</v>
      </c>
      <c r="T230" s="10" t="s">
        <v>84</v>
      </c>
      <c r="U230" s="10"/>
      <c r="V230" s="10"/>
      <c r="W230" s="10"/>
      <c r="X230" s="10"/>
      <c r="Y230" s="10"/>
      <c r="Z230" s="10"/>
      <c r="AA230" s="10"/>
    </row>
    <row r="231" spans="1:27" ht="12.5" x14ac:dyDescent="0.25">
      <c r="A231" s="10" t="s">
        <v>55</v>
      </c>
      <c r="B231" s="10" t="s">
        <v>782</v>
      </c>
      <c r="C231" s="10" t="s">
        <v>76</v>
      </c>
      <c r="D231" s="11">
        <v>2024</v>
      </c>
      <c r="E231" s="10" t="s">
        <v>81</v>
      </c>
      <c r="F231" s="10" t="s">
        <v>83</v>
      </c>
      <c r="G231" s="10" t="s">
        <v>84</v>
      </c>
      <c r="H231" s="12">
        <v>732</v>
      </c>
      <c r="I231" s="11">
        <v>36</v>
      </c>
      <c r="J231" s="11">
        <v>30</v>
      </c>
      <c r="K231" s="11">
        <v>1352</v>
      </c>
      <c r="L231" s="11">
        <v>4.91803278688525E-2</v>
      </c>
      <c r="M231" s="11">
        <v>4.918032786885246</v>
      </c>
      <c r="N231" s="11">
        <v>0.83333333333333304</v>
      </c>
      <c r="O231" s="11">
        <v>1.84699453551913</v>
      </c>
      <c r="P231" s="11">
        <v>0.494087837837838</v>
      </c>
      <c r="Q231" s="11">
        <v>0.27272727272727298</v>
      </c>
      <c r="R231" s="11">
        <v>0.55038759689922501</v>
      </c>
      <c r="S231" s="10" t="s">
        <v>84</v>
      </c>
      <c r="T231" s="10" t="s">
        <v>84</v>
      </c>
      <c r="U231" s="10"/>
      <c r="V231" s="10"/>
      <c r="W231" s="10"/>
      <c r="X231" s="10"/>
      <c r="Y231" s="10"/>
      <c r="Z231" s="10"/>
      <c r="AA231" s="10"/>
    </row>
    <row r="232" spans="1:27" ht="12.5" x14ac:dyDescent="0.25">
      <c r="A232" s="10" t="s">
        <v>12</v>
      </c>
      <c r="B232" s="10" t="s">
        <v>784</v>
      </c>
      <c r="C232" s="10" t="s">
        <v>76</v>
      </c>
      <c r="D232" s="11">
        <v>2024</v>
      </c>
      <c r="E232" s="10" t="s">
        <v>81</v>
      </c>
      <c r="F232" s="10" t="s">
        <v>83</v>
      </c>
      <c r="G232" s="10" t="s">
        <v>84</v>
      </c>
      <c r="H232" s="12">
        <v>41521.166666666701</v>
      </c>
      <c r="I232" s="11">
        <v>2031</v>
      </c>
      <c r="J232" s="11">
        <v>1802</v>
      </c>
      <c r="K232" s="11">
        <v>37080</v>
      </c>
      <c r="L232" s="11">
        <v>4.891481051833E-2</v>
      </c>
      <c r="M232" s="11">
        <v>4.8914810518329963</v>
      </c>
      <c r="N232" s="11">
        <v>0.88724766125061505</v>
      </c>
      <c r="O232" s="11">
        <v>0.89303849040850702</v>
      </c>
      <c r="P232" s="11">
        <v>0.49239864864864902</v>
      </c>
      <c r="Q232" s="11">
        <v>0.29166666666666702</v>
      </c>
      <c r="R232" s="11">
        <v>0.54844961240310097</v>
      </c>
      <c r="S232" s="10" t="s">
        <v>84</v>
      </c>
      <c r="T232" s="10" t="s">
        <v>84</v>
      </c>
      <c r="U232" s="10"/>
      <c r="V232" s="10"/>
      <c r="W232" s="10"/>
      <c r="X232" s="10"/>
      <c r="Y232" s="10"/>
      <c r="Z232" s="10"/>
      <c r="AA232" s="10"/>
    </row>
    <row r="233" spans="1:27" ht="12.5" x14ac:dyDescent="0.25">
      <c r="A233" s="10" t="s">
        <v>42</v>
      </c>
      <c r="B233" s="10" t="s">
        <v>785</v>
      </c>
      <c r="C233" s="10" t="s">
        <v>76</v>
      </c>
      <c r="D233" s="11">
        <v>2024</v>
      </c>
      <c r="E233" s="10" t="s">
        <v>81</v>
      </c>
      <c r="F233" s="10" t="s">
        <v>83</v>
      </c>
      <c r="G233" s="10" t="s">
        <v>84</v>
      </c>
      <c r="H233" s="12">
        <v>7718</v>
      </c>
      <c r="I233" s="11">
        <v>376</v>
      </c>
      <c r="J233" s="11">
        <v>376</v>
      </c>
      <c r="K233" s="11">
        <v>2246</v>
      </c>
      <c r="L233" s="11">
        <v>4.8717284270536398E-2</v>
      </c>
      <c r="M233" s="11">
        <v>4.8717284270536405</v>
      </c>
      <c r="N233" s="11">
        <v>1</v>
      </c>
      <c r="O233" s="11">
        <v>0.29100803316921497</v>
      </c>
      <c r="P233" s="11">
        <v>0.48986486486486502</v>
      </c>
      <c r="Q233" s="11">
        <v>0.476190476190476</v>
      </c>
      <c r="R233" s="11">
        <v>0.54651162790697705</v>
      </c>
      <c r="S233" s="10" t="s">
        <v>84</v>
      </c>
      <c r="T233" s="10" t="s">
        <v>84</v>
      </c>
      <c r="U233" s="10"/>
      <c r="V233" s="10"/>
      <c r="W233" s="10"/>
      <c r="X233" s="10"/>
      <c r="Y233" s="10"/>
      <c r="Z233" s="10"/>
      <c r="AA233" s="10"/>
    </row>
    <row r="234" spans="1:27" ht="12.5" x14ac:dyDescent="0.25">
      <c r="A234" s="10" t="s">
        <v>52</v>
      </c>
      <c r="B234" s="10" t="s">
        <v>787</v>
      </c>
      <c r="C234" s="10" t="s">
        <v>76</v>
      </c>
      <c r="D234" s="11">
        <v>2024</v>
      </c>
      <c r="E234" s="10" t="s">
        <v>81</v>
      </c>
      <c r="F234" s="10" t="s">
        <v>83</v>
      </c>
      <c r="G234" s="10" t="s">
        <v>84</v>
      </c>
      <c r="H234" s="12">
        <v>12648</v>
      </c>
      <c r="I234" s="11">
        <v>614</v>
      </c>
      <c r="J234" s="11">
        <v>545</v>
      </c>
      <c r="K234" s="11">
        <v>11307</v>
      </c>
      <c r="L234" s="11">
        <v>4.8545224541429503E-2</v>
      </c>
      <c r="M234" s="11">
        <v>4.8545224541429475</v>
      </c>
      <c r="N234" s="11">
        <v>0.88762214983713394</v>
      </c>
      <c r="O234" s="11">
        <v>0.89397533206831103</v>
      </c>
      <c r="P234" s="11">
        <v>0.48733108108108097</v>
      </c>
      <c r="Q234" s="11">
        <v>0.36170212765957399</v>
      </c>
      <c r="R234" s="11">
        <v>0.54457364341085301</v>
      </c>
      <c r="S234" s="10" t="s">
        <v>84</v>
      </c>
      <c r="T234" s="10" t="s">
        <v>84</v>
      </c>
      <c r="U234" s="10"/>
      <c r="V234" s="10"/>
      <c r="W234" s="10"/>
      <c r="X234" s="10"/>
      <c r="Y234" s="10"/>
      <c r="Z234" s="10"/>
      <c r="AA234" s="10"/>
    </row>
    <row r="235" spans="1:27" ht="12.5" x14ac:dyDescent="0.25">
      <c r="A235" s="10" t="s">
        <v>49</v>
      </c>
      <c r="B235" s="10" t="s">
        <v>789</v>
      </c>
      <c r="C235" s="10" t="s">
        <v>76</v>
      </c>
      <c r="D235" s="11">
        <v>2024</v>
      </c>
      <c r="E235" s="10" t="s">
        <v>81</v>
      </c>
      <c r="F235" s="10" t="s">
        <v>83</v>
      </c>
      <c r="G235" s="10" t="s">
        <v>84</v>
      </c>
      <c r="H235" s="12">
        <v>33808.083333333299</v>
      </c>
      <c r="I235" s="11">
        <v>1631</v>
      </c>
      <c r="J235" s="11">
        <v>1518</v>
      </c>
      <c r="K235" s="11">
        <v>12158</v>
      </c>
      <c r="L235" s="11">
        <v>4.82429004897744E-2</v>
      </c>
      <c r="M235" s="11">
        <v>4.8242900489774438</v>
      </c>
      <c r="N235" s="11">
        <v>0.93071735131820998</v>
      </c>
      <c r="O235" s="11">
        <v>0.35961813866013298</v>
      </c>
      <c r="P235" s="11">
        <v>0.485641891891892</v>
      </c>
      <c r="Q235" s="11">
        <v>0.61538461538461497</v>
      </c>
      <c r="R235" s="11">
        <v>0.54263565891472898</v>
      </c>
      <c r="S235" s="10" t="s">
        <v>84</v>
      </c>
      <c r="T235" s="10" t="s">
        <v>84</v>
      </c>
      <c r="U235" s="10"/>
      <c r="V235" s="10"/>
      <c r="W235" s="10"/>
      <c r="X235" s="10"/>
      <c r="Y235" s="10"/>
      <c r="Z235" s="10"/>
      <c r="AA235" s="10"/>
    </row>
    <row r="236" spans="1:27" ht="12.5" x14ac:dyDescent="0.25">
      <c r="A236" s="10" t="s">
        <v>55</v>
      </c>
      <c r="B236" s="10" t="s">
        <v>792</v>
      </c>
      <c r="C236" s="10" t="s">
        <v>76</v>
      </c>
      <c r="D236" s="11">
        <v>2024</v>
      </c>
      <c r="E236" s="10" t="s">
        <v>81</v>
      </c>
      <c r="F236" s="10" t="s">
        <v>83</v>
      </c>
      <c r="G236" s="10" t="s">
        <v>84</v>
      </c>
      <c r="H236" s="12">
        <v>29812.833333333299</v>
      </c>
      <c r="I236" s="11">
        <v>1430</v>
      </c>
      <c r="J236" s="11">
        <v>1171</v>
      </c>
      <c r="K236" s="11">
        <v>27990</v>
      </c>
      <c r="L236" s="11">
        <v>4.7965920716469997E-2</v>
      </c>
      <c r="M236" s="11">
        <v>4.7965920716470034</v>
      </c>
      <c r="N236" s="11">
        <v>0.81888111888111903</v>
      </c>
      <c r="O236" s="11">
        <v>0.93885742717062604</v>
      </c>
      <c r="P236" s="11">
        <v>0.48479729729729698</v>
      </c>
      <c r="Q236" s="11">
        <v>0.22727272727272699</v>
      </c>
      <c r="R236" s="11">
        <v>0.54069767441860495</v>
      </c>
      <c r="S236" s="10" t="s">
        <v>84</v>
      </c>
      <c r="T236" s="10" t="s">
        <v>84</v>
      </c>
      <c r="U236" s="10"/>
      <c r="V236" s="10"/>
      <c r="W236" s="10"/>
      <c r="X236" s="10"/>
      <c r="Y236" s="10"/>
      <c r="Z236" s="10"/>
      <c r="AA236" s="10"/>
    </row>
    <row r="237" spans="1:27" ht="12.5" x14ac:dyDescent="0.25">
      <c r="A237" s="10" t="s">
        <v>19</v>
      </c>
      <c r="B237" s="10" t="s">
        <v>794</v>
      </c>
      <c r="C237" s="10" t="s">
        <v>76</v>
      </c>
      <c r="D237" s="11">
        <v>2024</v>
      </c>
      <c r="E237" s="10" t="s">
        <v>81</v>
      </c>
      <c r="F237" s="10" t="s">
        <v>83</v>
      </c>
      <c r="G237" s="10" t="s">
        <v>84</v>
      </c>
      <c r="H237" s="12">
        <v>82505</v>
      </c>
      <c r="I237" s="11">
        <v>3949</v>
      </c>
      <c r="J237" s="11">
        <v>2465</v>
      </c>
      <c r="K237" s="11">
        <v>91735</v>
      </c>
      <c r="L237" s="11">
        <v>4.7863765832373797E-2</v>
      </c>
      <c r="M237" s="11">
        <v>4.7863765832373799</v>
      </c>
      <c r="N237" s="11">
        <v>0.62420866042036005</v>
      </c>
      <c r="O237" s="11">
        <v>1.11187200775711</v>
      </c>
      <c r="P237" s="11">
        <v>0.48395270270270302</v>
      </c>
      <c r="Q237" s="11">
        <v>0.16666666666666699</v>
      </c>
      <c r="R237" s="11">
        <v>0.53875968992248102</v>
      </c>
      <c r="S237" s="10" t="s">
        <v>84</v>
      </c>
      <c r="T237" s="10" t="s">
        <v>84</v>
      </c>
      <c r="U237" s="10"/>
      <c r="V237" s="10"/>
      <c r="W237" s="10"/>
      <c r="X237" s="10"/>
      <c r="Y237" s="10"/>
      <c r="Z237" s="10"/>
      <c r="AA237" s="10"/>
    </row>
    <row r="238" spans="1:27" ht="12.5" x14ac:dyDescent="0.25">
      <c r="A238" s="10" t="s">
        <v>58</v>
      </c>
      <c r="B238" s="10" t="s">
        <v>796</v>
      </c>
      <c r="C238" s="10" t="s">
        <v>76</v>
      </c>
      <c r="D238" s="11">
        <v>2024</v>
      </c>
      <c r="E238" s="10" t="s">
        <v>81</v>
      </c>
      <c r="F238" s="10" t="s">
        <v>83</v>
      </c>
      <c r="G238" s="10" t="s">
        <v>84</v>
      </c>
      <c r="H238" s="12">
        <v>29232.333333333299</v>
      </c>
      <c r="I238" s="11">
        <v>1383</v>
      </c>
      <c r="J238" s="11">
        <v>1070</v>
      </c>
      <c r="K238" s="11">
        <v>7947</v>
      </c>
      <c r="L238" s="11">
        <v>4.7310626361220999E-2</v>
      </c>
      <c r="M238" s="11">
        <v>4.7310626361221075</v>
      </c>
      <c r="N238" s="11">
        <v>0.77368040491684698</v>
      </c>
      <c r="O238" s="11">
        <v>0.271856505923806</v>
      </c>
      <c r="P238" s="11">
        <v>0.48057432432432401</v>
      </c>
      <c r="Q238" s="11">
        <v>0.18918918918918901</v>
      </c>
      <c r="R238" s="11">
        <v>0.53682170542635699</v>
      </c>
      <c r="S238" s="10" t="s">
        <v>84</v>
      </c>
      <c r="T238" s="10" t="s">
        <v>84</v>
      </c>
      <c r="U238" s="10"/>
      <c r="V238" s="10"/>
      <c r="W238" s="10"/>
      <c r="X238" s="10"/>
      <c r="Y238" s="10"/>
      <c r="Z238" s="10"/>
      <c r="AA238" s="10"/>
    </row>
    <row r="239" spans="1:27" ht="12.5" x14ac:dyDescent="0.25">
      <c r="A239" s="10" t="s">
        <v>58</v>
      </c>
      <c r="B239" s="10" t="s">
        <v>798</v>
      </c>
      <c r="C239" s="10" t="s">
        <v>76</v>
      </c>
      <c r="D239" s="11">
        <v>2024</v>
      </c>
      <c r="E239" s="10" t="s">
        <v>81</v>
      </c>
      <c r="F239" s="10" t="s">
        <v>83</v>
      </c>
      <c r="G239" s="10" t="s">
        <v>84</v>
      </c>
      <c r="H239" s="12">
        <v>26655</v>
      </c>
      <c r="I239" s="11">
        <v>1260</v>
      </c>
      <c r="J239" s="11">
        <v>1071</v>
      </c>
      <c r="K239" s="11">
        <v>43435</v>
      </c>
      <c r="L239" s="11">
        <v>4.7270680922903797E-2</v>
      </c>
      <c r="M239" s="11">
        <v>4.7270680922903772</v>
      </c>
      <c r="N239" s="11">
        <v>0.85</v>
      </c>
      <c r="O239" s="11">
        <v>1.6295254173700999</v>
      </c>
      <c r="P239" s="11">
        <v>0.47972972972972999</v>
      </c>
      <c r="Q239" s="11">
        <v>0.162162162162162</v>
      </c>
      <c r="R239" s="11">
        <v>0.53488372093023295</v>
      </c>
      <c r="S239" s="10" t="s">
        <v>84</v>
      </c>
      <c r="T239" s="10" t="s">
        <v>84</v>
      </c>
      <c r="U239" s="10"/>
      <c r="V239" s="10"/>
      <c r="W239" s="10"/>
      <c r="X239" s="10"/>
      <c r="Y239" s="10"/>
      <c r="Z239" s="10"/>
      <c r="AA239" s="10"/>
    </row>
    <row r="240" spans="1:27" ht="12.5" x14ac:dyDescent="0.25">
      <c r="A240" s="10" t="s">
        <v>72</v>
      </c>
      <c r="B240" s="10" t="s">
        <v>801</v>
      </c>
      <c r="C240" s="10" t="s">
        <v>76</v>
      </c>
      <c r="D240" s="11">
        <v>2024</v>
      </c>
      <c r="E240" s="10" t="s">
        <v>81</v>
      </c>
      <c r="F240" s="10" t="s">
        <v>125</v>
      </c>
      <c r="G240" s="10" t="s">
        <v>84</v>
      </c>
      <c r="H240" s="12">
        <v>997.5</v>
      </c>
      <c r="I240" s="11">
        <v>47</v>
      </c>
      <c r="J240" s="11">
        <v>45</v>
      </c>
      <c r="K240" s="11">
        <v>1990</v>
      </c>
      <c r="L240" s="11">
        <v>4.7117794486215503E-2</v>
      </c>
      <c r="M240" s="11">
        <v>4.7117794486215541</v>
      </c>
      <c r="N240" s="11">
        <v>0.95744680851063801</v>
      </c>
      <c r="O240" s="11">
        <v>1.99498746867168</v>
      </c>
      <c r="P240" s="11">
        <v>0.47804054054054002</v>
      </c>
      <c r="Q240" s="11">
        <v>0.7</v>
      </c>
      <c r="R240" s="11">
        <v>0.53294573643410803</v>
      </c>
      <c r="S240" s="10" t="s">
        <v>84</v>
      </c>
      <c r="T240" s="10" t="s">
        <v>84</v>
      </c>
      <c r="U240" s="10"/>
      <c r="V240" s="10"/>
      <c r="W240" s="10"/>
      <c r="X240" s="10"/>
      <c r="Y240" s="10"/>
      <c r="Z240" s="10"/>
      <c r="AA240" s="10"/>
    </row>
    <row r="241" spans="1:27" ht="12.5" x14ac:dyDescent="0.25">
      <c r="A241" s="10" t="s">
        <v>26</v>
      </c>
      <c r="B241" s="10" t="s">
        <v>804</v>
      </c>
      <c r="C241" s="10" t="s">
        <v>76</v>
      </c>
      <c r="D241" s="11">
        <v>2024</v>
      </c>
      <c r="E241" s="10" t="s">
        <v>81</v>
      </c>
      <c r="F241" s="10" t="s">
        <v>83</v>
      </c>
      <c r="G241" s="10" t="s">
        <v>84</v>
      </c>
      <c r="H241" s="12">
        <v>61344.166666666701</v>
      </c>
      <c r="I241" s="11">
        <v>2851</v>
      </c>
      <c r="J241" s="11">
        <v>592</v>
      </c>
      <c r="K241" s="11">
        <v>108933</v>
      </c>
      <c r="L241" s="11">
        <v>4.6475486666757201E-2</v>
      </c>
      <c r="M241" s="11">
        <v>4.6475486666757204</v>
      </c>
      <c r="N241" s="11">
        <v>0.207646439845668</v>
      </c>
      <c r="O241" s="11">
        <v>1.7757678670886901</v>
      </c>
      <c r="P241" s="11">
        <v>0.47381756756756799</v>
      </c>
      <c r="Q241" s="11">
        <v>0.15384615384615399</v>
      </c>
      <c r="R241" s="11">
        <v>0.531007751937985</v>
      </c>
      <c r="S241" s="10" t="s">
        <v>84</v>
      </c>
      <c r="T241" s="10" t="s">
        <v>84</v>
      </c>
      <c r="U241" s="10"/>
      <c r="V241" s="10"/>
      <c r="W241" s="10"/>
      <c r="X241" s="10"/>
      <c r="Y241" s="10"/>
      <c r="Z241" s="10"/>
      <c r="AA241" s="10"/>
    </row>
    <row r="242" spans="1:27" ht="12.5" x14ac:dyDescent="0.25">
      <c r="A242" s="10" t="s">
        <v>42</v>
      </c>
      <c r="B242" s="10" t="s">
        <v>806</v>
      </c>
      <c r="C242" s="10" t="s">
        <v>76</v>
      </c>
      <c r="D242" s="11">
        <v>2024</v>
      </c>
      <c r="E242" s="10" t="s">
        <v>81</v>
      </c>
      <c r="F242" s="10" t="s">
        <v>83</v>
      </c>
      <c r="G242" s="10" t="s">
        <v>84</v>
      </c>
      <c r="H242" s="12">
        <v>7947.3333333333303</v>
      </c>
      <c r="I242" s="11">
        <v>369</v>
      </c>
      <c r="J242" s="11">
        <v>332</v>
      </c>
      <c r="K242" s="11">
        <v>2085</v>
      </c>
      <c r="L242" s="11">
        <v>4.6430668568073201E-2</v>
      </c>
      <c r="M242" s="11">
        <v>4.6430668568073168</v>
      </c>
      <c r="N242" s="11">
        <v>0.89972899728997302</v>
      </c>
      <c r="O242" s="11">
        <v>0.26235215166512899</v>
      </c>
      <c r="P242" s="11">
        <v>0.47212837837837801</v>
      </c>
      <c r="Q242" s="11">
        <v>0.40476190476190499</v>
      </c>
      <c r="R242" s="11">
        <v>0.52906976744185996</v>
      </c>
      <c r="S242" s="10" t="s">
        <v>84</v>
      </c>
      <c r="T242" s="10" t="s">
        <v>84</v>
      </c>
      <c r="U242" s="10"/>
      <c r="V242" s="10"/>
      <c r="W242" s="10"/>
      <c r="X242" s="10"/>
      <c r="Y242" s="10"/>
      <c r="Z242" s="10"/>
      <c r="AA242" s="10"/>
    </row>
    <row r="243" spans="1:27" ht="12.5" x14ac:dyDescent="0.25">
      <c r="A243" s="10" t="s">
        <v>104</v>
      </c>
      <c r="B243" s="10" t="s">
        <v>808</v>
      </c>
      <c r="C243" s="10" t="s">
        <v>76</v>
      </c>
      <c r="D243" s="11">
        <v>2024</v>
      </c>
      <c r="E243" s="10" t="s">
        <v>81</v>
      </c>
      <c r="F243" s="10" t="s">
        <v>83</v>
      </c>
      <c r="G243" s="10" t="s">
        <v>84</v>
      </c>
      <c r="H243" s="12">
        <v>5825.3333333333303</v>
      </c>
      <c r="I243" s="11">
        <v>269</v>
      </c>
      <c r="J243" s="11">
        <v>260</v>
      </c>
      <c r="K243" s="11">
        <v>8006</v>
      </c>
      <c r="L243" s="11">
        <v>4.61776150148775E-2</v>
      </c>
      <c r="M243" s="11">
        <v>4.6177615014877569</v>
      </c>
      <c r="N243" s="11">
        <v>0.96654275092936803</v>
      </c>
      <c r="O243" s="11">
        <v>1.3743419546807001</v>
      </c>
      <c r="P243" s="11">
        <v>0.47128378378378399</v>
      </c>
      <c r="Q243" s="11">
        <v>0.51724137931034497</v>
      </c>
      <c r="R243" s="11">
        <v>0.52713178294573604</v>
      </c>
      <c r="S243" s="10" t="s">
        <v>84</v>
      </c>
      <c r="T243" s="10" t="s">
        <v>84</v>
      </c>
      <c r="U243" s="10"/>
      <c r="V243" s="10"/>
      <c r="W243" s="10"/>
      <c r="X243" s="10"/>
      <c r="Y243" s="10"/>
      <c r="Z243" s="10"/>
      <c r="AA243" s="10"/>
    </row>
    <row r="244" spans="1:27" ht="12.5" x14ac:dyDescent="0.25">
      <c r="A244" s="10" t="s">
        <v>52</v>
      </c>
      <c r="B244" s="10" t="s">
        <v>809</v>
      </c>
      <c r="C244" s="10" t="s">
        <v>76</v>
      </c>
      <c r="D244" s="11">
        <v>2024</v>
      </c>
      <c r="E244" s="10" t="s">
        <v>81</v>
      </c>
      <c r="F244" s="10" t="s">
        <v>83</v>
      </c>
      <c r="G244" s="10" t="s">
        <v>84</v>
      </c>
      <c r="H244" s="12">
        <v>16417.25</v>
      </c>
      <c r="I244" s="11">
        <v>757</v>
      </c>
      <c r="J244" s="11">
        <v>672</v>
      </c>
      <c r="K244" s="11">
        <v>10178</v>
      </c>
      <c r="L244" s="11">
        <v>4.6110036699203598E-2</v>
      </c>
      <c r="M244" s="11">
        <v>4.6110036699203585</v>
      </c>
      <c r="N244" s="11">
        <v>0.88771466314398895</v>
      </c>
      <c r="O244" s="11">
        <v>0.61995766647885597</v>
      </c>
      <c r="P244" s="11">
        <v>0.46959459459459502</v>
      </c>
      <c r="Q244" s="11">
        <v>0.340425531914894</v>
      </c>
      <c r="R244" s="11">
        <v>0.525193798449612</v>
      </c>
      <c r="S244" s="10" t="s">
        <v>84</v>
      </c>
      <c r="T244" s="10" t="s">
        <v>84</v>
      </c>
      <c r="U244" s="10"/>
      <c r="V244" s="10"/>
      <c r="W244" s="10"/>
      <c r="X244" s="10"/>
      <c r="Y244" s="10"/>
      <c r="Z244" s="10"/>
      <c r="AA244" s="10"/>
    </row>
    <row r="245" spans="1:27" ht="12.5" x14ac:dyDescent="0.25">
      <c r="A245" s="10" t="s">
        <v>10</v>
      </c>
      <c r="B245" s="10" t="s">
        <v>812</v>
      </c>
      <c r="C245" s="10" t="s">
        <v>76</v>
      </c>
      <c r="D245" s="11">
        <v>2024</v>
      </c>
      <c r="E245" s="10" t="s">
        <v>81</v>
      </c>
      <c r="F245" s="10" t="s">
        <v>83</v>
      </c>
      <c r="G245" s="10" t="s">
        <v>84</v>
      </c>
      <c r="H245" s="12">
        <v>35101.75</v>
      </c>
      <c r="I245" s="11">
        <v>1614</v>
      </c>
      <c r="J245" s="11">
        <v>1273</v>
      </c>
      <c r="K245" s="11">
        <v>8172</v>
      </c>
      <c r="L245" s="11">
        <v>4.5980613502175798E-2</v>
      </c>
      <c r="M245" s="11">
        <v>4.5980613502175816</v>
      </c>
      <c r="N245" s="11">
        <v>0.78872366790582404</v>
      </c>
      <c r="O245" s="11">
        <v>0.23280890553889799</v>
      </c>
      <c r="P245" s="11">
        <v>0.46875</v>
      </c>
      <c r="Q245" s="11">
        <v>0.36666666666666697</v>
      </c>
      <c r="R245" s="11">
        <v>0.52325581395348797</v>
      </c>
      <c r="S245" s="10" t="s">
        <v>84</v>
      </c>
      <c r="T245" s="10" t="s">
        <v>84</v>
      </c>
      <c r="U245" s="10"/>
      <c r="V245" s="10"/>
      <c r="W245" s="10"/>
      <c r="X245" s="10"/>
      <c r="Y245" s="10"/>
      <c r="Z245" s="10"/>
      <c r="AA245" s="10"/>
    </row>
    <row r="246" spans="1:27" ht="12.5" x14ac:dyDescent="0.25">
      <c r="A246" s="10" t="s">
        <v>62</v>
      </c>
      <c r="B246" s="10" t="s">
        <v>815</v>
      </c>
      <c r="C246" s="10" t="s">
        <v>76</v>
      </c>
      <c r="D246" s="11">
        <v>2024</v>
      </c>
      <c r="E246" s="10" t="s">
        <v>81</v>
      </c>
      <c r="F246" s="10" t="s">
        <v>125</v>
      </c>
      <c r="G246" s="10" t="s">
        <v>84</v>
      </c>
      <c r="H246" s="12">
        <v>17406.666666666701</v>
      </c>
      <c r="I246" s="11">
        <v>798</v>
      </c>
      <c r="J246" s="11">
        <v>737</v>
      </c>
      <c r="K246" s="11">
        <v>14352</v>
      </c>
      <c r="L246" s="11">
        <v>4.5844504021447699E-2</v>
      </c>
      <c r="M246" s="11">
        <v>4.5844504021447632</v>
      </c>
      <c r="N246" s="11">
        <v>0.92355889724310802</v>
      </c>
      <c r="O246" s="11">
        <v>0.82451168134814201</v>
      </c>
      <c r="P246" s="11">
        <v>0.46790540540540498</v>
      </c>
      <c r="Q246" s="11">
        <v>0.52777777777777801</v>
      </c>
      <c r="R246" s="11">
        <v>0.52131782945736405</v>
      </c>
      <c r="S246" s="10" t="s">
        <v>84</v>
      </c>
      <c r="T246" s="10" t="s">
        <v>84</v>
      </c>
      <c r="U246" s="10"/>
      <c r="V246" s="10"/>
      <c r="W246" s="10"/>
      <c r="X246" s="10"/>
      <c r="Y246" s="10"/>
      <c r="Z246" s="10"/>
      <c r="AA246" s="10"/>
    </row>
    <row r="247" spans="1:27" ht="12.5" x14ac:dyDescent="0.25">
      <c r="A247" s="10" t="s">
        <v>96</v>
      </c>
      <c r="B247" s="10" t="s">
        <v>817</v>
      </c>
      <c r="C247" s="10" t="s">
        <v>76</v>
      </c>
      <c r="D247" s="11">
        <v>2024</v>
      </c>
      <c r="E247" s="10" t="s">
        <v>81</v>
      </c>
      <c r="F247" s="10" t="s">
        <v>83</v>
      </c>
      <c r="G247" s="10" t="s">
        <v>84</v>
      </c>
      <c r="H247" s="12">
        <v>32497.583333333299</v>
      </c>
      <c r="I247" s="11">
        <v>1485</v>
      </c>
      <c r="J247" s="11">
        <v>1453</v>
      </c>
      <c r="K247" s="11">
        <v>6639</v>
      </c>
      <c r="L247" s="11">
        <v>4.56957055781071E-2</v>
      </c>
      <c r="M247" s="11">
        <v>4.5695705578107138</v>
      </c>
      <c r="N247" s="11">
        <v>0.97845117845117802</v>
      </c>
      <c r="O247" s="11">
        <v>0.204292114028992</v>
      </c>
      <c r="P247" s="11">
        <v>0.46706081081081102</v>
      </c>
      <c r="Q247" s="11">
        <v>0.76470588235294101</v>
      </c>
      <c r="R247" s="11">
        <v>0.51937984496124001</v>
      </c>
      <c r="S247" s="10" t="s">
        <v>84</v>
      </c>
      <c r="T247" s="10" t="s">
        <v>84</v>
      </c>
      <c r="U247" s="10"/>
      <c r="V247" s="10"/>
      <c r="W247" s="10"/>
      <c r="X247" s="10"/>
      <c r="Y247" s="10"/>
      <c r="Z247" s="10"/>
      <c r="AA247" s="10"/>
    </row>
    <row r="248" spans="1:27" ht="12.5" x14ac:dyDescent="0.25">
      <c r="A248" s="10" t="s">
        <v>16</v>
      </c>
      <c r="B248" s="10" t="s">
        <v>720</v>
      </c>
      <c r="C248" s="10" t="s">
        <v>76</v>
      </c>
      <c r="D248" s="11">
        <v>2024</v>
      </c>
      <c r="E248" s="10" t="s">
        <v>81</v>
      </c>
      <c r="F248" s="10" t="s">
        <v>83</v>
      </c>
      <c r="G248" s="10" t="s">
        <v>84</v>
      </c>
      <c r="H248" s="12">
        <v>8044.9166666666697</v>
      </c>
      <c r="I248" s="11">
        <v>365</v>
      </c>
      <c r="J248" s="11">
        <v>314</v>
      </c>
      <c r="K248" s="11">
        <v>17675</v>
      </c>
      <c r="L248" s="11">
        <v>4.53702648670486E-2</v>
      </c>
      <c r="M248" s="11">
        <v>4.5370264867048533</v>
      </c>
      <c r="N248" s="11">
        <v>0.86027397260273997</v>
      </c>
      <c r="O248" s="11">
        <v>2.1970395384248902</v>
      </c>
      <c r="P248" s="11">
        <v>0.46537162162162199</v>
      </c>
      <c r="Q248" s="11">
        <v>0.133333333333333</v>
      </c>
      <c r="R248" s="11">
        <v>0.51744186046511598</v>
      </c>
      <c r="S248" s="10" t="s">
        <v>84</v>
      </c>
      <c r="T248" s="10" t="s">
        <v>84</v>
      </c>
      <c r="U248" s="10"/>
      <c r="V248" s="10"/>
      <c r="W248" s="10"/>
      <c r="X248" s="10"/>
      <c r="Y248" s="10"/>
      <c r="Z248" s="10"/>
      <c r="AA248" s="10"/>
    </row>
    <row r="249" spans="1:27" ht="12.5" x14ac:dyDescent="0.25">
      <c r="A249" s="10" t="s">
        <v>52</v>
      </c>
      <c r="B249" s="10" t="s">
        <v>819</v>
      </c>
      <c r="C249" s="10" t="s">
        <v>76</v>
      </c>
      <c r="D249" s="11">
        <v>2024</v>
      </c>
      <c r="E249" s="10" t="s">
        <v>81</v>
      </c>
      <c r="F249" s="10" t="s">
        <v>83</v>
      </c>
      <c r="G249" s="10" t="s">
        <v>84</v>
      </c>
      <c r="H249" s="12">
        <v>19735.333333333299</v>
      </c>
      <c r="I249" s="11">
        <v>895</v>
      </c>
      <c r="J249" s="11">
        <v>574</v>
      </c>
      <c r="K249" s="11">
        <v>1639</v>
      </c>
      <c r="L249" s="11">
        <v>4.5350133432422397E-2</v>
      </c>
      <c r="M249" s="11">
        <v>4.5350133432422464</v>
      </c>
      <c r="N249" s="11">
        <v>0.64134078212290502</v>
      </c>
      <c r="O249" s="11">
        <v>8.3049015302503096E-2</v>
      </c>
      <c r="P249" s="11">
        <v>0.46452702702702697</v>
      </c>
      <c r="Q249" s="11">
        <v>0.319148936170213</v>
      </c>
      <c r="R249" s="11">
        <v>0.51550387596899205</v>
      </c>
      <c r="S249" s="10" t="s">
        <v>84</v>
      </c>
      <c r="T249" s="10" t="s">
        <v>84</v>
      </c>
      <c r="U249" s="10"/>
      <c r="V249" s="10"/>
      <c r="W249" s="10"/>
      <c r="X249" s="10"/>
      <c r="Y249" s="10"/>
      <c r="Z249" s="10"/>
      <c r="AA249" s="10"/>
    </row>
    <row r="250" spans="1:27" ht="12.5" x14ac:dyDescent="0.25">
      <c r="A250" s="10" t="s">
        <v>77</v>
      </c>
      <c r="B250" s="10" t="s">
        <v>821</v>
      </c>
      <c r="C250" s="10" t="s">
        <v>76</v>
      </c>
      <c r="D250" s="11">
        <v>2024</v>
      </c>
      <c r="E250" s="10" t="s">
        <v>81</v>
      </c>
      <c r="F250" s="10" t="s">
        <v>83</v>
      </c>
      <c r="G250" s="10" t="s">
        <v>84</v>
      </c>
      <c r="H250" s="12">
        <v>34401.083333333299</v>
      </c>
      <c r="I250" s="11">
        <v>1543</v>
      </c>
      <c r="J250" s="11">
        <v>1476</v>
      </c>
      <c r="K250" s="11">
        <v>19903</v>
      </c>
      <c r="L250" s="11">
        <v>4.4853238633473298E-2</v>
      </c>
      <c r="M250" s="11">
        <v>4.4853238633473316</v>
      </c>
      <c r="N250" s="11">
        <v>0.95657809462086796</v>
      </c>
      <c r="O250" s="11">
        <v>0.57855736132340796</v>
      </c>
      <c r="P250" s="11">
        <v>0.46199324324324298</v>
      </c>
      <c r="Q250" s="11">
        <v>0.71428571428571397</v>
      </c>
      <c r="R250" s="11">
        <v>0.51356589147286802</v>
      </c>
      <c r="S250" s="10" t="s">
        <v>84</v>
      </c>
      <c r="T250" s="10" t="s">
        <v>84</v>
      </c>
      <c r="U250" s="10"/>
      <c r="V250" s="10"/>
      <c r="W250" s="10"/>
      <c r="X250" s="10"/>
      <c r="Y250" s="10"/>
      <c r="Z250" s="10"/>
      <c r="AA250" s="10"/>
    </row>
    <row r="251" spans="1:27" ht="12.5" x14ac:dyDescent="0.25">
      <c r="A251" s="10" t="s">
        <v>10</v>
      </c>
      <c r="B251" s="10" t="s">
        <v>804</v>
      </c>
      <c r="C251" s="10" t="s">
        <v>76</v>
      </c>
      <c r="D251" s="11">
        <v>2024</v>
      </c>
      <c r="E251" s="10" t="s">
        <v>81</v>
      </c>
      <c r="F251" s="10" t="s">
        <v>83</v>
      </c>
      <c r="G251" s="10" t="s">
        <v>84</v>
      </c>
      <c r="H251" s="12">
        <v>9220.4166666666697</v>
      </c>
      <c r="I251" s="11">
        <v>412</v>
      </c>
      <c r="J251" s="11">
        <v>249</v>
      </c>
      <c r="K251" s="11">
        <v>20812</v>
      </c>
      <c r="L251" s="11">
        <v>4.4683447060418498E-2</v>
      </c>
      <c r="M251" s="11">
        <v>4.4683447060418446</v>
      </c>
      <c r="N251" s="11">
        <v>0.60436893203883502</v>
      </c>
      <c r="O251" s="11">
        <v>2.2571648063626899</v>
      </c>
      <c r="P251" s="11">
        <v>0.460304054054054</v>
      </c>
      <c r="Q251" s="11">
        <v>0.33333333333333298</v>
      </c>
      <c r="R251" s="11">
        <v>0.51162790697674398</v>
      </c>
      <c r="S251" s="10" t="s">
        <v>84</v>
      </c>
      <c r="T251" s="10" t="s">
        <v>84</v>
      </c>
      <c r="U251" s="10"/>
      <c r="V251" s="10"/>
      <c r="W251" s="10"/>
      <c r="X251" s="10"/>
      <c r="Y251" s="10"/>
      <c r="Z251" s="10"/>
      <c r="AA251" s="10"/>
    </row>
    <row r="252" spans="1:27" ht="12.5" x14ac:dyDescent="0.25">
      <c r="A252" s="10" t="s">
        <v>34</v>
      </c>
      <c r="B252" s="10" t="s">
        <v>825</v>
      </c>
      <c r="C252" s="10" t="s">
        <v>76</v>
      </c>
      <c r="D252" s="11">
        <v>2024</v>
      </c>
      <c r="E252" s="10" t="s">
        <v>81</v>
      </c>
      <c r="F252" s="10" t="s">
        <v>83</v>
      </c>
      <c r="G252" s="10" t="s">
        <v>84</v>
      </c>
      <c r="H252" s="12">
        <v>17858.25</v>
      </c>
      <c r="I252" s="11">
        <v>796</v>
      </c>
      <c r="J252" s="11">
        <v>705</v>
      </c>
      <c r="K252" s="11">
        <v>22953</v>
      </c>
      <c r="L252" s="11">
        <v>4.4573236459339499E-2</v>
      </c>
      <c r="M252" s="11">
        <v>4.4573236459339522</v>
      </c>
      <c r="N252" s="11">
        <v>0.88567839195979903</v>
      </c>
      <c r="O252" s="11">
        <v>1.2852883121246499</v>
      </c>
      <c r="P252" s="11">
        <v>0.45861486486486502</v>
      </c>
      <c r="Q252" s="11">
        <v>0.73469387755102</v>
      </c>
      <c r="R252" s="11">
        <v>0.50968992248061995</v>
      </c>
      <c r="S252" s="10" t="s">
        <v>84</v>
      </c>
      <c r="T252" s="10" t="s">
        <v>84</v>
      </c>
      <c r="U252" s="10"/>
      <c r="V252" s="10"/>
      <c r="W252" s="10"/>
      <c r="X252" s="10"/>
      <c r="Y252" s="10"/>
      <c r="Z252" s="10"/>
      <c r="AA252" s="10"/>
    </row>
    <row r="253" spans="1:27" ht="12.5" x14ac:dyDescent="0.25">
      <c r="A253" s="10" t="s">
        <v>118</v>
      </c>
      <c r="B253" s="10" t="s">
        <v>826</v>
      </c>
      <c r="C253" s="10" t="s">
        <v>76</v>
      </c>
      <c r="D253" s="11">
        <v>2024</v>
      </c>
      <c r="E253" s="10" t="s">
        <v>81</v>
      </c>
      <c r="F253" s="10" t="s">
        <v>83</v>
      </c>
      <c r="G253" s="10" t="s">
        <v>84</v>
      </c>
      <c r="H253" s="12">
        <v>946.33333333333303</v>
      </c>
      <c r="I253" s="11">
        <v>42</v>
      </c>
      <c r="J253" s="11">
        <v>38</v>
      </c>
      <c r="K253" s="11">
        <v>0</v>
      </c>
      <c r="L253" s="11">
        <v>4.4381824586121901E-2</v>
      </c>
      <c r="M253" s="11">
        <v>4.4381824586121885</v>
      </c>
      <c r="N253" s="11">
        <v>0.90476190476190499</v>
      </c>
      <c r="O253" s="11">
        <v>0</v>
      </c>
      <c r="P253" s="11">
        <v>0.45777027027027001</v>
      </c>
      <c r="Q253" s="11">
        <v>0.5</v>
      </c>
      <c r="R253" s="11">
        <v>0.50775193798449603</v>
      </c>
      <c r="S253" s="10" t="s">
        <v>84</v>
      </c>
      <c r="T253" s="10" t="s">
        <v>84</v>
      </c>
      <c r="U253" s="10"/>
      <c r="V253" s="10"/>
      <c r="W253" s="10"/>
      <c r="X253" s="10"/>
      <c r="Y253" s="10"/>
      <c r="Z253" s="10"/>
      <c r="AA253" s="10"/>
    </row>
    <row r="254" spans="1:27" ht="12.5" x14ac:dyDescent="0.25">
      <c r="A254" s="10" t="s">
        <v>19</v>
      </c>
      <c r="B254" s="10" t="s">
        <v>828</v>
      </c>
      <c r="C254" s="10" t="s">
        <v>76</v>
      </c>
      <c r="D254" s="11">
        <v>2024</v>
      </c>
      <c r="E254" s="10" t="s">
        <v>81</v>
      </c>
      <c r="F254" s="10" t="s">
        <v>83</v>
      </c>
      <c r="G254" s="10" t="s">
        <v>84</v>
      </c>
      <c r="H254" s="12">
        <v>33216.25</v>
      </c>
      <c r="I254" s="11">
        <v>1472</v>
      </c>
      <c r="J254" s="11">
        <v>1478</v>
      </c>
      <c r="K254" s="11">
        <v>40325</v>
      </c>
      <c r="L254" s="11">
        <v>4.4315658751364201E-2</v>
      </c>
      <c r="M254" s="11">
        <v>4.4315658751364166</v>
      </c>
      <c r="N254" s="11">
        <v>1.00407608695652</v>
      </c>
      <c r="O254" s="11">
        <v>1.21401422496519</v>
      </c>
      <c r="P254" s="11">
        <v>0.45692567567567599</v>
      </c>
      <c r="Q254" s="11">
        <v>0.11111111111111099</v>
      </c>
      <c r="R254" s="11">
        <v>0.50581395348837199</v>
      </c>
      <c r="S254" s="10" t="s">
        <v>84</v>
      </c>
      <c r="T254" s="10" t="s">
        <v>84</v>
      </c>
      <c r="U254" s="10"/>
      <c r="V254" s="10"/>
      <c r="W254" s="10"/>
      <c r="X254" s="10"/>
      <c r="Y254" s="10"/>
      <c r="Z254" s="10"/>
      <c r="AA254" s="10"/>
    </row>
    <row r="255" spans="1:27" ht="12.5" x14ac:dyDescent="0.25">
      <c r="A255" s="10" t="s">
        <v>77</v>
      </c>
      <c r="B255" s="10" t="s">
        <v>830</v>
      </c>
      <c r="C255" s="10" t="s">
        <v>76</v>
      </c>
      <c r="D255" s="11">
        <v>2024</v>
      </c>
      <c r="E255" s="10" t="s">
        <v>81</v>
      </c>
      <c r="F255" s="10" t="s">
        <v>83</v>
      </c>
      <c r="G255" s="10" t="s">
        <v>84</v>
      </c>
      <c r="H255" s="12">
        <v>11092</v>
      </c>
      <c r="I255" s="11">
        <v>488</v>
      </c>
      <c r="J255" s="11">
        <v>447</v>
      </c>
      <c r="K255" s="11">
        <v>6202</v>
      </c>
      <c r="L255" s="11">
        <v>4.3995672556797698E-2</v>
      </c>
      <c r="M255" s="11">
        <v>4.3995672556797691</v>
      </c>
      <c r="N255" s="11">
        <v>0.91598360655737698</v>
      </c>
      <c r="O255" s="11">
        <v>0.55914172376487603</v>
      </c>
      <c r="P255" s="11">
        <v>0.45608108108108097</v>
      </c>
      <c r="Q255" s="11">
        <v>0.67857142857142905</v>
      </c>
      <c r="R255" s="11">
        <v>0.50387596899224796</v>
      </c>
      <c r="S255" s="10" t="s">
        <v>84</v>
      </c>
      <c r="T255" s="10" t="s">
        <v>84</v>
      </c>
      <c r="U255" s="10"/>
      <c r="V255" s="10"/>
      <c r="W255" s="10"/>
      <c r="X255" s="10"/>
      <c r="Y255" s="10"/>
      <c r="Z255" s="10"/>
      <c r="AA255" s="10"/>
    </row>
    <row r="256" spans="1:27" ht="12.5" x14ac:dyDescent="0.25">
      <c r="A256" s="10" t="s">
        <v>14</v>
      </c>
      <c r="B256" s="10" t="s">
        <v>832</v>
      </c>
      <c r="C256" s="10" t="s">
        <v>76</v>
      </c>
      <c r="D256" s="11">
        <v>2024</v>
      </c>
      <c r="E256" s="10" t="s">
        <v>81</v>
      </c>
      <c r="F256" s="10" t="s">
        <v>83</v>
      </c>
      <c r="G256" s="10" t="s">
        <v>84</v>
      </c>
      <c r="H256" s="12">
        <v>24525.583333333299</v>
      </c>
      <c r="I256" s="11">
        <v>1076</v>
      </c>
      <c r="J256" s="11">
        <v>923</v>
      </c>
      <c r="K256" s="11">
        <v>24200</v>
      </c>
      <c r="L256" s="11">
        <v>4.3872554849188103E-2</v>
      </c>
      <c r="M256" s="11">
        <v>4.387255484918815</v>
      </c>
      <c r="N256" s="11">
        <v>0.85780669144981403</v>
      </c>
      <c r="O256" s="11">
        <v>0.98672474660813403</v>
      </c>
      <c r="P256" s="11">
        <v>0.454391891891892</v>
      </c>
      <c r="Q256" s="11">
        <v>0.107142857142857</v>
      </c>
      <c r="R256" s="11">
        <v>0.50193798449612403</v>
      </c>
      <c r="S256" s="10" t="s">
        <v>84</v>
      </c>
      <c r="T256" s="10" t="s">
        <v>84</v>
      </c>
      <c r="U256" s="10"/>
      <c r="V256" s="10"/>
      <c r="W256" s="10"/>
      <c r="X256" s="10"/>
      <c r="Y256" s="10"/>
      <c r="Z256" s="10"/>
      <c r="AA256" s="10"/>
    </row>
    <row r="257" spans="1:27" ht="12.5" x14ac:dyDescent="0.25">
      <c r="A257" s="10" t="s">
        <v>36</v>
      </c>
      <c r="B257" s="10" t="s">
        <v>833</v>
      </c>
      <c r="C257" s="10" t="s">
        <v>76</v>
      </c>
      <c r="D257" s="11">
        <v>2024</v>
      </c>
      <c r="E257" s="10" t="s">
        <v>81</v>
      </c>
      <c r="F257" s="10" t="s">
        <v>83</v>
      </c>
      <c r="G257" s="10" t="s">
        <v>84</v>
      </c>
      <c r="H257" s="12">
        <v>13694.583333333299</v>
      </c>
      <c r="I257" s="11">
        <v>597</v>
      </c>
      <c r="J257" s="11">
        <v>388</v>
      </c>
      <c r="K257" s="11">
        <v>0</v>
      </c>
      <c r="L257" s="11">
        <v>4.3593878358231697E-2</v>
      </c>
      <c r="M257" s="11">
        <v>4.3593878358231768</v>
      </c>
      <c r="N257" s="11">
        <v>0.64991624790619795</v>
      </c>
      <c r="O257" s="11">
        <v>0</v>
      </c>
      <c r="P257" s="11">
        <v>0.45270270270270302</v>
      </c>
      <c r="Q257" s="11">
        <v>0.27659574468085102</v>
      </c>
      <c r="R257" s="11">
        <v>0.5</v>
      </c>
      <c r="S257" s="10" t="s">
        <v>84</v>
      </c>
      <c r="T257" s="10" t="s">
        <v>84</v>
      </c>
      <c r="U257" s="10"/>
      <c r="V257" s="10"/>
      <c r="W257" s="10"/>
      <c r="X257" s="10"/>
      <c r="Y257" s="10"/>
      <c r="Z257" s="10"/>
      <c r="AA257" s="10"/>
    </row>
    <row r="258" spans="1:27" ht="12.5" x14ac:dyDescent="0.25">
      <c r="A258" s="10" t="s">
        <v>67</v>
      </c>
      <c r="B258" s="10" t="s">
        <v>835</v>
      </c>
      <c r="C258" s="10" t="s">
        <v>76</v>
      </c>
      <c r="D258" s="11">
        <v>2024</v>
      </c>
      <c r="E258" s="10" t="s">
        <v>81</v>
      </c>
      <c r="F258" s="10" t="s">
        <v>83</v>
      </c>
      <c r="G258" s="10" t="s">
        <v>84</v>
      </c>
      <c r="H258" s="12">
        <v>25628.416666666701</v>
      </c>
      <c r="I258" s="11">
        <v>1108</v>
      </c>
      <c r="J258" s="11">
        <v>944</v>
      </c>
      <c r="K258" s="11">
        <v>13551</v>
      </c>
      <c r="L258" s="11">
        <v>4.3233259955583199E-2</v>
      </c>
      <c r="M258" s="11">
        <v>4.3233259955583101</v>
      </c>
      <c r="N258" s="11">
        <v>0.85198555956678701</v>
      </c>
      <c r="O258" s="11">
        <v>0.52874901232681204</v>
      </c>
      <c r="P258" s="11">
        <v>0.45101351351351299</v>
      </c>
      <c r="Q258" s="11">
        <v>0.57142857142857095</v>
      </c>
      <c r="R258" s="11">
        <v>0.49806201550387602</v>
      </c>
      <c r="S258" s="10" t="s">
        <v>84</v>
      </c>
      <c r="T258" s="10" t="s">
        <v>84</v>
      </c>
      <c r="U258" s="10"/>
      <c r="V258" s="10"/>
      <c r="W258" s="10"/>
      <c r="X258" s="10"/>
      <c r="Y258" s="10"/>
      <c r="Z258" s="10"/>
      <c r="AA258" s="10"/>
    </row>
    <row r="259" spans="1:27" ht="12.5" x14ac:dyDescent="0.25">
      <c r="A259" s="10" t="s">
        <v>58</v>
      </c>
      <c r="B259" s="10" t="s">
        <v>837</v>
      </c>
      <c r="C259" s="10" t="s">
        <v>76</v>
      </c>
      <c r="D259" s="11">
        <v>2024</v>
      </c>
      <c r="E259" s="10" t="s">
        <v>81</v>
      </c>
      <c r="F259" s="10" t="s">
        <v>83</v>
      </c>
      <c r="G259" s="10" t="s">
        <v>84</v>
      </c>
      <c r="H259" s="12">
        <v>15397.5</v>
      </c>
      <c r="I259" s="11">
        <v>663</v>
      </c>
      <c r="J259" s="11">
        <v>457</v>
      </c>
      <c r="K259" s="11">
        <v>20866</v>
      </c>
      <c r="L259" s="11">
        <v>4.3058938139308299E-2</v>
      </c>
      <c r="M259" s="11">
        <v>4.3058938139308323</v>
      </c>
      <c r="N259" s="11">
        <v>0.68929110105580704</v>
      </c>
      <c r="O259" s="11">
        <v>1.3551550576392299</v>
      </c>
      <c r="P259" s="11">
        <v>0.44932432432432401</v>
      </c>
      <c r="Q259" s="11">
        <v>0.135135135135135</v>
      </c>
      <c r="R259" s="11">
        <v>0.49612403100775199</v>
      </c>
      <c r="S259" s="10" t="s">
        <v>84</v>
      </c>
      <c r="T259" s="10" t="s">
        <v>84</v>
      </c>
      <c r="U259" s="10"/>
      <c r="V259" s="10"/>
      <c r="W259" s="10"/>
      <c r="X259" s="10"/>
      <c r="Y259" s="10"/>
      <c r="Z259" s="10"/>
      <c r="AA259" s="10"/>
    </row>
    <row r="260" spans="1:27" ht="12.5" x14ac:dyDescent="0.25">
      <c r="A260" s="10" t="s">
        <v>104</v>
      </c>
      <c r="B260" s="10" t="s">
        <v>840</v>
      </c>
      <c r="C260" s="10" t="s">
        <v>76</v>
      </c>
      <c r="D260" s="11">
        <v>2024</v>
      </c>
      <c r="E260" s="10" t="s">
        <v>81</v>
      </c>
      <c r="F260" s="10" t="s">
        <v>83</v>
      </c>
      <c r="G260" s="10" t="s">
        <v>84</v>
      </c>
      <c r="H260" s="12">
        <v>29327.25</v>
      </c>
      <c r="I260" s="11">
        <v>1262</v>
      </c>
      <c r="J260" s="11">
        <v>1074</v>
      </c>
      <c r="K260" s="11">
        <v>3420</v>
      </c>
      <c r="L260" s="11">
        <v>4.3031651450442798E-2</v>
      </c>
      <c r="M260" s="11">
        <v>4.3031651450442849</v>
      </c>
      <c r="N260" s="11">
        <v>0.85103011093502401</v>
      </c>
      <c r="O260" s="11">
        <v>0.116615093471089</v>
      </c>
      <c r="P260" s="11">
        <v>0.44847972972972999</v>
      </c>
      <c r="Q260" s="11">
        <v>0.48275862068965503</v>
      </c>
      <c r="R260" s="11">
        <v>0.49418604651162801</v>
      </c>
      <c r="S260" s="10" t="s">
        <v>84</v>
      </c>
      <c r="T260" s="10" t="s">
        <v>84</v>
      </c>
      <c r="U260" s="10"/>
      <c r="V260" s="10"/>
      <c r="W260" s="10"/>
      <c r="X260" s="10"/>
      <c r="Y260" s="10"/>
      <c r="Z260" s="10"/>
      <c r="AA260" s="10"/>
    </row>
    <row r="261" spans="1:27" ht="12.5" x14ac:dyDescent="0.25">
      <c r="A261" s="10" t="s">
        <v>19</v>
      </c>
      <c r="B261" s="10" t="s">
        <v>841</v>
      </c>
      <c r="C261" s="10" t="s">
        <v>76</v>
      </c>
      <c r="D261" s="11">
        <v>2024</v>
      </c>
      <c r="E261" s="10" t="s">
        <v>81</v>
      </c>
      <c r="F261" s="10" t="s">
        <v>83</v>
      </c>
      <c r="G261" s="10" t="s">
        <v>84</v>
      </c>
      <c r="H261" s="12">
        <v>41322.833333333299</v>
      </c>
      <c r="I261" s="11">
        <v>1772</v>
      </c>
      <c r="J261" s="11">
        <v>1470</v>
      </c>
      <c r="K261" s="11">
        <v>7365</v>
      </c>
      <c r="L261" s="11">
        <v>4.28818611179453E-2</v>
      </c>
      <c r="M261" s="11">
        <v>4.2881861117945324</v>
      </c>
      <c r="N261" s="11">
        <v>0.829571106094808</v>
      </c>
      <c r="O261" s="11">
        <v>0.178230760233446</v>
      </c>
      <c r="P261" s="11">
        <v>0.44763513513513498</v>
      </c>
      <c r="Q261" s="11">
        <v>5.5555555555555601E-2</v>
      </c>
      <c r="R261" s="11">
        <v>0.49224806201550397</v>
      </c>
      <c r="S261" s="10" t="s">
        <v>84</v>
      </c>
      <c r="T261" s="10" t="s">
        <v>84</v>
      </c>
      <c r="U261" s="10"/>
      <c r="V261" s="10"/>
      <c r="W261" s="10"/>
      <c r="X261" s="10"/>
      <c r="Y261" s="10"/>
      <c r="Z261" s="10"/>
      <c r="AA261" s="10"/>
    </row>
    <row r="262" spans="1:27" ht="12.5" x14ac:dyDescent="0.25">
      <c r="A262" s="10" t="s">
        <v>104</v>
      </c>
      <c r="B262" s="10" t="s">
        <v>826</v>
      </c>
      <c r="C262" s="10" t="s">
        <v>76</v>
      </c>
      <c r="D262" s="11">
        <v>2024</v>
      </c>
      <c r="E262" s="10" t="s">
        <v>81</v>
      </c>
      <c r="F262" s="10" t="s">
        <v>83</v>
      </c>
      <c r="G262" s="10" t="s">
        <v>84</v>
      </c>
      <c r="H262" s="12">
        <v>12898.5</v>
      </c>
      <c r="I262" s="11">
        <v>551</v>
      </c>
      <c r="J262" s="11">
        <v>491</v>
      </c>
      <c r="K262" s="11">
        <v>3018</v>
      </c>
      <c r="L262" s="11">
        <v>4.2718145520797002E-2</v>
      </c>
      <c r="M262" s="11">
        <v>4.2718145520796993</v>
      </c>
      <c r="N262" s="11">
        <v>0.89110707803992695</v>
      </c>
      <c r="O262" s="11">
        <v>0.23398069542970101</v>
      </c>
      <c r="P262" s="11">
        <v>0.44510135135135098</v>
      </c>
      <c r="Q262" s="11">
        <v>0.44827586206896602</v>
      </c>
      <c r="R262" s="11">
        <v>0.49031007751937999</v>
      </c>
      <c r="S262" s="10" t="s">
        <v>84</v>
      </c>
      <c r="T262" s="10" t="s">
        <v>84</v>
      </c>
      <c r="U262" s="10"/>
      <c r="V262" s="10"/>
      <c r="W262" s="10"/>
      <c r="X262" s="10"/>
      <c r="Y262" s="10"/>
      <c r="Z262" s="10"/>
      <c r="AA262" s="10"/>
    </row>
    <row r="263" spans="1:27" ht="12.5" x14ac:dyDescent="0.25">
      <c r="A263" s="10" t="s">
        <v>58</v>
      </c>
      <c r="B263" s="10" t="s">
        <v>844</v>
      </c>
      <c r="C263" s="10" t="s">
        <v>76</v>
      </c>
      <c r="D263" s="11">
        <v>2024</v>
      </c>
      <c r="E263" s="10" t="s">
        <v>81</v>
      </c>
      <c r="F263" s="10" t="s">
        <v>83</v>
      </c>
      <c r="G263" s="10" t="s">
        <v>84</v>
      </c>
      <c r="H263" s="12">
        <v>28085</v>
      </c>
      <c r="I263" s="11">
        <v>1199</v>
      </c>
      <c r="J263" s="11">
        <v>876</v>
      </c>
      <c r="K263" s="11">
        <v>54760</v>
      </c>
      <c r="L263" s="11">
        <v>4.26918283781378E-2</v>
      </c>
      <c r="M263" s="11">
        <v>4.2691828378137791</v>
      </c>
      <c r="N263" s="11">
        <v>0.73060884070058396</v>
      </c>
      <c r="O263" s="11">
        <v>1.9497952643759999</v>
      </c>
      <c r="P263" s="11">
        <v>0.44425675675675702</v>
      </c>
      <c r="Q263" s="11">
        <v>0.108108108108108</v>
      </c>
      <c r="R263" s="11">
        <v>0.48837209302325602</v>
      </c>
      <c r="S263" s="10" t="s">
        <v>84</v>
      </c>
      <c r="T263" s="10" t="s">
        <v>84</v>
      </c>
      <c r="U263" s="10"/>
      <c r="V263" s="10"/>
      <c r="W263" s="10"/>
      <c r="X263" s="10"/>
      <c r="Y263" s="10"/>
      <c r="Z263" s="10"/>
      <c r="AA263" s="10"/>
    </row>
    <row r="264" spans="1:27" ht="12.5" x14ac:dyDescent="0.25">
      <c r="A264" s="10" t="s">
        <v>52</v>
      </c>
      <c r="B264" s="10" t="s">
        <v>846</v>
      </c>
      <c r="C264" s="10" t="s">
        <v>76</v>
      </c>
      <c r="D264" s="11">
        <v>2024</v>
      </c>
      <c r="E264" s="10" t="s">
        <v>81</v>
      </c>
      <c r="F264" s="10" t="s">
        <v>83</v>
      </c>
      <c r="G264" s="10" t="s">
        <v>84</v>
      </c>
      <c r="H264" s="12">
        <v>25753.833333333299</v>
      </c>
      <c r="I264" s="11">
        <v>1099</v>
      </c>
      <c r="J264" s="11">
        <v>854</v>
      </c>
      <c r="K264" s="11">
        <v>29751</v>
      </c>
      <c r="L264" s="11">
        <v>4.2673258997042503E-2</v>
      </c>
      <c r="M264" s="11">
        <v>4.2673258997042565</v>
      </c>
      <c r="N264" s="11">
        <v>0.77707006369426801</v>
      </c>
      <c r="O264" s="11">
        <v>1.15520666826298</v>
      </c>
      <c r="P264" s="11">
        <v>0.443412162162162</v>
      </c>
      <c r="Q264" s="11">
        <v>0.29787234042553201</v>
      </c>
      <c r="R264" s="11">
        <v>0.48643410852713198</v>
      </c>
      <c r="S264" s="10" t="s">
        <v>84</v>
      </c>
      <c r="T264" s="10" t="s">
        <v>84</v>
      </c>
      <c r="U264" s="10"/>
      <c r="V264" s="10"/>
      <c r="W264" s="10"/>
      <c r="X264" s="10"/>
      <c r="Y264" s="10"/>
      <c r="Z264" s="10"/>
      <c r="AA264" s="10"/>
    </row>
    <row r="265" spans="1:27" ht="12.5" x14ac:dyDescent="0.25">
      <c r="A265" s="10" t="s">
        <v>12</v>
      </c>
      <c r="B265" s="10" t="s">
        <v>848</v>
      </c>
      <c r="C265" s="10" t="s">
        <v>76</v>
      </c>
      <c r="D265" s="11">
        <v>2024</v>
      </c>
      <c r="E265" s="10" t="s">
        <v>81</v>
      </c>
      <c r="F265" s="10" t="s">
        <v>83</v>
      </c>
      <c r="G265" s="10" t="s">
        <v>84</v>
      </c>
      <c r="H265" s="12">
        <v>23771.75</v>
      </c>
      <c r="I265" s="11">
        <v>1002</v>
      </c>
      <c r="J265" s="11">
        <v>665</v>
      </c>
      <c r="K265" s="11">
        <v>43578</v>
      </c>
      <c r="L265" s="11">
        <v>4.2150872358997601E-2</v>
      </c>
      <c r="M265" s="11">
        <v>4.2150872358997553</v>
      </c>
      <c r="N265" s="11">
        <v>0.66367265469061898</v>
      </c>
      <c r="O265" s="11">
        <v>1.8331843469664599</v>
      </c>
      <c r="P265" s="11">
        <v>0.43834459459459502</v>
      </c>
      <c r="Q265" s="11">
        <v>0.27777777777777801</v>
      </c>
      <c r="R265" s="11">
        <v>0.484496124031008</v>
      </c>
      <c r="S265" s="10" t="s">
        <v>84</v>
      </c>
      <c r="T265" s="10" t="s">
        <v>84</v>
      </c>
      <c r="U265" s="10"/>
      <c r="V265" s="10"/>
      <c r="W265" s="10"/>
      <c r="X265" s="10"/>
      <c r="Y265" s="10"/>
      <c r="Z265" s="10"/>
      <c r="AA265" s="10"/>
    </row>
    <row r="266" spans="1:27" ht="12.5" x14ac:dyDescent="0.25">
      <c r="A266" s="10" t="s">
        <v>115</v>
      </c>
      <c r="B266" s="10" t="s">
        <v>850</v>
      </c>
      <c r="C266" s="10" t="s">
        <v>76</v>
      </c>
      <c r="D266" s="11">
        <v>2024</v>
      </c>
      <c r="E266" s="10" t="s">
        <v>81</v>
      </c>
      <c r="F266" s="10" t="s">
        <v>83</v>
      </c>
      <c r="G266" s="10" t="s">
        <v>84</v>
      </c>
      <c r="H266" s="12">
        <v>63317.25</v>
      </c>
      <c r="I266" s="11">
        <v>2654</v>
      </c>
      <c r="J266" s="11">
        <v>2632</v>
      </c>
      <c r="K266" s="11">
        <v>18207</v>
      </c>
      <c r="L266" s="11">
        <v>4.1915907592322797E-2</v>
      </c>
      <c r="M266" s="11">
        <v>4.1915907592322794</v>
      </c>
      <c r="N266" s="11">
        <v>0.99171062547098698</v>
      </c>
      <c r="O266" s="11">
        <v>0.28755197043459702</v>
      </c>
      <c r="P266" s="11">
        <v>0.43665540540540498</v>
      </c>
      <c r="Q266" s="11">
        <v>1</v>
      </c>
      <c r="R266" s="11">
        <v>0.48255813953488402</v>
      </c>
      <c r="S266" s="10" t="s">
        <v>84</v>
      </c>
      <c r="T266" s="10" t="s">
        <v>84</v>
      </c>
      <c r="U266" s="10"/>
      <c r="V266" s="10"/>
      <c r="W266" s="10"/>
      <c r="X266" s="10"/>
      <c r="Y266" s="10"/>
      <c r="Z266" s="10"/>
      <c r="AA266" s="10"/>
    </row>
    <row r="267" spans="1:27" ht="12.5" x14ac:dyDescent="0.25">
      <c r="A267" s="10" t="s">
        <v>67</v>
      </c>
      <c r="B267" s="10" t="s">
        <v>851</v>
      </c>
      <c r="C267" s="10" t="s">
        <v>76</v>
      </c>
      <c r="D267" s="11">
        <v>2024</v>
      </c>
      <c r="E267" s="10" t="s">
        <v>81</v>
      </c>
      <c r="F267" s="10" t="s">
        <v>83</v>
      </c>
      <c r="G267" s="10" t="s">
        <v>84</v>
      </c>
      <c r="H267" s="12">
        <v>15865.166666666701</v>
      </c>
      <c r="I267" s="11">
        <v>655</v>
      </c>
      <c r="J267" s="11">
        <v>539</v>
      </c>
      <c r="K267" s="11">
        <v>8162</v>
      </c>
      <c r="L267" s="11">
        <v>4.1285415638033E-2</v>
      </c>
      <c r="M267" s="11">
        <v>4.1285415638032914</v>
      </c>
      <c r="N267" s="11">
        <v>0.82290076335877904</v>
      </c>
      <c r="O267" s="11">
        <v>0.51446040066813004</v>
      </c>
      <c r="P267" s="11">
        <v>0.43496621621621601</v>
      </c>
      <c r="Q267" s="11">
        <v>0.476190476190476</v>
      </c>
      <c r="R267" s="11">
        <v>0.48062015503875999</v>
      </c>
      <c r="S267" s="10" t="s">
        <v>84</v>
      </c>
      <c r="T267" s="10" t="s">
        <v>84</v>
      </c>
      <c r="U267" s="10"/>
      <c r="V267" s="10"/>
      <c r="W267" s="10"/>
      <c r="X267" s="10"/>
      <c r="Y267" s="10"/>
      <c r="Z267" s="10"/>
      <c r="AA267" s="10"/>
    </row>
    <row r="268" spans="1:27" ht="12.5" x14ac:dyDescent="0.25">
      <c r="A268" s="10" t="s">
        <v>65</v>
      </c>
      <c r="B268" s="10" t="s">
        <v>853</v>
      </c>
      <c r="C268" s="10" t="s">
        <v>76</v>
      </c>
      <c r="D268" s="11">
        <v>2024</v>
      </c>
      <c r="E268" s="10" t="s">
        <v>81</v>
      </c>
      <c r="F268" s="10" t="s">
        <v>83</v>
      </c>
      <c r="G268" s="10" t="s">
        <v>84</v>
      </c>
      <c r="H268" s="12">
        <v>2548.5</v>
      </c>
      <c r="I268" s="11">
        <v>105</v>
      </c>
      <c r="J268" s="11">
        <v>55</v>
      </c>
      <c r="K268" s="11">
        <v>5954</v>
      </c>
      <c r="L268" s="11">
        <v>4.1200706297822201E-2</v>
      </c>
      <c r="M268" s="11">
        <v>4.1200706297822247</v>
      </c>
      <c r="N268" s="11">
        <v>0.52380952380952395</v>
      </c>
      <c r="O268" s="11">
        <v>2.33627624092603</v>
      </c>
      <c r="P268" s="11">
        <v>0.43327702702702697</v>
      </c>
      <c r="Q268" s="11">
        <v>0.38461538461538503</v>
      </c>
      <c r="R268" s="11">
        <v>0.47868217054263601</v>
      </c>
      <c r="S268" s="10" t="s">
        <v>84</v>
      </c>
      <c r="T268" s="10" t="s">
        <v>84</v>
      </c>
      <c r="U268" s="10"/>
      <c r="V268" s="10"/>
      <c r="W268" s="10"/>
      <c r="X268" s="10"/>
      <c r="Y268" s="10"/>
      <c r="Z268" s="10"/>
      <c r="AA268" s="10"/>
    </row>
    <row r="269" spans="1:27" ht="12.5" x14ac:dyDescent="0.25">
      <c r="A269" s="10" t="s">
        <v>49</v>
      </c>
      <c r="B269" s="10" t="s">
        <v>856</v>
      </c>
      <c r="C269" s="10" t="s">
        <v>76</v>
      </c>
      <c r="D269" s="11">
        <v>2024</v>
      </c>
      <c r="E269" s="10" t="s">
        <v>81</v>
      </c>
      <c r="F269" s="10" t="s">
        <v>83</v>
      </c>
      <c r="G269" s="10" t="s">
        <v>84</v>
      </c>
      <c r="H269" s="12">
        <v>119248.91666666701</v>
      </c>
      <c r="I269" s="11">
        <v>4887</v>
      </c>
      <c r="J269" s="11">
        <v>4484</v>
      </c>
      <c r="K269" s="11">
        <v>75719</v>
      </c>
      <c r="L269" s="11">
        <v>4.0981504374253602E-2</v>
      </c>
      <c r="M269" s="11">
        <v>4.0981504374253452</v>
      </c>
      <c r="N269" s="11">
        <v>0.91753632085123804</v>
      </c>
      <c r="O269" s="11">
        <v>0.63496593609865104</v>
      </c>
      <c r="P269" s="11">
        <v>0.43243243243243201</v>
      </c>
      <c r="Q269" s="11">
        <v>0.53846153846153799</v>
      </c>
      <c r="R269" s="11">
        <v>0.47674418604651198</v>
      </c>
      <c r="S269" s="10" t="s">
        <v>84</v>
      </c>
      <c r="T269" s="10" t="s">
        <v>84</v>
      </c>
      <c r="U269" s="10"/>
      <c r="V269" s="10"/>
      <c r="W269" s="10"/>
      <c r="X269" s="10"/>
      <c r="Y269" s="10"/>
      <c r="Z269" s="10"/>
      <c r="AA269" s="10"/>
    </row>
    <row r="270" spans="1:27" ht="12.5" x14ac:dyDescent="0.25">
      <c r="A270" s="10" t="s">
        <v>86</v>
      </c>
      <c r="B270" s="10" t="s">
        <v>859</v>
      </c>
      <c r="C270" s="10" t="s">
        <v>76</v>
      </c>
      <c r="D270" s="11">
        <v>2024</v>
      </c>
      <c r="E270" s="10" t="s">
        <v>81</v>
      </c>
      <c r="F270" s="10" t="s">
        <v>83</v>
      </c>
      <c r="G270" s="10" t="s">
        <v>84</v>
      </c>
      <c r="H270" s="12">
        <v>87132.416666666701</v>
      </c>
      <c r="I270" s="11">
        <v>3516</v>
      </c>
      <c r="J270" s="11">
        <v>3175</v>
      </c>
      <c r="K270" s="11">
        <v>146112</v>
      </c>
      <c r="L270" s="11">
        <v>4.0352375551005203E-2</v>
      </c>
      <c r="M270" s="11">
        <v>4.0352375551005206</v>
      </c>
      <c r="N270" s="11">
        <v>0.90301478953356096</v>
      </c>
      <c r="O270" s="11">
        <v>1.6768959887680499</v>
      </c>
      <c r="P270" s="11">
        <v>0.42736486486486502</v>
      </c>
      <c r="Q270" s="11">
        <v>0.26086956521739102</v>
      </c>
      <c r="R270" s="11">
        <v>0.474806201550388</v>
      </c>
      <c r="S270" s="10" t="s">
        <v>84</v>
      </c>
      <c r="T270" s="10" t="s">
        <v>84</v>
      </c>
      <c r="U270" s="10"/>
      <c r="V270" s="10"/>
      <c r="W270" s="10"/>
      <c r="X270" s="10"/>
      <c r="Y270" s="10"/>
      <c r="Z270" s="10"/>
      <c r="AA270" s="10"/>
    </row>
    <row r="271" spans="1:27" ht="12.5" x14ac:dyDescent="0.25">
      <c r="A271" s="10" t="s">
        <v>26</v>
      </c>
      <c r="B271" s="10" t="s">
        <v>861</v>
      </c>
      <c r="C271" s="10" t="s">
        <v>76</v>
      </c>
      <c r="D271" s="11">
        <v>2024</v>
      </c>
      <c r="E271" s="10" t="s">
        <v>81</v>
      </c>
      <c r="F271" s="10" t="s">
        <v>83</v>
      </c>
      <c r="G271" s="10" t="s">
        <v>84</v>
      </c>
      <c r="H271" s="12">
        <v>4967.5</v>
      </c>
      <c r="I271" s="11">
        <v>198</v>
      </c>
      <c r="J271" s="11">
        <v>126</v>
      </c>
      <c r="K271" s="11">
        <v>12301</v>
      </c>
      <c r="L271" s="11">
        <v>3.9859084046301001E-2</v>
      </c>
      <c r="M271" s="11">
        <v>3.9859084046300959</v>
      </c>
      <c r="N271" s="11">
        <v>0.63636363636363602</v>
      </c>
      <c r="O271" s="11">
        <v>2.4762959235027702</v>
      </c>
      <c r="P271" s="11">
        <v>0.42145270270270302</v>
      </c>
      <c r="Q271" s="11">
        <v>7.69230769230769E-2</v>
      </c>
      <c r="R271" s="11">
        <v>0.47286821705426402</v>
      </c>
      <c r="S271" s="10" t="s">
        <v>84</v>
      </c>
      <c r="T271" s="10" t="s">
        <v>84</v>
      </c>
      <c r="U271" s="10"/>
      <c r="V271" s="10"/>
      <c r="W271" s="10"/>
      <c r="X271" s="10"/>
      <c r="Y271" s="10"/>
      <c r="Z271" s="10"/>
      <c r="AA271" s="10"/>
    </row>
    <row r="272" spans="1:27" ht="12.5" x14ac:dyDescent="0.25">
      <c r="A272" s="10" t="s">
        <v>34</v>
      </c>
      <c r="B272" s="10" t="s">
        <v>864</v>
      </c>
      <c r="C272" s="10" t="s">
        <v>76</v>
      </c>
      <c r="D272" s="11">
        <v>2024</v>
      </c>
      <c r="E272" s="10" t="s">
        <v>81</v>
      </c>
      <c r="F272" s="10" t="s">
        <v>83</v>
      </c>
      <c r="G272" s="10" t="s">
        <v>84</v>
      </c>
      <c r="H272" s="12">
        <v>146640.58333333299</v>
      </c>
      <c r="I272" s="11">
        <v>5645</v>
      </c>
      <c r="J272" s="11">
        <v>5622</v>
      </c>
      <c r="K272" s="11">
        <v>108935</v>
      </c>
      <c r="L272" s="11">
        <v>3.8495482435228497E-2</v>
      </c>
      <c r="M272" s="11">
        <v>3.8495482435228627</v>
      </c>
      <c r="N272" s="11">
        <v>0.99592559787422497</v>
      </c>
      <c r="O272" s="11">
        <v>0.742870749173006</v>
      </c>
      <c r="P272" s="11">
        <v>0.414695945945946</v>
      </c>
      <c r="Q272" s="11">
        <v>0.67346938775510201</v>
      </c>
      <c r="R272" s="11">
        <v>0.47093023255813998</v>
      </c>
      <c r="S272" s="10" t="s">
        <v>84</v>
      </c>
      <c r="T272" s="10" t="s">
        <v>84</v>
      </c>
      <c r="U272" s="10"/>
      <c r="V272" s="10"/>
      <c r="W272" s="10"/>
      <c r="X272" s="10"/>
      <c r="Y272" s="10"/>
      <c r="Z272" s="10"/>
      <c r="AA272" s="10"/>
    </row>
    <row r="273" spans="1:27" ht="12.5" x14ac:dyDescent="0.25">
      <c r="A273" s="10" t="s">
        <v>13</v>
      </c>
      <c r="B273" s="10" t="s">
        <v>865</v>
      </c>
      <c r="C273" s="10" t="s">
        <v>76</v>
      </c>
      <c r="D273" s="11">
        <v>2024</v>
      </c>
      <c r="E273" s="10" t="s">
        <v>81</v>
      </c>
      <c r="F273" s="10" t="s">
        <v>83</v>
      </c>
      <c r="G273" s="10" t="s">
        <v>84</v>
      </c>
      <c r="H273" s="12">
        <v>8475.9166666666697</v>
      </c>
      <c r="I273" s="11">
        <v>326</v>
      </c>
      <c r="J273" s="11">
        <v>200</v>
      </c>
      <c r="K273" s="11">
        <v>21291</v>
      </c>
      <c r="L273" s="11">
        <v>3.8461916606856703E-2</v>
      </c>
      <c r="M273" s="11">
        <v>3.8461916606856668</v>
      </c>
      <c r="N273" s="11">
        <v>0.61349693251533699</v>
      </c>
      <c r="O273" s="11">
        <v>2.5119406947134499</v>
      </c>
      <c r="P273" s="11">
        <v>0.41385135135135098</v>
      </c>
      <c r="Q273" s="11">
        <v>0.19047619047618999</v>
      </c>
      <c r="R273" s="11">
        <v>0.468992248062016</v>
      </c>
      <c r="S273" s="10" t="s">
        <v>84</v>
      </c>
      <c r="T273" s="10" t="s">
        <v>84</v>
      </c>
      <c r="U273" s="10"/>
      <c r="V273" s="10"/>
      <c r="W273" s="10"/>
      <c r="X273" s="10"/>
      <c r="Y273" s="10"/>
      <c r="Z273" s="10"/>
      <c r="AA273" s="10"/>
    </row>
    <row r="274" spans="1:27" ht="12.5" x14ac:dyDescent="0.25">
      <c r="A274" s="10" t="s">
        <v>96</v>
      </c>
      <c r="B274" s="10" t="s">
        <v>867</v>
      </c>
      <c r="C274" s="10" t="s">
        <v>76</v>
      </c>
      <c r="D274" s="11">
        <v>2024</v>
      </c>
      <c r="E274" s="10" t="s">
        <v>81</v>
      </c>
      <c r="F274" s="10" t="s">
        <v>83</v>
      </c>
      <c r="G274" s="10" t="s">
        <v>84</v>
      </c>
      <c r="H274" s="12">
        <v>21452.75</v>
      </c>
      <c r="I274" s="11">
        <v>819</v>
      </c>
      <c r="J274" s="11">
        <v>706</v>
      </c>
      <c r="K274" s="11">
        <v>13736</v>
      </c>
      <c r="L274" s="11">
        <v>3.8176923704420197E-2</v>
      </c>
      <c r="M274" s="11">
        <v>3.8176923704420176</v>
      </c>
      <c r="N274" s="11">
        <v>0.86202686202686196</v>
      </c>
      <c r="O274" s="11">
        <v>0.64029087179965305</v>
      </c>
      <c r="P274" s="11">
        <v>0.41047297297297303</v>
      </c>
      <c r="Q274" s="11">
        <v>0.64705882352941202</v>
      </c>
      <c r="R274" s="11">
        <v>0.46705426356589103</v>
      </c>
      <c r="S274" s="10" t="s">
        <v>84</v>
      </c>
      <c r="T274" s="10" t="s">
        <v>84</v>
      </c>
      <c r="U274" s="10"/>
      <c r="V274" s="10"/>
      <c r="W274" s="10"/>
      <c r="X274" s="10"/>
      <c r="Y274" s="10"/>
      <c r="Z274" s="10"/>
      <c r="AA274" s="10"/>
    </row>
    <row r="275" spans="1:27" ht="12.5" x14ac:dyDescent="0.25">
      <c r="A275" s="10" t="s">
        <v>13</v>
      </c>
      <c r="B275" s="10" t="s">
        <v>869</v>
      </c>
      <c r="C275" s="10" t="s">
        <v>76</v>
      </c>
      <c r="D275" s="11">
        <v>2024</v>
      </c>
      <c r="E275" s="10" t="s">
        <v>81</v>
      </c>
      <c r="F275" s="10" t="s">
        <v>83</v>
      </c>
      <c r="G275" s="10" t="s">
        <v>84</v>
      </c>
      <c r="H275" s="12">
        <v>17754.666666666701</v>
      </c>
      <c r="I275" s="11">
        <v>677</v>
      </c>
      <c r="J275" s="11">
        <v>733</v>
      </c>
      <c r="K275" s="11">
        <v>994</v>
      </c>
      <c r="L275" s="11">
        <v>3.8130820066085903E-2</v>
      </c>
      <c r="M275" s="11">
        <v>3.813082006608584</v>
      </c>
      <c r="N275" s="11">
        <v>1.0827178729689799</v>
      </c>
      <c r="O275" s="11">
        <v>5.5985280865124699E-2</v>
      </c>
      <c r="P275" s="11">
        <v>0.40793918918918898</v>
      </c>
      <c r="Q275" s="11">
        <v>0.14285714285714299</v>
      </c>
      <c r="R275" s="11">
        <v>0.46511627906976699</v>
      </c>
      <c r="S275" s="10" t="s">
        <v>84</v>
      </c>
      <c r="T275" s="10" t="s">
        <v>84</v>
      </c>
      <c r="U275" s="10"/>
      <c r="V275" s="10"/>
      <c r="W275" s="10"/>
      <c r="X275" s="10"/>
      <c r="Y275" s="10"/>
      <c r="Z275" s="10"/>
      <c r="AA275" s="10"/>
    </row>
    <row r="276" spans="1:27" ht="12.5" x14ac:dyDescent="0.25">
      <c r="A276" s="10" t="s">
        <v>104</v>
      </c>
      <c r="B276" s="10" t="s">
        <v>871</v>
      </c>
      <c r="C276" s="10" t="s">
        <v>76</v>
      </c>
      <c r="D276" s="11">
        <v>2024</v>
      </c>
      <c r="E276" s="10" t="s">
        <v>81</v>
      </c>
      <c r="F276" s="10" t="s">
        <v>83</v>
      </c>
      <c r="G276" s="10" t="s">
        <v>84</v>
      </c>
      <c r="H276" s="12">
        <v>49161.583333333299</v>
      </c>
      <c r="I276" s="11">
        <v>1869</v>
      </c>
      <c r="J276" s="11">
        <v>1752</v>
      </c>
      <c r="K276" s="11">
        <v>4201</v>
      </c>
      <c r="L276" s="11">
        <v>3.80174899438755E-2</v>
      </c>
      <c r="M276" s="11">
        <v>3.8017489943875575</v>
      </c>
      <c r="N276" s="11">
        <v>0.93739967897271304</v>
      </c>
      <c r="O276" s="11">
        <v>8.5452902757742699E-2</v>
      </c>
      <c r="P276" s="11">
        <v>0.40709459459459502</v>
      </c>
      <c r="Q276" s="11">
        <v>0.37931034482758602</v>
      </c>
      <c r="R276" s="11">
        <v>0.46317829457364301</v>
      </c>
      <c r="S276" s="10" t="s">
        <v>84</v>
      </c>
      <c r="T276" s="10" t="s">
        <v>84</v>
      </c>
      <c r="U276" s="10"/>
      <c r="V276" s="10"/>
      <c r="W276" s="10"/>
      <c r="X276" s="10"/>
      <c r="Y276" s="10"/>
      <c r="Z276" s="10"/>
      <c r="AA276" s="10"/>
    </row>
    <row r="277" spans="1:27" ht="12.5" x14ac:dyDescent="0.25">
      <c r="A277" s="10" t="s">
        <v>65</v>
      </c>
      <c r="B277" s="10" t="s">
        <v>872</v>
      </c>
      <c r="C277" s="10" t="s">
        <v>76</v>
      </c>
      <c r="D277" s="11">
        <v>2024</v>
      </c>
      <c r="E277" s="10" t="s">
        <v>81</v>
      </c>
      <c r="F277" s="10" t="s">
        <v>83</v>
      </c>
      <c r="G277" s="10" t="s">
        <v>84</v>
      </c>
      <c r="H277" s="12">
        <v>2299.3333333333298</v>
      </c>
      <c r="I277" s="11">
        <v>87</v>
      </c>
      <c r="J277" s="11">
        <v>64</v>
      </c>
      <c r="K277" s="11">
        <v>592</v>
      </c>
      <c r="L277" s="11">
        <v>3.7837054218614101E-2</v>
      </c>
      <c r="M277" s="11">
        <v>3.783705421861415</v>
      </c>
      <c r="N277" s="11">
        <v>0.73563218390804597</v>
      </c>
      <c r="O277" s="11">
        <v>0.25746593215424801</v>
      </c>
      <c r="P277" s="11">
        <v>0.40540540540540498</v>
      </c>
      <c r="Q277" s="11">
        <v>0.30769230769230799</v>
      </c>
      <c r="R277" s="11">
        <v>0.46124031007751898</v>
      </c>
      <c r="S277" s="10" t="s">
        <v>84</v>
      </c>
      <c r="T277" s="10" t="s">
        <v>84</v>
      </c>
      <c r="U277" s="10"/>
      <c r="V277" s="10"/>
      <c r="W277" s="10"/>
      <c r="X277" s="10"/>
      <c r="Y277" s="10"/>
      <c r="Z277" s="10"/>
      <c r="AA277" s="10"/>
    </row>
    <row r="278" spans="1:27" ht="12.5" x14ac:dyDescent="0.25">
      <c r="A278" s="10" t="s">
        <v>98</v>
      </c>
      <c r="B278" s="10" t="s">
        <v>874</v>
      </c>
      <c r="C278" s="10" t="s">
        <v>76</v>
      </c>
      <c r="D278" s="11">
        <v>2024</v>
      </c>
      <c r="E278" s="10" t="s">
        <v>81</v>
      </c>
      <c r="F278" s="10" t="s">
        <v>83</v>
      </c>
      <c r="G278" s="10" t="s">
        <v>84</v>
      </c>
      <c r="H278" s="12">
        <v>162580.16666666701</v>
      </c>
      <c r="I278" s="11">
        <v>6080</v>
      </c>
      <c r="J278" s="11">
        <v>5080</v>
      </c>
      <c r="K278" s="11">
        <v>233490</v>
      </c>
      <c r="L278" s="11">
        <v>3.7396935460557397E-2</v>
      </c>
      <c r="M278" s="11">
        <v>3.7396935460557326</v>
      </c>
      <c r="N278" s="11">
        <v>0.83552631578947401</v>
      </c>
      <c r="O278" s="11">
        <v>1.4361530362969701</v>
      </c>
      <c r="P278" s="11">
        <v>0.40202702702702697</v>
      </c>
      <c r="Q278" s="11">
        <v>0.42857142857142899</v>
      </c>
      <c r="R278" s="11">
        <v>0.459302325581395</v>
      </c>
      <c r="S278" s="10" t="s">
        <v>84</v>
      </c>
      <c r="T278" s="10" t="s">
        <v>84</v>
      </c>
      <c r="U278" s="10"/>
      <c r="V278" s="10"/>
      <c r="W278" s="10"/>
      <c r="X278" s="10"/>
      <c r="Y278" s="10"/>
      <c r="Z278" s="10"/>
      <c r="AA278" s="10"/>
    </row>
    <row r="279" spans="1:27" ht="12.5" x14ac:dyDescent="0.25">
      <c r="A279" s="10" t="s">
        <v>12</v>
      </c>
      <c r="B279" s="10" t="s">
        <v>876</v>
      </c>
      <c r="C279" s="10" t="s">
        <v>76</v>
      </c>
      <c r="D279" s="11">
        <v>2024</v>
      </c>
      <c r="E279" s="10" t="s">
        <v>81</v>
      </c>
      <c r="F279" s="10" t="s">
        <v>83</v>
      </c>
      <c r="G279" s="10" t="s">
        <v>84</v>
      </c>
      <c r="H279" s="12">
        <v>17684.5</v>
      </c>
      <c r="I279" s="11">
        <v>659</v>
      </c>
      <c r="J279" s="11">
        <v>494</v>
      </c>
      <c r="K279" s="11">
        <v>41474</v>
      </c>
      <c r="L279" s="11">
        <v>3.7264270971754901E-2</v>
      </c>
      <c r="M279" s="11">
        <v>3.7264270971754927</v>
      </c>
      <c r="N279" s="11">
        <v>0.74962063732928697</v>
      </c>
      <c r="O279" s="11">
        <v>2.3452175634029802</v>
      </c>
      <c r="P279" s="11">
        <v>0.40118243243243201</v>
      </c>
      <c r="Q279" s="11">
        <v>0.26388888888888901</v>
      </c>
      <c r="R279" s="11">
        <v>0.45736434108527102</v>
      </c>
      <c r="S279" s="10" t="s">
        <v>84</v>
      </c>
      <c r="T279" s="10" t="s">
        <v>84</v>
      </c>
      <c r="U279" s="10"/>
      <c r="V279" s="10"/>
      <c r="W279" s="10"/>
      <c r="X279" s="10"/>
      <c r="Y279" s="10"/>
      <c r="Z279" s="10"/>
      <c r="AA279" s="10"/>
    </row>
    <row r="280" spans="1:27" ht="12.5" x14ac:dyDescent="0.25">
      <c r="A280" s="10" t="s">
        <v>110</v>
      </c>
      <c r="B280" s="10" t="s">
        <v>878</v>
      </c>
      <c r="C280" s="10" t="s">
        <v>76</v>
      </c>
      <c r="D280" s="11">
        <v>2024</v>
      </c>
      <c r="E280" s="10" t="s">
        <v>81</v>
      </c>
      <c r="F280" s="10" t="s">
        <v>83</v>
      </c>
      <c r="G280" s="10" t="s">
        <v>84</v>
      </c>
      <c r="H280" s="12">
        <v>5808.1666666666697</v>
      </c>
      <c r="I280" s="11">
        <v>214</v>
      </c>
      <c r="J280" s="11">
        <v>196</v>
      </c>
      <c r="K280" s="11">
        <v>6453</v>
      </c>
      <c r="L280" s="11">
        <v>3.6844672730924802E-2</v>
      </c>
      <c r="M280" s="11">
        <v>3.684467273092483</v>
      </c>
      <c r="N280" s="11">
        <v>0.91588785046729004</v>
      </c>
      <c r="O280" s="11">
        <v>1.1110218370685001</v>
      </c>
      <c r="P280" s="11">
        <v>0.39949324324324298</v>
      </c>
      <c r="Q280" s="11">
        <v>0.57575757575757602</v>
      </c>
      <c r="R280" s="11">
        <v>0.45542635658914699</v>
      </c>
      <c r="S280" s="10" t="s">
        <v>84</v>
      </c>
      <c r="T280" s="10" t="s">
        <v>84</v>
      </c>
      <c r="U280" s="10"/>
      <c r="V280" s="10"/>
      <c r="W280" s="10"/>
      <c r="X280" s="10"/>
      <c r="Y280" s="10"/>
      <c r="Z280" s="10"/>
      <c r="AA280" s="10"/>
    </row>
    <row r="281" spans="1:27" ht="12.5" x14ac:dyDescent="0.25">
      <c r="A281" s="10" t="s">
        <v>25</v>
      </c>
      <c r="B281" s="10" t="s">
        <v>879</v>
      </c>
      <c r="C281" s="10" t="s">
        <v>76</v>
      </c>
      <c r="D281" s="11">
        <v>2024</v>
      </c>
      <c r="E281" s="10" t="s">
        <v>81</v>
      </c>
      <c r="F281" s="10" t="s">
        <v>83</v>
      </c>
      <c r="G281" s="10" t="s">
        <v>84</v>
      </c>
      <c r="H281" s="12">
        <v>85280.416666666701</v>
      </c>
      <c r="I281" s="11">
        <v>3113</v>
      </c>
      <c r="J281" s="11">
        <v>2468</v>
      </c>
      <c r="K281" s="11">
        <v>57524</v>
      </c>
      <c r="L281" s="11">
        <v>3.6503104952778302E-2</v>
      </c>
      <c r="M281" s="11">
        <v>3.6503104952778322</v>
      </c>
      <c r="N281" s="11">
        <v>0.79280436877610005</v>
      </c>
      <c r="O281" s="11">
        <v>0.67452766119615204</v>
      </c>
      <c r="P281" s="11">
        <v>0.39864864864864902</v>
      </c>
      <c r="Q281" s="11">
        <v>0.25</v>
      </c>
      <c r="R281" s="11">
        <v>0.45348837209302301</v>
      </c>
      <c r="S281" s="10" t="s">
        <v>84</v>
      </c>
      <c r="T281" s="10" t="s">
        <v>84</v>
      </c>
      <c r="U281" s="10"/>
      <c r="V281" s="10"/>
      <c r="W281" s="10"/>
      <c r="X281" s="10"/>
      <c r="Y281" s="10"/>
      <c r="Z281" s="10"/>
      <c r="AA281" s="10"/>
    </row>
    <row r="282" spans="1:27" ht="12.5" x14ac:dyDescent="0.25">
      <c r="A282" s="10" t="s">
        <v>14</v>
      </c>
      <c r="B282" s="10" t="s">
        <v>881</v>
      </c>
      <c r="C282" s="10" t="s">
        <v>76</v>
      </c>
      <c r="D282" s="11">
        <v>2024</v>
      </c>
      <c r="E282" s="10" t="s">
        <v>81</v>
      </c>
      <c r="F282" s="10" t="s">
        <v>83</v>
      </c>
      <c r="G282" s="10" t="s">
        <v>84</v>
      </c>
      <c r="H282" s="12">
        <v>20052.75</v>
      </c>
      <c r="I282" s="11">
        <v>721</v>
      </c>
      <c r="J282" s="11">
        <v>324</v>
      </c>
      <c r="K282" s="11">
        <v>65921</v>
      </c>
      <c r="L282" s="11">
        <v>3.59551682437571E-2</v>
      </c>
      <c r="M282" s="11">
        <v>3.5955168243757094</v>
      </c>
      <c r="N282" s="11">
        <v>0.44937586685159497</v>
      </c>
      <c r="O282" s="11">
        <v>3.28737953647255</v>
      </c>
      <c r="P282" s="11">
        <v>0.39273648648648701</v>
      </c>
      <c r="Q282" s="11">
        <v>7.1428571428571397E-2</v>
      </c>
      <c r="R282" s="11">
        <v>0.45155038759689903</v>
      </c>
      <c r="S282" s="10" t="s">
        <v>84</v>
      </c>
      <c r="T282" s="10" t="s">
        <v>84</v>
      </c>
      <c r="U282" s="10"/>
      <c r="V282" s="10"/>
      <c r="W282" s="10"/>
      <c r="X282" s="10"/>
      <c r="Y282" s="10"/>
      <c r="Z282" s="10"/>
      <c r="AA282" s="10"/>
    </row>
    <row r="283" spans="1:27" ht="12.5" x14ac:dyDescent="0.25">
      <c r="A283" s="10" t="s">
        <v>10</v>
      </c>
      <c r="B283" s="10" t="s">
        <v>884</v>
      </c>
      <c r="C283" s="10" t="s">
        <v>76</v>
      </c>
      <c r="D283" s="11">
        <v>2024</v>
      </c>
      <c r="E283" s="10" t="s">
        <v>81</v>
      </c>
      <c r="F283" s="10" t="s">
        <v>83</v>
      </c>
      <c r="G283" s="10" t="s">
        <v>84</v>
      </c>
      <c r="H283" s="12">
        <v>17745.166666666701</v>
      </c>
      <c r="I283" s="11">
        <v>633</v>
      </c>
      <c r="J283" s="11">
        <v>153</v>
      </c>
      <c r="K283" s="11">
        <v>8207</v>
      </c>
      <c r="L283" s="11">
        <v>3.5671685247626102E-2</v>
      </c>
      <c r="M283" s="11">
        <v>3.5671685247626046</v>
      </c>
      <c r="N283" s="11">
        <v>0.24170616113744101</v>
      </c>
      <c r="O283" s="11">
        <v>0.46249213400832201</v>
      </c>
      <c r="P283" s="11">
        <v>0.391891891891892</v>
      </c>
      <c r="Q283" s="11">
        <v>0.3</v>
      </c>
      <c r="R283" s="11">
        <v>0.44961240310077499</v>
      </c>
      <c r="S283" s="10" t="s">
        <v>84</v>
      </c>
      <c r="T283" s="10" t="s">
        <v>84</v>
      </c>
      <c r="U283" s="10"/>
      <c r="V283" s="10"/>
      <c r="W283" s="10"/>
      <c r="X283" s="10"/>
      <c r="Y283" s="10"/>
      <c r="Z283" s="10"/>
      <c r="AA283" s="10"/>
    </row>
    <row r="284" spans="1:27" ht="12.5" x14ac:dyDescent="0.25">
      <c r="A284" s="10" t="s">
        <v>104</v>
      </c>
      <c r="B284" s="10" t="s">
        <v>886</v>
      </c>
      <c r="C284" s="10" t="s">
        <v>76</v>
      </c>
      <c r="D284" s="11">
        <v>2024</v>
      </c>
      <c r="E284" s="10" t="s">
        <v>81</v>
      </c>
      <c r="F284" s="10" t="s">
        <v>83</v>
      </c>
      <c r="G284" s="10" t="s">
        <v>84</v>
      </c>
      <c r="H284" s="12">
        <v>20017.583333333299</v>
      </c>
      <c r="I284" s="11">
        <v>712</v>
      </c>
      <c r="J284" s="11">
        <v>555</v>
      </c>
      <c r="K284" s="11">
        <v>5327</v>
      </c>
      <c r="L284" s="11">
        <v>3.55687291589478E-2</v>
      </c>
      <c r="M284" s="11">
        <v>3.5568729158947821</v>
      </c>
      <c r="N284" s="11">
        <v>0.77949438202247201</v>
      </c>
      <c r="O284" s="11">
        <v>0.26611603964847602</v>
      </c>
      <c r="P284" s="11">
        <v>0.39104729729729698</v>
      </c>
      <c r="Q284" s="11">
        <v>0.34482758620689702</v>
      </c>
      <c r="R284" s="11">
        <v>0.44767441860465101</v>
      </c>
      <c r="S284" s="10" t="s">
        <v>84</v>
      </c>
      <c r="T284" s="10" t="s">
        <v>84</v>
      </c>
      <c r="U284" s="10"/>
      <c r="V284" s="10"/>
      <c r="W284" s="10"/>
      <c r="X284" s="10"/>
      <c r="Y284" s="10"/>
      <c r="Z284" s="10"/>
      <c r="AA284" s="10"/>
    </row>
    <row r="285" spans="1:27" ht="12.5" x14ac:dyDescent="0.25">
      <c r="A285" s="10" t="s">
        <v>25</v>
      </c>
      <c r="B285" s="10" t="s">
        <v>888</v>
      </c>
      <c r="C285" s="10" t="s">
        <v>76</v>
      </c>
      <c r="D285" s="11">
        <v>2024</v>
      </c>
      <c r="E285" s="10" t="s">
        <v>81</v>
      </c>
      <c r="F285" s="10" t="s">
        <v>83</v>
      </c>
      <c r="G285" s="10" t="s">
        <v>84</v>
      </c>
      <c r="H285" s="12">
        <v>34489.25</v>
      </c>
      <c r="I285" s="11">
        <v>1203</v>
      </c>
      <c r="J285" s="11">
        <v>1183</v>
      </c>
      <c r="K285" s="11">
        <v>24741</v>
      </c>
      <c r="L285" s="11">
        <v>3.4880433758345E-2</v>
      </c>
      <c r="M285" s="11">
        <v>3.4880433758344993</v>
      </c>
      <c r="N285" s="11">
        <v>0.98337489609310103</v>
      </c>
      <c r="O285" s="11">
        <v>0.71735395811738401</v>
      </c>
      <c r="P285" s="11">
        <v>0.389358108108108</v>
      </c>
      <c r="Q285" s="11">
        <v>0.1875</v>
      </c>
      <c r="R285" s="11">
        <v>0.44573643410852698</v>
      </c>
      <c r="S285" s="10" t="s">
        <v>84</v>
      </c>
      <c r="T285" s="10" t="s">
        <v>84</v>
      </c>
      <c r="U285" s="10"/>
      <c r="V285" s="10"/>
      <c r="W285" s="10"/>
      <c r="X285" s="10"/>
      <c r="Y285" s="10"/>
      <c r="Z285" s="10"/>
      <c r="AA285" s="10"/>
    </row>
    <row r="286" spans="1:27" ht="12.5" x14ac:dyDescent="0.25">
      <c r="A286" s="10" t="s">
        <v>77</v>
      </c>
      <c r="B286" s="10" t="s">
        <v>889</v>
      </c>
      <c r="C286" s="10" t="s">
        <v>76</v>
      </c>
      <c r="D286" s="11">
        <v>2024</v>
      </c>
      <c r="E286" s="10" t="s">
        <v>81</v>
      </c>
      <c r="F286" s="10" t="s">
        <v>83</v>
      </c>
      <c r="G286" s="10" t="s">
        <v>84</v>
      </c>
      <c r="H286" s="12">
        <v>9772</v>
      </c>
      <c r="I286" s="11">
        <v>340</v>
      </c>
      <c r="J286" s="11">
        <v>338</v>
      </c>
      <c r="K286" s="11">
        <v>13069</v>
      </c>
      <c r="L286" s="11">
        <v>3.4793286942284098E-2</v>
      </c>
      <c r="M286" s="11">
        <v>3.4793286942284078</v>
      </c>
      <c r="N286" s="11">
        <v>0.99411764705882399</v>
      </c>
      <c r="O286" s="11">
        <v>1.33739255014327</v>
      </c>
      <c r="P286" s="11">
        <v>0.38766891891891903</v>
      </c>
      <c r="Q286" s="11">
        <v>0.5</v>
      </c>
      <c r="R286" s="11">
        <v>0.443798449612403</v>
      </c>
      <c r="S286" s="10" t="s">
        <v>84</v>
      </c>
      <c r="T286" s="10" t="s">
        <v>84</v>
      </c>
      <c r="U286" s="10"/>
      <c r="V286" s="10"/>
      <c r="W286" s="10"/>
      <c r="X286" s="10"/>
      <c r="Y286" s="10"/>
      <c r="Z286" s="10"/>
      <c r="AA286" s="10"/>
    </row>
    <row r="287" spans="1:27" ht="12.5" x14ac:dyDescent="0.25">
      <c r="A287" s="10" t="s">
        <v>62</v>
      </c>
      <c r="B287" s="10" t="s">
        <v>892</v>
      </c>
      <c r="C287" s="10" t="s">
        <v>76</v>
      </c>
      <c r="D287" s="11">
        <v>2024</v>
      </c>
      <c r="E287" s="10" t="s">
        <v>81</v>
      </c>
      <c r="F287" s="10" t="s">
        <v>83</v>
      </c>
      <c r="G287" s="10" t="s">
        <v>84</v>
      </c>
      <c r="H287" s="12">
        <v>8428.0833333333303</v>
      </c>
      <c r="I287" s="11">
        <v>293</v>
      </c>
      <c r="J287" s="11">
        <v>204</v>
      </c>
      <c r="K287" s="11">
        <v>629</v>
      </c>
      <c r="L287" s="11">
        <v>3.4764725075887203E-2</v>
      </c>
      <c r="M287" s="11">
        <v>3.4764725075887175</v>
      </c>
      <c r="N287" s="11">
        <v>0.69624573378839605</v>
      </c>
      <c r="O287" s="11">
        <v>7.4631440521273101E-2</v>
      </c>
      <c r="P287" s="11">
        <v>0.38682432432432401</v>
      </c>
      <c r="Q287" s="11">
        <v>0.38888888888888901</v>
      </c>
      <c r="R287" s="11">
        <v>0.44186046511627902</v>
      </c>
      <c r="S287" s="10" t="s">
        <v>84</v>
      </c>
      <c r="T287" s="10" t="s">
        <v>84</v>
      </c>
      <c r="U287" s="10"/>
      <c r="V287" s="10"/>
      <c r="W287" s="10"/>
      <c r="X287" s="10"/>
      <c r="Y287" s="10"/>
      <c r="Z287" s="10"/>
      <c r="AA287" s="10"/>
    </row>
    <row r="288" spans="1:27" ht="12.5" x14ac:dyDescent="0.25">
      <c r="A288" s="10" t="s">
        <v>10</v>
      </c>
      <c r="B288" s="10" t="s">
        <v>894</v>
      </c>
      <c r="C288" s="10" t="s">
        <v>76</v>
      </c>
      <c r="D288" s="11">
        <v>2024</v>
      </c>
      <c r="E288" s="10" t="s">
        <v>81</v>
      </c>
      <c r="F288" s="10" t="s">
        <v>83</v>
      </c>
      <c r="G288" s="10" t="s">
        <v>84</v>
      </c>
      <c r="H288" s="12">
        <v>19257.583333333299</v>
      </c>
      <c r="I288" s="11">
        <v>667</v>
      </c>
      <c r="J288" s="11">
        <v>248</v>
      </c>
      <c r="K288" s="11">
        <v>6368</v>
      </c>
      <c r="L288" s="11">
        <v>3.4635706280210003E-2</v>
      </c>
      <c r="M288" s="11">
        <v>3.4635706280210026</v>
      </c>
      <c r="N288" s="11">
        <v>0.37181409295352302</v>
      </c>
      <c r="O288" s="11">
        <v>0.330674928924103</v>
      </c>
      <c r="P288" s="11">
        <v>0.38597972972972999</v>
      </c>
      <c r="Q288" s="11">
        <v>0.266666666666667</v>
      </c>
      <c r="R288" s="11">
        <v>0.43992248062015499</v>
      </c>
      <c r="S288" s="10" t="s">
        <v>84</v>
      </c>
      <c r="T288" s="10" t="s">
        <v>84</v>
      </c>
      <c r="U288" s="10"/>
      <c r="V288" s="10"/>
      <c r="W288" s="10"/>
      <c r="X288" s="10"/>
      <c r="Y288" s="10"/>
      <c r="Z288" s="10"/>
      <c r="AA288" s="10"/>
    </row>
    <row r="289" spans="1:27" ht="12.5" x14ac:dyDescent="0.25">
      <c r="A289" s="10" t="s">
        <v>42</v>
      </c>
      <c r="B289" s="10" t="s">
        <v>896</v>
      </c>
      <c r="C289" s="10" t="s">
        <v>76</v>
      </c>
      <c r="D289" s="11">
        <v>2024</v>
      </c>
      <c r="E289" s="10" t="s">
        <v>81</v>
      </c>
      <c r="F289" s="10" t="s">
        <v>83</v>
      </c>
      <c r="G289" s="10" t="s">
        <v>84</v>
      </c>
      <c r="H289" s="12">
        <v>30338.416666666701</v>
      </c>
      <c r="I289" s="11">
        <v>1042</v>
      </c>
      <c r="J289" s="11">
        <v>815</v>
      </c>
      <c r="K289" s="11">
        <v>25971</v>
      </c>
      <c r="L289" s="11">
        <v>3.4345892583935098E-2</v>
      </c>
      <c r="M289" s="11">
        <v>3.4345892583935069</v>
      </c>
      <c r="N289" s="11">
        <v>0.78214971209213002</v>
      </c>
      <c r="O289" s="11">
        <v>0.85604335537176501</v>
      </c>
      <c r="P289" s="11">
        <v>0.38429054054054002</v>
      </c>
      <c r="Q289" s="11">
        <v>0.38095238095238099</v>
      </c>
      <c r="R289" s="11">
        <v>0.43798449612403101</v>
      </c>
      <c r="S289" s="10" t="s">
        <v>84</v>
      </c>
      <c r="T289" s="10" t="s">
        <v>84</v>
      </c>
      <c r="U289" s="10"/>
      <c r="V289" s="10"/>
      <c r="W289" s="10"/>
      <c r="X289" s="10"/>
      <c r="Y289" s="10"/>
      <c r="Z289" s="10"/>
      <c r="AA289" s="10"/>
    </row>
    <row r="290" spans="1:27" ht="12.5" x14ac:dyDescent="0.25">
      <c r="A290" s="10" t="s">
        <v>32</v>
      </c>
      <c r="B290" s="10" t="s">
        <v>898</v>
      </c>
      <c r="C290" s="10" t="s">
        <v>76</v>
      </c>
      <c r="D290" s="11">
        <v>2024</v>
      </c>
      <c r="E290" s="10" t="s">
        <v>81</v>
      </c>
      <c r="F290" s="10" t="s">
        <v>83</v>
      </c>
      <c r="G290" s="10" t="s">
        <v>84</v>
      </c>
      <c r="H290" s="12">
        <v>12208.416666666701</v>
      </c>
      <c r="I290" s="11">
        <v>417</v>
      </c>
      <c r="J290" s="11">
        <v>356</v>
      </c>
      <c r="K290" s="11">
        <v>0</v>
      </c>
      <c r="L290" s="11">
        <v>3.4156763435061903E-2</v>
      </c>
      <c r="M290" s="11">
        <v>3.4156763435061785</v>
      </c>
      <c r="N290" s="11">
        <v>0.85371702637889701</v>
      </c>
      <c r="O290" s="11">
        <v>0</v>
      </c>
      <c r="P290" s="11">
        <v>0.38260135135135098</v>
      </c>
      <c r="Q290" s="11">
        <v>0.20689655172413801</v>
      </c>
      <c r="R290" s="11">
        <v>0.43604651162790697</v>
      </c>
      <c r="S290" s="10" t="s">
        <v>84</v>
      </c>
      <c r="T290" s="10" t="s">
        <v>84</v>
      </c>
      <c r="U290" s="10"/>
      <c r="V290" s="10"/>
      <c r="W290" s="10"/>
      <c r="X290" s="10"/>
      <c r="Y290" s="10"/>
      <c r="Z290" s="10"/>
      <c r="AA290" s="10"/>
    </row>
    <row r="291" spans="1:27" ht="12.5" x14ac:dyDescent="0.25">
      <c r="A291" s="10" t="s">
        <v>42</v>
      </c>
      <c r="B291" s="10" t="s">
        <v>900</v>
      </c>
      <c r="C291" s="10" t="s">
        <v>76</v>
      </c>
      <c r="D291" s="11">
        <v>2024</v>
      </c>
      <c r="E291" s="10" t="s">
        <v>81</v>
      </c>
      <c r="F291" s="10" t="s">
        <v>83</v>
      </c>
      <c r="G291" s="10" t="s">
        <v>84</v>
      </c>
      <c r="H291" s="12">
        <v>3850.8333333333298</v>
      </c>
      <c r="I291" s="11">
        <v>131</v>
      </c>
      <c r="J291" s="11">
        <v>107</v>
      </c>
      <c r="K291" s="11">
        <v>677</v>
      </c>
      <c r="L291" s="11">
        <v>3.40186106903268E-2</v>
      </c>
      <c r="M291" s="11">
        <v>3.4018610690326803</v>
      </c>
      <c r="N291" s="11">
        <v>0.81679389312977102</v>
      </c>
      <c r="O291" s="11">
        <v>0.17580610257519999</v>
      </c>
      <c r="P291" s="11">
        <v>0.380912162162162</v>
      </c>
      <c r="Q291" s="11">
        <v>0.35714285714285698</v>
      </c>
      <c r="R291" s="11">
        <v>0.434108527131783</v>
      </c>
      <c r="S291" s="10" t="s">
        <v>84</v>
      </c>
      <c r="T291" s="10" t="s">
        <v>84</v>
      </c>
      <c r="U291" s="10"/>
      <c r="V291" s="10"/>
      <c r="W291" s="10"/>
      <c r="X291" s="10"/>
      <c r="Y291" s="10"/>
      <c r="Z291" s="10"/>
      <c r="AA291" s="10"/>
    </row>
    <row r="292" spans="1:27" ht="12.5" x14ac:dyDescent="0.25">
      <c r="A292" s="10" t="s">
        <v>36</v>
      </c>
      <c r="B292" s="10" t="s">
        <v>902</v>
      </c>
      <c r="C292" s="10" t="s">
        <v>76</v>
      </c>
      <c r="D292" s="11">
        <v>2024</v>
      </c>
      <c r="E292" s="10" t="s">
        <v>81</v>
      </c>
      <c r="F292" s="10" t="s">
        <v>83</v>
      </c>
      <c r="G292" s="10" t="s">
        <v>84</v>
      </c>
      <c r="H292" s="12">
        <v>16369.333333333299</v>
      </c>
      <c r="I292" s="11">
        <v>554</v>
      </c>
      <c r="J292" s="11">
        <v>495</v>
      </c>
      <c r="K292" s="11">
        <v>40149</v>
      </c>
      <c r="L292" s="11">
        <v>3.3843772908690999E-2</v>
      </c>
      <c r="M292" s="11">
        <v>3.3843772908691117</v>
      </c>
      <c r="N292" s="11">
        <v>0.893501805054152</v>
      </c>
      <c r="O292" s="11">
        <v>2.4526960983953701</v>
      </c>
      <c r="P292" s="11">
        <v>0.37922297297297303</v>
      </c>
      <c r="Q292" s="11">
        <v>0.25531914893617003</v>
      </c>
      <c r="R292" s="11">
        <v>0.43217054263565902</v>
      </c>
      <c r="S292" s="10" t="s">
        <v>84</v>
      </c>
      <c r="T292" s="10" t="s">
        <v>84</v>
      </c>
      <c r="U292" s="10"/>
      <c r="V292" s="10"/>
      <c r="W292" s="10"/>
      <c r="X292" s="10"/>
      <c r="Y292" s="10"/>
      <c r="Z292" s="10"/>
      <c r="AA292" s="10"/>
    </row>
    <row r="293" spans="1:27" ht="12.5" x14ac:dyDescent="0.25">
      <c r="A293" s="10" t="s">
        <v>91</v>
      </c>
      <c r="B293" s="10" t="s">
        <v>904</v>
      </c>
      <c r="C293" s="10" t="s">
        <v>76</v>
      </c>
      <c r="D293" s="11">
        <v>2024</v>
      </c>
      <c r="E293" s="10" t="s">
        <v>81</v>
      </c>
      <c r="F293" s="10" t="s">
        <v>83</v>
      </c>
      <c r="G293" s="10" t="s">
        <v>84</v>
      </c>
      <c r="H293" s="12">
        <v>51469.583333333299</v>
      </c>
      <c r="I293" s="11">
        <v>1740</v>
      </c>
      <c r="J293" s="11">
        <v>1727</v>
      </c>
      <c r="K293" s="11">
        <v>7959</v>
      </c>
      <c r="L293" s="11">
        <v>3.3806374314927098E-2</v>
      </c>
      <c r="M293" s="11">
        <v>3.3806374314927128</v>
      </c>
      <c r="N293" s="11">
        <v>0.99252873563218402</v>
      </c>
      <c r="O293" s="11">
        <v>0.15463501906465801</v>
      </c>
      <c r="P293" s="11">
        <v>0.37668918918918898</v>
      </c>
      <c r="Q293" s="11">
        <v>0.6</v>
      </c>
      <c r="R293" s="11">
        <v>0.43023255813953498</v>
      </c>
      <c r="S293" s="10" t="s">
        <v>84</v>
      </c>
      <c r="T293" s="10" t="s">
        <v>84</v>
      </c>
      <c r="U293" s="10"/>
      <c r="V293" s="10"/>
      <c r="W293" s="10"/>
      <c r="X293" s="10"/>
      <c r="Y293" s="10"/>
      <c r="Z293" s="10"/>
      <c r="AA293" s="10"/>
    </row>
    <row r="294" spans="1:27" ht="12.5" x14ac:dyDescent="0.25">
      <c r="A294" s="10" t="s">
        <v>104</v>
      </c>
      <c r="B294" s="10" t="s">
        <v>906</v>
      </c>
      <c r="C294" s="10" t="s">
        <v>76</v>
      </c>
      <c r="D294" s="11">
        <v>2024</v>
      </c>
      <c r="E294" s="10" t="s">
        <v>81</v>
      </c>
      <c r="F294" s="10" t="s">
        <v>83</v>
      </c>
      <c r="G294" s="10" t="s">
        <v>84</v>
      </c>
      <c r="H294" s="12">
        <v>6624.4166666666697</v>
      </c>
      <c r="I294" s="11">
        <v>222</v>
      </c>
      <c r="J294" s="11">
        <v>194</v>
      </c>
      <c r="K294" s="11">
        <v>3701</v>
      </c>
      <c r="L294" s="11">
        <v>3.3512384738278798E-2</v>
      </c>
      <c r="M294" s="11">
        <v>3.3512384738278826</v>
      </c>
      <c r="N294" s="11">
        <v>0.87387387387387405</v>
      </c>
      <c r="O294" s="11">
        <v>0.55869070232599105</v>
      </c>
      <c r="P294" s="11">
        <v>0.37415540540540498</v>
      </c>
      <c r="Q294" s="11">
        <v>0.31034482758620702</v>
      </c>
      <c r="R294" s="11">
        <v>0.428294573643411</v>
      </c>
      <c r="S294" s="10" t="s">
        <v>84</v>
      </c>
      <c r="T294" s="10" t="s">
        <v>84</v>
      </c>
      <c r="U294" s="10"/>
      <c r="V294" s="10"/>
      <c r="W294" s="10"/>
      <c r="X294" s="10"/>
      <c r="Y294" s="10"/>
      <c r="Z294" s="10"/>
      <c r="AA294" s="10"/>
    </row>
    <row r="295" spans="1:27" ht="12.5" x14ac:dyDescent="0.25">
      <c r="A295" s="10" t="s">
        <v>112</v>
      </c>
      <c r="B295" s="10" t="s">
        <v>840</v>
      </c>
      <c r="C295" s="10" t="s">
        <v>76</v>
      </c>
      <c r="D295" s="11">
        <v>2024</v>
      </c>
      <c r="E295" s="10" t="s">
        <v>81</v>
      </c>
      <c r="F295" s="10" t="s">
        <v>83</v>
      </c>
      <c r="G295" s="10" t="s">
        <v>84</v>
      </c>
      <c r="H295" s="12">
        <v>901</v>
      </c>
      <c r="I295" s="11">
        <v>30</v>
      </c>
      <c r="J295" s="11">
        <v>28</v>
      </c>
      <c r="K295" s="11">
        <v>87</v>
      </c>
      <c r="L295" s="11">
        <v>3.3296337402885699E-2</v>
      </c>
      <c r="M295" s="11">
        <v>3.3296337402885685</v>
      </c>
      <c r="N295" s="11">
        <v>0.93333333333333302</v>
      </c>
      <c r="O295" s="11">
        <v>9.6559378468368498E-2</v>
      </c>
      <c r="P295" s="11">
        <v>0.37246621621621601</v>
      </c>
      <c r="Q295" s="11">
        <v>0.83333333333333304</v>
      </c>
      <c r="R295" s="11">
        <v>0.42635658914728702</v>
      </c>
      <c r="S295" s="10" t="s">
        <v>84</v>
      </c>
      <c r="T295" s="10" t="s">
        <v>84</v>
      </c>
      <c r="U295" s="10"/>
      <c r="V295" s="10"/>
      <c r="W295" s="10"/>
      <c r="X295" s="10"/>
      <c r="Y295" s="10"/>
      <c r="Z295" s="10"/>
      <c r="AA295" s="10"/>
    </row>
    <row r="296" spans="1:27" ht="12.5" x14ac:dyDescent="0.25">
      <c r="A296" s="10" t="s">
        <v>42</v>
      </c>
      <c r="B296" s="10" t="s">
        <v>908</v>
      </c>
      <c r="C296" s="10" t="s">
        <v>76</v>
      </c>
      <c r="D296" s="11">
        <v>2024</v>
      </c>
      <c r="E296" s="10" t="s">
        <v>81</v>
      </c>
      <c r="F296" s="10" t="s">
        <v>83</v>
      </c>
      <c r="G296" s="10" t="s">
        <v>84</v>
      </c>
      <c r="H296" s="12">
        <v>14710.5</v>
      </c>
      <c r="I296" s="11">
        <v>488</v>
      </c>
      <c r="J296" s="11">
        <v>367</v>
      </c>
      <c r="K296" s="11">
        <v>4376</v>
      </c>
      <c r="L296" s="11">
        <v>3.3173583494782603E-2</v>
      </c>
      <c r="M296" s="11">
        <v>3.3173583494782637</v>
      </c>
      <c r="N296" s="11">
        <v>0.75204918032786905</v>
      </c>
      <c r="O296" s="11">
        <v>0.29747459297780499</v>
      </c>
      <c r="P296" s="11">
        <v>0.369087837837838</v>
      </c>
      <c r="Q296" s="11">
        <v>0.33333333333333298</v>
      </c>
      <c r="R296" s="11">
        <v>0.42441860465116299</v>
      </c>
      <c r="S296" s="10" t="s">
        <v>84</v>
      </c>
      <c r="T296" s="10" t="s">
        <v>84</v>
      </c>
      <c r="U296" s="10"/>
      <c r="V296" s="10"/>
      <c r="W296" s="10"/>
      <c r="X296" s="10"/>
      <c r="Y296" s="10"/>
      <c r="Z296" s="10"/>
      <c r="AA296" s="10"/>
    </row>
    <row r="297" spans="1:27" ht="12.5" x14ac:dyDescent="0.25">
      <c r="A297" s="10" t="s">
        <v>62</v>
      </c>
      <c r="B297" s="10" t="s">
        <v>910</v>
      </c>
      <c r="C297" s="10" t="s">
        <v>76</v>
      </c>
      <c r="D297" s="11">
        <v>2024</v>
      </c>
      <c r="E297" s="10" t="s">
        <v>81</v>
      </c>
      <c r="F297" s="10" t="s">
        <v>83</v>
      </c>
      <c r="G297" s="10" t="s">
        <v>84</v>
      </c>
      <c r="H297" s="12">
        <v>14979</v>
      </c>
      <c r="I297" s="11">
        <v>492</v>
      </c>
      <c r="J297" s="11">
        <v>394</v>
      </c>
      <c r="K297" s="11">
        <v>1503</v>
      </c>
      <c r="L297" s="11">
        <v>3.2845984378129398E-2</v>
      </c>
      <c r="M297" s="11">
        <v>3.2845984378129383</v>
      </c>
      <c r="N297" s="11">
        <v>0.80081300813008105</v>
      </c>
      <c r="O297" s="11">
        <v>0.10034047666733401</v>
      </c>
      <c r="P297" s="11">
        <v>0.36739864864864902</v>
      </c>
      <c r="Q297" s="11">
        <v>0.33333333333333298</v>
      </c>
      <c r="R297" s="11">
        <v>0.42248062015503901</v>
      </c>
      <c r="S297" s="10" t="s">
        <v>84</v>
      </c>
      <c r="T297" s="10" t="s">
        <v>84</v>
      </c>
      <c r="U297" s="10"/>
      <c r="V297" s="10"/>
      <c r="W297" s="10"/>
      <c r="X297" s="10"/>
      <c r="Y297" s="10"/>
      <c r="Z297" s="10"/>
      <c r="AA297" s="10"/>
    </row>
    <row r="298" spans="1:27" ht="12.5" x14ac:dyDescent="0.25">
      <c r="A298" s="10" t="s">
        <v>34</v>
      </c>
      <c r="B298" s="10" t="s">
        <v>912</v>
      </c>
      <c r="C298" s="10" t="s">
        <v>76</v>
      </c>
      <c r="D298" s="11">
        <v>2024</v>
      </c>
      <c r="E298" s="10" t="s">
        <v>81</v>
      </c>
      <c r="F298" s="10" t="s">
        <v>83</v>
      </c>
      <c r="G298" s="10" t="s">
        <v>84</v>
      </c>
      <c r="H298" s="12">
        <v>21538.083333333299</v>
      </c>
      <c r="I298" s="11">
        <v>706</v>
      </c>
      <c r="J298" s="11">
        <v>656</v>
      </c>
      <c r="K298" s="11">
        <v>16699</v>
      </c>
      <c r="L298" s="11">
        <v>3.2779147014783898E-2</v>
      </c>
      <c r="M298" s="11">
        <v>3.277914701478394</v>
      </c>
      <c r="N298" s="11">
        <v>0.92917847025495703</v>
      </c>
      <c r="O298" s="11">
        <v>0.77532432861172296</v>
      </c>
      <c r="P298" s="11">
        <v>0.366554054054054</v>
      </c>
      <c r="Q298" s="11">
        <v>0.65306122448979598</v>
      </c>
      <c r="R298" s="11">
        <v>0.42054263565891498</v>
      </c>
      <c r="S298" s="10" t="s">
        <v>84</v>
      </c>
      <c r="T298" s="10" t="s">
        <v>84</v>
      </c>
      <c r="U298" s="10"/>
      <c r="V298" s="10"/>
      <c r="W298" s="10"/>
      <c r="X298" s="10"/>
      <c r="Y298" s="10"/>
      <c r="Z298" s="10"/>
      <c r="AA298" s="10"/>
    </row>
    <row r="299" spans="1:27" ht="12.5" x14ac:dyDescent="0.25">
      <c r="A299" s="10" t="s">
        <v>77</v>
      </c>
      <c r="B299" s="10" t="s">
        <v>914</v>
      </c>
      <c r="C299" s="10" t="s">
        <v>76</v>
      </c>
      <c r="D299" s="11">
        <v>2024</v>
      </c>
      <c r="E299" s="10" t="s">
        <v>81</v>
      </c>
      <c r="F299" s="10" t="s">
        <v>83</v>
      </c>
      <c r="G299" s="10" t="s">
        <v>84</v>
      </c>
      <c r="H299" s="12">
        <v>8463.75</v>
      </c>
      <c r="I299" s="11">
        <v>277</v>
      </c>
      <c r="J299" s="11">
        <v>211</v>
      </c>
      <c r="K299" s="11">
        <v>1052</v>
      </c>
      <c r="L299" s="11">
        <v>3.2727809776990101E-2</v>
      </c>
      <c r="M299" s="11">
        <v>3.2727809776990107</v>
      </c>
      <c r="N299" s="11">
        <v>0.76173285198555996</v>
      </c>
      <c r="O299" s="11">
        <v>0.12429478658986901</v>
      </c>
      <c r="P299" s="11">
        <v>0.36570945945945998</v>
      </c>
      <c r="Q299" s="11">
        <v>0.46428571428571402</v>
      </c>
      <c r="R299" s="11">
        <v>0.418604651162791</v>
      </c>
      <c r="S299" s="10" t="s">
        <v>84</v>
      </c>
      <c r="T299" s="10" t="s">
        <v>84</v>
      </c>
      <c r="U299" s="10"/>
      <c r="V299" s="10"/>
      <c r="W299" s="10"/>
      <c r="X299" s="10"/>
      <c r="Y299" s="10"/>
      <c r="Z299" s="10"/>
      <c r="AA299" s="10"/>
    </row>
    <row r="300" spans="1:27" ht="12.5" x14ac:dyDescent="0.25">
      <c r="A300" s="10" t="s">
        <v>10</v>
      </c>
      <c r="B300" s="10" t="s">
        <v>915</v>
      </c>
      <c r="C300" s="10" t="s">
        <v>76</v>
      </c>
      <c r="D300" s="11">
        <v>2024</v>
      </c>
      <c r="E300" s="10" t="s">
        <v>81</v>
      </c>
      <c r="F300" s="10" t="s">
        <v>83</v>
      </c>
      <c r="G300" s="10" t="s">
        <v>84</v>
      </c>
      <c r="H300" s="12">
        <v>4379.1666666666697</v>
      </c>
      <c r="I300" s="11">
        <v>142</v>
      </c>
      <c r="J300" s="11">
        <v>128</v>
      </c>
      <c r="K300" s="11">
        <v>2360</v>
      </c>
      <c r="L300" s="11">
        <v>3.2426260704091298E-2</v>
      </c>
      <c r="M300" s="11">
        <v>3.2426260704091319</v>
      </c>
      <c r="N300" s="11">
        <v>0.90140845070422504</v>
      </c>
      <c r="O300" s="11">
        <v>0.53891531874405296</v>
      </c>
      <c r="P300" s="11">
        <v>0.36317567567567599</v>
      </c>
      <c r="Q300" s="11">
        <v>0.233333333333333</v>
      </c>
      <c r="R300" s="11">
        <v>0.41666666666666702</v>
      </c>
      <c r="S300" s="10" t="s">
        <v>84</v>
      </c>
      <c r="T300" s="10" t="s">
        <v>84</v>
      </c>
      <c r="U300" s="10"/>
      <c r="V300" s="10"/>
      <c r="W300" s="10"/>
      <c r="X300" s="10"/>
      <c r="Y300" s="10"/>
      <c r="Z300" s="10"/>
      <c r="AA300" s="10"/>
    </row>
    <row r="301" spans="1:27" ht="12.5" x14ac:dyDescent="0.25">
      <c r="A301" s="10" t="s">
        <v>80</v>
      </c>
      <c r="B301" s="10" t="s">
        <v>917</v>
      </c>
      <c r="C301" s="10" t="s">
        <v>76</v>
      </c>
      <c r="D301" s="11">
        <v>2024</v>
      </c>
      <c r="E301" s="10" t="s">
        <v>81</v>
      </c>
      <c r="F301" s="10" t="s">
        <v>83</v>
      </c>
      <c r="G301" s="10" t="s">
        <v>84</v>
      </c>
      <c r="H301" s="12">
        <v>23693.583333333299</v>
      </c>
      <c r="I301" s="11">
        <v>768</v>
      </c>
      <c r="J301" s="11">
        <v>919</v>
      </c>
      <c r="K301" s="11">
        <v>2607</v>
      </c>
      <c r="L301" s="11">
        <v>3.2413839189935401E-2</v>
      </c>
      <c r="M301" s="11">
        <v>3.2413839189935434</v>
      </c>
      <c r="N301" s="11">
        <v>1.1966145833333299</v>
      </c>
      <c r="O301" s="11">
        <v>0.11002979006271001</v>
      </c>
      <c r="P301" s="11">
        <v>0.36233108108108097</v>
      </c>
      <c r="Q301" s="11">
        <v>0.5</v>
      </c>
      <c r="R301" s="11">
        <v>0.41472868217054298</v>
      </c>
      <c r="S301" s="10" t="s">
        <v>84</v>
      </c>
      <c r="T301" s="10" t="s">
        <v>84</v>
      </c>
      <c r="U301" s="10"/>
      <c r="V301" s="10"/>
      <c r="W301" s="10"/>
      <c r="X301" s="10"/>
      <c r="Y301" s="10"/>
      <c r="Z301" s="10"/>
      <c r="AA301" s="10"/>
    </row>
    <row r="302" spans="1:27" ht="12.5" x14ac:dyDescent="0.25">
      <c r="A302" s="10" t="s">
        <v>77</v>
      </c>
      <c r="B302" s="10" t="s">
        <v>919</v>
      </c>
      <c r="C302" s="10" t="s">
        <v>76</v>
      </c>
      <c r="D302" s="11">
        <v>2024</v>
      </c>
      <c r="E302" s="10" t="s">
        <v>81</v>
      </c>
      <c r="F302" s="10" t="s">
        <v>83</v>
      </c>
      <c r="G302" s="10" t="s">
        <v>84</v>
      </c>
      <c r="H302" s="12">
        <v>15730.583333333299</v>
      </c>
      <c r="I302" s="11">
        <v>506</v>
      </c>
      <c r="J302" s="11">
        <v>494</v>
      </c>
      <c r="K302" s="11">
        <v>7920</v>
      </c>
      <c r="L302" s="11">
        <v>3.21666392960634E-2</v>
      </c>
      <c r="M302" s="11">
        <v>3.2166639296063471</v>
      </c>
      <c r="N302" s="11">
        <v>0.97628458498023696</v>
      </c>
      <c r="O302" s="11">
        <v>0.50347783246012301</v>
      </c>
      <c r="P302" s="11">
        <v>0.35979729729729698</v>
      </c>
      <c r="Q302" s="11">
        <v>0.42857142857142899</v>
      </c>
      <c r="R302" s="11">
        <v>0.412790697674419</v>
      </c>
      <c r="S302" s="10" t="s">
        <v>84</v>
      </c>
      <c r="T302" s="10" t="s">
        <v>84</v>
      </c>
      <c r="U302" s="10"/>
      <c r="V302" s="10"/>
      <c r="W302" s="10"/>
      <c r="X302" s="10"/>
      <c r="Y302" s="10"/>
      <c r="Z302" s="10"/>
      <c r="AA302" s="10"/>
    </row>
    <row r="303" spans="1:27" ht="12.5" x14ac:dyDescent="0.25">
      <c r="A303" s="10" t="s">
        <v>25</v>
      </c>
      <c r="B303" s="10" t="s">
        <v>920</v>
      </c>
      <c r="C303" s="10" t="s">
        <v>76</v>
      </c>
      <c r="D303" s="11">
        <v>2024</v>
      </c>
      <c r="E303" s="10" t="s">
        <v>81</v>
      </c>
      <c r="F303" s="10" t="s">
        <v>83</v>
      </c>
      <c r="G303" s="10" t="s">
        <v>84</v>
      </c>
      <c r="H303" s="12">
        <v>17743.333333333299</v>
      </c>
      <c r="I303" s="11">
        <v>570</v>
      </c>
      <c r="J303" s="11">
        <v>434</v>
      </c>
      <c r="K303" s="11">
        <v>15668</v>
      </c>
      <c r="L303" s="11">
        <v>3.21247416870186E-2</v>
      </c>
      <c r="M303" s="11">
        <v>3.2124741687018661</v>
      </c>
      <c r="N303" s="11">
        <v>0.76140350877192997</v>
      </c>
      <c r="O303" s="11">
        <v>0.88303588202141703</v>
      </c>
      <c r="P303" s="11">
        <v>0.35895270270270302</v>
      </c>
      <c r="Q303" s="11">
        <v>0.125</v>
      </c>
      <c r="R303" s="11">
        <v>0.41085271317829503</v>
      </c>
      <c r="S303" s="10" t="s">
        <v>84</v>
      </c>
      <c r="T303" s="10" t="s">
        <v>84</v>
      </c>
      <c r="U303" s="10"/>
      <c r="V303" s="10"/>
      <c r="W303" s="10"/>
      <c r="X303" s="10"/>
      <c r="Y303" s="10"/>
      <c r="Z303" s="10"/>
      <c r="AA303" s="10"/>
    </row>
    <row r="304" spans="1:27" ht="12.5" x14ac:dyDescent="0.25">
      <c r="A304" s="10" t="s">
        <v>32</v>
      </c>
      <c r="B304" s="10" t="s">
        <v>922</v>
      </c>
      <c r="C304" s="10" t="s">
        <v>76</v>
      </c>
      <c r="D304" s="11">
        <v>2024</v>
      </c>
      <c r="E304" s="10" t="s">
        <v>81</v>
      </c>
      <c r="F304" s="10" t="s">
        <v>83</v>
      </c>
      <c r="G304" s="10" t="s">
        <v>84</v>
      </c>
      <c r="H304" s="12">
        <v>68334</v>
      </c>
      <c r="I304" s="11">
        <v>2183</v>
      </c>
      <c r="J304" s="11">
        <v>1942</v>
      </c>
      <c r="K304" s="11">
        <v>2149</v>
      </c>
      <c r="L304" s="11">
        <v>3.1946029794831299E-2</v>
      </c>
      <c r="M304" s="11">
        <v>3.1946029794831272</v>
      </c>
      <c r="N304" s="11">
        <v>0.88960146587265199</v>
      </c>
      <c r="O304" s="11">
        <v>3.1448473673427603E-2</v>
      </c>
      <c r="P304" s="11">
        <v>0.35472972972972999</v>
      </c>
      <c r="Q304" s="11">
        <v>0.17241379310344801</v>
      </c>
      <c r="R304" s="11">
        <v>0.40891472868217099</v>
      </c>
      <c r="S304" s="10" t="s">
        <v>84</v>
      </c>
      <c r="T304" s="10" t="s">
        <v>84</v>
      </c>
      <c r="U304" s="10"/>
      <c r="V304" s="10"/>
      <c r="W304" s="10"/>
      <c r="X304" s="10"/>
      <c r="Y304" s="10"/>
      <c r="Z304" s="10"/>
      <c r="AA304" s="10"/>
    </row>
    <row r="305" spans="1:27" ht="12.5" x14ac:dyDescent="0.25">
      <c r="A305" s="10" t="s">
        <v>36</v>
      </c>
      <c r="B305" s="10" t="s">
        <v>924</v>
      </c>
      <c r="C305" s="10" t="s">
        <v>76</v>
      </c>
      <c r="D305" s="11">
        <v>2024</v>
      </c>
      <c r="E305" s="10" t="s">
        <v>81</v>
      </c>
      <c r="F305" s="10" t="s">
        <v>83</v>
      </c>
      <c r="G305" s="10" t="s">
        <v>84</v>
      </c>
      <c r="H305" s="12">
        <v>50014.416666666701</v>
      </c>
      <c r="I305" s="11">
        <v>1596</v>
      </c>
      <c r="J305" s="11">
        <v>1274</v>
      </c>
      <c r="K305" s="11">
        <v>5433</v>
      </c>
      <c r="L305" s="11">
        <v>3.1910799052939698E-2</v>
      </c>
      <c r="M305" s="11">
        <v>3.1910799052939711</v>
      </c>
      <c r="N305" s="11">
        <v>0.79824561403508798</v>
      </c>
      <c r="O305" s="11">
        <v>0.108628678730966</v>
      </c>
      <c r="P305" s="11">
        <v>0.35388513513513498</v>
      </c>
      <c r="Q305" s="11">
        <v>0.23404255319148901</v>
      </c>
      <c r="R305" s="11">
        <v>0.40697674418604701</v>
      </c>
      <c r="S305" s="10" t="s">
        <v>84</v>
      </c>
      <c r="T305" s="10" t="s">
        <v>84</v>
      </c>
      <c r="U305" s="10"/>
      <c r="V305" s="10"/>
      <c r="W305" s="10"/>
      <c r="X305" s="10"/>
      <c r="Y305" s="10"/>
      <c r="Z305" s="10"/>
      <c r="AA305" s="10"/>
    </row>
    <row r="306" spans="1:27" ht="12.5" x14ac:dyDescent="0.25">
      <c r="A306" s="10" t="s">
        <v>101</v>
      </c>
      <c r="B306" s="10" t="s">
        <v>926</v>
      </c>
      <c r="C306" s="10" t="s">
        <v>76</v>
      </c>
      <c r="D306" s="11">
        <v>2024</v>
      </c>
      <c r="E306" s="10" t="s">
        <v>81</v>
      </c>
      <c r="F306" s="10" t="s">
        <v>83</v>
      </c>
      <c r="G306" s="10" t="s">
        <v>84</v>
      </c>
      <c r="H306" s="12">
        <v>51788.666666666701</v>
      </c>
      <c r="I306" s="11">
        <v>1642</v>
      </c>
      <c r="J306" s="11">
        <v>1381</v>
      </c>
      <c r="K306" s="11">
        <v>36609</v>
      </c>
      <c r="L306" s="11">
        <v>3.1705778613081402E-2</v>
      </c>
      <c r="M306" s="11">
        <v>3.1705778613081348</v>
      </c>
      <c r="N306" s="11">
        <v>0.84104750304506704</v>
      </c>
      <c r="O306" s="11">
        <v>0.70689211281747599</v>
      </c>
      <c r="P306" s="11">
        <v>0.352195945945946</v>
      </c>
      <c r="Q306" s="11">
        <v>0.42857142857142899</v>
      </c>
      <c r="R306" s="11">
        <v>0.40503875968992198</v>
      </c>
      <c r="S306" s="10" t="s">
        <v>84</v>
      </c>
      <c r="T306" s="10" t="s">
        <v>84</v>
      </c>
      <c r="U306" s="10"/>
      <c r="V306" s="10"/>
      <c r="W306" s="10"/>
      <c r="X306" s="10"/>
      <c r="Y306" s="10"/>
      <c r="Z306" s="10"/>
      <c r="AA306" s="10"/>
    </row>
    <row r="307" spans="1:27" ht="12.5" x14ac:dyDescent="0.25">
      <c r="A307" s="10" t="s">
        <v>25</v>
      </c>
      <c r="B307" s="10" t="s">
        <v>928</v>
      </c>
      <c r="C307" s="10" t="s">
        <v>76</v>
      </c>
      <c r="D307" s="11">
        <v>2024</v>
      </c>
      <c r="E307" s="10" t="s">
        <v>81</v>
      </c>
      <c r="F307" s="10" t="s">
        <v>83</v>
      </c>
      <c r="G307" s="10" t="s">
        <v>84</v>
      </c>
      <c r="H307" s="12">
        <v>165917.83333333299</v>
      </c>
      <c r="I307" s="11">
        <v>5252</v>
      </c>
      <c r="J307" s="11">
        <v>4841</v>
      </c>
      <c r="K307" s="11">
        <v>68458</v>
      </c>
      <c r="L307" s="11">
        <v>3.1654222421339098E-2</v>
      </c>
      <c r="M307" s="11">
        <v>3.1654222421339142</v>
      </c>
      <c r="N307" s="11">
        <v>0.92174409748667196</v>
      </c>
      <c r="O307" s="11">
        <v>0.412601819977157</v>
      </c>
      <c r="P307" s="11">
        <v>0.35135135135135098</v>
      </c>
      <c r="Q307" s="11">
        <v>6.25E-2</v>
      </c>
      <c r="R307" s="11">
        <v>0.403100775193798</v>
      </c>
      <c r="S307" s="10" t="s">
        <v>84</v>
      </c>
      <c r="T307" s="10" t="s">
        <v>84</v>
      </c>
      <c r="U307" s="10"/>
      <c r="V307" s="10"/>
      <c r="W307" s="10"/>
      <c r="X307" s="10"/>
      <c r="Y307" s="10"/>
      <c r="Z307" s="10"/>
      <c r="AA307" s="10"/>
    </row>
    <row r="308" spans="1:27" ht="12.5" x14ac:dyDescent="0.25">
      <c r="A308" s="10" t="s">
        <v>34</v>
      </c>
      <c r="B308" s="10" t="s">
        <v>930</v>
      </c>
      <c r="C308" s="10" t="s">
        <v>76</v>
      </c>
      <c r="D308" s="11">
        <v>2024</v>
      </c>
      <c r="E308" s="10" t="s">
        <v>81</v>
      </c>
      <c r="F308" s="10" t="s">
        <v>83</v>
      </c>
      <c r="G308" s="10" t="s">
        <v>84</v>
      </c>
      <c r="H308" s="12">
        <v>18359.916666666701</v>
      </c>
      <c r="I308" s="11">
        <v>577</v>
      </c>
      <c r="J308" s="11">
        <v>509</v>
      </c>
      <c r="K308" s="11">
        <v>10217</v>
      </c>
      <c r="L308" s="11">
        <v>3.1427157893781303E-2</v>
      </c>
      <c r="M308" s="11">
        <v>3.1427157893781232</v>
      </c>
      <c r="N308" s="11">
        <v>0.88214904679376105</v>
      </c>
      <c r="O308" s="11">
        <v>0.55648400728035297</v>
      </c>
      <c r="P308" s="11">
        <v>0.349662162162162</v>
      </c>
      <c r="Q308" s="11">
        <v>0.63265306122449005</v>
      </c>
      <c r="R308" s="11">
        <v>0.40116279069767402</v>
      </c>
      <c r="S308" s="10" t="s">
        <v>84</v>
      </c>
      <c r="T308" s="10" t="s">
        <v>84</v>
      </c>
      <c r="U308" s="10"/>
      <c r="V308" s="10"/>
      <c r="W308" s="10"/>
      <c r="X308" s="10"/>
      <c r="Y308" s="10"/>
      <c r="Z308" s="10"/>
      <c r="AA308" s="10"/>
    </row>
    <row r="309" spans="1:27" ht="12.5" x14ac:dyDescent="0.25">
      <c r="A309" s="10" t="s">
        <v>32</v>
      </c>
      <c r="B309" s="10" t="s">
        <v>931</v>
      </c>
      <c r="C309" s="10" t="s">
        <v>76</v>
      </c>
      <c r="D309" s="11">
        <v>2024</v>
      </c>
      <c r="E309" s="10" t="s">
        <v>81</v>
      </c>
      <c r="F309" s="10" t="s">
        <v>83</v>
      </c>
      <c r="G309" s="10" t="s">
        <v>84</v>
      </c>
      <c r="H309" s="12">
        <v>59685.25</v>
      </c>
      <c r="I309" s="11">
        <v>1804</v>
      </c>
      <c r="J309" s="11">
        <v>1523</v>
      </c>
      <c r="K309" s="11">
        <v>20124</v>
      </c>
      <c r="L309" s="11">
        <v>3.02252231497732E-2</v>
      </c>
      <c r="M309" s="11">
        <v>3.0225223149773184</v>
      </c>
      <c r="N309" s="11">
        <v>0.84423503325942395</v>
      </c>
      <c r="O309" s="11">
        <v>0.33716873096786898</v>
      </c>
      <c r="P309" s="11">
        <v>0.34290540540540498</v>
      </c>
      <c r="Q309" s="11">
        <v>0.13793103448275901</v>
      </c>
      <c r="R309" s="11">
        <v>0.39922480620154999</v>
      </c>
      <c r="S309" s="10" t="s">
        <v>84</v>
      </c>
      <c r="T309" s="10" t="s">
        <v>84</v>
      </c>
      <c r="U309" s="10"/>
      <c r="V309" s="10"/>
      <c r="W309" s="10"/>
      <c r="X309" s="10"/>
      <c r="Y309" s="10"/>
      <c r="Z309" s="10"/>
      <c r="AA309" s="10"/>
    </row>
    <row r="310" spans="1:27" ht="12.5" x14ac:dyDescent="0.25">
      <c r="A310" s="10" t="s">
        <v>42</v>
      </c>
      <c r="B310" s="10" t="s">
        <v>933</v>
      </c>
      <c r="C310" s="10" t="s">
        <v>76</v>
      </c>
      <c r="D310" s="11">
        <v>2024</v>
      </c>
      <c r="E310" s="10" t="s">
        <v>81</v>
      </c>
      <c r="F310" s="10" t="s">
        <v>83</v>
      </c>
      <c r="G310" s="10" t="s">
        <v>84</v>
      </c>
      <c r="H310" s="12">
        <v>30609.5</v>
      </c>
      <c r="I310" s="11">
        <v>921</v>
      </c>
      <c r="J310" s="11">
        <v>847</v>
      </c>
      <c r="K310" s="11">
        <v>5084</v>
      </c>
      <c r="L310" s="11">
        <v>3.00886979532498E-2</v>
      </c>
      <c r="M310" s="11">
        <v>3.0088697953249808</v>
      </c>
      <c r="N310" s="11">
        <v>0.91965255157437598</v>
      </c>
      <c r="O310" s="11">
        <v>0.166092226269622</v>
      </c>
      <c r="P310" s="11">
        <v>0.34121621621621601</v>
      </c>
      <c r="Q310" s="11">
        <v>0.30952380952380998</v>
      </c>
      <c r="R310" s="11">
        <v>0.39728682170542601</v>
      </c>
      <c r="S310" s="10" t="s">
        <v>84</v>
      </c>
      <c r="T310" s="10" t="s">
        <v>84</v>
      </c>
      <c r="U310" s="10"/>
      <c r="V310" s="10"/>
      <c r="W310" s="10"/>
      <c r="X310" s="10"/>
      <c r="Y310" s="10"/>
      <c r="Z310" s="10"/>
      <c r="AA310" s="10"/>
    </row>
    <row r="311" spans="1:27" ht="12.5" x14ac:dyDescent="0.25">
      <c r="A311" s="10" t="s">
        <v>58</v>
      </c>
      <c r="B311" s="10" t="s">
        <v>935</v>
      </c>
      <c r="C311" s="10" t="s">
        <v>76</v>
      </c>
      <c r="D311" s="11">
        <v>2024</v>
      </c>
      <c r="E311" s="10" t="s">
        <v>81</v>
      </c>
      <c r="F311" s="10" t="s">
        <v>83</v>
      </c>
      <c r="G311" s="10" t="s">
        <v>84</v>
      </c>
      <c r="H311" s="12">
        <v>56857.916666666701</v>
      </c>
      <c r="I311" s="11">
        <v>1676</v>
      </c>
      <c r="J311" s="11">
        <v>922</v>
      </c>
      <c r="K311" s="11">
        <v>101973</v>
      </c>
      <c r="L311" s="11">
        <v>2.9476985761290899E-2</v>
      </c>
      <c r="M311" s="11">
        <v>2.9476985761290919</v>
      </c>
      <c r="N311" s="11">
        <v>0.55011933174224303</v>
      </c>
      <c r="O311" s="11">
        <v>1.79347056625067</v>
      </c>
      <c r="P311" s="11">
        <v>0.33952702702702697</v>
      </c>
      <c r="Q311" s="11">
        <v>2.7027027027027001E-2</v>
      </c>
      <c r="R311" s="11">
        <v>0.39534883720930197</v>
      </c>
      <c r="S311" s="10" t="s">
        <v>84</v>
      </c>
      <c r="T311" s="10" t="s">
        <v>84</v>
      </c>
      <c r="U311" s="10"/>
      <c r="V311" s="10"/>
      <c r="W311" s="10"/>
      <c r="X311" s="10"/>
      <c r="Y311" s="10"/>
      <c r="Z311" s="10"/>
      <c r="AA311" s="10"/>
    </row>
    <row r="312" spans="1:27" ht="12.5" x14ac:dyDescent="0.25">
      <c r="A312" s="10" t="s">
        <v>36</v>
      </c>
      <c r="B312" s="10" t="s">
        <v>937</v>
      </c>
      <c r="C312" s="10" t="s">
        <v>76</v>
      </c>
      <c r="D312" s="11">
        <v>2024</v>
      </c>
      <c r="E312" s="10" t="s">
        <v>81</v>
      </c>
      <c r="F312" s="10" t="s">
        <v>83</v>
      </c>
      <c r="G312" s="10" t="s">
        <v>84</v>
      </c>
      <c r="H312" s="12">
        <v>34568.083333333299</v>
      </c>
      <c r="I312" s="11">
        <v>1012</v>
      </c>
      <c r="J312" s="11">
        <v>702</v>
      </c>
      <c r="K312" s="11">
        <v>4958</v>
      </c>
      <c r="L312" s="11">
        <v>2.9275560066246101E-2</v>
      </c>
      <c r="M312" s="11">
        <v>2.9275560066246107</v>
      </c>
      <c r="N312" s="11">
        <v>0.69367588932806301</v>
      </c>
      <c r="O312" s="11">
        <v>0.14342710158937599</v>
      </c>
      <c r="P312" s="11">
        <v>0.337837837837838</v>
      </c>
      <c r="Q312" s="11">
        <v>0.21276595744680901</v>
      </c>
      <c r="R312" s="11">
        <v>0.39341085271317799</v>
      </c>
      <c r="S312" s="10" t="s">
        <v>84</v>
      </c>
      <c r="T312" s="10" t="s">
        <v>84</v>
      </c>
      <c r="U312" s="10"/>
      <c r="V312" s="10"/>
      <c r="W312" s="10"/>
      <c r="X312" s="10"/>
      <c r="Y312" s="10"/>
      <c r="Z312" s="10"/>
      <c r="AA312" s="10"/>
    </row>
    <row r="313" spans="1:27" ht="12.5" x14ac:dyDescent="0.25">
      <c r="A313" s="10" t="s">
        <v>10</v>
      </c>
      <c r="B313" s="10" t="s">
        <v>938</v>
      </c>
      <c r="C313" s="10" t="s">
        <v>76</v>
      </c>
      <c r="D313" s="11">
        <v>2024</v>
      </c>
      <c r="E313" s="10" t="s">
        <v>81</v>
      </c>
      <c r="F313" s="10" t="s">
        <v>83</v>
      </c>
      <c r="G313" s="10" t="s">
        <v>84</v>
      </c>
      <c r="H313" s="12">
        <v>19657.583333333299</v>
      </c>
      <c r="I313" s="11">
        <v>569</v>
      </c>
      <c r="J313" s="11">
        <v>387</v>
      </c>
      <c r="K313" s="11">
        <v>14750</v>
      </c>
      <c r="L313" s="11">
        <v>2.8945572319418699E-2</v>
      </c>
      <c r="M313" s="11">
        <v>2.8945572319418766</v>
      </c>
      <c r="N313" s="11">
        <v>0.68014059753954303</v>
      </c>
      <c r="O313" s="11">
        <v>0.75034655836805997</v>
      </c>
      <c r="P313" s="11">
        <v>0.33614864864864902</v>
      </c>
      <c r="Q313" s="11">
        <v>0.2</v>
      </c>
      <c r="R313" s="11">
        <v>0.39147286821705402</v>
      </c>
      <c r="S313" s="10" t="s">
        <v>84</v>
      </c>
      <c r="T313" s="10" t="s">
        <v>84</v>
      </c>
      <c r="U313" s="10"/>
      <c r="V313" s="10"/>
      <c r="W313" s="10"/>
      <c r="X313" s="10"/>
      <c r="Y313" s="10"/>
      <c r="Z313" s="10"/>
      <c r="AA313" s="10"/>
    </row>
    <row r="314" spans="1:27" ht="12.5" x14ac:dyDescent="0.25">
      <c r="A314" s="10" t="s">
        <v>12</v>
      </c>
      <c r="B314" s="10" t="s">
        <v>941</v>
      </c>
      <c r="C314" s="10" t="s">
        <v>76</v>
      </c>
      <c r="D314" s="11">
        <v>2024</v>
      </c>
      <c r="E314" s="10" t="s">
        <v>81</v>
      </c>
      <c r="F314" s="10" t="s">
        <v>83</v>
      </c>
      <c r="G314" s="10" t="s">
        <v>84</v>
      </c>
      <c r="H314" s="12">
        <v>5548</v>
      </c>
      <c r="I314" s="11">
        <v>160</v>
      </c>
      <c r="J314" s="11">
        <v>94</v>
      </c>
      <c r="K314" s="11">
        <v>8066</v>
      </c>
      <c r="L314" s="11">
        <v>2.8839221341023801E-2</v>
      </c>
      <c r="M314" s="11">
        <v>2.8839221341023791</v>
      </c>
      <c r="N314" s="11">
        <v>0.58750000000000002</v>
      </c>
      <c r="O314" s="11">
        <v>1.4538572458543599</v>
      </c>
      <c r="P314" s="11">
        <v>0.33192567567567599</v>
      </c>
      <c r="Q314" s="11">
        <v>0.25</v>
      </c>
      <c r="R314" s="11">
        <v>0.38953488372092998</v>
      </c>
      <c r="S314" s="10" t="s">
        <v>84</v>
      </c>
      <c r="T314" s="10" t="s">
        <v>84</v>
      </c>
      <c r="U314" s="10"/>
      <c r="V314" s="10"/>
      <c r="W314" s="10"/>
      <c r="X314" s="10"/>
      <c r="Y314" s="10"/>
      <c r="Z314" s="10"/>
      <c r="AA314" s="10"/>
    </row>
    <row r="315" spans="1:27" ht="12.5" x14ac:dyDescent="0.25">
      <c r="A315" s="10" t="s">
        <v>42</v>
      </c>
      <c r="B315" s="10" t="s">
        <v>943</v>
      </c>
      <c r="C315" s="10" t="s">
        <v>76</v>
      </c>
      <c r="D315" s="11">
        <v>2024</v>
      </c>
      <c r="E315" s="10" t="s">
        <v>81</v>
      </c>
      <c r="F315" s="10" t="s">
        <v>83</v>
      </c>
      <c r="G315" s="10" t="s">
        <v>84</v>
      </c>
      <c r="H315" s="12">
        <v>18945.666666666701</v>
      </c>
      <c r="I315" s="11">
        <v>546</v>
      </c>
      <c r="J315" s="11">
        <v>507</v>
      </c>
      <c r="K315" s="11">
        <v>24460</v>
      </c>
      <c r="L315" s="11">
        <v>2.88192550627232E-2</v>
      </c>
      <c r="M315" s="11">
        <v>2.8819255062723177</v>
      </c>
      <c r="N315" s="11">
        <v>0.92857142857142905</v>
      </c>
      <c r="O315" s="11">
        <v>1.29106040079526</v>
      </c>
      <c r="P315" s="11">
        <v>0.33108108108108097</v>
      </c>
      <c r="Q315" s="11">
        <v>0.28571428571428598</v>
      </c>
      <c r="R315" s="11">
        <v>0.387596899224806</v>
      </c>
      <c r="S315" s="10" t="s">
        <v>84</v>
      </c>
      <c r="T315" s="10" t="s">
        <v>84</v>
      </c>
      <c r="U315" s="10"/>
      <c r="V315" s="10"/>
      <c r="W315" s="10"/>
      <c r="X315" s="10"/>
      <c r="Y315" s="10"/>
      <c r="Z315" s="10"/>
      <c r="AA315" s="10"/>
    </row>
    <row r="316" spans="1:27" ht="12.5" x14ac:dyDescent="0.25">
      <c r="A316" s="10" t="s">
        <v>25</v>
      </c>
      <c r="B316" s="10" t="s">
        <v>946</v>
      </c>
      <c r="C316" s="10" t="s">
        <v>76</v>
      </c>
      <c r="D316" s="11">
        <v>2024</v>
      </c>
      <c r="E316" s="10" t="s">
        <v>81</v>
      </c>
      <c r="F316" s="10" t="s">
        <v>83</v>
      </c>
      <c r="G316" s="10" t="s">
        <v>84</v>
      </c>
      <c r="H316" s="12">
        <v>6571.3333333333303</v>
      </c>
      <c r="I316" s="11">
        <v>189</v>
      </c>
      <c r="J316" s="11">
        <v>145</v>
      </c>
      <c r="K316" s="11">
        <v>4367</v>
      </c>
      <c r="L316" s="11">
        <v>2.8761286395454999E-2</v>
      </c>
      <c r="M316" s="11">
        <v>2.8761286395455019</v>
      </c>
      <c r="N316" s="11">
        <v>0.76719576719576699</v>
      </c>
      <c r="O316" s="11">
        <v>0.66455310946535495</v>
      </c>
      <c r="P316" s="11">
        <v>0.33023648648648701</v>
      </c>
      <c r="Q316" s="11">
        <v>0</v>
      </c>
      <c r="R316" s="11">
        <v>0.38565891472868202</v>
      </c>
      <c r="S316" s="10" t="s">
        <v>84</v>
      </c>
      <c r="T316" s="10" t="s">
        <v>84</v>
      </c>
      <c r="U316" s="10"/>
      <c r="V316" s="10"/>
      <c r="W316" s="10"/>
      <c r="X316" s="10"/>
      <c r="Y316" s="10"/>
      <c r="Z316" s="10"/>
      <c r="AA316" s="10"/>
    </row>
    <row r="317" spans="1:27" ht="12.5" x14ac:dyDescent="0.25">
      <c r="A317" s="10" t="s">
        <v>82</v>
      </c>
      <c r="B317" s="10" t="s">
        <v>948</v>
      </c>
      <c r="C317" s="10" t="s">
        <v>76</v>
      </c>
      <c r="D317" s="11">
        <v>2024</v>
      </c>
      <c r="E317" s="10" t="s">
        <v>81</v>
      </c>
      <c r="F317" s="10" t="s">
        <v>83</v>
      </c>
      <c r="G317" s="10" t="s">
        <v>84</v>
      </c>
      <c r="H317" s="12">
        <v>10596.083333333299</v>
      </c>
      <c r="I317" s="11">
        <v>303</v>
      </c>
      <c r="J317" s="11">
        <v>280</v>
      </c>
      <c r="K317" s="11">
        <v>3046</v>
      </c>
      <c r="L317" s="11">
        <v>2.8595471597209699E-2</v>
      </c>
      <c r="M317" s="11">
        <v>2.8595471597209752</v>
      </c>
      <c r="N317" s="11">
        <v>0.92409240924092395</v>
      </c>
      <c r="O317" s="11">
        <v>0.28746470787161899</v>
      </c>
      <c r="P317" s="11">
        <v>0.32770270270270302</v>
      </c>
      <c r="Q317" s="11">
        <v>0.55172413793103403</v>
      </c>
      <c r="R317" s="11">
        <v>0.38372093023255799</v>
      </c>
      <c r="S317" s="10" t="s">
        <v>84</v>
      </c>
      <c r="T317" s="10" t="s">
        <v>84</v>
      </c>
      <c r="U317" s="10"/>
      <c r="V317" s="10"/>
      <c r="W317" s="10"/>
      <c r="X317" s="10"/>
      <c r="Y317" s="10"/>
      <c r="Z317" s="10"/>
      <c r="AA317" s="10"/>
    </row>
    <row r="318" spans="1:27" ht="12.5" x14ac:dyDescent="0.25">
      <c r="A318" s="10" t="s">
        <v>42</v>
      </c>
      <c r="B318" s="10" t="s">
        <v>950</v>
      </c>
      <c r="C318" s="10" t="s">
        <v>76</v>
      </c>
      <c r="D318" s="11">
        <v>2024</v>
      </c>
      <c r="E318" s="10" t="s">
        <v>81</v>
      </c>
      <c r="F318" s="10" t="s">
        <v>83</v>
      </c>
      <c r="G318" s="10" t="s">
        <v>84</v>
      </c>
      <c r="H318" s="12">
        <v>9809.6666666666697</v>
      </c>
      <c r="I318" s="11">
        <v>279</v>
      </c>
      <c r="J318" s="11">
        <v>180</v>
      </c>
      <c r="K318" s="11">
        <v>2043</v>
      </c>
      <c r="L318" s="11">
        <v>2.8441333378640101E-2</v>
      </c>
      <c r="M318" s="11">
        <v>2.8441333378640108</v>
      </c>
      <c r="N318" s="11">
        <v>0.64516129032258096</v>
      </c>
      <c r="O318" s="11">
        <v>0.20826395732101</v>
      </c>
      <c r="P318" s="11">
        <v>0.326858108108108</v>
      </c>
      <c r="Q318" s="11">
        <v>0.26190476190476197</v>
      </c>
      <c r="R318" s="11">
        <v>0.38178294573643401</v>
      </c>
      <c r="S318" s="10" t="s">
        <v>84</v>
      </c>
      <c r="T318" s="10" t="s">
        <v>84</v>
      </c>
      <c r="U318" s="10"/>
      <c r="V318" s="10"/>
      <c r="W318" s="10"/>
      <c r="X318" s="10"/>
      <c r="Y318" s="10"/>
      <c r="Z318" s="10"/>
      <c r="AA318" s="10"/>
    </row>
    <row r="319" spans="1:27" ht="12.5" x14ac:dyDescent="0.25">
      <c r="A319" s="10" t="s">
        <v>62</v>
      </c>
      <c r="B319" s="10" t="s">
        <v>952</v>
      </c>
      <c r="C319" s="10" t="s">
        <v>76</v>
      </c>
      <c r="D319" s="11">
        <v>2024</v>
      </c>
      <c r="E319" s="10" t="s">
        <v>81</v>
      </c>
      <c r="F319" s="10" t="s">
        <v>83</v>
      </c>
      <c r="G319" s="10" t="s">
        <v>84</v>
      </c>
      <c r="H319" s="12">
        <v>19268.583333333299</v>
      </c>
      <c r="I319" s="11">
        <v>548</v>
      </c>
      <c r="J319" s="11">
        <v>464</v>
      </c>
      <c r="K319" s="11">
        <v>15138</v>
      </c>
      <c r="L319" s="11">
        <v>2.84400773279475E-2</v>
      </c>
      <c r="M319" s="11">
        <v>2.8440077327947528</v>
      </c>
      <c r="N319" s="11">
        <v>0.84671532846715303</v>
      </c>
      <c r="O319" s="11">
        <v>0.78563118720888503</v>
      </c>
      <c r="P319" s="11">
        <v>0.32601351351351299</v>
      </c>
      <c r="Q319" s="11">
        <v>0.22222222222222199</v>
      </c>
      <c r="R319" s="11">
        <v>0.37984496124030998</v>
      </c>
      <c r="S319" s="10" t="s">
        <v>84</v>
      </c>
      <c r="T319" s="10" t="s">
        <v>84</v>
      </c>
      <c r="U319" s="10"/>
      <c r="V319" s="10"/>
      <c r="W319" s="10"/>
      <c r="X319" s="10"/>
      <c r="Y319" s="10"/>
      <c r="Z319" s="10"/>
      <c r="AA319" s="10"/>
    </row>
    <row r="320" spans="1:27" ht="12.5" x14ac:dyDescent="0.25">
      <c r="A320" s="10" t="s">
        <v>104</v>
      </c>
      <c r="B320" s="10" t="s">
        <v>954</v>
      </c>
      <c r="C320" s="10" t="s">
        <v>76</v>
      </c>
      <c r="D320" s="11">
        <v>2024</v>
      </c>
      <c r="E320" s="10" t="s">
        <v>81</v>
      </c>
      <c r="F320" s="10" t="s">
        <v>83</v>
      </c>
      <c r="G320" s="10" t="s">
        <v>84</v>
      </c>
      <c r="H320" s="12">
        <v>11113.333333333299</v>
      </c>
      <c r="I320" s="11">
        <v>311</v>
      </c>
      <c r="J320" s="11">
        <v>215</v>
      </c>
      <c r="K320" s="11">
        <v>11202</v>
      </c>
      <c r="L320" s="11">
        <v>2.7984403119376101E-2</v>
      </c>
      <c r="M320" s="11">
        <v>2.7984403119376213</v>
      </c>
      <c r="N320" s="11">
        <v>0.69131832797427695</v>
      </c>
      <c r="O320" s="11">
        <v>1.00797840431914</v>
      </c>
      <c r="P320" s="11">
        <v>0.32516891891891903</v>
      </c>
      <c r="Q320" s="11">
        <v>0.24137931034482801</v>
      </c>
      <c r="R320" s="11">
        <v>0.377906976744186</v>
      </c>
      <c r="S320" s="10" t="s">
        <v>84</v>
      </c>
      <c r="T320" s="10" t="s">
        <v>84</v>
      </c>
      <c r="U320" s="10"/>
      <c r="V320" s="10"/>
      <c r="W320" s="10"/>
      <c r="X320" s="10"/>
      <c r="Y320" s="10"/>
      <c r="Z320" s="10"/>
      <c r="AA320" s="10"/>
    </row>
    <row r="321" spans="1:27" ht="12.5" x14ac:dyDescent="0.25">
      <c r="A321" s="10" t="s">
        <v>12</v>
      </c>
      <c r="B321" s="10" t="s">
        <v>957</v>
      </c>
      <c r="C321" s="10" t="s">
        <v>76</v>
      </c>
      <c r="D321" s="11">
        <v>2024</v>
      </c>
      <c r="E321" s="10" t="s">
        <v>81</v>
      </c>
      <c r="F321" s="10" t="s">
        <v>83</v>
      </c>
      <c r="G321" s="10" t="s">
        <v>84</v>
      </c>
      <c r="H321" s="12">
        <v>20015.25</v>
      </c>
      <c r="I321" s="11">
        <v>555</v>
      </c>
      <c r="J321" s="11">
        <v>412</v>
      </c>
      <c r="K321" s="11">
        <v>2706</v>
      </c>
      <c r="L321" s="11">
        <v>2.7728856746730601E-2</v>
      </c>
      <c r="M321" s="11">
        <v>2.7728856746730619</v>
      </c>
      <c r="N321" s="11">
        <v>0.74234234234234198</v>
      </c>
      <c r="O321" s="11">
        <v>0.13519691235433001</v>
      </c>
      <c r="P321" s="11">
        <v>0.32432432432432401</v>
      </c>
      <c r="Q321" s="11">
        <v>0.23611111111111099</v>
      </c>
      <c r="R321" s="11">
        <v>0.37596899224806202</v>
      </c>
      <c r="S321" s="10" t="s">
        <v>84</v>
      </c>
      <c r="T321" s="10" t="s">
        <v>84</v>
      </c>
      <c r="U321" s="10"/>
      <c r="V321" s="10"/>
      <c r="W321" s="10"/>
      <c r="X321" s="10"/>
      <c r="Y321" s="10"/>
      <c r="Z321" s="10"/>
      <c r="AA321" s="10"/>
    </row>
    <row r="322" spans="1:27" ht="12.5" x14ac:dyDescent="0.25">
      <c r="A322" s="10" t="s">
        <v>12</v>
      </c>
      <c r="B322" s="10" t="s">
        <v>959</v>
      </c>
      <c r="C322" s="10" t="s">
        <v>76</v>
      </c>
      <c r="D322" s="11">
        <v>2024</v>
      </c>
      <c r="E322" s="10" t="s">
        <v>81</v>
      </c>
      <c r="F322" s="10" t="s">
        <v>83</v>
      </c>
      <c r="G322" s="10" t="s">
        <v>84</v>
      </c>
      <c r="H322" s="12">
        <v>37628.666666666701</v>
      </c>
      <c r="I322" s="11">
        <v>1043</v>
      </c>
      <c r="J322" s="11">
        <v>841</v>
      </c>
      <c r="K322" s="11">
        <v>36325</v>
      </c>
      <c r="L322" s="11">
        <v>2.77182290097975E-2</v>
      </c>
      <c r="M322" s="11">
        <v>2.771822900979747</v>
      </c>
      <c r="N322" s="11">
        <v>0.80632790028763202</v>
      </c>
      <c r="O322" s="11">
        <v>0.96535442836135599</v>
      </c>
      <c r="P322" s="11">
        <v>0.32347972972972999</v>
      </c>
      <c r="Q322" s="11">
        <v>0.22222222222222199</v>
      </c>
      <c r="R322" s="11">
        <v>0.37403100775193798</v>
      </c>
      <c r="S322" s="10" t="s">
        <v>84</v>
      </c>
      <c r="T322" s="10" t="s">
        <v>84</v>
      </c>
      <c r="U322" s="10"/>
      <c r="V322" s="10"/>
      <c r="W322" s="10"/>
      <c r="X322" s="10"/>
      <c r="Y322" s="10"/>
      <c r="Z322" s="10"/>
      <c r="AA322" s="10"/>
    </row>
    <row r="323" spans="1:27" ht="12.5" x14ac:dyDescent="0.25">
      <c r="A323" s="10" t="s">
        <v>62</v>
      </c>
      <c r="B323" s="10" t="s">
        <v>962</v>
      </c>
      <c r="C323" s="10" t="s">
        <v>76</v>
      </c>
      <c r="D323" s="11">
        <v>2024</v>
      </c>
      <c r="E323" s="10" t="s">
        <v>81</v>
      </c>
      <c r="F323" s="10" t="s">
        <v>83</v>
      </c>
      <c r="G323" s="10" t="s">
        <v>84</v>
      </c>
      <c r="H323" s="12">
        <v>14380.833333333299</v>
      </c>
      <c r="I323" s="11">
        <v>397</v>
      </c>
      <c r="J323" s="11">
        <v>205</v>
      </c>
      <c r="K323" s="11">
        <v>6328</v>
      </c>
      <c r="L323" s="11">
        <v>2.7606188792953599E-2</v>
      </c>
      <c r="M323" s="11">
        <v>2.760618879295365</v>
      </c>
      <c r="N323" s="11">
        <v>0.51637279596977304</v>
      </c>
      <c r="O323" s="11">
        <v>0.44003013269977398</v>
      </c>
      <c r="P323" s="11">
        <v>0.32179054054054002</v>
      </c>
      <c r="Q323" s="11">
        <v>0.194444444444444</v>
      </c>
      <c r="R323" s="11">
        <v>0.372093023255814</v>
      </c>
      <c r="S323" s="10" t="s">
        <v>84</v>
      </c>
      <c r="T323" s="10" t="s">
        <v>84</v>
      </c>
      <c r="U323" s="10"/>
      <c r="V323" s="10"/>
      <c r="W323" s="10"/>
      <c r="X323" s="10"/>
      <c r="Y323" s="10"/>
      <c r="Z323" s="10"/>
      <c r="AA323" s="10"/>
    </row>
    <row r="324" spans="1:27" ht="12.5" x14ac:dyDescent="0.25">
      <c r="A324" s="10" t="s">
        <v>86</v>
      </c>
      <c r="B324" s="10" t="s">
        <v>964</v>
      </c>
      <c r="C324" s="10" t="s">
        <v>76</v>
      </c>
      <c r="D324" s="11">
        <v>2024</v>
      </c>
      <c r="E324" s="10" t="s">
        <v>81</v>
      </c>
      <c r="F324" s="10" t="s">
        <v>83</v>
      </c>
      <c r="G324" s="10" t="s">
        <v>84</v>
      </c>
      <c r="H324" s="12">
        <v>28123.25</v>
      </c>
      <c r="I324" s="11">
        <v>772</v>
      </c>
      <c r="J324" s="11">
        <v>620</v>
      </c>
      <c r="K324" s="11">
        <v>22473</v>
      </c>
      <c r="L324" s="11">
        <v>2.7450596926030999E-2</v>
      </c>
      <c r="M324" s="11">
        <v>2.7450596926030952</v>
      </c>
      <c r="N324" s="11">
        <v>0.80310880829015496</v>
      </c>
      <c r="O324" s="11">
        <v>0.79908972113820398</v>
      </c>
      <c r="P324" s="11">
        <v>0.32010135135135098</v>
      </c>
      <c r="Q324" s="11">
        <v>0.217391304347826</v>
      </c>
      <c r="R324" s="11">
        <v>0.37015503875969002</v>
      </c>
      <c r="S324" s="10" t="s">
        <v>84</v>
      </c>
      <c r="T324" s="10" t="s">
        <v>84</v>
      </c>
      <c r="U324" s="10"/>
      <c r="V324" s="10"/>
      <c r="W324" s="10"/>
      <c r="X324" s="10"/>
      <c r="Y324" s="10"/>
      <c r="Z324" s="10"/>
      <c r="AA324" s="10"/>
    </row>
    <row r="325" spans="1:27" ht="12.5" x14ac:dyDescent="0.25">
      <c r="A325" s="10" t="s">
        <v>96</v>
      </c>
      <c r="B325" s="10" t="s">
        <v>966</v>
      </c>
      <c r="C325" s="10" t="s">
        <v>76</v>
      </c>
      <c r="D325" s="11">
        <v>2024</v>
      </c>
      <c r="E325" s="10" t="s">
        <v>81</v>
      </c>
      <c r="F325" s="10" t="s">
        <v>83</v>
      </c>
      <c r="G325" s="10" t="s">
        <v>84</v>
      </c>
      <c r="H325" s="12">
        <v>13478</v>
      </c>
      <c r="I325" s="11">
        <v>368</v>
      </c>
      <c r="J325" s="11">
        <v>298</v>
      </c>
      <c r="K325" s="11">
        <v>7599</v>
      </c>
      <c r="L325" s="11">
        <v>2.7303754266211601E-2</v>
      </c>
      <c r="M325" s="11">
        <v>2.7303754266211606</v>
      </c>
      <c r="N325" s="11">
        <v>0.809782608695652</v>
      </c>
      <c r="O325" s="11">
        <v>0.56380768660038605</v>
      </c>
      <c r="P325" s="11">
        <v>0.31756756756756799</v>
      </c>
      <c r="Q325" s="11">
        <v>0.58823529411764697</v>
      </c>
      <c r="R325" s="11">
        <v>0.36821705426356599</v>
      </c>
      <c r="S325" s="10" t="s">
        <v>84</v>
      </c>
      <c r="T325" s="10" t="s">
        <v>84</v>
      </c>
      <c r="U325" s="10"/>
      <c r="V325" s="10"/>
      <c r="W325" s="10"/>
      <c r="X325" s="10"/>
      <c r="Y325" s="10"/>
      <c r="Z325" s="10"/>
      <c r="AA325" s="10"/>
    </row>
    <row r="326" spans="1:27" ht="12.5" x14ac:dyDescent="0.25">
      <c r="A326" s="10" t="s">
        <v>52</v>
      </c>
      <c r="B326" s="10" t="s">
        <v>717</v>
      </c>
      <c r="C326" s="10" t="s">
        <v>76</v>
      </c>
      <c r="D326" s="11">
        <v>2024</v>
      </c>
      <c r="E326" s="10" t="s">
        <v>81</v>
      </c>
      <c r="F326" s="10" t="s">
        <v>83</v>
      </c>
      <c r="G326" s="10" t="s">
        <v>84</v>
      </c>
      <c r="H326" s="12">
        <v>12999.083333333299</v>
      </c>
      <c r="I326" s="11">
        <v>354</v>
      </c>
      <c r="J326" s="11">
        <v>244</v>
      </c>
      <c r="K326" s="11">
        <v>9643</v>
      </c>
      <c r="L326" s="11">
        <v>2.7232689484514901E-2</v>
      </c>
      <c r="M326" s="11">
        <v>2.7232689484515005</v>
      </c>
      <c r="N326" s="11">
        <v>0.68926553672316404</v>
      </c>
      <c r="O326" s="11">
        <v>0.74182153869824197</v>
      </c>
      <c r="P326" s="11">
        <v>0.31672297297297303</v>
      </c>
      <c r="Q326" s="11">
        <v>0.23404255319148901</v>
      </c>
      <c r="R326" s="11">
        <v>0.36627906976744201</v>
      </c>
      <c r="S326" s="10" t="s">
        <v>84</v>
      </c>
      <c r="T326" s="10" t="s">
        <v>84</v>
      </c>
      <c r="U326" s="10"/>
      <c r="V326" s="10"/>
      <c r="W326" s="10"/>
      <c r="X326" s="10"/>
      <c r="Y326" s="10"/>
      <c r="Z326" s="10"/>
      <c r="AA326" s="10"/>
    </row>
    <row r="327" spans="1:27" ht="12.5" x14ac:dyDescent="0.25">
      <c r="A327" s="10" t="s">
        <v>62</v>
      </c>
      <c r="B327" s="10" t="s">
        <v>969</v>
      </c>
      <c r="C327" s="10" t="s">
        <v>76</v>
      </c>
      <c r="D327" s="11">
        <v>2024</v>
      </c>
      <c r="E327" s="10" t="s">
        <v>81</v>
      </c>
      <c r="F327" s="10" t="s">
        <v>83</v>
      </c>
      <c r="G327" s="10" t="s">
        <v>84</v>
      </c>
      <c r="H327" s="12">
        <v>10556.916666666701</v>
      </c>
      <c r="I327" s="11">
        <v>283</v>
      </c>
      <c r="J327" s="11">
        <v>264</v>
      </c>
      <c r="K327" s="11">
        <v>1626</v>
      </c>
      <c r="L327" s="11">
        <v>2.68070696147076E-2</v>
      </c>
      <c r="M327" s="11">
        <v>2.6807069614707491</v>
      </c>
      <c r="N327" s="11">
        <v>0.93286219081272104</v>
      </c>
      <c r="O327" s="11">
        <v>0.154022244500051</v>
      </c>
      <c r="P327" s="11">
        <v>0.3125</v>
      </c>
      <c r="Q327" s="11">
        <v>0.16666666666666699</v>
      </c>
      <c r="R327" s="11">
        <v>0.36434108527131798</v>
      </c>
      <c r="S327" s="10" t="s">
        <v>84</v>
      </c>
      <c r="T327" s="10" t="s">
        <v>84</v>
      </c>
      <c r="U327" s="10"/>
      <c r="V327" s="10"/>
      <c r="W327" s="10"/>
      <c r="X327" s="10"/>
      <c r="Y327" s="10"/>
      <c r="Z327" s="10"/>
      <c r="AA327" s="10"/>
    </row>
    <row r="328" spans="1:27" ht="12.5" x14ac:dyDescent="0.25">
      <c r="A328" s="10" t="s">
        <v>29</v>
      </c>
      <c r="B328" s="10" t="s">
        <v>75</v>
      </c>
      <c r="C328" s="10" t="s">
        <v>76</v>
      </c>
      <c r="D328" s="11">
        <v>2024</v>
      </c>
      <c r="E328" s="10" t="s">
        <v>81</v>
      </c>
      <c r="F328" s="10" t="s">
        <v>83</v>
      </c>
      <c r="G328" s="10" t="s">
        <v>84</v>
      </c>
      <c r="H328" s="12">
        <v>150.333333333333</v>
      </c>
      <c r="I328" s="11">
        <v>4</v>
      </c>
      <c r="J328" s="11">
        <v>4</v>
      </c>
      <c r="K328" s="11">
        <v>710</v>
      </c>
      <c r="L328" s="11">
        <v>2.6607538802660799E-2</v>
      </c>
      <c r="M328" s="11">
        <v>2.6607538802660811</v>
      </c>
      <c r="N328" s="11">
        <v>1</v>
      </c>
      <c r="O328" s="11">
        <v>4.7228381374722801</v>
      </c>
      <c r="P328" s="11">
        <v>0.31165540540540498</v>
      </c>
      <c r="Q328" s="11">
        <v>0.20408163265306101</v>
      </c>
      <c r="R328" s="11">
        <v>0.362403100775194</v>
      </c>
      <c r="S328" s="10" t="s">
        <v>84</v>
      </c>
      <c r="T328" s="10" t="s">
        <v>84</v>
      </c>
      <c r="U328" s="10"/>
      <c r="V328" s="10"/>
      <c r="W328" s="10"/>
      <c r="X328" s="10"/>
      <c r="Y328" s="10"/>
      <c r="Z328" s="10"/>
      <c r="AA328" s="10"/>
    </row>
    <row r="329" spans="1:27" ht="12.5" x14ac:dyDescent="0.25">
      <c r="A329" s="10" t="s">
        <v>82</v>
      </c>
      <c r="B329" s="10" t="s">
        <v>972</v>
      </c>
      <c r="C329" s="10" t="s">
        <v>76</v>
      </c>
      <c r="D329" s="11">
        <v>2024</v>
      </c>
      <c r="E329" s="10" t="s">
        <v>81</v>
      </c>
      <c r="F329" s="10" t="s">
        <v>83</v>
      </c>
      <c r="G329" s="10" t="s">
        <v>84</v>
      </c>
      <c r="H329" s="12">
        <v>16214.75</v>
      </c>
      <c r="I329" s="11">
        <v>428</v>
      </c>
      <c r="J329" s="11">
        <v>375</v>
      </c>
      <c r="K329" s="11">
        <v>4057</v>
      </c>
      <c r="L329" s="11">
        <v>2.6395719946345101E-2</v>
      </c>
      <c r="M329" s="11">
        <v>2.6395719946345149</v>
      </c>
      <c r="N329" s="11">
        <v>0.87616822429906505</v>
      </c>
      <c r="O329" s="11">
        <v>0.25020428930449101</v>
      </c>
      <c r="P329" s="11">
        <v>0.30912162162162199</v>
      </c>
      <c r="Q329" s="11">
        <v>0.53448275862068995</v>
      </c>
      <c r="R329" s="11">
        <v>0.36046511627907002</v>
      </c>
      <c r="S329" s="10" t="s">
        <v>84</v>
      </c>
      <c r="T329" s="10" t="s">
        <v>84</v>
      </c>
      <c r="U329" s="10"/>
      <c r="V329" s="10"/>
      <c r="W329" s="10"/>
      <c r="X329" s="10"/>
      <c r="Y329" s="10"/>
      <c r="Z329" s="10"/>
      <c r="AA329" s="10"/>
    </row>
    <row r="330" spans="1:27" ht="12.5" x14ac:dyDescent="0.25">
      <c r="A330" s="10" t="s">
        <v>12</v>
      </c>
      <c r="B330" s="10" t="s">
        <v>974</v>
      </c>
      <c r="C330" s="10" t="s">
        <v>76</v>
      </c>
      <c r="D330" s="11">
        <v>2024</v>
      </c>
      <c r="E330" s="10" t="s">
        <v>81</v>
      </c>
      <c r="F330" s="10" t="s">
        <v>83</v>
      </c>
      <c r="G330" s="10" t="s">
        <v>84</v>
      </c>
      <c r="H330" s="12">
        <v>9680.1666666666697</v>
      </c>
      <c r="I330" s="11">
        <v>253</v>
      </c>
      <c r="J330" s="11">
        <v>157</v>
      </c>
      <c r="K330" s="11">
        <v>3884</v>
      </c>
      <c r="L330" s="11">
        <v>2.6135913637850599E-2</v>
      </c>
      <c r="M330" s="11">
        <v>2.6135913637850576</v>
      </c>
      <c r="N330" s="11">
        <v>0.62055335968379399</v>
      </c>
      <c r="O330" s="11">
        <v>0.40123276114391998</v>
      </c>
      <c r="P330" s="11">
        <v>0.306587837837838</v>
      </c>
      <c r="Q330" s="11">
        <v>0.20833333333333301</v>
      </c>
      <c r="R330" s="11">
        <v>0.35852713178294598</v>
      </c>
      <c r="S330" s="10" t="s">
        <v>84</v>
      </c>
      <c r="T330" s="10" t="s">
        <v>84</v>
      </c>
      <c r="U330" s="10"/>
      <c r="V330" s="10"/>
      <c r="W330" s="10"/>
      <c r="X330" s="10"/>
      <c r="Y330" s="10"/>
      <c r="Z330" s="10"/>
      <c r="AA330" s="10"/>
    </row>
    <row r="331" spans="1:27" ht="12.5" x14ac:dyDescent="0.25">
      <c r="A331" s="10" t="s">
        <v>101</v>
      </c>
      <c r="B331" s="10" t="s">
        <v>977</v>
      </c>
      <c r="C331" s="10" t="s">
        <v>76</v>
      </c>
      <c r="D331" s="11">
        <v>2024</v>
      </c>
      <c r="E331" s="10" t="s">
        <v>81</v>
      </c>
      <c r="F331" s="10" t="s">
        <v>83</v>
      </c>
      <c r="G331" s="10" t="s">
        <v>84</v>
      </c>
      <c r="H331" s="12">
        <v>2410.8333333333298</v>
      </c>
      <c r="I331" s="11">
        <v>63</v>
      </c>
      <c r="J331" s="11">
        <v>53</v>
      </c>
      <c r="K331" s="11">
        <v>901</v>
      </c>
      <c r="L331" s="11">
        <v>2.6132042862080901E-2</v>
      </c>
      <c r="M331" s="11">
        <v>2.613204286208092</v>
      </c>
      <c r="N331" s="11">
        <v>0.84126984126984095</v>
      </c>
      <c r="O331" s="11">
        <v>0.373729692360871</v>
      </c>
      <c r="P331" s="11">
        <v>0.30574324324324298</v>
      </c>
      <c r="Q331" s="11">
        <v>0.214285714285714</v>
      </c>
      <c r="R331" s="11">
        <v>0.35658914728682201</v>
      </c>
      <c r="S331" s="10" t="s">
        <v>84</v>
      </c>
      <c r="T331" s="10" t="s">
        <v>84</v>
      </c>
      <c r="U331" s="10"/>
      <c r="V331" s="10"/>
      <c r="W331" s="10"/>
      <c r="X331" s="10"/>
      <c r="Y331" s="10"/>
      <c r="Z331" s="10"/>
      <c r="AA331" s="10"/>
    </row>
    <row r="332" spans="1:27" ht="12.5" x14ac:dyDescent="0.25">
      <c r="A332" s="10" t="s">
        <v>52</v>
      </c>
      <c r="B332" s="10" t="s">
        <v>979</v>
      </c>
      <c r="C332" s="10" t="s">
        <v>76</v>
      </c>
      <c r="D332" s="11">
        <v>2024</v>
      </c>
      <c r="E332" s="10" t="s">
        <v>81</v>
      </c>
      <c r="F332" s="10" t="s">
        <v>83</v>
      </c>
      <c r="G332" s="10" t="s">
        <v>84</v>
      </c>
      <c r="H332" s="12">
        <v>5087.6666666666697</v>
      </c>
      <c r="I332" s="11">
        <v>132</v>
      </c>
      <c r="J332" s="11">
        <v>105</v>
      </c>
      <c r="K332" s="11">
        <v>2345</v>
      </c>
      <c r="L332" s="11">
        <v>2.5945095983751599E-2</v>
      </c>
      <c r="M332" s="11">
        <v>2.5945095983751538</v>
      </c>
      <c r="N332" s="11">
        <v>0.79545454545454497</v>
      </c>
      <c r="O332" s="11">
        <v>0.46091856122649499</v>
      </c>
      <c r="P332" s="11">
        <v>0.304054054054054</v>
      </c>
      <c r="Q332" s="11">
        <v>0.21276595744680901</v>
      </c>
      <c r="R332" s="11">
        <v>0.35465116279069803</v>
      </c>
      <c r="S332" s="10" t="s">
        <v>84</v>
      </c>
      <c r="T332" s="10" t="s">
        <v>84</v>
      </c>
      <c r="U332" s="10"/>
      <c r="V332" s="10"/>
      <c r="W332" s="10"/>
      <c r="X332" s="10"/>
      <c r="Y332" s="10"/>
      <c r="Z332" s="10"/>
      <c r="AA332" s="10"/>
    </row>
    <row r="333" spans="1:27" ht="12.5" x14ac:dyDescent="0.25">
      <c r="A333" s="10" t="s">
        <v>22</v>
      </c>
      <c r="B333" s="10" t="s">
        <v>982</v>
      </c>
      <c r="C333" s="10" t="s">
        <v>76</v>
      </c>
      <c r="D333" s="11">
        <v>2024</v>
      </c>
      <c r="E333" s="10" t="s">
        <v>81</v>
      </c>
      <c r="F333" s="10" t="s">
        <v>83</v>
      </c>
      <c r="G333" s="10" t="s">
        <v>84</v>
      </c>
      <c r="H333" s="12">
        <v>5169.4166666666697</v>
      </c>
      <c r="I333" s="11">
        <v>134</v>
      </c>
      <c r="J333" s="11">
        <v>130</v>
      </c>
      <c r="K333" s="11">
        <v>3952</v>
      </c>
      <c r="L333" s="11">
        <v>2.5921686844099099E-2</v>
      </c>
      <c r="M333" s="11">
        <v>2.5921686844099092</v>
      </c>
      <c r="N333" s="11">
        <v>0.97014925373134298</v>
      </c>
      <c r="O333" s="11">
        <v>0.76449631647671401</v>
      </c>
      <c r="P333" s="11">
        <v>0.30320945945945998</v>
      </c>
      <c r="Q333" s="11">
        <v>0.14285714285714299</v>
      </c>
      <c r="R333" s="11">
        <v>0.35271317829457399</v>
      </c>
      <c r="S333" s="10" t="s">
        <v>84</v>
      </c>
      <c r="T333" s="10" t="s">
        <v>84</v>
      </c>
      <c r="U333" s="10"/>
      <c r="V333" s="10"/>
      <c r="W333" s="10"/>
      <c r="X333" s="10"/>
      <c r="Y333" s="10"/>
      <c r="Z333" s="10"/>
      <c r="AA333" s="10"/>
    </row>
    <row r="334" spans="1:27" ht="12.5" x14ac:dyDescent="0.25">
      <c r="A334" s="10" t="s">
        <v>77</v>
      </c>
      <c r="B334" s="10" t="s">
        <v>984</v>
      </c>
      <c r="C334" s="10" t="s">
        <v>76</v>
      </c>
      <c r="D334" s="11">
        <v>2024</v>
      </c>
      <c r="E334" s="10" t="s">
        <v>81</v>
      </c>
      <c r="F334" s="10" t="s">
        <v>83</v>
      </c>
      <c r="G334" s="10" t="s">
        <v>84</v>
      </c>
      <c r="H334" s="12">
        <v>9047.5833333333303</v>
      </c>
      <c r="I334" s="11">
        <v>233</v>
      </c>
      <c r="J334" s="11">
        <v>186</v>
      </c>
      <c r="K334" s="11">
        <v>8729</v>
      </c>
      <c r="L334" s="11">
        <v>2.5752733234473298E-2</v>
      </c>
      <c r="M334" s="11">
        <v>2.5752733234473304</v>
      </c>
      <c r="N334" s="11">
        <v>0.79828326180257503</v>
      </c>
      <c r="O334" s="11">
        <v>0.96478801890007504</v>
      </c>
      <c r="P334" s="11">
        <v>0.30067567567567599</v>
      </c>
      <c r="Q334" s="11">
        <v>0.25</v>
      </c>
      <c r="R334" s="11">
        <v>0.35077519379845001</v>
      </c>
      <c r="S334" s="10" t="s">
        <v>84</v>
      </c>
      <c r="T334" s="10" t="s">
        <v>84</v>
      </c>
      <c r="U334" s="10"/>
      <c r="V334" s="10"/>
      <c r="W334" s="10"/>
      <c r="X334" s="10"/>
      <c r="Y334" s="10"/>
      <c r="Z334" s="10"/>
      <c r="AA334" s="10"/>
    </row>
    <row r="335" spans="1:27" ht="12.5" x14ac:dyDescent="0.25">
      <c r="A335" s="10" t="s">
        <v>91</v>
      </c>
      <c r="B335" s="10" t="s">
        <v>987</v>
      </c>
      <c r="C335" s="10" t="s">
        <v>76</v>
      </c>
      <c r="D335" s="11">
        <v>2024</v>
      </c>
      <c r="E335" s="10" t="s">
        <v>81</v>
      </c>
      <c r="F335" s="10" t="s">
        <v>83</v>
      </c>
      <c r="G335" s="10" t="s">
        <v>84</v>
      </c>
      <c r="H335" s="12">
        <v>19453.25</v>
      </c>
      <c r="I335" s="11">
        <v>499</v>
      </c>
      <c r="J335" s="11">
        <v>458</v>
      </c>
      <c r="K335" s="11">
        <v>960</v>
      </c>
      <c r="L335" s="11">
        <v>2.56512407952399E-2</v>
      </c>
      <c r="M335" s="11">
        <v>2.5651240795239869</v>
      </c>
      <c r="N335" s="11">
        <v>0.91783567134268496</v>
      </c>
      <c r="O335" s="11">
        <v>4.9349080487836199E-2</v>
      </c>
      <c r="P335" s="11">
        <v>0.29898648648648701</v>
      </c>
      <c r="Q335" s="11">
        <v>0.46666666666666701</v>
      </c>
      <c r="R335" s="11">
        <v>0.34883720930232598</v>
      </c>
      <c r="S335" s="10" t="s">
        <v>84</v>
      </c>
      <c r="T335" s="10" t="s">
        <v>84</v>
      </c>
      <c r="U335" s="10"/>
      <c r="V335" s="10"/>
      <c r="W335" s="10"/>
      <c r="X335" s="10"/>
      <c r="Y335" s="10"/>
      <c r="Z335" s="10"/>
      <c r="AA335" s="10"/>
    </row>
    <row r="336" spans="1:27" ht="12.5" x14ac:dyDescent="0.25">
      <c r="A336" s="10" t="s">
        <v>118</v>
      </c>
      <c r="B336" s="10" t="s">
        <v>977</v>
      </c>
      <c r="C336" s="10" t="s">
        <v>76</v>
      </c>
      <c r="D336" s="11">
        <v>2024</v>
      </c>
      <c r="E336" s="10" t="s">
        <v>81</v>
      </c>
      <c r="F336" s="10" t="s">
        <v>83</v>
      </c>
      <c r="G336" s="10" t="s">
        <v>84</v>
      </c>
      <c r="H336" s="12">
        <v>24469.916666666701</v>
      </c>
      <c r="I336" s="11">
        <v>623</v>
      </c>
      <c r="J336" s="11">
        <v>572</v>
      </c>
      <c r="K336" s="11">
        <v>9884</v>
      </c>
      <c r="L336" s="11">
        <v>2.5459833332765702E-2</v>
      </c>
      <c r="M336" s="11">
        <v>2.5459833332765709</v>
      </c>
      <c r="N336" s="11">
        <v>0.91813804173354696</v>
      </c>
      <c r="O336" s="11">
        <v>0.40392454680747403</v>
      </c>
      <c r="P336" s="11">
        <v>0.29645270270270302</v>
      </c>
      <c r="Q336" s="11">
        <v>0.35714285714285698</v>
      </c>
      <c r="R336" s="11">
        <v>0.346899224806202</v>
      </c>
      <c r="S336" s="10" t="s">
        <v>84</v>
      </c>
      <c r="T336" s="10" t="s">
        <v>84</v>
      </c>
      <c r="U336" s="10"/>
      <c r="V336" s="10"/>
      <c r="W336" s="10"/>
      <c r="X336" s="10"/>
      <c r="Y336" s="10"/>
      <c r="Z336" s="10"/>
      <c r="AA336" s="10"/>
    </row>
    <row r="337" spans="1:27" ht="12.5" x14ac:dyDescent="0.25">
      <c r="A337" s="10" t="s">
        <v>52</v>
      </c>
      <c r="B337" s="10" t="s">
        <v>991</v>
      </c>
      <c r="C337" s="10" t="s">
        <v>76</v>
      </c>
      <c r="D337" s="11">
        <v>2024</v>
      </c>
      <c r="E337" s="10" t="s">
        <v>81</v>
      </c>
      <c r="F337" s="10" t="s">
        <v>83</v>
      </c>
      <c r="G337" s="10" t="s">
        <v>84</v>
      </c>
      <c r="H337" s="12">
        <v>31121.333333333299</v>
      </c>
      <c r="I337" s="11">
        <v>791</v>
      </c>
      <c r="J337" s="11">
        <v>575</v>
      </c>
      <c r="K337" s="11">
        <v>12472</v>
      </c>
      <c r="L337" s="11">
        <v>2.5416648815389201E-2</v>
      </c>
      <c r="M337" s="11">
        <v>2.5416648815389258</v>
      </c>
      <c r="N337" s="11">
        <v>0.72692793931732003</v>
      </c>
      <c r="O337" s="11">
        <v>0.40075403795895598</v>
      </c>
      <c r="P337" s="11">
        <v>0.295608108108108</v>
      </c>
      <c r="Q337" s="11">
        <v>0.19148936170212799</v>
      </c>
      <c r="R337" s="11">
        <v>0.34496124031007802</v>
      </c>
      <c r="S337" s="10" t="s">
        <v>84</v>
      </c>
      <c r="T337" s="10" t="s">
        <v>84</v>
      </c>
      <c r="U337" s="10"/>
      <c r="V337" s="10"/>
      <c r="W337" s="10"/>
      <c r="X337" s="10"/>
      <c r="Y337" s="10"/>
      <c r="Z337" s="10"/>
      <c r="AA337" s="10"/>
    </row>
    <row r="338" spans="1:27" ht="12.5" x14ac:dyDescent="0.25">
      <c r="A338" s="10" t="s">
        <v>86</v>
      </c>
      <c r="B338" s="10" t="s">
        <v>993</v>
      </c>
      <c r="C338" s="10" t="s">
        <v>76</v>
      </c>
      <c r="D338" s="11">
        <v>2024</v>
      </c>
      <c r="E338" s="10" t="s">
        <v>81</v>
      </c>
      <c r="F338" s="10" t="s">
        <v>83</v>
      </c>
      <c r="G338" s="10" t="s">
        <v>84</v>
      </c>
      <c r="H338" s="12">
        <v>43136.166666666701</v>
      </c>
      <c r="I338" s="11">
        <v>1096</v>
      </c>
      <c r="J338" s="11">
        <v>930</v>
      </c>
      <c r="K338" s="11">
        <v>42232</v>
      </c>
      <c r="L338" s="11">
        <v>2.5407913699641099E-2</v>
      </c>
      <c r="M338" s="11">
        <v>2.5407913699641038</v>
      </c>
      <c r="N338" s="11">
        <v>0.84854014598540195</v>
      </c>
      <c r="O338" s="11">
        <v>0.97903924394456299</v>
      </c>
      <c r="P338" s="11">
        <v>0.29476351351351299</v>
      </c>
      <c r="Q338" s="11">
        <v>0.173913043478261</v>
      </c>
      <c r="R338" s="11">
        <v>0.34302325581395299</v>
      </c>
      <c r="S338" s="10" t="s">
        <v>84</v>
      </c>
      <c r="T338" s="10" t="s">
        <v>84</v>
      </c>
      <c r="U338" s="10"/>
      <c r="V338" s="10"/>
      <c r="W338" s="10"/>
      <c r="X338" s="10"/>
      <c r="Y338" s="10"/>
      <c r="Z338" s="10"/>
      <c r="AA338" s="10"/>
    </row>
    <row r="339" spans="1:27" ht="12.5" x14ac:dyDescent="0.25">
      <c r="A339" s="10" t="s">
        <v>49</v>
      </c>
      <c r="B339" s="10" t="s">
        <v>995</v>
      </c>
      <c r="C339" s="10" t="s">
        <v>76</v>
      </c>
      <c r="D339" s="11">
        <v>2024</v>
      </c>
      <c r="E339" s="10" t="s">
        <v>81</v>
      </c>
      <c r="F339" s="10" t="s">
        <v>83</v>
      </c>
      <c r="G339" s="10" t="s">
        <v>84</v>
      </c>
      <c r="H339" s="12">
        <v>35980.833333333299</v>
      </c>
      <c r="I339" s="11">
        <v>907</v>
      </c>
      <c r="J339" s="11">
        <v>756</v>
      </c>
      <c r="K339" s="11">
        <v>6691</v>
      </c>
      <c r="L339" s="11">
        <v>2.5207865298654399E-2</v>
      </c>
      <c r="M339" s="11">
        <v>2.5207865298654397</v>
      </c>
      <c r="N339" s="11">
        <v>0.83351708930540203</v>
      </c>
      <c r="O339" s="11">
        <v>0.18596011765523299</v>
      </c>
      <c r="P339" s="11">
        <v>0.29391891891891903</v>
      </c>
      <c r="Q339" s="11">
        <v>0.38461538461538503</v>
      </c>
      <c r="R339" s="11">
        <v>0.34108527131782901</v>
      </c>
      <c r="S339" s="10" t="s">
        <v>84</v>
      </c>
      <c r="T339" s="10" t="s">
        <v>84</v>
      </c>
      <c r="U339" s="10"/>
      <c r="V339" s="10"/>
      <c r="W339" s="10"/>
      <c r="X339" s="10"/>
      <c r="Y339" s="10"/>
      <c r="Z339" s="10"/>
      <c r="AA339" s="10"/>
    </row>
    <row r="340" spans="1:27" ht="12.5" x14ac:dyDescent="0.25">
      <c r="A340" s="10" t="s">
        <v>29</v>
      </c>
      <c r="B340" s="10" t="s">
        <v>946</v>
      </c>
      <c r="C340" s="10" t="s">
        <v>76</v>
      </c>
      <c r="D340" s="11">
        <v>2024</v>
      </c>
      <c r="E340" s="10" t="s">
        <v>81</v>
      </c>
      <c r="F340" s="10" t="s">
        <v>83</v>
      </c>
      <c r="G340" s="10" t="s">
        <v>84</v>
      </c>
      <c r="H340" s="12">
        <v>21143.916666666701</v>
      </c>
      <c r="I340" s="11">
        <v>529</v>
      </c>
      <c r="J340" s="11">
        <v>274</v>
      </c>
      <c r="K340" s="11">
        <v>12076</v>
      </c>
      <c r="L340" s="11">
        <v>2.50190165019884E-2</v>
      </c>
      <c r="M340" s="11">
        <v>2.5019016501988318</v>
      </c>
      <c r="N340" s="11">
        <v>0.51795841209829896</v>
      </c>
      <c r="O340" s="11">
        <v>0.57113354116826398</v>
      </c>
      <c r="P340" s="11">
        <v>0.29307432432432401</v>
      </c>
      <c r="Q340" s="11">
        <v>0.183673469387755</v>
      </c>
      <c r="R340" s="11">
        <v>0.33914728682170497</v>
      </c>
      <c r="S340" s="10" t="s">
        <v>84</v>
      </c>
      <c r="T340" s="10" t="s">
        <v>84</v>
      </c>
      <c r="U340" s="10"/>
      <c r="V340" s="10"/>
      <c r="W340" s="10"/>
      <c r="X340" s="10"/>
      <c r="Y340" s="10"/>
      <c r="Z340" s="10"/>
      <c r="AA340" s="10"/>
    </row>
    <row r="341" spans="1:27" ht="12.5" x14ac:dyDescent="0.25">
      <c r="A341" s="10" t="s">
        <v>36</v>
      </c>
      <c r="B341" s="10" t="s">
        <v>999</v>
      </c>
      <c r="C341" s="10" t="s">
        <v>76</v>
      </c>
      <c r="D341" s="11">
        <v>2024</v>
      </c>
      <c r="E341" s="10" t="s">
        <v>81</v>
      </c>
      <c r="F341" s="10" t="s">
        <v>83</v>
      </c>
      <c r="G341" s="10" t="s">
        <v>84</v>
      </c>
      <c r="H341" s="12">
        <v>55075.333333333299</v>
      </c>
      <c r="I341" s="11">
        <v>1375</v>
      </c>
      <c r="J341" s="11">
        <v>334</v>
      </c>
      <c r="K341" s="11">
        <v>46099</v>
      </c>
      <c r="L341" s="11">
        <v>2.4965804413348999E-2</v>
      </c>
      <c r="M341" s="11">
        <v>2.4965804413349004</v>
      </c>
      <c r="N341" s="11">
        <v>0.24290909090909099</v>
      </c>
      <c r="O341" s="11">
        <v>0.83701717647343599</v>
      </c>
      <c r="P341" s="11">
        <v>0.29138513513513498</v>
      </c>
      <c r="Q341" s="11">
        <v>0.19148936170212799</v>
      </c>
      <c r="R341" s="11">
        <v>0.337209302325581</v>
      </c>
      <c r="S341" s="10" t="s">
        <v>84</v>
      </c>
      <c r="T341" s="10" t="s">
        <v>84</v>
      </c>
      <c r="U341" s="10"/>
      <c r="V341" s="10"/>
      <c r="W341" s="10"/>
      <c r="X341" s="10"/>
      <c r="Y341" s="10"/>
      <c r="Z341" s="10"/>
      <c r="AA341" s="10"/>
    </row>
    <row r="342" spans="1:27" ht="12.5" x14ac:dyDescent="0.25">
      <c r="A342" s="10" t="s">
        <v>12</v>
      </c>
      <c r="B342" s="10" t="s">
        <v>1002</v>
      </c>
      <c r="C342" s="10" t="s">
        <v>76</v>
      </c>
      <c r="D342" s="11">
        <v>2024</v>
      </c>
      <c r="E342" s="10" t="s">
        <v>81</v>
      </c>
      <c r="F342" s="10" t="s">
        <v>83</v>
      </c>
      <c r="G342" s="10" t="s">
        <v>84</v>
      </c>
      <c r="H342" s="12">
        <v>18721.833333333299</v>
      </c>
      <c r="I342" s="11">
        <v>465</v>
      </c>
      <c r="J342" s="11">
        <v>351</v>
      </c>
      <c r="K342" s="11">
        <v>6648</v>
      </c>
      <c r="L342" s="11">
        <v>2.4837311160765999E-2</v>
      </c>
      <c r="M342" s="11">
        <v>2.4837311160765996</v>
      </c>
      <c r="N342" s="11">
        <v>0.75483870967741895</v>
      </c>
      <c r="O342" s="11">
        <v>0.35509342924037002</v>
      </c>
      <c r="P342" s="11">
        <v>0.289695945945946</v>
      </c>
      <c r="Q342" s="11">
        <v>0.180555555555556</v>
      </c>
      <c r="R342" s="11">
        <v>0.33527131782945702</v>
      </c>
      <c r="S342" s="10" t="s">
        <v>84</v>
      </c>
      <c r="T342" s="10" t="s">
        <v>84</v>
      </c>
      <c r="U342" s="10"/>
      <c r="V342" s="10"/>
      <c r="W342" s="10"/>
      <c r="X342" s="10"/>
      <c r="Y342" s="10"/>
      <c r="Z342" s="10"/>
      <c r="AA342" s="10"/>
    </row>
    <row r="343" spans="1:27" ht="12.5" x14ac:dyDescent="0.25">
      <c r="A343" s="10" t="s">
        <v>29</v>
      </c>
      <c r="B343" s="10" t="s">
        <v>1003</v>
      </c>
      <c r="C343" s="10" t="s">
        <v>76</v>
      </c>
      <c r="D343" s="11">
        <v>2024</v>
      </c>
      <c r="E343" s="10" t="s">
        <v>81</v>
      </c>
      <c r="F343" s="10" t="s">
        <v>83</v>
      </c>
      <c r="G343" s="10" t="s">
        <v>84</v>
      </c>
      <c r="H343" s="12">
        <v>2778.0833333333298</v>
      </c>
      <c r="I343" s="11">
        <v>69</v>
      </c>
      <c r="J343" s="11">
        <v>58</v>
      </c>
      <c r="K343" s="11">
        <v>4467</v>
      </c>
      <c r="L343" s="11">
        <v>2.48372679005309E-2</v>
      </c>
      <c r="M343" s="11">
        <v>2.483726790053097</v>
      </c>
      <c r="N343" s="11">
        <v>0.84057971014492705</v>
      </c>
      <c r="O343" s="11">
        <v>1.6079431262561099</v>
      </c>
      <c r="P343" s="11">
        <v>0.28885135135135098</v>
      </c>
      <c r="Q343" s="11">
        <v>0.16326530612244899</v>
      </c>
      <c r="R343" s="11">
        <v>0.33333333333333298</v>
      </c>
      <c r="S343" s="10" t="s">
        <v>84</v>
      </c>
      <c r="T343" s="10" t="s">
        <v>84</v>
      </c>
      <c r="U343" s="10"/>
      <c r="V343" s="10"/>
      <c r="W343" s="10"/>
      <c r="X343" s="10"/>
      <c r="Y343" s="10"/>
      <c r="Z343" s="10"/>
      <c r="AA343" s="10"/>
    </row>
    <row r="344" spans="1:27" ht="12.5" x14ac:dyDescent="0.25">
      <c r="A344" s="10" t="s">
        <v>42</v>
      </c>
      <c r="B344" s="10" t="s">
        <v>1005</v>
      </c>
      <c r="C344" s="10" t="s">
        <v>76</v>
      </c>
      <c r="D344" s="11">
        <v>2024</v>
      </c>
      <c r="E344" s="10" t="s">
        <v>81</v>
      </c>
      <c r="F344" s="10" t="s">
        <v>83</v>
      </c>
      <c r="G344" s="10" t="s">
        <v>84</v>
      </c>
      <c r="H344" s="12">
        <v>18791.916666666701</v>
      </c>
      <c r="I344" s="11">
        <v>466</v>
      </c>
      <c r="J344" s="11">
        <v>355</v>
      </c>
      <c r="K344" s="11">
        <v>1723</v>
      </c>
      <c r="L344" s="11">
        <v>2.4797896258586399E-2</v>
      </c>
      <c r="M344" s="11">
        <v>2.4797896258586314</v>
      </c>
      <c r="N344" s="11">
        <v>0.76180257510729599</v>
      </c>
      <c r="O344" s="11">
        <v>9.1688358913185206E-2</v>
      </c>
      <c r="P344" s="11">
        <v>0.28800675675675702</v>
      </c>
      <c r="Q344" s="11">
        <v>0.238095238095238</v>
      </c>
      <c r="R344" s="11">
        <v>0.331395348837209</v>
      </c>
      <c r="S344" s="10" t="s">
        <v>84</v>
      </c>
      <c r="T344" s="10" t="s">
        <v>84</v>
      </c>
      <c r="U344" s="10"/>
      <c r="V344" s="10"/>
      <c r="W344" s="10"/>
      <c r="X344" s="10"/>
      <c r="Y344" s="10"/>
      <c r="Z344" s="10"/>
      <c r="AA344" s="10"/>
    </row>
    <row r="345" spans="1:27" ht="12.5" x14ac:dyDescent="0.25">
      <c r="A345" s="10" t="s">
        <v>91</v>
      </c>
      <c r="B345" s="10" t="s">
        <v>1007</v>
      </c>
      <c r="C345" s="10" t="s">
        <v>76</v>
      </c>
      <c r="D345" s="11">
        <v>2024</v>
      </c>
      <c r="E345" s="10" t="s">
        <v>81</v>
      </c>
      <c r="F345" s="10" t="s">
        <v>83</v>
      </c>
      <c r="G345" s="10" t="s">
        <v>84</v>
      </c>
      <c r="H345" s="12">
        <v>5721.1666666666697</v>
      </c>
      <c r="I345" s="11">
        <v>141</v>
      </c>
      <c r="J345" s="11">
        <v>141</v>
      </c>
      <c r="K345" s="11">
        <v>582</v>
      </c>
      <c r="L345" s="11">
        <v>2.4645322923646101E-2</v>
      </c>
      <c r="M345" s="11">
        <v>2.4645322923646096</v>
      </c>
      <c r="N345" s="11">
        <v>1</v>
      </c>
      <c r="O345" s="11">
        <v>0.101727503131646</v>
      </c>
      <c r="P345" s="11">
        <v>0.287162162162162</v>
      </c>
      <c r="Q345" s="11">
        <v>0.4</v>
      </c>
      <c r="R345" s="11">
        <v>0.32945736434108502</v>
      </c>
      <c r="S345" s="10" t="s">
        <v>84</v>
      </c>
      <c r="T345" s="10" t="s">
        <v>84</v>
      </c>
      <c r="U345" s="10"/>
      <c r="V345" s="10"/>
      <c r="W345" s="10"/>
      <c r="X345" s="10"/>
      <c r="Y345" s="10"/>
      <c r="Z345" s="10"/>
      <c r="AA345" s="10"/>
    </row>
    <row r="346" spans="1:27" ht="12.5" x14ac:dyDescent="0.25">
      <c r="A346" s="10" t="s">
        <v>36</v>
      </c>
      <c r="B346" s="10" t="s">
        <v>1009</v>
      </c>
      <c r="C346" s="10" t="s">
        <v>76</v>
      </c>
      <c r="D346" s="11">
        <v>2024</v>
      </c>
      <c r="E346" s="10" t="s">
        <v>81</v>
      </c>
      <c r="F346" s="10" t="s">
        <v>83</v>
      </c>
      <c r="G346" s="10" t="s">
        <v>84</v>
      </c>
      <c r="H346" s="12">
        <v>21965.333333333299</v>
      </c>
      <c r="I346" s="11">
        <v>539</v>
      </c>
      <c r="J346" s="11">
        <v>148</v>
      </c>
      <c r="K346" s="11">
        <v>42390</v>
      </c>
      <c r="L346" s="11">
        <v>2.4538666990409099E-2</v>
      </c>
      <c r="M346" s="11">
        <v>2.4538666990409168</v>
      </c>
      <c r="N346" s="11">
        <v>0.27458256029684602</v>
      </c>
      <c r="O346" s="11">
        <v>1.92985917202865</v>
      </c>
      <c r="P346" s="11">
        <v>0.28631756756756799</v>
      </c>
      <c r="Q346" s="11">
        <v>0.170212765957447</v>
      </c>
      <c r="R346" s="11">
        <v>0.32751937984496099</v>
      </c>
      <c r="S346" s="10" t="s">
        <v>84</v>
      </c>
      <c r="T346" s="10" t="s">
        <v>84</v>
      </c>
      <c r="U346" s="10"/>
      <c r="V346" s="10"/>
      <c r="W346" s="10"/>
      <c r="X346" s="10"/>
      <c r="Y346" s="10"/>
      <c r="Z346" s="10"/>
      <c r="AA346" s="10"/>
    </row>
    <row r="347" spans="1:27" ht="12.5" x14ac:dyDescent="0.25">
      <c r="A347" s="10" t="s">
        <v>104</v>
      </c>
      <c r="B347" s="10" t="s">
        <v>1011</v>
      </c>
      <c r="C347" s="10" t="s">
        <v>76</v>
      </c>
      <c r="D347" s="11">
        <v>2024</v>
      </c>
      <c r="E347" s="10" t="s">
        <v>81</v>
      </c>
      <c r="F347" s="10" t="s">
        <v>83</v>
      </c>
      <c r="G347" s="10" t="s">
        <v>84</v>
      </c>
      <c r="H347" s="12">
        <v>39776.833333333299</v>
      </c>
      <c r="I347" s="11">
        <v>950</v>
      </c>
      <c r="J347" s="11">
        <v>780</v>
      </c>
      <c r="K347" s="11">
        <v>7160</v>
      </c>
      <c r="L347" s="11">
        <v>2.38832486246182E-2</v>
      </c>
      <c r="M347" s="11">
        <v>2.3883248624618205</v>
      </c>
      <c r="N347" s="11">
        <v>0.82105263157894703</v>
      </c>
      <c r="O347" s="11">
        <v>0.180004273844491</v>
      </c>
      <c r="P347" s="11">
        <v>0.28125</v>
      </c>
      <c r="Q347" s="11">
        <v>0.20689655172413801</v>
      </c>
      <c r="R347" s="11">
        <v>0.32558139534883701</v>
      </c>
      <c r="S347" s="10" t="s">
        <v>84</v>
      </c>
      <c r="T347" s="10" t="s">
        <v>84</v>
      </c>
      <c r="U347" s="10"/>
      <c r="V347" s="10"/>
      <c r="W347" s="10"/>
      <c r="X347" s="10"/>
      <c r="Y347" s="10"/>
      <c r="Z347" s="10"/>
      <c r="AA347" s="10"/>
    </row>
    <row r="348" spans="1:27" ht="12.5" x14ac:dyDescent="0.25">
      <c r="A348" s="10" t="s">
        <v>42</v>
      </c>
      <c r="B348" s="10" t="s">
        <v>1013</v>
      </c>
      <c r="C348" s="10" t="s">
        <v>76</v>
      </c>
      <c r="D348" s="11">
        <v>2024</v>
      </c>
      <c r="E348" s="10" t="s">
        <v>81</v>
      </c>
      <c r="F348" s="10" t="s">
        <v>83</v>
      </c>
      <c r="G348" s="10" t="s">
        <v>84</v>
      </c>
      <c r="H348" s="12">
        <v>11427.333333333299</v>
      </c>
      <c r="I348" s="11">
        <v>272</v>
      </c>
      <c r="J348" s="11">
        <v>225</v>
      </c>
      <c r="K348" s="11">
        <v>3822</v>
      </c>
      <c r="L348" s="11">
        <v>2.3802578612682999E-2</v>
      </c>
      <c r="M348" s="11">
        <v>2.3802578612683112</v>
      </c>
      <c r="N348" s="11">
        <v>0.82720588235294101</v>
      </c>
      <c r="O348" s="11">
        <v>0.334461233300274</v>
      </c>
      <c r="P348" s="11">
        <v>0.28040540540540498</v>
      </c>
      <c r="Q348" s="11">
        <v>0.214285714285714</v>
      </c>
      <c r="R348" s="11">
        <v>0.32364341085271298</v>
      </c>
      <c r="S348" s="10" t="s">
        <v>84</v>
      </c>
      <c r="T348" s="10" t="s">
        <v>84</v>
      </c>
      <c r="U348" s="10"/>
      <c r="V348" s="10"/>
      <c r="W348" s="10"/>
      <c r="X348" s="10"/>
      <c r="Y348" s="10"/>
      <c r="Z348" s="10"/>
      <c r="AA348" s="10"/>
    </row>
    <row r="349" spans="1:27" ht="12.5" x14ac:dyDescent="0.25">
      <c r="A349" s="10" t="s">
        <v>52</v>
      </c>
      <c r="B349" s="10" t="s">
        <v>1015</v>
      </c>
      <c r="C349" s="10" t="s">
        <v>76</v>
      </c>
      <c r="D349" s="11">
        <v>2024</v>
      </c>
      <c r="E349" s="10" t="s">
        <v>81</v>
      </c>
      <c r="F349" s="10" t="s">
        <v>83</v>
      </c>
      <c r="G349" s="10" t="s">
        <v>84</v>
      </c>
      <c r="H349" s="12">
        <v>35290</v>
      </c>
      <c r="I349" s="11">
        <v>821</v>
      </c>
      <c r="J349" s="11">
        <v>711</v>
      </c>
      <c r="K349" s="11">
        <v>13061</v>
      </c>
      <c r="L349" s="11">
        <v>2.3264380844431901E-2</v>
      </c>
      <c r="M349" s="11">
        <v>2.3264380844431853</v>
      </c>
      <c r="N349" s="11">
        <v>0.86601705237515203</v>
      </c>
      <c r="O349" s="11">
        <v>0.37010484556531598</v>
      </c>
      <c r="P349" s="11">
        <v>0.27702702702702697</v>
      </c>
      <c r="Q349" s="11">
        <v>0.170212765957447</v>
      </c>
      <c r="R349" s="11">
        <v>0.321705426356589</v>
      </c>
      <c r="S349" s="10" t="s">
        <v>84</v>
      </c>
      <c r="T349" s="10" t="s">
        <v>84</v>
      </c>
      <c r="U349" s="10"/>
      <c r="V349" s="10"/>
      <c r="W349" s="10"/>
      <c r="X349" s="10"/>
      <c r="Y349" s="10"/>
      <c r="Z349" s="10"/>
      <c r="AA349" s="10"/>
    </row>
    <row r="350" spans="1:27" ht="12.5" x14ac:dyDescent="0.25">
      <c r="A350" s="10" t="s">
        <v>77</v>
      </c>
      <c r="B350" s="10" t="s">
        <v>1017</v>
      </c>
      <c r="C350" s="10" t="s">
        <v>76</v>
      </c>
      <c r="D350" s="11">
        <v>2024</v>
      </c>
      <c r="E350" s="10" t="s">
        <v>81</v>
      </c>
      <c r="F350" s="10" t="s">
        <v>83</v>
      </c>
      <c r="G350" s="10" t="s">
        <v>84</v>
      </c>
      <c r="H350" s="12">
        <v>22709.166666666701</v>
      </c>
      <c r="I350" s="11">
        <v>528</v>
      </c>
      <c r="J350" s="11">
        <v>352</v>
      </c>
      <c r="K350" s="11">
        <v>3677</v>
      </c>
      <c r="L350" s="11">
        <v>2.3250522916590199E-2</v>
      </c>
      <c r="M350" s="11">
        <v>2.3250522916590182</v>
      </c>
      <c r="N350" s="11">
        <v>0.66666666666666696</v>
      </c>
      <c r="O350" s="11">
        <v>0.16191699387178499</v>
      </c>
      <c r="P350" s="11">
        <v>0.27618243243243201</v>
      </c>
      <c r="Q350" s="11">
        <v>0.214285714285714</v>
      </c>
      <c r="R350" s="11">
        <v>0.31976744186046502</v>
      </c>
      <c r="S350" s="10" t="s">
        <v>84</v>
      </c>
      <c r="T350" s="10" t="s">
        <v>84</v>
      </c>
      <c r="U350" s="10"/>
      <c r="V350" s="10"/>
      <c r="W350" s="10"/>
      <c r="X350" s="10"/>
      <c r="Y350" s="10"/>
      <c r="Z350" s="10"/>
      <c r="AA350" s="10"/>
    </row>
    <row r="351" spans="1:27" ht="12.5" x14ac:dyDescent="0.25">
      <c r="A351" s="10" t="s">
        <v>88</v>
      </c>
      <c r="B351" s="10" t="s">
        <v>1019</v>
      </c>
      <c r="C351" s="10" t="s">
        <v>76</v>
      </c>
      <c r="D351" s="11">
        <v>2024</v>
      </c>
      <c r="E351" s="10" t="s">
        <v>81</v>
      </c>
      <c r="F351" s="10" t="s">
        <v>83</v>
      </c>
      <c r="G351" s="10" t="s">
        <v>84</v>
      </c>
      <c r="H351" s="12">
        <v>35601.416666666701</v>
      </c>
      <c r="I351" s="11">
        <v>827</v>
      </c>
      <c r="J351" s="11">
        <v>634</v>
      </c>
      <c r="K351" s="11">
        <v>51817</v>
      </c>
      <c r="L351" s="11">
        <v>2.3229412687229199E-2</v>
      </c>
      <c r="M351" s="11">
        <v>2.3229412687229183</v>
      </c>
      <c r="N351" s="11">
        <v>0.76662636033857301</v>
      </c>
      <c r="O351" s="11">
        <v>1.4554757886507299</v>
      </c>
      <c r="P351" s="11">
        <v>0.275337837837838</v>
      </c>
      <c r="Q351" s="11">
        <v>0.66666666666666696</v>
      </c>
      <c r="R351" s="11">
        <v>0.31782945736434098</v>
      </c>
      <c r="S351" s="10" t="s">
        <v>84</v>
      </c>
      <c r="T351" s="10" t="s">
        <v>84</v>
      </c>
      <c r="U351" s="10"/>
      <c r="V351" s="10"/>
      <c r="W351" s="10"/>
      <c r="X351" s="10"/>
      <c r="Y351" s="10"/>
      <c r="Z351" s="10"/>
      <c r="AA351" s="10"/>
    </row>
    <row r="352" spans="1:27" ht="12.5" x14ac:dyDescent="0.25">
      <c r="A352" s="10" t="s">
        <v>86</v>
      </c>
      <c r="B352" s="10" t="s">
        <v>1003</v>
      </c>
      <c r="C352" s="10" t="s">
        <v>76</v>
      </c>
      <c r="D352" s="11">
        <v>2024</v>
      </c>
      <c r="E352" s="10" t="s">
        <v>81</v>
      </c>
      <c r="F352" s="10" t="s">
        <v>83</v>
      </c>
      <c r="G352" s="10" t="s">
        <v>84</v>
      </c>
      <c r="H352" s="12">
        <v>1553.4166666666699</v>
      </c>
      <c r="I352" s="11">
        <v>36</v>
      </c>
      <c r="J352" s="11">
        <v>28</v>
      </c>
      <c r="K352" s="11">
        <v>2905</v>
      </c>
      <c r="L352" s="11">
        <v>2.3174722386138099E-2</v>
      </c>
      <c r="M352" s="11">
        <v>2.3174722386138034</v>
      </c>
      <c r="N352" s="11">
        <v>0.77777777777777801</v>
      </c>
      <c r="O352" s="11">
        <v>1.87007134810364</v>
      </c>
      <c r="P352" s="11">
        <v>0.27449324324324298</v>
      </c>
      <c r="Q352" s="11">
        <v>0.13043478260869601</v>
      </c>
      <c r="R352" s="11">
        <v>0.315891472868217</v>
      </c>
      <c r="S352" s="10" t="s">
        <v>84</v>
      </c>
      <c r="T352" s="10" t="s">
        <v>84</v>
      </c>
      <c r="U352" s="10"/>
      <c r="V352" s="10"/>
      <c r="W352" s="10"/>
      <c r="X352" s="10"/>
      <c r="Y352" s="10"/>
      <c r="Z352" s="10"/>
      <c r="AA352" s="10"/>
    </row>
    <row r="353" spans="1:27" ht="12.5" x14ac:dyDescent="0.25">
      <c r="A353" s="10" t="s">
        <v>32</v>
      </c>
      <c r="B353" s="10" t="s">
        <v>1022</v>
      </c>
      <c r="C353" s="10" t="s">
        <v>76</v>
      </c>
      <c r="D353" s="11">
        <v>2024</v>
      </c>
      <c r="E353" s="10" t="s">
        <v>81</v>
      </c>
      <c r="F353" s="10" t="s">
        <v>83</v>
      </c>
      <c r="G353" s="10" t="s">
        <v>84</v>
      </c>
      <c r="H353" s="12">
        <v>17642.5</v>
      </c>
      <c r="I353" s="11">
        <v>403</v>
      </c>
      <c r="J353" s="11">
        <v>114</v>
      </c>
      <c r="K353" s="11">
        <v>61191</v>
      </c>
      <c r="L353" s="11">
        <v>2.2842567663312999E-2</v>
      </c>
      <c r="M353" s="11">
        <v>2.2842567663313025</v>
      </c>
      <c r="N353" s="11">
        <v>0.28287841191066998</v>
      </c>
      <c r="O353" s="11">
        <v>3.46838599971659</v>
      </c>
      <c r="P353" s="11">
        <v>0.27195945945945998</v>
      </c>
      <c r="Q353" s="11">
        <v>0.10344827586206901</v>
      </c>
      <c r="R353" s="11">
        <v>0.31395348837209303</v>
      </c>
      <c r="S353" s="10" t="s">
        <v>84</v>
      </c>
      <c r="T353" s="10" t="s">
        <v>84</v>
      </c>
      <c r="U353" s="10"/>
      <c r="V353" s="10"/>
      <c r="W353" s="10"/>
      <c r="X353" s="10"/>
      <c r="Y353" s="10"/>
      <c r="Z353" s="10"/>
      <c r="AA353" s="10"/>
    </row>
    <row r="354" spans="1:27" ht="12.5" x14ac:dyDescent="0.25">
      <c r="A354" s="10" t="s">
        <v>19</v>
      </c>
      <c r="B354" s="10" t="s">
        <v>1025</v>
      </c>
      <c r="C354" s="10" t="s">
        <v>76</v>
      </c>
      <c r="D354" s="11">
        <v>2024</v>
      </c>
      <c r="E354" s="10" t="s">
        <v>81</v>
      </c>
      <c r="F354" s="10" t="s">
        <v>83</v>
      </c>
      <c r="G354" s="10" t="s">
        <v>84</v>
      </c>
      <c r="H354" s="12">
        <v>54278.833333333299</v>
      </c>
      <c r="I354" s="11">
        <v>1220</v>
      </c>
      <c r="J354" s="11">
        <v>232</v>
      </c>
      <c r="K354" s="11">
        <v>138391</v>
      </c>
      <c r="L354" s="11">
        <v>2.2476533209691899E-2</v>
      </c>
      <c r="M354" s="11">
        <v>2.2476533209691945</v>
      </c>
      <c r="N354" s="11">
        <v>0.19016393442623</v>
      </c>
      <c r="O354" s="11">
        <v>2.5496310716577701</v>
      </c>
      <c r="P354" s="11">
        <v>0.26858108108108097</v>
      </c>
      <c r="Q354" s="11">
        <v>0</v>
      </c>
      <c r="R354" s="11">
        <v>0.31201550387596899</v>
      </c>
      <c r="S354" s="10" t="s">
        <v>84</v>
      </c>
      <c r="T354" s="10" t="s">
        <v>84</v>
      </c>
      <c r="U354" s="10"/>
      <c r="V354" s="10"/>
      <c r="W354" s="10"/>
      <c r="X354" s="10"/>
      <c r="Y354" s="10"/>
      <c r="Z354" s="10"/>
      <c r="AA354" s="10"/>
    </row>
    <row r="355" spans="1:27" ht="12.5" x14ac:dyDescent="0.25">
      <c r="A355" s="10" t="s">
        <v>12</v>
      </c>
      <c r="B355" s="10" t="s">
        <v>865</v>
      </c>
      <c r="C355" s="10" t="s">
        <v>76</v>
      </c>
      <c r="D355" s="11">
        <v>2024</v>
      </c>
      <c r="E355" s="10" t="s">
        <v>81</v>
      </c>
      <c r="F355" s="10" t="s">
        <v>83</v>
      </c>
      <c r="G355" s="10" t="s">
        <v>84</v>
      </c>
      <c r="H355" s="12">
        <v>9419.4166666666697</v>
      </c>
      <c r="I355" s="11">
        <v>211</v>
      </c>
      <c r="J355" s="11">
        <v>121</v>
      </c>
      <c r="K355" s="11">
        <v>20257</v>
      </c>
      <c r="L355" s="11">
        <v>2.24005378960127E-2</v>
      </c>
      <c r="M355" s="11">
        <v>2.2400537896012662</v>
      </c>
      <c r="N355" s="11">
        <v>0.57345971563981002</v>
      </c>
      <c r="O355" s="11">
        <v>2.15055780170393</v>
      </c>
      <c r="P355" s="11">
        <v>0.26773648648648701</v>
      </c>
      <c r="Q355" s="11">
        <v>0.16666666666666699</v>
      </c>
      <c r="R355" s="11">
        <v>0.31007751937984501</v>
      </c>
      <c r="S355" s="10" t="s">
        <v>84</v>
      </c>
      <c r="T355" s="10" t="s">
        <v>84</v>
      </c>
      <c r="U355" s="10"/>
      <c r="V355" s="10"/>
      <c r="W355" s="10"/>
      <c r="X355" s="10"/>
      <c r="Y355" s="10"/>
      <c r="Z355" s="10"/>
      <c r="AA355" s="10"/>
    </row>
    <row r="356" spans="1:27" ht="12.5" x14ac:dyDescent="0.25">
      <c r="A356" s="10" t="s">
        <v>12</v>
      </c>
      <c r="B356" s="10" t="s">
        <v>1029</v>
      </c>
      <c r="C356" s="10" t="s">
        <v>76</v>
      </c>
      <c r="D356" s="11">
        <v>2024</v>
      </c>
      <c r="E356" s="10" t="s">
        <v>81</v>
      </c>
      <c r="F356" s="10" t="s">
        <v>83</v>
      </c>
      <c r="G356" s="10" t="s">
        <v>84</v>
      </c>
      <c r="H356" s="12">
        <v>9678.5</v>
      </c>
      <c r="I356" s="11">
        <v>215</v>
      </c>
      <c r="J356" s="11">
        <v>158</v>
      </c>
      <c r="K356" s="11">
        <v>3508</v>
      </c>
      <c r="L356" s="11">
        <v>2.2214186082554099E-2</v>
      </c>
      <c r="M356" s="11">
        <v>2.2214186082554113</v>
      </c>
      <c r="N356" s="11">
        <v>0.73488372093023302</v>
      </c>
      <c r="O356" s="11">
        <v>0.36245285943069699</v>
      </c>
      <c r="P356" s="11">
        <v>0.264358108108108</v>
      </c>
      <c r="Q356" s="11">
        <v>0.15277777777777801</v>
      </c>
      <c r="R356" s="11">
        <v>0.30813953488372098</v>
      </c>
      <c r="S356" s="10" t="s">
        <v>84</v>
      </c>
      <c r="T356" s="10" t="s">
        <v>84</v>
      </c>
      <c r="U356" s="10"/>
      <c r="V356" s="10"/>
      <c r="W356" s="10"/>
      <c r="X356" s="10"/>
      <c r="Y356" s="10"/>
      <c r="Z356" s="10"/>
      <c r="AA356" s="10"/>
    </row>
    <row r="357" spans="1:27" ht="12.5" x14ac:dyDescent="0.25">
      <c r="A357" s="10" t="s">
        <v>62</v>
      </c>
      <c r="B357" s="10" t="s">
        <v>900</v>
      </c>
      <c r="C357" s="10" t="s">
        <v>76</v>
      </c>
      <c r="D357" s="11">
        <v>2024</v>
      </c>
      <c r="E357" s="10" t="s">
        <v>81</v>
      </c>
      <c r="F357" s="10" t="s">
        <v>83</v>
      </c>
      <c r="G357" s="10" t="s">
        <v>84</v>
      </c>
      <c r="H357" s="12">
        <v>9175.5833333333303</v>
      </c>
      <c r="I357" s="11">
        <v>202</v>
      </c>
      <c r="J357" s="11">
        <v>158</v>
      </c>
      <c r="K357" s="11">
        <v>1464</v>
      </c>
      <c r="L357" s="11">
        <v>2.2014949094971301E-2</v>
      </c>
      <c r="M357" s="11">
        <v>2.2014949094971263</v>
      </c>
      <c r="N357" s="11">
        <v>0.78217821782178198</v>
      </c>
      <c r="O357" s="11">
        <v>0.15955388849028701</v>
      </c>
      <c r="P357" s="11">
        <v>0.26266891891891903</v>
      </c>
      <c r="Q357" s="11">
        <v>0.13888888888888901</v>
      </c>
      <c r="R357" s="11">
        <v>0.306201550387597</v>
      </c>
      <c r="S357" s="10" t="s">
        <v>84</v>
      </c>
      <c r="T357" s="10" t="s">
        <v>84</v>
      </c>
      <c r="U357" s="10"/>
      <c r="V357" s="10"/>
      <c r="W357" s="10"/>
      <c r="X357" s="10"/>
      <c r="Y357" s="10"/>
      <c r="Z357" s="10"/>
      <c r="AA357" s="10"/>
    </row>
    <row r="358" spans="1:27" ht="12.5" x14ac:dyDescent="0.25">
      <c r="A358" s="10" t="s">
        <v>32</v>
      </c>
      <c r="B358" s="10" t="s">
        <v>1032</v>
      </c>
      <c r="C358" s="10" t="s">
        <v>76</v>
      </c>
      <c r="D358" s="11">
        <v>2024</v>
      </c>
      <c r="E358" s="10" t="s">
        <v>81</v>
      </c>
      <c r="F358" s="10" t="s">
        <v>83</v>
      </c>
      <c r="G358" s="10" t="s">
        <v>84</v>
      </c>
      <c r="H358" s="12">
        <v>15304</v>
      </c>
      <c r="I358" s="11">
        <v>336</v>
      </c>
      <c r="J358" s="11">
        <v>59</v>
      </c>
      <c r="K358" s="11">
        <v>46168</v>
      </c>
      <c r="L358" s="11">
        <v>2.1955044432827999E-2</v>
      </c>
      <c r="M358" s="11">
        <v>2.1955044432828021</v>
      </c>
      <c r="N358" s="11">
        <v>0.175595238095238</v>
      </c>
      <c r="O358" s="11">
        <v>3.0167276529012002</v>
      </c>
      <c r="P358" s="11">
        <v>0.26182432432432401</v>
      </c>
      <c r="Q358" s="11">
        <v>6.8965517241379296E-2</v>
      </c>
      <c r="R358" s="11">
        <v>0.30426356589147302</v>
      </c>
      <c r="S358" s="10" t="s">
        <v>84</v>
      </c>
      <c r="T358" s="10" t="s">
        <v>84</v>
      </c>
      <c r="U358" s="10"/>
      <c r="V358" s="10"/>
      <c r="W358" s="10"/>
      <c r="X358" s="10"/>
      <c r="Y358" s="10"/>
      <c r="Z358" s="10"/>
      <c r="AA358" s="10"/>
    </row>
    <row r="359" spans="1:27" ht="12.5" x14ac:dyDescent="0.25">
      <c r="A359" s="10" t="s">
        <v>115</v>
      </c>
      <c r="B359" s="10" t="s">
        <v>1035</v>
      </c>
      <c r="C359" s="10" t="s">
        <v>76</v>
      </c>
      <c r="D359" s="11">
        <v>2024</v>
      </c>
      <c r="E359" s="10" t="s">
        <v>81</v>
      </c>
      <c r="F359" s="10" t="s">
        <v>83</v>
      </c>
      <c r="G359" s="10" t="s">
        <v>84</v>
      </c>
      <c r="H359" s="12">
        <v>14686</v>
      </c>
      <c r="I359" s="11">
        <v>322</v>
      </c>
      <c r="J359" s="11">
        <v>294</v>
      </c>
      <c r="K359" s="11">
        <v>1030</v>
      </c>
      <c r="L359" s="11">
        <v>2.19256434699714E-2</v>
      </c>
      <c r="M359" s="11">
        <v>2.1925643469971399</v>
      </c>
      <c r="N359" s="11">
        <v>0.91304347826086996</v>
      </c>
      <c r="O359" s="11">
        <v>7.0134822279722203E-2</v>
      </c>
      <c r="P359" s="11">
        <v>0.26097972972972999</v>
      </c>
      <c r="Q359" s="11">
        <v>0.77777777777777801</v>
      </c>
      <c r="R359" s="11">
        <v>0.30232558139534899</v>
      </c>
      <c r="S359" s="10" t="s">
        <v>84</v>
      </c>
      <c r="T359" s="10" t="s">
        <v>84</v>
      </c>
      <c r="U359" s="10"/>
      <c r="V359" s="10"/>
      <c r="W359" s="10"/>
      <c r="X359" s="10"/>
      <c r="Y359" s="10"/>
      <c r="Z359" s="10"/>
      <c r="AA359" s="10"/>
    </row>
    <row r="360" spans="1:27" ht="12.5" x14ac:dyDescent="0.25">
      <c r="A360" s="10" t="s">
        <v>86</v>
      </c>
      <c r="B360" s="10" t="s">
        <v>1037</v>
      </c>
      <c r="C360" s="10" t="s">
        <v>76</v>
      </c>
      <c r="D360" s="11">
        <v>2024</v>
      </c>
      <c r="E360" s="10" t="s">
        <v>81</v>
      </c>
      <c r="F360" s="10" t="s">
        <v>83</v>
      </c>
      <c r="G360" s="10" t="s">
        <v>84</v>
      </c>
      <c r="H360" s="12">
        <v>28262.583333333299</v>
      </c>
      <c r="I360" s="11">
        <v>614</v>
      </c>
      <c r="J360" s="11">
        <v>464</v>
      </c>
      <c r="K360" s="11">
        <v>28816</v>
      </c>
      <c r="L360" s="11">
        <v>2.1724836429790902E-2</v>
      </c>
      <c r="M360" s="11">
        <v>2.1724836429790888</v>
      </c>
      <c r="N360" s="11">
        <v>0.75570032573289903</v>
      </c>
      <c r="O360" s="11">
        <v>1.0195812484704501</v>
      </c>
      <c r="P360" s="11">
        <v>0.25760135135135098</v>
      </c>
      <c r="Q360" s="11">
        <v>0.108695652173913</v>
      </c>
      <c r="R360" s="11">
        <v>0.30038759689922501</v>
      </c>
      <c r="S360" s="10" t="s">
        <v>84</v>
      </c>
      <c r="T360" s="10" t="s">
        <v>84</v>
      </c>
      <c r="U360" s="10"/>
      <c r="V360" s="10"/>
      <c r="W360" s="10"/>
      <c r="X360" s="10"/>
      <c r="Y360" s="10"/>
      <c r="Z360" s="10"/>
      <c r="AA360" s="10"/>
    </row>
    <row r="361" spans="1:27" ht="12.5" x14ac:dyDescent="0.25">
      <c r="A361" s="10" t="s">
        <v>65</v>
      </c>
      <c r="B361" s="10" t="s">
        <v>1040</v>
      </c>
      <c r="C361" s="10" t="s">
        <v>76</v>
      </c>
      <c r="D361" s="11">
        <v>2024</v>
      </c>
      <c r="E361" s="10" t="s">
        <v>81</v>
      </c>
      <c r="F361" s="10" t="s">
        <v>83</v>
      </c>
      <c r="G361" s="10" t="s">
        <v>84</v>
      </c>
      <c r="H361" s="12">
        <v>30591.25</v>
      </c>
      <c r="I361" s="11">
        <v>660</v>
      </c>
      <c r="J361" s="11">
        <v>212</v>
      </c>
      <c r="K361" s="11">
        <v>11157</v>
      </c>
      <c r="L361" s="11">
        <v>2.1574796714746901E-2</v>
      </c>
      <c r="M361" s="11">
        <v>2.1574796714746864</v>
      </c>
      <c r="N361" s="11">
        <v>0.321212121212121</v>
      </c>
      <c r="O361" s="11">
        <v>0.364712131737016</v>
      </c>
      <c r="P361" s="11">
        <v>0.25675675675675702</v>
      </c>
      <c r="Q361" s="11">
        <v>0.230769230769231</v>
      </c>
      <c r="R361" s="11">
        <v>0.29844961240310097</v>
      </c>
      <c r="S361" s="10" t="s">
        <v>84</v>
      </c>
      <c r="T361" s="10" t="s">
        <v>84</v>
      </c>
      <c r="U361" s="10"/>
      <c r="V361" s="10"/>
      <c r="W361" s="10"/>
      <c r="X361" s="10"/>
      <c r="Y361" s="10"/>
      <c r="Z361" s="10"/>
      <c r="AA361" s="10"/>
    </row>
    <row r="362" spans="1:27" ht="12.5" x14ac:dyDescent="0.25">
      <c r="A362" s="10" t="s">
        <v>34</v>
      </c>
      <c r="B362" s="10" t="s">
        <v>1042</v>
      </c>
      <c r="C362" s="10" t="s">
        <v>76</v>
      </c>
      <c r="D362" s="11">
        <v>2024</v>
      </c>
      <c r="E362" s="10" t="s">
        <v>81</v>
      </c>
      <c r="F362" s="10" t="s">
        <v>83</v>
      </c>
      <c r="G362" s="10" t="s">
        <v>84</v>
      </c>
      <c r="H362" s="12">
        <v>42344.416666666701</v>
      </c>
      <c r="I362" s="11">
        <v>905</v>
      </c>
      <c r="J362" s="11">
        <v>895</v>
      </c>
      <c r="K362" s="11">
        <v>2538</v>
      </c>
      <c r="L362" s="11">
        <v>2.1372357237179999E-2</v>
      </c>
      <c r="M362" s="11">
        <v>2.1372357237180015</v>
      </c>
      <c r="N362" s="11">
        <v>0.98895027624309395</v>
      </c>
      <c r="O362" s="11">
        <v>5.9937063721506E-2</v>
      </c>
      <c r="P362" s="11">
        <v>0.255912162162162</v>
      </c>
      <c r="Q362" s="11">
        <v>0.51020408163265296</v>
      </c>
      <c r="R362" s="11">
        <v>0.29651162790697699</v>
      </c>
      <c r="S362" s="10" t="s">
        <v>84</v>
      </c>
      <c r="T362" s="10" t="s">
        <v>84</v>
      </c>
      <c r="U362" s="10"/>
      <c r="V362" s="10"/>
      <c r="W362" s="10"/>
      <c r="X362" s="10"/>
      <c r="Y362" s="10"/>
      <c r="Z362" s="10"/>
      <c r="AA362" s="10"/>
    </row>
    <row r="363" spans="1:27" ht="12.5" x14ac:dyDescent="0.25">
      <c r="A363" s="10" t="s">
        <v>42</v>
      </c>
      <c r="B363" s="10" t="s">
        <v>1045</v>
      </c>
      <c r="C363" s="10" t="s">
        <v>76</v>
      </c>
      <c r="D363" s="11">
        <v>2024</v>
      </c>
      <c r="E363" s="10" t="s">
        <v>81</v>
      </c>
      <c r="F363" s="10" t="s">
        <v>83</v>
      </c>
      <c r="G363" s="10" t="s">
        <v>84</v>
      </c>
      <c r="H363" s="12">
        <v>39561.75</v>
      </c>
      <c r="I363" s="11">
        <v>842</v>
      </c>
      <c r="J363" s="11">
        <v>682</v>
      </c>
      <c r="K363" s="11">
        <v>950</v>
      </c>
      <c r="L363" s="11">
        <v>2.12831838834227E-2</v>
      </c>
      <c r="M363" s="11">
        <v>2.1283183883422749</v>
      </c>
      <c r="N363" s="11">
        <v>0.809976247030879</v>
      </c>
      <c r="O363" s="11">
        <v>2.4013093455168201E-2</v>
      </c>
      <c r="P363" s="11">
        <v>0.25506756756756799</v>
      </c>
      <c r="Q363" s="11">
        <v>0.19047619047618999</v>
      </c>
      <c r="R363" s="11">
        <v>0.29457364341085301</v>
      </c>
      <c r="S363" s="10" t="s">
        <v>84</v>
      </c>
      <c r="T363" s="10" t="s">
        <v>84</v>
      </c>
      <c r="U363" s="10"/>
      <c r="V363" s="10"/>
      <c r="W363" s="10"/>
      <c r="X363" s="10"/>
      <c r="Y363" s="10"/>
      <c r="Z363" s="10"/>
      <c r="AA363" s="10"/>
    </row>
    <row r="364" spans="1:27" ht="12.5" x14ac:dyDescent="0.25">
      <c r="A364" s="10" t="s">
        <v>82</v>
      </c>
      <c r="B364" s="10" t="s">
        <v>1047</v>
      </c>
      <c r="C364" s="10" t="s">
        <v>76</v>
      </c>
      <c r="D364" s="11">
        <v>2024</v>
      </c>
      <c r="E364" s="10" t="s">
        <v>81</v>
      </c>
      <c r="F364" s="10" t="s">
        <v>83</v>
      </c>
      <c r="G364" s="10" t="s">
        <v>84</v>
      </c>
      <c r="H364" s="12">
        <v>12320.416666666701</v>
      </c>
      <c r="I364" s="11">
        <v>262</v>
      </c>
      <c r="J364" s="11">
        <v>224</v>
      </c>
      <c r="K364" s="11">
        <v>2168</v>
      </c>
      <c r="L364" s="11">
        <v>2.1265514559166698E-2</v>
      </c>
      <c r="M364" s="11">
        <v>2.1265514559166636</v>
      </c>
      <c r="N364" s="11">
        <v>0.85496183206106902</v>
      </c>
      <c r="O364" s="11">
        <v>0.17596807467279901</v>
      </c>
      <c r="P364" s="11">
        <v>0.25422297297297303</v>
      </c>
      <c r="Q364" s="11">
        <v>0.48275862068965503</v>
      </c>
      <c r="R364" s="11">
        <v>0.29263565891472898</v>
      </c>
      <c r="S364" s="10" t="s">
        <v>84</v>
      </c>
      <c r="T364" s="10" t="s">
        <v>84</v>
      </c>
      <c r="U364" s="10"/>
      <c r="V364" s="10"/>
      <c r="W364" s="10"/>
      <c r="X364" s="10"/>
      <c r="Y364" s="10"/>
      <c r="Z364" s="10"/>
      <c r="AA364" s="10"/>
    </row>
    <row r="365" spans="1:27" ht="12.5" x14ac:dyDescent="0.25">
      <c r="A365" s="10" t="s">
        <v>12</v>
      </c>
      <c r="B365" s="10" t="s">
        <v>1049</v>
      </c>
      <c r="C365" s="10" t="s">
        <v>76</v>
      </c>
      <c r="D365" s="11">
        <v>2024</v>
      </c>
      <c r="E365" s="10" t="s">
        <v>81</v>
      </c>
      <c r="F365" s="10" t="s">
        <v>83</v>
      </c>
      <c r="G365" s="10" t="s">
        <v>84</v>
      </c>
      <c r="H365" s="12">
        <v>29420</v>
      </c>
      <c r="I365" s="11">
        <v>622</v>
      </c>
      <c r="J365" s="11">
        <v>428</v>
      </c>
      <c r="K365" s="11">
        <v>2712</v>
      </c>
      <c r="L365" s="11">
        <v>2.1142080217539098E-2</v>
      </c>
      <c r="M365" s="11">
        <v>2.114208021753909</v>
      </c>
      <c r="N365" s="11">
        <v>0.68810289389067503</v>
      </c>
      <c r="O365" s="11">
        <v>9.2182188987083594E-2</v>
      </c>
      <c r="P365" s="11">
        <v>0.25253378378378399</v>
      </c>
      <c r="Q365" s="11">
        <v>0.13888888888888901</v>
      </c>
      <c r="R365" s="11">
        <v>0.290697674418605</v>
      </c>
      <c r="S365" s="10" t="s">
        <v>84</v>
      </c>
      <c r="T365" s="10" t="s">
        <v>84</v>
      </c>
      <c r="U365" s="10"/>
      <c r="V365" s="10"/>
      <c r="W365" s="10"/>
      <c r="X365" s="10"/>
      <c r="Y365" s="10"/>
      <c r="Z365" s="10"/>
      <c r="AA365" s="10"/>
    </row>
    <row r="366" spans="1:27" ht="12.5" x14ac:dyDescent="0.25">
      <c r="A366" s="10" t="s">
        <v>34</v>
      </c>
      <c r="B366" s="10" t="s">
        <v>1052</v>
      </c>
      <c r="C366" s="10" t="s">
        <v>76</v>
      </c>
      <c r="D366" s="11">
        <v>2024</v>
      </c>
      <c r="E366" s="10" t="s">
        <v>81</v>
      </c>
      <c r="F366" s="10" t="s">
        <v>83</v>
      </c>
      <c r="G366" s="10" t="s">
        <v>84</v>
      </c>
      <c r="H366" s="12">
        <v>47828.083333333299</v>
      </c>
      <c r="I366" s="11">
        <v>1010</v>
      </c>
      <c r="J366" s="11">
        <v>1355</v>
      </c>
      <c r="K366" s="11">
        <v>13319</v>
      </c>
      <c r="L366" s="11">
        <v>2.1117300330872599E-2</v>
      </c>
      <c r="M366" s="11">
        <v>2.1117300330872566</v>
      </c>
      <c r="N366" s="11">
        <v>1.3415841584158399</v>
      </c>
      <c r="O366" s="11">
        <v>0.27847655753157602</v>
      </c>
      <c r="P366" s="11">
        <v>0.25168918918918898</v>
      </c>
      <c r="Q366" s="11">
        <v>0.48979591836734698</v>
      </c>
      <c r="R366" s="11">
        <v>0.28875968992248102</v>
      </c>
      <c r="S366" s="10" t="s">
        <v>84</v>
      </c>
      <c r="T366" s="10" t="s">
        <v>84</v>
      </c>
      <c r="U366" s="10"/>
      <c r="V366" s="10"/>
      <c r="W366" s="10"/>
      <c r="X366" s="10"/>
      <c r="Y366" s="10"/>
      <c r="Z366" s="10"/>
      <c r="AA366" s="10"/>
    </row>
    <row r="367" spans="1:27" ht="12.5" x14ac:dyDescent="0.25">
      <c r="A367" s="10" t="s">
        <v>118</v>
      </c>
      <c r="B367" s="10" t="s">
        <v>1055</v>
      </c>
      <c r="C367" s="10" t="s">
        <v>76</v>
      </c>
      <c r="D367" s="11">
        <v>2024</v>
      </c>
      <c r="E367" s="10" t="s">
        <v>81</v>
      </c>
      <c r="F367" s="10" t="s">
        <v>83</v>
      </c>
      <c r="G367" s="10" t="s">
        <v>84</v>
      </c>
      <c r="H367" s="12">
        <v>18149.583333333299</v>
      </c>
      <c r="I367" s="11">
        <v>378</v>
      </c>
      <c r="J367" s="11">
        <v>241</v>
      </c>
      <c r="K367" s="11">
        <v>3118</v>
      </c>
      <c r="L367" s="11">
        <v>2.0826924401386601E-2</v>
      </c>
      <c r="M367" s="11">
        <v>2.0826924401386662</v>
      </c>
      <c r="N367" s="11">
        <v>0.637566137566138</v>
      </c>
      <c r="O367" s="11">
        <v>0.171794577469639</v>
      </c>
      <c r="P367" s="11">
        <v>0.25084459459459502</v>
      </c>
      <c r="Q367" s="11">
        <v>0.28571428571428598</v>
      </c>
      <c r="R367" s="11">
        <v>0.28682170542635699</v>
      </c>
      <c r="S367" s="10" t="s">
        <v>84</v>
      </c>
      <c r="T367" s="10" t="s">
        <v>84</v>
      </c>
      <c r="U367" s="10"/>
      <c r="V367" s="10"/>
      <c r="W367" s="10"/>
      <c r="X367" s="10"/>
      <c r="Y367" s="10"/>
      <c r="Z367" s="10"/>
      <c r="AA367" s="10"/>
    </row>
    <row r="368" spans="1:27" ht="12.5" x14ac:dyDescent="0.25">
      <c r="A368" s="10" t="s">
        <v>96</v>
      </c>
      <c r="B368" s="10" t="s">
        <v>1057</v>
      </c>
      <c r="C368" s="10" t="s">
        <v>76</v>
      </c>
      <c r="D368" s="11">
        <v>2024</v>
      </c>
      <c r="E368" s="10" t="s">
        <v>81</v>
      </c>
      <c r="F368" s="10" t="s">
        <v>83</v>
      </c>
      <c r="G368" s="10" t="s">
        <v>84</v>
      </c>
      <c r="H368" s="12">
        <v>7704.4166666666697</v>
      </c>
      <c r="I368" s="11">
        <v>159</v>
      </c>
      <c r="J368" s="11">
        <v>126</v>
      </c>
      <c r="K368" s="11">
        <v>1913</v>
      </c>
      <c r="L368" s="11">
        <v>2.0637513114771799E-2</v>
      </c>
      <c r="M368" s="11">
        <v>2.0637513114771822</v>
      </c>
      <c r="N368" s="11">
        <v>0.79245283018867896</v>
      </c>
      <c r="O368" s="11">
        <v>0.248299135777098</v>
      </c>
      <c r="P368" s="11">
        <v>0.24831081081081099</v>
      </c>
      <c r="Q368" s="11">
        <v>0.41176470588235298</v>
      </c>
      <c r="R368" s="11">
        <v>0.28488372093023301</v>
      </c>
      <c r="S368" s="10" t="s">
        <v>84</v>
      </c>
      <c r="T368" s="10" t="s">
        <v>84</v>
      </c>
      <c r="U368" s="10"/>
      <c r="V368" s="10"/>
      <c r="W368" s="10"/>
      <c r="X368" s="10"/>
      <c r="Y368" s="10"/>
      <c r="Z368" s="10"/>
      <c r="AA368" s="10"/>
    </row>
    <row r="369" spans="1:27" ht="12.5" x14ac:dyDescent="0.25">
      <c r="A369" s="10" t="s">
        <v>112</v>
      </c>
      <c r="B369" s="10" t="s">
        <v>1059</v>
      </c>
      <c r="C369" s="10" t="s">
        <v>76</v>
      </c>
      <c r="D369" s="11">
        <v>2024</v>
      </c>
      <c r="E369" s="10" t="s">
        <v>81</v>
      </c>
      <c r="F369" s="10" t="s">
        <v>83</v>
      </c>
      <c r="G369" s="10" t="s">
        <v>84</v>
      </c>
      <c r="H369" s="12">
        <v>15405.833333333299</v>
      </c>
      <c r="I369" s="11">
        <v>317</v>
      </c>
      <c r="J369" s="11">
        <v>279</v>
      </c>
      <c r="K369" s="11">
        <v>24136</v>
      </c>
      <c r="L369" s="11">
        <v>2.0576621409639201E-2</v>
      </c>
      <c r="M369" s="11">
        <v>2.0576621409639251</v>
      </c>
      <c r="N369" s="11">
        <v>0.88012618296529999</v>
      </c>
      <c r="O369" s="11">
        <v>1.5666792881484299</v>
      </c>
      <c r="P369" s="11">
        <v>0.24746621621621601</v>
      </c>
      <c r="Q369" s="11">
        <v>0.66666666666666696</v>
      </c>
      <c r="R369" s="11">
        <v>0.28294573643410897</v>
      </c>
      <c r="S369" s="10" t="s">
        <v>84</v>
      </c>
      <c r="T369" s="10" t="s">
        <v>84</v>
      </c>
      <c r="U369" s="10"/>
      <c r="V369" s="10"/>
      <c r="W369" s="10"/>
      <c r="X369" s="10"/>
      <c r="Y369" s="10"/>
      <c r="Z369" s="10"/>
      <c r="AA369" s="10"/>
    </row>
    <row r="370" spans="1:27" ht="12.5" x14ac:dyDescent="0.25">
      <c r="A370" s="10" t="s">
        <v>118</v>
      </c>
      <c r="B370" s="10" t="s">
        <v>1062</v>
      </c>
      <c r="C370" s="10" t="s">
        <v>76</v>
      </c>
      <c r="D370" s="11">
        <v>2024</v>
      </c>
      <c r="E370" s="10" t="s">
        <v>81</v>
      </c>
      <c r="F370" s="10" t="s">
        <v>83</v>
      </c>
      <c r="G370" s="10" t="s">
        <v>84</v>
      </c>
      <c r="H370" s="12">
        <v>491.83333333333297</v>
      </c>
      <c r="I370" s="11">
        <v>10</v>
      </c>
      <c r="J370" s="11">
        <v>8</v>
      </c>
      <c r="K370" s="11">
        <v>285</v>
      </c>
      <c r="L370" s="11">
        <v>2.03320908166723E-2</v>
      </c>
      <c r="M370" s="11">
        <v>2.0332090816672332</v>
      </c>
      <c r="N370" s="11">
        <v>0.8</v>
      </c>
      <c r="O370" s="11">
        <v>0.57946458827516101</v>
      </c>
      <c r="P370" s="11">
        <v>0.244087837837838</v>
      </c>
      <c r="Q370" s="11">
        <v>0.214285714285714</v>
      </c>
      <c r="R370" s="11">
        <v>0.281007751937984</v>
      </c>
      <c r="S370" s="10" t="s">
        <v>84</v>
      </c>
      <c r="T370" s="10" t="s">
        <v>84</v>
      </c>
      <c r="U370" s="10"/>
      <c r="V370" s="10"/>
      <c r="W370" s="10"/>
      <c r="X370" s="10"/>
      <c r="Y370" s="10"/>
      <c r="Z370" s="10"/>
      <c r="AA370" s="10"/>
    </row>
    <row r="371" spans="1:27" ht="12.5" x14ac:dyDescent="0.25">
      <c r="A371" s="10" t="s">
        <v>67</v>
      </c>
      <c r="B371" s="10" t="s">
        <v>1065</v>
      </c>
      <c r="C371" s="10" t="s">
        <v>76</v>
      </c>
      <c r="D371" s="11">
        <v>2024</v>
      </c>
      <c r="E371" s="10" t="s">
        <v>81</v>
      </c>
      <c r="F371" s="10" t="s">
        <v>83</v>
      </c>
      <c r="G371" s="10" t="s">
        <v>84</v>
      </c>
      <c r="H371" s="12">
        <v>12534.5</v>
      </c>
      <c r="I371" s="11">
        <v>254</v>
      </c>
      <c r="J371" s="11">
        <v>207</v>
      </c>
      <c r="K371" s="11">
        <v>3008</v>
      </c>
      <c r="L371" s="11">
        <v>2.0264071163588498E-2</v>
      </c>
      <c r="M371" s="11">
        <v>2.0264071163588495</v>
      </c>
      <c r="N371" s="11">
        <v>0.81496062992125995</v>
      </c>
      <c r="O371" s="11">
        <v>0.23997766165383499</v>
      </c>
      <c r="P371" s="11">
        <v>0.24324324324324301</v>
      </c>
      <c r="Q371" s="11">
        <v>0.28571428571428598</v>
      </c>
      <c r="R371" s="11">
        <v>0.27906976744186002</v>
      </c>
      <c r="S371" s="10" t="s">
        <v>84</v>
      </c>
      <c r="T371" s="10" t="s">
        <v>84</v>
      </c>
      <c r="U371" s="10"/>
      <c r="V371" s="10"/>
      <c r="W371" s="10"/>
      <c r="X371" s="10"/>
      <c r="Y371" s="10"/>
      <c r="Z371" s="10"/>
      <c r="AA371" s="10"/>
    </row>
    <row r="372" spans="1:27" ht="12.5" x14ac:dyDescent="0.25">
      <c r="A372" s="10" t="s">
        <v>16</v>
      </c>
      <c r="B372" s="10" t="s">
        <v>1067</v>
      </c>
      <c r="C372" s="10" t="s">
        <v>76</v>
      </c>
      <c r="D372" s="11">
        <v>2024</v>
      </c>
      <c r="E372" s="10" t="s">
        <v>81</v>
      </c>
      <c r="F372" s="10" t="s">
        <v>83</v>
      </c>
      <c r="G372" s="10" t="s">
        <v>84</v>
      </c>
      <c r="H372" s="12">
        <v>28751.083333333299</v>
      </c>
      <c r="I372" s="11">
        <v>566</v>
      </c>
      <c r="J372" s="11">
        <v>458</v>
      </c>
      <c r="K372" s="11">
        <v>21929</v>
      </c>
      <c r="L372" s="11">
        <v>1.96862147223438E-2</v>
      </c>
      <c r="M372" s="11">
        <v>1.968621472234382</v>
      </c>
      <c r="N372" s="11">
        <v>0.809187279151943</v>
      </c>
      <c r="O372" s="11">
        <v>0.76271908594748605</v>
      </c>
      <c r="P372" s="11">
        <v>0.23648648648648599</v>
      </c>
      <c r="Q372" s="11">
        <v>3.3333333333333298E-2</v>
      </c>
      <c r="R372" s="11">
        <v>0.27713178294573598</v>
      </c>
      <c r="S372" s="10" t="s">
        <v>84</v>
      </c>
      <c r="T372" s="10" t="s">
        <v>84</v>
      </c>
      <c r="U372" s="10"/>
      <c r="V372" s="10"/>
      <c r="W372" s="10"/>
      <c r="X372" s="10"/>
      <c r="Y372" s="10"/>
      <c r="Z372" s="10"/>
      <c r="AA372" s="10"/>
    </row>
    <row r="373" spans="1:27" ht="12.5" x14ac:dyDescent="0.25">
      <c r="A373" s="10" t="s">
        <v>34</v>
      </c>
      <c r="B373" s="10" t="s">
        <v>1069</v>
      </c>
      <c r="C373" s="10" t="s">
        <v>76</v>
      </c>
      <c r="D373" s="11">
        <v>2024</v>
      </c>
      <c r="E373" s="10" t="s">
        <v>81</v>
      </c>
      <c r="F373" s="10" t="s">
        <v>83</v>
      </c>
      <c r="G373" s="10" t="s">
        <v>84</v>
      </c>
      <c r="H373" s="12">
        <v>20731.5</v>
      </c>
      <c r="I373" s="11">
        <v>406</v>
      </c>
      <c r="J373" s="11">
        <v>248</v>
      </c>
      <c r="K373" s="11">
        <v>10666</v>
      </c>
      <c r="L373" s="11">
        <v>1.9583725249017199E-2</v>
      </c>
      <c r="M373" s="11">
        <v>1.9583725249017196</v>
      </c>
      <c r="N373" s="11">
        <v>0.61083743842364502</v>
      </c>
      <c r="O373" s="11">
        <v>0.51448279188674195</v>
      </c>
      <c r="P373" s="11">
        <v>0.233108108108108</v>
      </c>
      <c r="Q373" s="11">
        <v>0.44897959183673503</v>
      </c>
      <c r="R373" s="11">
        <v>0.275193798449612</v>
      </c>
      <c r="S373" s="10" t="s">
        <v>84</v>
      </c>
      <c r="T373" s="10" t="s">
        <v>84</v>
      </c>
      <c r="U373" s="10"/>
      <c r="V373" s="10"/>
      <c r="W373" s="10"/>
      <c r="X373" s="10"/>
      <c r="Y373" s="10"/>
      <c r="Z373" s="10"/>
      <c r="AA373" s="10"/>
    </row>
    <row r="374" spans="1:27" ht="12.5" x14ac:dyDescent="0.25">
      <c r="A374" s="10" t="s">
        <v>55</v>
      </c>
      <c r="B374" s="10" t="s">
        <v>1071</v>
      </c>
      <c r="C374" s="10" t="s">
        <v>76</v>
      </c>
      <c r="D374" s="11">
        <v>2024</v>
      </c>
      <c r="E374" s="10" t="s">
        <v>81</v>
      </c>
      <c r="F374" s="10" t="s">
        <v>83</v>
      </c>
      <c r="G374" s="10" t="s">
        <v>84</v>
      </c>
      <c r="H374" s="12">
        <v>204.916666666667</v>
      </c>
      <c r="I374" s="11">
        <v>4</v>
      </c>
      <c r="J374" s="11">
        <v>4</v>
      </c>
      <c r="K374" s="11">
        <v>15</v>
      </c>
      <c r="L374" s="11">
        <v>1.9520130134200901E-2</v>
      </c>
      <c r="M374" s="11">
        <v>1.9520130134200862</v>
      </c>
      <c r="N374" s="11">
        <v>1</v>
      </c>
      <c r="O374" s="11">
        <v>7.3200488003253406E-2</v>
      </c>
      <c r="P374" s="11">
        <v>0.23057432432432401</v>
      </c>
      <c r="Q374" s="11">
        <v>0.13636363636363599</v>
      </c>
      <c r="R374" s="11">
        <v>0.27325581395348802</v>
      </c>
      <c r="S374" s="10" t="s">
        <v>84</v>
      </c>
      <c r="T374" s="10" t="s">
        <v>84</v>
      </c>
      <c r="U374" s="10"/>
      <c r="V374" s="10"/>
      <c r="W374" s="10"/>
      <c r="X374" s="10"/>
      <c r="Y374" s="10"/>
      <c r="Z374" s="10"/>
      <c r="AA374" s="10"/>
    </row>
    <row r="375" spans="1:27" ht="12.5" x14ac:dyDescent="0.25">
      <c r="A375" s="10" t="s">
        <v>109</v>
      </c>
      <c r="B375" s="10" t="s">
        <v>1073</v>
      </c>
      <c r="C375" s="10" t="s">
        <v>76</v>
      </c>
      <c r="D375" s="11">
        <v>2024</v>
      </c>
      <c r="E375" s="10" t="s">
        <v>81</v>
      </c>
      <c r="F375" s="10" t="s">
        <v>83</v>
      </c>
      <c r="G375" s="10" t="s">
        <v>84</v>
      </c>
      <c r="H375" s="12">
        <v>9226.5833333333303</v>
      </c>
      <c r="I375" s="11">
        <v>179</v>
      </c>
      <c r="J375" s="11">
        <v>170</v>
      </c>
      <c r="K375" s="11">
        <v>1335</v>
      </c>
      <c r="L375" s="11">
        <v>1.9400464238296899E-2</v>
      </c>
      <c r="M375" s="11">
        <v>1.9400464238296957</v>
      </c>
      <c r="N375" s="11">
        <v>0.94972067039106101</v>
      </c>
      <c r="O375" s="11">
        <v>0.14469061317389101</v>
      </c>
      <c r="P375" s="11">
        <v>0.228885135135135</v>
      </c>
      <c r="Q375" s="11">
        <v>0.27777777777777801</v>
      </c>
      <c r="R375" s="11">
        <v>0.27131782945736399</v>
      </c>
      <c r="S375" s="10" t="s">
        <v>84</v>
      </c>
      <c r="T375" s="10" t="s">
        <v>84</v>
      </c>
      <c r="U375" s="10"/>
      <c r="V375" s="10"/>
      <c r="W375" s="10"/>
      <c r="X375" s="10"/>
      <c r="Y375" s="10"/>
      <c r="Z375" s="10"/>
      <c r="AA375" s="10"/>
    </row>
    <row r="376" spans="1:27" ht="12.5" x14ac:dyDescent="0.25">
      <c r="A376" s="10" t="s">
        <v>34</v>
      </c>
      <c r="B376" s="10" t="s">
        <v>1074</v>
      </c>
      <c r="C376" s="10" t="s">
        <v>76</v>
      </c>
      <c r="D376" s="11">
        <v>2024</v>
      </c>
      <c r="E376" s="10" t="s">
        <v>81</v>
      </c>
      <c r="F376" s="10" t="s">
        <v>83</v>
      </c>
      <c r="G376" s="10" t="s">
        <v>84</v>
      </c>
      <c r="H376" s="12">
        <v>116753.08333333299</v>
      </c>
      <c r="I376" s="11">
        <v>2247</v>
      </c>
      <c r="J376" s="11">
        <v>2297</v>
      </c>
      <c r="K376" s="11">
        <v>48434</v>
      </c>
      <c r="L376" s="11">
        <v>1.9245744402182099E-2</v>
      </c>
      <c r="M376" s="11">
        <v>1.9245744402182154</v>
      </c>
      <c r="N376" s="11">
        <v>1.0222518914107701</v>
      </c>
      <c r="O376" s="11">
        <v>0.41484129255687002</v>
      </c>
      <c r="P376" s="11">
        <v>0.22804054054054099</v>
      </c>
      <c r="Q376" s="11">
        <v>0.40816326530612201</v>
      </c>
      <c r="R376" s="11">
        <v>0.26937984496124001</v>
      </c>
      <c r="S376" s="10" t="s">
        <v>84</v>
      </c>
      <c r="T376" s="10" t="s">
        <v>84</v>
      </c>
      <c r="U376" s="10"/>
      <c r="V376" s="10"/>
      <c r="W376" s="10"/>
      <c r="X376" s="10"/>
      <c r="Y376" s="10"/>
      <c r="Z376" s="10"/>
      <c r="AA376" s="10"/>
    </row>
    <row r="377" spans="1:27" ht="12.5" x14ac:dyDescent="0.25">
      <c r="A377" s="10" t="s">
        <v>36</v>
      </c>
      <c r="B377" s="10" t="s">
        <v>1003</v>
      </c>
      <c r="C377" s="10" t="s">
        <v>76</v>
      </c>
      <c r="D377" s="11">
        <v>2024</v>
      </c>
      <c r="E377" s="10" t="s">
        <v>81</v>
      </c>
      <c r="F377" s="10" t="s">
        <v>83</v>
      </c>
      <c r="G377" s="10" t="s">
        <v>84</v>
      </c>
      <c r="H377" s="12">
        <v>13024.833333333299</v>
      </c>
      <c r="I377" s="11">
        <v>250</v>
      </c>
      <c r="J377" s="11">
        <v>206</v>
      </c>
      <c r="K377" s="11">
        <v>23143</v>
      </c>
      <c r="L377" s="11">
        <v>1.91941035713829E-2</v>
      </c>
      <c r="M377" s="11">
        <v>1.9194103571382921</v>
      </c>
      <c r="N377" s="11">
        <v>0.82399999999999995</v>
      </c>
      <c r="O377" s="11">
        <v>1.7768365558100601</v>
      </c>
      <c r="P377" s="11">
        <v>0.227195945945946</v>
      </c>
      <c r="Q377" s="11">
        <v>0.14893617021276601</v>
      </c>
      <c r="R377" s="11">
        <v>0.26744186046511598</v>
      </c>
      <c r="S377" s="10" t="s">
        <v>84</v>
      </c>
      <c r="T377" s="10" t="s">
        <v>84</v>
      </c>
      <c r="U377" s="10"/>
      <c r="V377" s="10"/>
      <c r="W377" s="10"/>
      <c r="X377" s="10"/>
      <c r="Y377" s="10"/>
      <c r="Z377" s="10"/>
      <c r="AA377" s="10"/>
    </row>
    <row r="378" spans="1:27" ht="12.5" x14ac:dyDescent="0.25">
      <c r="A378" s="10" t="s">
        <v>77</v>
      </c>
      <c r="B378" s="10" t="s">
        <v>1078</v>
      </c>
      <c r="C378" s="10" t="s">
        <v>76</v>
      </c>
      <c r="D378" s="11">
        <v>2024</v>
      </c>
      <c r="E378" s="10" t="s">
        <v>81</v>
      </c>
      <c r="F378" s="10" t="s">
        <v>125</v>
      </c>
      <c r="G378" s="10" t="s">
        <v>84</v>
      </c>
      <c r="H378" s="12">
        <v>14010.833333333299</v>
      </c>
      <c r="I378" s="11">
        <v>267</v>
      </c>
      <c r="J378" s="11">
        <v>209</v>
      </c>
      <c r="K378" s="11">
        <v>10464</v>
      </c>
      <c r="L378" s="11">
        <v>1.9056682329150101E-2</v>
      </c>
      <c r="M378" s="11">
        <v>1.9056682329150108</v>
      </c>
      <c r="N378" s="11">
        <v>0.78277153558052404</v>
      </c>
      <c r="O378" s="11">
        <v>0.74685065128174599</v>
      </c>
      <c r="P378" s="11">
        <v>0.22550675675675699</v>
      </c>
      <c r="Q378" s="11">
        <v>0.14285714285714299</v>
      </c>
      <c r="R378" s="11">
        <v>0.265503875968992</v>
      </c>
      <c r="S378" s="10" t="s">
        <v>84</v>
      </c>
      <c r="T378" s="10" t="s">
        <v>84</v>
      </c>
      <c r="U378" s="10"/>
      <c r="V378" s="10"/>
      <c r="W378" s="10"/>
      <c r="X378" s="10"/>
      <c r="Y378" s="10"/>
      <c r="Z378" s="10"/>
      <c r="AA378" s="10"/>
    </row>
    <row r="379" spans="1:27" ht="12.5" x14ac:dyDescent="0.25">
      <c r="A379" s="10" t="s">
        <v>36</v>
      </c>
      <c r="B379" s="10" t="s">
        <v>1080</v>
      </c>
      <c r="C379" s="10" t="s">
        <v>76</v>
      </c>
      <c r="D379" s="11">
        <v>2024</v>
      </c>
      <c r="E379" s="10" t="s">
        <v>81</v>
      </c>
      <c r="F379" s="10" t="s">
        <v>83</v>
      </c>
      <c r="G379" s="10" t="s">
        <v>84</v>
      </c>
      <c r="H379" s="12">
        <v>37447.833333333299</v>
      </c>
      <c r="I379" s="11">
        <v>678</v>
      </c>
      <c r="J379" s="11">
        <v>3936</v>
      </c>
      <c r="K379" s="11">
        <v>59754</v>
      </c>
      <c r="L379" s="11">
        <v>1.81051863258666E-2</v>
      </c>
      <c r="M379" s="11">
        <v>1.8105186325866667</v>
      </c>
      <c r="N379" s="11">
        <v>5.80530973451327</v>
      </c>
      <c r="O379" s="11">
        <v>1.5956597399938599</v>
      </c>
      <c r="P379" s="11">
        <v>0.22128378378378399</v>
      </c>
      <c r="Q379" s="11">
        <v>0.12765957446808501</v>
      </c>
      <c r="R379" s="11">
        <v>0.26356589147286802</v>
      </c>
      <c r="S379" s="10" t="s">
        <v>84</v>
      </c>
      <c r="T379" s="10" t="s">
        <v>84</v>
      </c>
      <c r="U379" s="10"/>
      <c r="V379" s="10"/>
      <c r="W379" s="10"/>
      <c r="X379" s="10"/>
      <c r="Y379" s="10"/>
      <c r="Z379" s="10"/>
      <c r="AA379" s="10"/>
    </row>
    <row r="380" spans="1:27" ht="12.5" x14ac:dyDescent="0.25">
      <c r="A380" s="10" t="s">
        <v>53</v>
      </c>
      <c r="B380" s="10" t="s">
        <v>1083</v>
      </c>
      <c r="C380" s="10" t="s">
        <v>76</v>
      </c>
      <c r="D380" s="11">
        <v>2024</v>
      </c>
      <c r="E380" s="10" t="s">
        <v>81</v>
      </c>
      <c r="F380" s="10" t="s">
        <v>83</v>
      </c>
      <c r="G380" s="10" t="s">
        <v>84</v>
      </c>
      <c r="H380" s="12">
        <v>7227.5833333333303</v>
      </c>
      <c r="I380" s="11">
        <v>128</v>
      </c>
      <c r="J380" s="11">
        <v>98</v>
      </c>
      <c r="K380" s="11">
        <v>1975</v>
      </c>
      <c r="L380" s="11">
        <v>1.7709930705284201E-2</v>
      </c>
      <c r="M380" s="11">
        <v>1.7709930705284163</v>
      </c>
      <c r="N380" s="11">
        <v>0.765625</v>
      </c>
      <c r="O380" s="11">
        <v>0.27325869642918899</v>
      </c>
      <c r="P380" s="11">
        <v>0.21875</v>
      </c>
      <c r="Q380" s="11">
        <v>0.8</v>
      </c>
      <c r="R380" s="11">
        <v>0.26162790697674398</v>
      </c>
      <c r="S380" s="10" t="s">
        <v>84</v>
      </c>
      <c r="T380" s="10" t="s">
        <v>84</v>
      </c>
      <c r="U380" s="10"/>
      <c r="V380" s="10"/>
      <c r="W380" s="10"/>
      <c r="X380" s="10"/>
      <c r="Y380" s="10"/>
      <c r="Z380" s="10"/>
      <c r="AA380" s="10"/>
    </row>
    <row r="381" spans="1:27" ht="12.5" x14ac:dyDescent="0.25">
      <c r="A381" s="10" t="s">
        <v>42</v>
      </c>
      <c r="B381" s="10" t="s">
        <v>1085</v>
      </c>
      <c r="C381" s="10" t="s">
        <v>76</v>
      </c>
      <c r="D381" s="11">
        <v>2024</v>
      </c>
      <c r="E381" s="10" t="s">
        <v>81</v>
      </c>
      <c r="F381" s="10" t="s">
        <v>83</v>
      </c>
      <c r="G381" s="10" t="s">
        <v>84</v>
      </c>
      <c r="H381" s="12">
        <v>16550</v>
      </c>
      <c r="I381" s="11">
        <v>284</v>
      </c>
      <c r="J381" s="11">
        <v>225</v>
      </c>
      <c r="K381" s="11">
        <v>19611</v>
      </c>
      <c r="L381" s="11">
        <v>1.71601208459215E-2</v>
      </c>
      <c r="M381" s="11">
        <v>1.7160120845921452</v>
      </c>
      <c r="N381" s="11">
        <v>0.79225352112676095</v>
      </c>
      <c r="O381" s="11">
        <v>1.1849546827794599</v>
      </c>
      <c r="P381" s="11">
        <v>0.21537162162162199</v>
      </c>
      <c r="Q381" s="11">
        <v>0.16666666666666699</v>
      </c>
      <c r="R381" s="11">
        <v>0.25968992248062001</v>
      </c>
      <c r="S381" s="10" t="s">
        <v>84</v>
      </c>
      <c r="T381" s="10" t="s">
        <v>84</v>
      </c>
      <c r="U381" s="10"/>
      <c r="V381" s="10"/>
      <c r="W381" s="10"/>
      <c r="X381" s="10"/>
      <c r="Y381" s="10"/>
      <c r="Z381" s="10"/>
      <c r="AA381" s="10"/>
    </row>
    <row r="382" spans="1:27" ht="12.5" x14ac:dyDescent="0.25">
      <c r="A382" s="10" t="s">
        <v>12</v>
      </c>
      <c r="B382" s="10" t="s">
        <v>1086</v>
      </c>
      <c r="C382" s="10" t="s">
        <v>76</v>
      </c>
      <c r="D382" s="11">
        <v>2024</v>
      </c>
      <c r="E382" s="10" t="s">
        <v>81</v>
      </c>
      <c r="F382" s="10" t="s">
        <v>83</v>
      </c>
      <c r="G382" s="10" t="s">
        <v>84</v>
      </c>
      <c r="H382" s="12">
        <v>175</v>
      </c>
      <c r="I382" s="11">
        <v>3</v>
      </c>
      <c r="J382" s="11">
        <v>3</v>
      </c>
      <c r="K382" s="11">
        <v>72</v>
      </c>
      <c r="L382" s="11">
        <v>1.7142857142857099E-2</v>
      </c>
      <c r="M382" s="11">
        <v>1.7142857142857144</v>
      </c>
      <c r="N382" s="11">
        <v>1</v>
      </c>
      <c r="O382" s="11">
        <v>0.41142857142857098</v>
      </c>
      <c r="P382" s="11">
        <v>0.214527027027027</v>
      </c>
      <c r="Q382" s="11">
        <v>0.125</v>
      </c>
      <c r="R382" s="11">
        <v>0.25775193798449603</v>
      </c>
      <c r="S382" s="10" t="s">
        <v>84</v>
      </c>
      <c r="T382" s="10" t="s">
        <v>84</v>
      </c>
      <c r="U382" s="10"/>
      <c r="V382" s="10"/>
      <c r="W382" s="10"/>
      <c r="X382" s="10"/>
      <c r="Y382" s="10"/>
      <c r="Z382" s="10"/>
      <c r="AA382" s="10"/>
    </row>
    <row r="383" spans="1:27" ht="12.5" x14ac:dyDescent="0.25">
      <c r="A383" s="10" t="s">
        <v>36</v>
      </c>
      <c r="B383" s="10" t="s">
        <v>1088</v>
      </c>
      <c r="C383" s="10" t="s">
        <v>76</v>
      </c>
      <c r="D383" s="11">
        <v>2024</v>
      </c>
      <c r="E383" s="10" t="s">
        <v>81</v>
      </c>
      <c r="F383" s="10" t="s">
        <v>83</v>
      </c>
      <c r="G383" s="10" t="s">
        <v>84</v>
      </c>
      <c r="H383" s="12">
        <v>96943.416666666701</v>
      </c>
      <c r="I383" s="11">
        <v>1603</v>
      </c>
      <c r="J383" s="11">
        <v>1</v>
      </c>
      <c r="K383" s="11">
        <v>148680</v>
      </c>
      <c r="L383" s="11">
        <v>1.6535418856876101E-2</v>
      </c>
      <c r="M383" s="11">
        <v>1.653541885687613</v>
      </c>
      <c r="N383" s="11">
        <v>6.2383031815346204E-4</v>
      </c>
      <c r="O383" s="11">
        <v>1.5336781507425701</v>
      </c>
      <c r="P383" s="11">
        <v>0.210304054054054</v>
      </c>
      <c r="Q383" s="11">
        <v>0.10638297872340401</v>
      </c>
      <c r="R383" s="11">
        <v>0.25581395348837199</v>
      </c>
      <c r="S383" s="10" t="s">
        <v>84</v>
      </c>
      <c r="T383" s="10" t="s">
        <v>84</v>
      </c>
      <c r="U383" s="10"/>
      <c r="V383" s="10"/>
      <c r="W383" s="10"/>
      <c r="X383" s="10"/>
      <c r="Y383" s="10"/>
      <c r="Z383" s="10"/>
      <c r="AA383" s="10"/>
    </row>
    <row r="384" spans="1:27" ht="12.5" x14ac:dyDescent="0.25">
      <c r="A384" s="10" t="s">
        <v>91</v>
      </c>
      <c r="B384" s="10" t="s">
        <v>1091</v>
      </c>
      <c r="C384" s="10" t="s">
        <v>76</v>
      </c>
      <c r="D384" s="11">
        <v>2024</v>
      </c>
      <c r="E384" s="10" t="s">
        <v>81</v>
      </c>
      <c r="F384" s="10" t="s">
        <v>83</v>
      </c>
      <c r="G384" s="10" t="s">
        <v>84</v>
      </c>
      <c r="H384" s="12">
        <v>1151.6666666666699</v>
      </c>
      <c r="I384" s="11">
        <v>19</v>
      </c>
      <c r="J384" s="11">
        <v>18</v>
      </c>
      <c r="K384" s="11">
        <v>451</v>
      </c>
      <c r="L384" s="11">
        <v>1.6497829232995701E-2</v>
      </c>
      <c r="M384" s="11">
        <v>1.6497829232995611</v>
      </c>
      <c r="N384" s="11">
        <v>0.94736842105263197</v>
      </c>
      <c r="O384" s="11">
        <v>0.39160636758321299</v>
      </c>
      <c r="P384" s="11">
        <v>0.20945945945945901</v>
      </c>
      <c r="Q384" s="11">
        <v>0.266666666666667</v>
      </c>
      <c r="R384" s="11">
        <v>0.25387596899224801</v>
      </c>
      <c r="S384" s="10" t="s">
        <v>84</v>
      </c>
      <c r="T384" s="10" t="s">
        <v>84</v>
      </c>
      <c r="U384" s="10"/>
      <c r="V384" s="10"/>
      <c r="W384" s="10"/>
      <c r="X384" s="10"/>
      <c r="Y384" s="10"/>
      <c r="Z384" s="10"/>
      <c r="AA384" s="10"/>
    </row>
    <row r="385" spans="1:27" ht="12.5" x14ac:dyDescent="0.25">
      <c r="A385" s="10" t="s">
        <v>77</v>
      </c>
      <c r="B385" s="10" t="s">
        <v>1093</v>
      </c>
      <c r="C385" s="10" t="s">
        <v>76</v>
      </c>
      <c r="D385" s="11">
        <v>2024</v>
      </c>
      <c r="E385" s="10" t="s">
        <v>81</v>
      </c>
      <c r="F385" s="10" t="s">
        <v>83</v>
      </c>
      <c r="G385" s="10" t="s">
        <v>84</v>
      </c>
      <c r="H385" s="12">
        <v>9336.5</v>
      </c>
      <c r="I385" s="11">
        <v>154</v>
      </c>
      <c r="J385" s="11">
        <v>130</v>
      </c>
      <c r="K385" s="11">
        <v>154</v>
      </c>
      <c r="L385" s="11">
        <v>1.6494403684464198E-2</v>
      </c>
      <c r="M385" s="11">
        <v>1.6494403684464198</v>
      </c>
      <c r="N385" s="11">
        <v>0.84415584415584399</v>
      </c>
      <c r="O385" s="11">
        <v>1.6494403684464198E-2</v>
      </c>
      <c r="P385" s="11">
        <v>0.208614864864865</v>
      </c>
      <c r="Q385" s="11">
        <v>0.107142857142857</v>
      </c>
      <c r="R385" s="11">
        <v>0.25193798449612398</v>
      </c>
      <c r="S385" s="10" t="s">
        <v>84</v>
      </c>
      <c r="T385" s="10" t="s">
        <v>84</v>
      </c>
      <c r="U385" s="10"/>
      <c r="V385" s="10"/>
      <c r="W385" s="10"/>
      <c r="X385" s="10"/>
      <c r="Y385" s="10"/>
      <c r="Z385" s="10"/>
      <c r="AA385" s="10"/>
    </row>
    <row r="386" spans="1:27" ht="12.5" x14ac:dyDescent="0.25">
      <c r="A386" s="10" t="s">
        <v>34</v>
      </c>
      <c r="B386" s="10" t="s">
        <v>1095</v>
      </c>
      <c r="C386" s="10" t="s">
        <v>76</v>
      </c>
      <c r="D386" s="11">
        <v>2024</v>
      </c>
      <c r="E386" s="10" t="s">
        <v>81</v>
      </c>
      <c r="F386" s="10" t="s">
        <v>83</v>
      </c>
      <c r="G386" s="10" t="s">
        <v>84</v>
      </c>
      <c r="H386" s="12">
        <v>14492.666666666701</v>
      </c>
      <c r="I386" s="11">
        <v>238</v>
      </c>
      <c r="J386" s="11">
        <v>168</v>
      </c>
      <c r="K386" s="11">
        <v>981</v>
      </c>
      <c r="L386" s="11">
        <v>1.64220985325912E-2</v>
      </c>
      <c r="M386" s="11">
        <v>1.6422098532591158</v>
      </c>
      <c r="N386" s="11">
        <v>0.70588235294117696</v>
      </c>
      <c r="O386" s="11">
        <v>6.76894061364368E-2</v>
      </c>
      <c r="P386" s="11">
        <v>0.20777027027027001</v>
      </c>
      <c r="Q386" s="11">
        <v>0.38775510204081598</v>
      </c>
      <c r="R386" s="11">
        <v>0.25</v>
      </c>
      <c r="S386" s="10" t="s">
        <v>84</v>
      </c>
      <c r="T386" s="10" t="s">
        <v>84</v>
      </c>
      <c r="U386" s="10"/>
      <c r="V386" s="10"/>
      <c r="W386" s="10"/>
      <c r="X386" s="10"/>
      <c r="Y386" s="10"/>
      <c r="Z386" s="10"/>
      <c r="AA386" s="10"/>
    </row>
    <row r="387" spans="1:27" ht="12.5" x14ac:dyDescent="0.25">
      <c r="A387" s="10" t="s">
        <v>96</v>
      </c>
      <c r="B387" s="10" t="s">
        <v>1097</v>
      </c>
      <c r="C387" s="10" t="s">
        <v>76</v>
      </c>
      <c r="D387" s="11">
        <v>2024</v>
      </c>
      <c r="E387" s="10" t="s">
        <v>81</v>
      </c>
      <c r="F387" s="10" t="s">
        <v>83</v>
      </c>
      <c r="G387" s="10" t="s">
        <v>84</v>
      </c>
      <c r="H387" s="12">
        <v>19288.083333333299</v>
      </c>
      <c r="I387" s="11">
        <v>315</v>
      </c>
      <c r="J387" s="11">
        <v>195</v>
      </c>
      <c r="K387" s="11">
        <v>2036</v>
      </c>
      <c r="L387" s="11">
        <v>1.63313272011648E-2</v>
      </c>
      <c r="M387" s="11">
        <v>1.6331327201164825</v>
      </c>
      <c r="N387" s="11">
        <v>0.61904761904761896</v>
      </c>
      <c r="O387" s="11">
        <v>0.105557403751021</v>
      </c>
      <c r="P387" s="11">
        <v>0.20523648648648599</v>
      </c>
      <c r="Q387" s="11">
        <v>0.35294117647058798</v>
      </c>
      <c r="R387" s="11">
        <v>0.24806201550387599</v>
      </c>
      <c r="S387" s="10" t="s">
        <v>84</v>
      </c>
      <c r="T387" s="10" t="s">
        <v>84</v>
      </c>
      <c r="U387" s="10"/>
      <c r="V387" s="10"/>
      <c r="W387" s="10"/>
      <c r="X387" s="10"/>
      <c r="Y387" s="10"/>
      <c r="Z387" s="10"/>
      <c r="AA387" s="10"/>
    </row>
    <row r="388" spans="1:27" ht="12.5" x14ac:dyDescent="0.25">
      <c r="A388" s="10" t="s">
        <v>96</v>
      </c>
      <c r="B388" s="10" t="s">
        <v>1099</v>
      </c>
      <c r="C388" s="10" t="s">
        <v>76</v>
      </c>
      <c r="D388" s="11">
        <v>2024</v>
      </c>
      <c r="E388" s="10" t="s">
        <v>81</v>
      </c>
      <c r="F388" s="10" t="s">
        <v>83</v>
      </c>
      <c r="G388" s="10" t="s">
        <v>84</v>
      </c>
      <c r="H388" s="12">
        <v>13118.25</v>
      </c>
      <c r="I388" s="11">
        <v>214</v>
      </c>
      <c r="J388" s="11">
        <v>238</v>
      </c>
      <c r="K388" s="11">
        <v>5136</v>
      </c>
      <c r="L388" s="11">
        <v>1.63131515255465E-2</v>
      </c>
      <c r="M388" s="11">
        <v>1.6313151525546472</v>
      </c>
      <c r="N388" s="11">
        <v>1.1121495327102799</v>
      </c>
      <c r="O388" s="11">
        <v>0.391515636613115</v>
      </c>
      <c r="P388" s="11">
        <v>0.204391891891892</v>
      </c>
      <c r="Q388" s="11">
        <v>0.29411764705882398</v>
      </c>
      <c r="R388" s="11">
        <v>0.24612403100775199</v>
      </c>
      <c r="S388" s="10" t="s">
        <v>84</v>
      </c>
      <c r="T388" s="10" t="s">
        <v>84</v>
      </c>
      <c r="U388" s="10"/>
      <c r="V388" s="10"/>
      <c r="W388" s="10"/>
      <c r="X388" s="10"/>
      <c r="Y388" s="10"/>
      <c r="Z388" s="10"/>
      <c r="AA388" s="10"/>
    </row>
    <row r="389" spans="1:27" ht="12.5" x14ac:dyDescent="0.25">
      <c r="A389" s="10" t="s">
        <v>40</v>
      </c>
      <c r="B389" s="10" t="s">
        <v>1102</v>
      </c>
      <c r="C389" s="10" t="s">
        <v>76</v>
      </c>
      <c r="D389" s="11">
        <v>2024</v>
      </c>
      <c r="E389" s="10" t="s">
        <v>81</v>
      </c>
      <c r="F389" s="10" t="s">
        <v>83</v>
      </c>
      <c r="G389" s="10" t="s">
        <v>84</v>
      </c>
      <c r="H389" s="12">
        <v>118327.5</v>
      </c>
      <c r="I389" s="11">
        <v>1927</v>
      </c>
      <c r="J389" s="11">
        <v>1414</v>
      </c>
      <c r="K389" s="11">
        <v>32925</v>
      </c>
      <c r="L389" s="11">
        <v>1.6285309839217402E-2</v>
      </c>
      <c r="M389" s="11">
        <v>1.6285309839217426</v>
      </c>
      <c r="N389" s="11">
        <v>0.73378308251167601</v>
      </c>
      <c r="O389" s="11">
        <v>0.27825315332445999</v>
      </c>
      <c r="P389" s="11">
        <v>0.20354729729729701</v>
      </c>
      <c r="Q389" s="11">
        <v>0</v>
      </c>
      <c r="R389" s="11">
        <v>0.24418604651162801</v>
      </c>
      <c r="S389" s="10" t="s">
        <v>84</v>
      </c>
      <c r="T389" s="10" t="s">
        <v>84</v>
      </c>
      <c r="U389" s="10"/>
      <c r="V389" s="10"/>
      <c r="W389" s="10"/>
      <c r="X389" s="10"/>
      <c r="Y389" s="10"/>
      <c r="Z389" s="10"/>
      <c r="AA389" s="10"/>
    </row>
    <row r="390" spans="1:27" ht="12.5" x14ac:dyDescent="0.25">
      <c r="A390" s="10" t="s">
        <v>52</v>
      </c>
      <c r="B390" s="10" t="s">
        <v>1104</v>
      </c>
      <c r="C390" s="10" t="s">
        <v>76</v>
      </c>
      <c r="D390" s="11">
        <v>2024</v>
      </c>
      <c r="E390" s="10" t="s">
        <v>81</v>
      </c>
      <c r="F390" s="10" t="s">
        <v>83</v>
      </c>
      <c r="G390" s="10" t="s">
        <v>84</v>
      </c>
      <c r="H390" s="12">
        <v>10728.333333333299</v>
      </c>
      <c r="I390" s="11">
        <v>174</v>
      </c>
      <c r="J390" s="11">
        <v>67</v>
      </c>
      <c r="K390" s="11">
        <v>13743</v>
      </c>
      <c r="L390" s="11">
        <v>1.6218735435762001E-2</v>
      </c>
      <c r="M390" s="11">
        <v>1.6218735435762053</v>
      </c>
      <c r="N390" s="11">
        <v>0.38505747126436801</v>
      </c>
      <c r="O390" s="11">
        <v>1.28100046605562</v>
      </c>
      <c r="P390" s="11">
        <v>0.20270270270270299</v>
      </c>
      <c r="Q390" s="11">
        <v>0.10638297872340401</v>
      </c>
      <c r="R390" s="11">
        <v>0.242248062015504</v>
      </c>
      <c r="S390" s="10" t="s">
        <v>84</v>
      </c>
      <c r="T390" s="10" t="s">
        <v>84</v>
      </c>
      <c r="U390" s="10"/>
      <c r="V390" s="10"/>
      <c r="W390" s="10"/>
      <c r="X390" s="10"/>
      <c r="Y390" s="10"/>
      <c r="Z390" s="10"/>
      <c r="AA390" s="10"/>
    </row>
    <row r="391" spans="1:27" ht="12.5" x14ac:dyDescent="0.25">
      <c r="A391" s="10" t="s">
        <v>103</v>
      </c>
      <c r="B391" s="10" t="s">
        <v>1106</v>
      </c>
      <c r="C391" s="10" t="s">
        <v>76</v>
      </c>
      <c r="D391" s="11">
        <v>2024</v>
      </c>
      <c r="E391" s="10" t="s">
        <v>81</v>
      </c>
      <c r="F391" s="10" t="s">
        <v>83</v>
      </c>
      <c r="G391" s="10" t="s">
        <v>84</v>
      </c>
      <c r="H391" s="12">
        <v>2784.5833333333298</v>
      </c>
      <c r="I391" s="11">
        <v>44</v>
      </c>
      <c r="J391" s="11">
        <v>58</v>
      </c>
      <c r="K391" s="11">
        <v>149</v>
      </c>
      <c r="L391" s="11">
        <v>1.5801286847224299E-2</v>
      </c>
      <c r="M391" s="11">
        <v>1.5801286847224321</v>
      </c>
      <c r="N391" s="11">
        <v>1.3181818181818199</v>
      </c>
      <c r="O391" s="11">
        <v>5.3508903187191398E-2</v>
      </c>
      <c r="P391" s="11">
        <v>0.19425675675675699</v>
      </c>
      <c r="Q391" s="11">
        <v>0.13043478260869601</v>
      </c>
      <c r="R391" s="11">
        <v>0.24031007751937999</v>
      </c>
      <c r="S391" s="10" t="s">
        <v>84</v>
      </c>
      <c r="T391" s="10" t="s">
        <v>84</v>
      </c>
      <c r="U391" s="10"/>
      <c r="V391" s="10"/>
      <c r="W391" s="10"/>
      <c r="X391" s="10"/>
      <c r="Y391" s="10"/>
      <c r="Z391" s="10"/>
      <c r="AA391" s="10"/>
    </row>
    <row r="392" spans="1:27" ht="12.5" x14ac:dyDescent="0.25">
      <c r="A392" s="10" t="s">
        <v>109</v>
      </c>
      <c r="B392" s="10" t="s">
        <v>1108</v>
      </c>
      <c r="C392" s="10" t="s">
        <v>76</v>
      </c>
      <c r="D392" s="11">
        <v>2024</v>
      </c>
      <c r="E392" s="10" t="s">
        <v>81</v>
      </c>
      <c r="F392" s="10" t="s">
        <v>125</v>
      </c>
      <c r="G392" s="10" t="s">
        <v>84</v>
      </c>
      <c r="H392" s="12">
        <v>2310.8333333333298</v>
      </c>
      <c r="I392" s="11">
        <v>36</v>
      </c>
      <c r="J392" s="11">
        <v>30</v>
      </c>
      <c r="K392" s="11">
        <v>792</v>
      </c>
      <c r="L392" s="11">
        <v>1.55787955283087E-2</v>
      </c>
      <c r="M392" s="11">
        <v>1.5578795528308713</v>
      </c>
      <c r="N392" s="11">
        <v>0.83333333333333304</v>
      </c>
      <c r="O392" s="11">
        <v>0.34273350162279098</v>
      </c>
      <c r="P392" s="11">
        <v>0.191722972972973</v>
      </c>
      <c r="Q392" s="11">
        <v>0.22222222222222199</v>
      </c>
      <c r="R392" s="11">
        <v>0.23837209302325599</v>
      </c>
      <c r="S392" s="10" t="s">
        <v>84</v>
      </c>
      <c r="T392" s="10" t="s">
        <v>84</v>
      </c>
      <c r="U392" s="10"/>
      <c r="V392" s="10"/>
      <c r="W392" s="10"/>
      <c r="X392" s="10"/>
      <c r="Y392" s="10"/>
      <c r="Z392" s="10"/>
      <c r="AA392" s="10"/>
    </row>
    <row r="393" spans="1:27" ht="12.5" x14ac:dyDescent="0.25">
      <c r="A393" s="10" t="s">
        <v>42</v>
      </c>
      <c r="B393" s="10" t="s">
        <v>1110</v>
      </c>
      <c r="C393" s="10" t="s">
        <v>76</v>
      </c>
      <c r="D393" s="11">
        <v>2024</v>
      </c>
      <c r="E393" s="10" t="s">
        <v>81</v>
      </c>
      <c r="F393" s="10" t="s">
        <v>83</v>
      </c>
      <c r="G393" s="10" t="s">
        <v>84</v>
      </c>
      <c r="H393" s="12">
        <v>20059.166666666701</v>
      </c>
      <c r="I393" s="11">
        <v>310</v>
      </c>
      <c r="J393" s="11">
        <v>226</v>
      </c>
      <c r="K393" s="11">
        <v>1090</v>
      </c>
      <c r="L393" s="11">
        <v>1.54542810851232E-2</v>
      </c>
      <c r="M393" s="11">
        <v>1.5454281085123152</v>
      </c>
      <c r="N393" s="11">
        <v>0.72903225806451599</v>
      </c>
      <c r="O393" s="11">
        <v>5.4339246396078303E-2</v>
      </c>
      <c r="P393" s="11">
        <v>0.19003378378378399</v>
      </c>
      <c r="Q393" s="11">
        <v>0.119047619047619</v>
      </c>
      <c r="R393" s="11">
        <v>0.23643410852713201</v>
      </c>
      <c r="S393" s="10" t="s">
        <v>84</v>
      </c>
      <c r="T393" s="10" t="s">
        <v>84</v>
      </c>
      <c r="U393" s="10"/>
      <c r="V393" s="10"/>
      <c r="W393" s="10"/>
      <c r="X393" s="10"/>
      <c r="Y393" s="10"/>
      <c r="Z393" s="10"/>
      <c r="AA393" s="10"/>
    </row>
    <row r="394" spans="1:27" ht="12.5" x14ac:dyDescent="0.25">
      <c r="A394" s="10" t="s">
        <v>32</v>
      </c>
      <c r="B394" s="10" t="s">
        <v>1112</v>
      </c>
      <c r="C394" s="10" t="s">
        <v>76</v>
      </c>
      <c r="D394" s="11">
        <v>2024</v>
      </c>
      <c r="E394" s="10" t="s">
        <v>81</v>
      </c>
      <c r="F394" s="10" t="s">
        <v>83</v>
      </c>
      <c r="G394" s="10" t="s">
        <v>84</v>
      </c>
      <c r="H394" s="12">
        <v>74143.083333333299</v>
      </c>
      <c r="I394" s="11">
        <v>1143</v>
      </c>
      <c r="J394" s="11">
        <v>974</v>
      </c>
      <c r="K394" s="11">
        <v>112252</v>
      </c>
      <c r="L394" s="11">
        <v>1.54161379404912E-2</v>
      </c>
      <c r="M394" s="11">
        <v>1.5416137940491197</v>
      </c>
      <c r="N394" s="11">
        <v>0.852143482064742</v>
      </c>
      <c r="O394" s="11">
        <v>1.51399152764306</v>
      </c>
      <c r="P394" s="11">
        <v>0.18834459459459499</v>
      </c>
      <c r="Q394" s="11">
        <v>3.4482758620689703E-2</v>
      </c>
      <c r="R394" s="11">
        <v>0.234496124031008</v>
      </c>
      <c r="S394" s="10" t="s">
        <v>84</v>
      </c>
      <c r="T394" s="10" t="s">
        <v>84</v>
      </c>
      <c r="U394" s="10"/>
      <c r="V394" s="10"/>
      <c r="W394" s="10"/>
      <c r="X394" s="10"/>
      <c r="Y394" s="10"/>
      <c r="Z394" s="10"/>
      <c r="AA394" s="10"/>
    </row>
    <row r="395" spans="1:27" ht="12.5" x14ac:dyDescent="0.25">
      <c r="A395" s="10" t="s">
        <v>86</v>
      </c>
      <c r="B395" s="10" t="s">
        <v>1114</v>
      </c>
      <c r="C395" s="10" t="s">
        <v>76</v>
      </c>
      <c r="D395" s="11">
        <v>2024</v>
      </c>
      <c r="E395" s="10" t="s">
        <v>81</v>
      </c>
      <c r="F395" s="10" t="s">
        <v>83</v>
      </c>
      <c r="G395" s="10" t="s">
        <v>84</v>
      </c>
      <c r="H395" s="12">
        <v>13794.833333333299</v>
      </c>
      <c r="I395" s="11">
        <v>210</v>
      </c>
      <c r="J395" s="11">
        <v>121</v>
      </c>
      <c r="K395" s="11">
        <v>2279</v>
      </c>
      <c r="L395" s="11">
        <v>1.5223090770699201E-2</v>
      </c>
      <c r="M395" s="11">
        <v>1.5223090770699212</v>
      </c>
      <c r="N395" s="11">
        <v>0.57619047619047603</v>
      </c>
      <c r="O395" s="11">
        <v>0.16520678031630201</v>
      </c>
      <c r="P395" s="11">
        <v>0.18496621621621601</v>
      </c>
      <c r="Q395" s="11">
        <v>8.6956521739130405E-2</v>
      </c>
      <c r="R395" s="11">
        <v>0.232558139534884</v>
      </c>
      <c r="S395" s="10" t="s">
        <v>84</v>
      </c>
      <c r="T395" s="10" t="s">
        <v>84</v>
      </c>
      <c r="U395" s="10"/>
      <c r="V395" s="10"/>
      <c r="W395" s="10"/>
      <c r="X395" s="10"/>
      <c r="Y395" s="10"/>
      <c r="Z395" s="10"/>
      <c r="AA395" s="10"/>
    </row>
    <row r="396" spans="1:27" ht="12.5" x14ac:dyDescent="0.25">
      <c r="A396" s="10" t="s">
        <v>42</v>
      </c>
      <c r="B396" s="10" t="s">
        <v>1117</v>
      </c>
      <c r="C396" s="10" t="s">
        <v>76</v>
      </c>
      <c r="D396" s="11">
        <v>2024</v>
      </c>
      <c r="E396" s="10" t="s">
        <v>81</v>
      </c>
      <c r="F396" s="10" t="s">
        <v>83</v>
      </c>
      <c r="G396" s="10" t="s">
        <v>84</v>
      </c>
      <c r="H396" s="12">
        <v>13695.833333333299</v>
      </c>
      <c r="I396" s="11">
        <v>208</v>
      </c>
      <c r="J396" s="11">
        <v>191</v>
      </c>
      <c r="K396" s="11">
        <v>9752</v>
      </c>
      <c r="L396" s="11">
        <v>1.5187100699726201E-2</v>
      </c>
      <c r="M396" s="11">
        <v>1.5187100699726233</v>
      </c>
      <c r="N396" s="11">
        <v>0.91826923076923095</v>
      </c>
      <c r="O396" s="11">
        <v>0.71204137511408605</v>
      </c>
      <c r="P396" s="11">
        <v>0.18412162162162199</v>
      </c>
      <c r="Q396" s="11">
        <v>7.1428571428571397E-2</v>
      </c>
      <c r="R396" s="11">
        <v>0.23062015503875999</v>
      </c>
      <c r="S396" s="10" t="s">
        <v>84</v>
      </c>
      <c r="T396" s="10" t="s">
        <v>84</v>
      </c>
      <c r="U396" s="10"/>
      <c r="V396" s="10"/>
      <c r="W396" s="10"/>
      <c r="X396" s="10"/>
      <c r="Y396" s="10"/>
      <c r="Z396" s="10"/>
      <c r="AA396" s="10"/>
    </row>
    <row r="397" spans="1:27" ht="12.5" x14ac:dyDescent="0.25">
      <c r="A397" s="10" t="s">
        <v>72</v>
      </c>
      <c r="B397" s="10" t="s">
        <v>1120</v>
      </c>
      <c r="C397" s="10" t="s">
        <v>76</v>
      </c>
      <c r="D397" s="11">
        <v>2024</v>
      </c>
      <c r="E397" s="10" t="s">
        <v>81</v>
      </c>
      <c r="F397" s="10" t="s">
        <v>83</v>
      </c>
      <c r="G397" s="10" t="s">
        <v>84</v>
      </c>
      <c r="H397" s="12">
        <v>98555</v>
      </c>
      <c r="I397" s="11">
        <v>1492</v>
      </c>
      <c r="J397" s="11">
        <v>1668</v>
      </c>
      <c r="K397" s="11">
        <v>19886</v>
      </c>
      <c r="L397" s="11">
        <v>1.5138755009893E-2</v>
      </c>
      <c r="M397" s="11">
        <v>1.5138755009892952</v>
      </c>
      <c r="N397" s="11">
        <v>1.11796246648794</v>
      </c>
      <c r="O397" s="11">
        <v>0.20177565826188401</v>
      </c>
      <c r="P397" s="11">
        <v>0.183277027027027</v>
      </c>
      <c r="Q397" s="11">
        <v>0.3</v>
      </c>
      <c r="R397" s="11">
        <v>0.22868217054263601</v>
      </c>
      <c r="S397" s="10" t="s">
        <v>84</v>
      </c>
      <c r="T397" s="10" t="s">
        <v>84</v>
      </c>
      <c r="U397" s="10"/>
      <c r="V397" s="10"/>
      <c r="W397" s="10"/>
      <c r="X397" s="10"/>
      <c r="Y397" s="10"/>
      <c r="Z397" s="10"/>
      <c r="AA397" s="10"/>
    </row>
    <row r="398" spans="1:27" ht="12.5" x14ac:dyDescent="0.25">
      <c r="A398" s="10" t="s">
        <v>91</v>
      </c>
      <c r="B398" s="10" t="s">
        <v>1122</v>
      </c>
      <c r="C398" s="10" t="s">
        <v>76</v>
      </c>
      <c r="D398" s="11">
        <v>2024</v>
      </c>
      <c r="E398" s="10" t="s">
        <v>81</v>
      </c>
      <c r="F398" s="10" t="s">
        <v>83</v>
      </c>
      <c r="G398" s="10" t="s">
        <v>84</v>
      </c>
      <c r="H398" s="12">
        <v>14335.5</v>
      </c>
      <c r="I398" s="11">
        <v>214</v>
      </c>
      <c r="J398" s="11">
        <v>202</v>
      </c>
      <c r="K398" s="11">
        <v>4744</v>
      </c>
      <c r="L398" s="11">
        <v>1.49279760036274E-2</v>
      </c>
      <c r="M398" s="11">
        <v>1.4927976003627359</v>
      </c>
      <c r="N398" s="11">
        <v>0.94392523364486003</v>
      </c>
      <c r="O398" s="11">
        <v>0.33092672037947801</v>
      </c>
      <c r="P398" s="11">
        <v>0.181587837837838</v>
      </c>
      <c r="Q398" s="11">
        <v>0.2</v>
      </c>
      <c r="R398" s="11">
        <v>0.226744186046512</v>
      </c>
      <c r="S398" s="10" t="s">
        <v>84</v>
      </c>
      <c r="T398" s="10" t="s">
        <v>84</v>
      </c>
      <c r="U398" s="10"/>
      <c r="V398" s="10"/>
      <c r="W398" s="10"/>
      <c r="X398" s="10"/>
      <c r="Y398" s="10"/>
      <c r="Z398" s="10"/>
      <c r="AA398" s="10"/>
    </row>
    <row r="399" spans="1:27" ht="12.5" x14ac:dyDescent="0.25">
      <c r="A399" s="10" t="s">
        <v>42</v>
      </c>
      <c r="B399" s="10" t="s">
        <v>1123</v>
      </c>
      <c r="C399" s="10" t="s">
        <v>76</v>
      </c>
      <c r="D399" s="11">
        <v>2024</v>
      </c>
      <c r="E399" s="10" t="s">
        <v>81</v>
      </c>
      <c r="F399" s="10" t="s">
        <v>83</v>
      </c>
      <c r="G399" s="10" t="s">
        <v>84</v>
      </c>
      <c r="H399" s="12">
        <v>14600.75</v>
      </c>
      <c r="I399" s="11">
        <v>217</v>
      </c>
      <c r="J399" s="11">
        <v>104</v>
      </c>
      <c r="K399" s="11">
        <v>785</v>
      </c>
      <c r="L399" s="11">
        <v>1.48622502268719E-2</v>
      </c>
      <c r="M399" s="11">
        <v>1.4862250226871907</v>
      </c>
      <c r="N399" s="11">
        <v>0.47926267281106</v>
      </c>
      <c r="O399" s="11">
        <v>5.3764361419790102E-2</v>
      </c>
      <c r="P399" s="11">
        <v>0.17989864864864899</v>
      </c>
      <c r="Q399" s="11">
        <v>4.7619047619047603E-2</v>
      </c>
      <c r="R399" s="11">
        <v>0.224806201550388</v>
      </c>
      <c r="S399" s="10" t="s">
        <v>84</v>
      </c>
      <c r="T399" s="10" t="s">
        <v>84</v>
      </c>
      <c r="U399" s="10"/>
      <c r="V399" s="10"/>
      <c r="W399" s="10"/>
      <c r="X399" s="10"/>
      <c r="Y399" s="10"/>
      <c r="Z399" s="10"/>
      <c r="AA399" s="10"/>
    </row>
    <row r="400" spans="1:27" ht="12.5" x14ac:dyDescent="0.25">
      <c r="A400" s="10" t="s">
        <v>86</v>
      </c>
      <c r="B400" s="10" t="s">
        <v>1127</v>
      </c>
      <c r="C400" s="10" t="s">
        <v>76</v>
      </c>
      <c r="D400" s="11">
        <v>2024</v>
      </c>
      <c r="E400" s="10" t="s">
        <v>81</v>
      </c>
      <c r="F400" s="10" t="s">
        <v>83</v>
      </c>
      <c r="G400" s="10" t="s">
        <v>84</v>
      </c>
      <c r="H400" s="12">
        <v>80741.583333333299</v>
      </c>
      <c r="I400" s="11">
        <v>1198</v>
      </c>
      <c r="J400" s="11">
        <v>1002</v>
      </c>
      <c r="K400" s="11">
        <v>43184</v>
      </c>
      <c r="L400" s="11">
        <v>1.48374598384352E-2</v>
      </c>
      <c r="M400" s="11">
        <v>1.4837459838435179</v>
      </c>
      <c r="N400" s="11">
        <v>0.83639398998330505</v>
      </c>
      <c r="O400" s="11">
        <v>0.53484212492736605</v>
      </c>
      <c r="P400" s="11">
        <v>0.179054054054054</v>
      </c>
      <c r="Q400" s="11">
        <v>6.5217391304347797E-2</v>
      </c>
      <c r="R400" s="11">
        <v>0.22286821705426399</v>
      </c>
      <c r="S400" s="10" t="s">
        <v>84</v>
      </c>
      <c r="T400" s="10" t="s">
        <v>84</v>
      </c>
      <c r="U400" s="10"/>
      <c r="V400" s="10"/>
      <c r="W400" s="10"/>
      <c r="X400" s="10"/>
      <c r="Y400" s="10"/>
      <c r="Z400" s="10"/>
      <c r="AA400" s="10"/>
    </row>
    <row r="401" spans="1:27" ht="12.5" x14ac:dyDescent="0.25">
      <c r="A401" s="10" t="s">
        <v>96</v>
      </c>
      <c r="B401" s="10" t="s">
        <v>1129</v>
      </c>
      <c r="C401" s="10" t="s">
        <v>76</v>
      </c>
      <c r="D401" s="11">
        <v>2024</v>
      </c>
      <c r="E401" s="10" t="s">
        <v>81</v>
      </c>
      <c r="F401" s="10" t="s">
        <v>83</v>
      </c>
      <c r="G401" s="10" t="s">
        <v>84</v>
      </c>
      <c r="H401" s="12">
        <v>20934.666666666701</v>
      </c>
      <c r="I401" s="11">
        <v>310</v>
      </c>
      <c r="J401" s="11">
        <v>279</v>
      </c>
      <c r="K401" s="11">
        <v>832</v>
      </c>
      <c r="L401" s="11">
        <v>1.4807974014394E-2</v>
      </c>
      <c r="M401" s="11">
        <v>1.4807974014393963</v>
      </c>
      <c r="N401" s="11">
        <v>0.9</v>
      </c>
      <c r="O401" s="11">
        <v>3.9742691548308999E-2</v>
      </c>
      <c r="P401" s="11">
        <v>0.17820945945945901</v>
      </c>
      <c r="Q401" s="11">
        <v>0.23529411764705899</v>
      </c>
      <c r="R401" s="11">
        <v>0.22093023255814001</v>
      </c>
      <c r="S401" s="10" t="s">
        <v>84</v>
      </c>
      <c r="T401" s="10" t="s">
        <v>84</v>
      </c>
      <c r="U401" s="10"/>
      <c r="V401" s="10"/>
      <c r="W401" s="10"/>
      <c r="X401" s="10"/>
      <c r="Y401" s="10"/>
      <c r="Z401" s="10"/>
      <c r="AA401" s="10"/>
    </row>
    <row r="402" spans="1:27" ht="12.5" x14ac:dyDescent="0.25">
      <c r="A402" s="10" t="s">
        <v>34</v>
      </c>
      <c r="B402" s="10" t="s">
        <v>1132</v>
      </c>
      <c r="C402" s="10" t="s">
        <v>76</v>
      </c>
      <c r="D402" s="11">
        <v>2024</v>
      </c>
      <c r="E402" s="10" t="s">
        <v>81</v>
      </c>
      <c r="F402" s="10" t="s">
        <v>83</v>
      </c>
      <c r="G402" s="10" t="s">
        <v>84</v>
      </c>
      <c r="H402" s="12">
        <v>4663.5833333333303</v>
      </c>
      <c r="I402" s="11">
        <v>68</v>
      </c>
      <c r="J402" s="11">
        <v>46</v>
      </c>
      <c r="K402" s="11">
        <v>681</v>
      </c>
      <c r="L402" s="11">
        <v>1.45810624877151E-2</v>
      </c>
      <c r="M402" s="11">
        <v>1.4581062487715106</v>
      </c>
      <c r="N402" s="11">
        <v>0.67647058823529405</v>
      </c>
      <c r="O402" s="11">
        <v>0.146025052266676</v>
      </c>
      <c r="P402" s="11">
        <v>0.17652027027027001</v>
      </c>
      <c r="Q402" s="11">
        <v>0.36734693877551</v>
      </c>
      <c r="R402" s="11">
        <v>0.218992248062016</v>
      </c>
      <c r="S402" s="10" t="s">
        <v>84</v>
      </c>
      <c r="T402" s="10" t="s">
        <v>84</v>
      </c>
      <c r="U402" s="10"/>
      <c r="V402" s="10"/>
      <c r="W402" s="10"/>
      <c r="X402" s="10"/>
      <c r="Y402" s="10"/>
      <c r="Z402" s="10"/>
      <c r="AA402" s="10"/>
    </row>
    <row r="403" spans="1:27" ht="12.5" x14ac:dyDescent="0.25">
      <c r="A403" s="10" t="s">
        <v>52</v>
      </c>
      <c r="B403" s="10" t="s">
        <v>1135</v>
      </c>
      <c r="C403" s="10" t="s">
        <v>76</v>
      </c>
      <c r="D403" s="11">
        <v>2024</v>
      </c>
      <c r="E403" s="10" t="s">
        <v>81</v>
      </c>
      <c r="F403" s="10" t="s">
        <v>83</v>
      </c>
      <c r="G403" s="10" t="s">
        <v>84</v>
      </c>
      <c r="H403" s="12">
        <v>11043.25</v>
      </c>
      <c r="I403" s="11">
        <v>161</v>
      </c>
      <c r="J403" s="11">
        <v>114</v>
      </c>
      <c r="K403" s="11">
        <v>969</v>
      </c>
      <c r="L403" s="11">
        <v>1.4579041495936401E-2</v>
      </c>
      <c r="M403" s="11">
        <v>1.4579041495936431</v>
      </c>
      <c r="N403" s="11">
        <v>0.70807453416149102</v>
      </c>
      <c r="O403" s="11">
        <v>8.7745908133928005E-2</v>
      </c>
      <c r="P403" s="11">
        <v>0.17567567567567599</v>
      </c>
      <c r="Q403" s="11">
        <v>8.5106382978723402E-2</v>
      </c>
      <c r="R403" s="11">
        <v>0.217054263565891</v>
      </c>
      <c r="S403" s="10" t="s">
        <v>84</v>
      </c>
      <c r="T403" s="10" t="s">
        <v>84</v>
      </c>
      <c r="U403" s="10"/>
      <c r="V403" s="10"/>
      <c r="W403" s="10"/>
      <c r="X403" s="10"/>
      <c r="Y403" s="10"/>
      <c r="Z403" s="10"/>
      <c r="AA403" s="10"/>
    </row>
    <row r="404" spans="1:27" ht="12.5" x14ac:dyDescent="0.25">
      <c r="A404" s="10" t="s">
        <v>34</v>
      </c>
      <c r="B404" s="10" t="s">
        <v>1138</v>
      </c>
      <c r="C404" s="10" t="s">
        <v>76</v>
      </c>
      <c r="D404" s="11">
        <v>2024</v>
      </c>
      <c r="E404" s="10" t="s">
        <v>81</v>
      </c>
      <c r="F404" s="10" t="s">
        <v>83</v>
      </c>
      <c r="G404" s="10" t="s">
        <v>84</v>
      </c>
      <c r="H404" s="12">
        <v>9537</v>
      </c>
      <c r="I404" s="11">
        <v>139</v>
      </c>
      <c r="J404" s="11">
        <v>128</v>
      </c>
      <c r="K404" s="11">
        <v>277</v>
      </c>
      <c r="L404" s="11">
        <v>1.4574813882772399E-2</v>
      </c>
      <c r="M404" s="11">
        <v>1.4574813882772362</v>
      </c>
      <c r="N404" s="11">
        <v>0.92086330935251803</v>
      </c>
      <c r="O404" s="11">
        <v>2.90447729894097E-2</v>
      </c>
      <c r="P404" s="11">
        <v>0.174831081081081</v>
      </c>
      <c r="Q404" s="11">
        <v>0.34693877551020402</v>
      </c>
      <c r="R404" s="11">
        <v>0.21511627906976699</v>
      </c>
      <c r="S404" s="10" t="s">
        <v>84</v>
      </c>
      <c r="T404" s="10" t="s">
        <v>84</v>
      </c>
      <c r="U404" s="10"/>
      <c r="V404" s="10"/>
      <c r="W404" s="10"/>
      <c r="X404" s="10"/>
      <c r="Y404" s="10"/>
      <c r="Z404" s="10"/>
      <c r="AA404" s="10"/>
    </row>
    <row r="405" spans="1:27" ht="12.5" x14ac:dyDescent="0.25">
      <c r="A405" s="10" t="s">
        <v>52</v>
      </c>
      <c r="B405" s="10" t="s">
        <v>1140</v>
      </c>
      <c r="C405" s="10" t="s">
        <v>76</v>
      </c>
      <c r="D405" s="11">
        <v>2024</v>
      </c>
      <c r="E405" s="10" t="s">
        <v>81</v>
      </c>
      <c r="F405" s="10" t="s">
        <v>83</v>
      </c>
      <c r="G405" s="10" t="s">
        <v>84</v>
      </c>
      <c r="H405" s="12">
        <v>9276.5833333333303</v>
      </c>
      <c r="I405" s="11">
        <v>135</v>
      </c>
      <c r="J405" s="11">
        <v>76</v>
      </c>
      <c r="K405" s="11">
        <v>669</v>
      </c>
      <c r="L405" s="11">
        <v>1.45527717640295E-2</v>
      </c>
      <c r="M405" s="11">
        <v>1.4552771764029506</v>
      </c>
      <c r="N405" s="11">
        <v>0.562962962962963</v>
      </c>
      <c r="O405" s="11">
        <v>7.2117068963968398E-2</v>
      </c>
      <c r="P405" s="11">
        <v>0.17398648648648599</v>
      </c>
      <c r="Q405" s="11">
        <v>6.3829787234042507E-2</v>
      </c>
      <c r="R405" s="11">
        <v>0.21317829457364301</v>
      </c>
      <c r="S405" s="10" t="s">
        <v>84</v>
      </c>
      <c r="T405" s="10" t="s">
        <v>84</v>
      </c>
      <c r="U405" s="10"/>
      <c r="V405" s="10"/>
      <c r="W405" s="10"/>
      <c r="X405" s="10"/>
      <c r="Y405" s="10"/>
      <c r="Z405" s="10"/>
      <c r="AA405" s="10"/>
    </row>
    <row r="406" spans="1:27" ht="12.5" x14ac:dyDescent="0.25">
      <c r="A406" s="10" t="s">
        <v>96</v>
      </c>
      <c r="B406" s="10" t="s">
        <v>1142</v>
      </c>
      <c r="C406" s="10" t="s">
        <v>76</v>
      </c>
      <c r="D406" s="11">
        <v>2024</v>
      </c>
      <c r="E406" s="10" t="s">
        <v>81</v>
      </c>
      <c r="F406" s="10" t="s">
        <v>83</v>
      </c>
      <c r="G406" s="10" t="s">
        <v>84</v>
      </c>
      <c r="H406" s="12">
        <v>19542.333333333299</v>
      </c>
      <c r="I406" s="11">
        <v>283</v>
      </c>
      <c r="J406" s="11">
        <v>261</v>
      </c>
      <c r="K406" s="11">
        <v>5259</v>
      </c>
      <c r="L406" s="11">
        <v>1.44813822982585E-2</v>
      </c>
      <c r="M406" s="11">
        <v>1.4481382298258507</v>
      </c>
      <c r="N406" s="11">
        <v>0.92226148409894004</v>
      </c>
      <c r="O406" s="11">
        <v>0.26910809012912101</v>
      </c>
      <c r="P406" s="11">
        <v>0.173141891891892</v>
      </c>
      <c r="Q406" s="11">
        <v>0.17647058823529399</v>
      </c>
      <c r="R406" s="11">
        <v>0.21124031007751901</v>
      </c>
      <c r="S406" s="10" t="s">
        <v>84</v>
      </c>
      <c r="T406" s="10" t="s">
        <v>84</v>
      </c>
      <c r="U406" s="10"/>
      <c r="V406" s="10"/>
      <c r="W406" s="10"/>
      <c r="X406" s="10"/>
      <c r="Y406" s="10"/>
      <c r="Z406" s="10"/>
      <c r="AA406" s="10"/>
    </row>
    <row r="407" spans="1:27" ht="12.5" x14ac:dyDescent="0.25">
      <c r="A407" s="10" t="s">
        <v>82</v>
      </c>
      <c r="B407" s="10" t="s">
        <v>1145</v>
      </c>
      <c r="C407" s="10" t="s">
        <v>76</v>
      </c>
      <c r="D407" s="11">
        <v>2024</v>
      </c>
      <c r="E407" s="10" t="s">
        <v>81</v>
      </c>
      <c r="F407" s="10" t="s">
        <v>83</v>
      </c>
      <c r="G407" s="10" t="s">
        <v>84</v>
      </c>
      <c r="H407" s="12">
        <v>32926.833333333299</v>
      </c>
      <c r="I407" s="11">
        <v>473</v>
      </c>
      <c r="J407" s="11">
        <v>384</v>
      </c>
      <c r="K407" s="11">
        <v>6423</v>
      </c>
      <c r="L407" s="11">
        <v>1.43651834117058E-2</v>
      </c>
      <c r="M407" s="11">
        <v>1.4365183411705766</v>
      </c>
      <c r="N407" s="11">
        <v>0.81183932346722998</v>
      </c>
      <c r="O407" s="11">
        <v>0.195068864806313</v>
      </c>
      <c r="P407" s="11">
        <v>0.170608108108108</v>
      </c>
      <c r="Q407" s="11">
        <v>0.31034482758620702</v>
      </c>
      <c r="R407" s="11">
        <v>0.209302325581395</v>
      </c>
      <c r="S407" s="10" t="s">
        <v>84</v>
      </c>
      <c r="T407" s="10" t="s">
        <v>84</v>
      </c>
      <c r="U407" s="10"/>
      <c r="V407" s="10"/>
      <c r="W407" s="10"/>
      <c r="X407" s="10"/>
      <c r="Y407" s="10"/>
      <c r="Z407" s="10"/>
      <c r="AA407" s="10"/>
    </row>
    <row r="408" spans="1:27" ht="12.5" x14ac:dyDescent="0.25">
      <c r="A408" s="10" t="s">
        <v>13</v>
      </c>
      <c r="B408" s="10" t="s">
        <v>1147</v>
      </c>
      <c r="C408" s="10" t="s">
        <v>76</v>
      </c>
      <c r="D408" s="11">
        <v>2024</v>
      </c>
      <c r="E408" s="10" t="s">
        <v>81</v>
      </c>
      <c r="F408" s="10" t="s">
        <v>83</v>
      </c>
      <c r="G408" s="10" t="s">
        <v>84</v>
      </c>
      <c r="H408" s="12">
        <v>16997.416666666701</v>
      </c>
      <c r="I408" s="11">
        <v>242</v>
      </c>
      <c r="J408" s="11">
        <v>168</v>
      </c>
      <c r="K408" s="11">
        <v>40252</v>
      </c>
      <c r="L408" s="11">
        <v>1.42374576528786E-2</v>
      </c>
      <c r="M408" s="11">
        <v>1.4237457652878596</v>
      </c>
      <c r="N408" s="11">
        <v>0.69421487603305798</v>
      </c>
      <c r="O408" s="11">
        <v>2.3681245679490499</v>
      </c>
      <c r="P408" s="11">
        <v>0.168918918918919</v>
      </c>
      <c r="Q408" s="11">
        <v>0</v>
      </c>
      <c r="R408" s="11">
        <v>0.20736434108527099</v>
      </c>
      <c r="S408" s="10" t="s">
        <v>84</v>
      </c>
      <c r="T408" s="10" t="s">
        <v>84</v>
      </c>
      <c r="U408" s="10"/>
      <c r="V408" s="10"/>
      <c r="W408" s="10"/>
      <c r="X408" s="10"/>
      <c r="Y408" s="10"/>
      <c r="Z408" s="10"/>
      <c r="AA408" s="10"/>
    </row>
    <row r="409" spans="1:27" ht="12.5" x14ac:dyDescent="0.25">
      <c r="A409" s="10" t="s">
        <v>52</v>
      </c>
      <c r="B409" s="10" t="s">
        <v>1150</v>
      </c>
      <c r="C409" s="10" t="s">
        <v>76</v>
      </c>
      <c r="D409" s="11">
        <v>2024</v>
      </c>
      <c r="E409" s="10" t="s">
        <v>81</v>
      </c>
      <c r="F409" s="10" t="s">
        <v>83</v>
      </c>
      <c r="G409" s="10" t="s">
        <v>84</v>
      </c>
      <c r="H409" s="12">
        <v>23439.666666666701</v>
      </c>
      <c r="I409" s="11">
        <v>329</v>
      </c>
      <c r="J409" s="11">
        <v>273</v>
      </c>
      <c r="K409" s="11">
        <v>17698</v>
      </c>
      <c r="L409" s="11">
        <v>1.40360357798035E-2</v>
      </c>
      <c r="M409" s="11">
        <v>1.4036035779803446</v>
      </c>
      <c r="N409" s="11">
        <v>0.82978723404255295</v>
      </c>
      <c r="O409" s="11">
        <v>0.75504486696341</v>
      </c>
      <c r="P409" s="11">
        <v>0.16807432432432401</v>
      </c>
      <c r="Q409" s="11">
        <v>4.2553191489361701E-2</v>
      </c>
      <c r="R409" s="11">
        <v>0.20542635658914701</v>
      </c>
      <c r="S409" s="10" t="s">
        <v>84</v>
      </c>
      <c r="T409" s="10" t="s">
        <v>84</v>
      </c>
      <c r="U409" s="10"/>
      <c r="V409" s="10"/>
      <c r="W409" s="10"/>
      <c r="X409" s="10"/>
      <c r="Y409" s="10"/>
      <c r="Z409" s="10"/>
      <c r="AA409" s="10"/>
    </row>
    <row r="410" spans="1:27" ht="12.5" x14ac:dyDescent="0.25">
      <c r="A410" s="10" t="s">
        <v>12</v>
      </c>
      <c r="B410" s="10" t="s">
        <v>1153</v>
      </c>
      <c r="C410" s="10" t="s">
        <v>76</v>
      </c>
      <c r="D410" s="11">
        <v>2024</v>
      </c>
      <c r="E410" s="10" t="s">
        <v>81</v>
      </c>
      <c r="F410" s="10" t="s">
        <v>83</v>
      </c>
      <c r="G410" s="10" t="s">
        <v>84</v>
      </c>
      <c r="H410" s="12">
        <v>21160.75</v>
      </c>
      <c r="I410" s="11">
        <v>295</v>
      </c>
      <c r="J410" s="11">
        <v>347</v>
      </c>
      <c r="K410" s="11">
        <v>46221</v>
      </c>
      <c r="L410" s="11">
        <v>1.3940904741089E-2</v>
      </c>
      <c r="M410" s="11">
        <v>1.3940904741089044</v>
      </c>
      <c r="N410" s="11">
        <v>1.1762711864406801</v>
      </c>
      <c r="O410" s="11">
        <v>2.1842798577555098</v>
      </c>
      <c r="P410" s="11">
        <v>0.16722972972972999</v>
      </c>
      <c r="Q410" s="11">
        <v>0.11111111111111099</v>
      </c>
      <c r="R410" s="11">
        <v>0.20348837209302301</v>
      </c>
      <c r="S410" s="10" t="s">
        <v>84</v>
      </c>
      <c r="T410" s="10" t="s">
        <v>84</v>
      </c>
      <c r="U410" s="10"/>
      <c r="V410" s="10"/>
      <c r="W410" s="10"/>
      <c r="X410" s="10"/>
      <c r="Y410" s="10"/>
      <c r="Z410" s="10"/>
      <c r="AA410" s="10"/>
    </row>
    <row r="411" spans="1:27" ht="12.5" x14ac:dyDescent="0.25">
      <c r="A411" s="10" t="s">
        <v>104</v>
      </c>
      <c r="B411" s="10" t="s">
        <v>1055</v>
      </c>
      <c r="C411" s="10" t="s">
        <v>76</v>
      </c>
      <c r="D411" s="11">
        <v>2024</v>
      </c>
      <c r="E411" s="10" t="s">
        <v>81</v>
      </c>
      <c r="F411" s="10" t="s">
        <v>83</v>
      </c>
      <c r="G411" s="10" t="s">
        <v>84</v>
      </c>
      <c r="H411" s="12">
        <v>2226.25</v>
      </c>
      <c r="I411" s="11">
        <v>31</v>
      </c>
      <c r="J411" s="11">
        <v>10</v>
      </c>
      <c r="K411" s="11">
        <v>328</v>
      </c>
      <c r="L411" s="11">
        <v>1.3924761370016799E-2</v>
      </c>
      <c r="M411" s="11">
        <v>1.3924761370016845</v>
      </c>
      <c r="N411" s="11">
        <v>0.32258064516128998</v>
      </c>
      <c r="O411" s="11">
        <v>0.147332959011791</v>
      </c>
      <c r="P411" s="11">
        <v>0.166385135135135</v>
      </c>
      <c r="Q411" s="11">
        <v>0.13793103448275901</v>
      </c>
      <c r="R411" s="11">
        <v>0.201550387596899</v>
      </c>
      <c r="S411" s="10" t="s">
        <v>84</v>
      </c>
      <c r="T411" s="10" t="s">
        <v>84</v>
      </c>
      <c r="U411" s="10"/>
      <c r="V411" s="10"/>
      <c r="W411" s="10"/>
      <c r="X411" s="10"/>
      <c r="Y411" s="10"/>
      <c r="Z411" s="10"/>
      <c r="AA411" s="10"/>
    </row>
    <row r="412" spans="1:27" ht="12.5" x14ac:dyDescent="0.25">
      <c r="A412" s="10" t="s">
        <v>95</v>
      </c>
      <c r="B412" s="10" t="s">
        <v>1157</v>
      </c>
      <c r="C412" s="10" t="s">
        <v>76</v>
      </c>
      <c r="D412" s="11">
        <v>2024</v>
      </c>
      <c r="E412" s="10" t="s">
        <v>81</v>
      </c>
      <c r="F412" s="10" t="s">
        <v>83</v>
      </c>
      <c r="G412" s="10" t="s">
        <v>84</v>
      </c>
      <c r="H412" s="12">
        <v>84122</v>
      </c>
      <c r="I412" s="11">
        <v>1160</v>
      </c>
      <c r="J412" s="11">
        <v>1013</v>
      </c>
      <c r="K412" s="11">
        <v>20205</v>
      </c>
      <c r="L412" s="11">
        <v>1.37894962078885E-2</v>
      </c>
      <c r="M412" s="11">
        <v>1.3789496207888543</v>
      </c>
      <c r="N412" s="11">
        <v>0.87327586206896601</v>
      </c>
      <c r="O412" s="11">
        <v>0.24018687144861001</v>
      </c>
      <c r="P412" s="11">
        <v>0.16554054054054099</v>
      </c>
      <c r="Q412" s="11">
        <v>0</v>
      </c>
      <c r="R412" s="11">
        <v>0.19961240310077499</v>
      </c>
      <c r="S412" s="10" t="s">
        <v>84</v>
      </c>
      <c r="T412" s="10" t="s">
        <v>84</v>
      </c>
      <c r="U412" s="10"/>
      <c r="V412" s="10"/>
      <c r="W412" s="10"/>
      <c r="X412" s="10"/>
      <c r="Y412" s="10"/>
      <c r="Z412" s="10"/>
      <c r="AA412" s="10"/>
    </row>
    <row r="413" spans="1:27" ht="12.5" x14ac:dyDescent="0.25">
      <c r="A413" s="10" t="s">
        <v>67</v>
      </c>
      <c r="B413" s="10" t="s">
        <v>1160</v>
      </c>
      <c r="C413" s="10" t="s">
        <v>76</v>
      </c>
      <c r="D413" s="11">
        <v>2024</v>
      </c>
      <c r="E413" s="10" t="s">
        <v>81</v>
      </c>
      <c r="F413" s="10" t="s">
        <v>83</v>
      </c>
      <c r="G413" s="10" t="s">
        <v>84</v>
      </c>
      <c r="H413" s="12">
        <v>18737</v>
      </c>
      <c r="I413" s="11">
        <v>258</v>
      </c>
      <c r="J413" s="11">
        <v>184</v>
      </c>
      <c r="K413" s="11">
        <v>20512</v>
      </c>
      <c r="L413" s="11">
        <v>1.3769546885840801E-2</v>
      </c>
      <c r="M413" s="11">
        <v>1.3769546885840849</v>
      </c>
      <c r="N413" s="11">
        <v>0.71317829457364301</v>
      </c>
      <c r="O413" s="11">
        <v>1.0947323477611099</v>
      </c>
      <c r="P413" s="11">
        <v>0.16385135135135101</v>
      </c>
      <c r="Q413" s="11">
        <v>9.5238095238095205E-2</v>
      </c>
      <c r="R413" s="11">
        <v>0.19767441860465099</v>
      </c>
      <c r="S413" s="10" t="s">
        <v>84</v>
      </c>
      <c r="T413" s="10" t="s">
        <v>84</v>
      </c>
      <c r="U413" s="10"/>
      <c r="V413" s="10"/>
      <c r="W413" s="10"/>
      <c r="X413" s="10"/>
      <c r="Y413" s="10"/>
      <c r="Z413" s="10"/>
      <c r="AA413" s="10"/>
    </row>
    <row r="414" spans="1:27" ht="12.5" x14ac:dyDescent="0.25">
      <c r="A414" s="10" t="s">
        <v>53</v>
      </c>
      <c r="B414" s="10" t="s">
        <v>1162</v>
      </c>
      <c r="C414" s="10" t="s">
        <v>76</v>
      </c>
      <c r="D414" s="11">
        <v>2024</v>
      </c>
      <c r="E414" s="10" t="s">
        <v>81</v>
      </c>
      <c r="F414" s="10" t="s">
        <v>125</v>
      </c>
      <c r="G414" s="10" t="s">
        <v>84</v>
      </c>
      <c r="H414" s="12">
        <v>6844.25</v>
      </c>
      <c r="I414" s="11">
        <v>93</v>
      </c>
      <c r="J414" s="11">
        <v>78</v>
      </c>
      <c r="K414" s="11">
        <v>933</v>
      </c>
      <c r="L414" s="11">
        <v>1.35880483617635E-2</v>
      </c>
      <c r="M414" s="11">
        <v>1.3588048361763523</v>
      </c>
      <c r="N414" s="11">
        <v>0.83870967741935498</v>
      </c>
      <c r="O414" s="11">
        <v>0.13631880775833699</v>
      </c>
      <c r="P414" s="11">
        <v>0.162162162162162</v>
      </c>
      <c r="Q414" s="11">
        <v>0.7</v>
      </c>
      <c r="R414" s="11">
        <v>0.19573643410852701</v>
      </c>
      <c r="S414" s="10" t="s">
        <v>84</v>
      </c>
      <c r="T414" s="10" t="s">
        <v>84</v>
      </c>
      <c r="U414" s="10"/>
      <c r="V414" s="10"/>
      <c r="W414" s="10"/>
      <c r="X414" s="10"/>
      <c r="Y414" s="10"/>
      <c r="Z414" s="10"/>
      <c r="AA414" s="10"/>
    </row>
    <row r="415" spans="1:27" ht="12.5" x14ac:dyDescent="0.25">
      <c r="A415" s="10" t="s">
        <v>67</v>
      </c>
      <c r="B415" s="10" t="s">
        <v>1106</v>
      </c>
      <c r="C415" s="10" t="s">
        <v>76</v>
      </c>
      <c r="D415" s="11">
        <v>2024</v>
      </c>
      <c r="E415" s="10" t="s">
        <v>81</v>
      </c>
      <c r="F415" s="10" t="s">
        <v>83</v>
      </c>
      <c r="G415" s="10" t="s">
        <v>84</v>
      </c>
      <c r="H415" s="12">
        <v>1211</v>
      </c>
      <c r="I415" s="11">
        <v>16</v>
      </c>
      <c r="J415" s="11">
        <v>11</v>
      </c>
      <c r="K415" s="11">
        <v>60</v>
      </c>
      <c r="L415" s="11">
        <v>1.32122213047069E-2</v>
      </c>
      <c r="M415" s="11">
        <v>1.3212221304706853</v>
      </c>
      <c r="N415" s="11">
        <v>0.6875</v>
      </c>
      <c r="O415" s="11">
        <v>4.9545829892650703E-2</v>
      </c>
      <c r="P415" s="11">
        <v>0.15962837837837801</v>
      </c>
      <c r="Q415" s="11">
        <v>4.7619047619047603E-2</v>
      </c>
      <c r="R415" s="11">
        <v>0.193798449612403</v>
      </c>
      <c r="S415" s="10" t="s">
        <v>84</v>
      </c>
      <c r="T415" s="10" t="s">
        <v>84</v>
      </c>
      <c r="U415" s="10"/>
      <c r="V415" s="10"/>
      <c r="W415" s="10"/>
      <c r="X415" s="10"/>
      <c r="Y415" s="10"/>
      <c r="Z415" s="10"/>
      <c r="AA415" s="10"/>
    </row>
    <row r="416" spans="1:27" ht="12.5" x14ac:dyDescent="0.25">
      <c r="A416" s="10" t="s">
        <v>6</v>
      </c>
      <c r="B416" s="10" t="s">
        <v>761</v>
      </c>
      <c r="C416" s="10" t="s">
        <v>76</v>
      </c>
      <c r="D416" s="11">
        <v>2024</v>
      </c>
      <c r="E416" s="10" t="s">
        <v>81</v>
      </c>
      <c r="F416" s="10" t="s">
        <v>83</v>
      </c>
      <c r="G416" s="10" t="s">
        <v>84</v>
      </c>
      <c r="H416" s="12">
        <v>759.08333333333303</v>
      </c>
      <c r="I416" s="11">
        <v>10</v>
      </c>
      <c r="J416" s="11">
        <v>7</v>
      </c>
      <c r="K416" s="11">
        <v>811</v>
      </c>
      <c r="L416" s="11">
        <v>1.3173784169502699E-2</v>
      </c>
      <c r="M416" s="11">
        <v>1.3173784169502696</v>
      </c>
      <c r="N416" s="11">
        <v>0.7</v>
      </c>
      <c r="O416" s="11">
        <v>1.0683938961466699</v>
      </c>
      <c r="P416" s="11">
        <v>0.15878378378378399</v>
      </c>
      <c r="Q416" s="11">
        <v>0.32258064516128998</v>
      </c>
      <c r="R416" s="11">
        <v>0.19186046511627899</v>
      </c>
      <c r="S416" s="10" t="s">
        <v>84</v>
      </c>
      <c r="T416" s="10" t="s">
        <v>84</v>
      </c>
      <c r="U416" s="10"/>
      <c r="V416" s="10"/>
      <c r="W416" s="10"/>
      <c r="X416" s="10"/>
      <c r="Y416" s="10"/>
      <c r="Z416" s="10"/>
      <c r="AA416" s="10"/>
    </row>
    <row r="417" spans="1:27" ht="12.5" x14ac:dyDescent="0.25">
      <c r="A417" s="10" t="s">
        <v>104</v>
      </c>
      <c r="B417" s="10" t="s">
        <v>1166</v>
      </c>
      <c r="C417" s="10" t="s">
        <v>76</v>
      </c>
      <c r="D417" s="11">
        <v>2024</v>
      </c>
      <c r="E417" s="10" t="s">
        <v>81</v>
      </c>
      <c r="F417" s="10" t="s">
        <v>83</v>
      </c>
      <c r="G417" s="10" t="s">
        <v>84</v>
      </c>
      <c r="H417" s="12">
        <v>15293.916666666701</v>
      </c>
      <c r="I417" s="11">
        <v>201</v>
      </c>
      <c r="J417" s="11">
        <v>79</v>
      </c>
      <c r="K417" s="11">
        <v>297</v>
      </c>
      <c r="L417" s="11">
        <v>1.31424803979796E-2</v>
      </c>
      <c r="M417" s="11">
        <v>1.3142480397979559</v>
      </c>
      <c r="N417" s="11">
        <v>0.39303482587064698</v>
      </c>
      <c r="O417" s="11">
        <v>1.9419485961193701E-2</v>
      </c>
      <c r="P417" s="11">
        <v>0.15793918918918901</v>
      </c>
      <c r="Q417" s="11">
        <v>0.10344827586206901</v>
      </c>
      <c r="R417" s="11">
        <v>0.18992248062015499</v>
      </c>
      <c r="S417" s="10" t="s">
        <v>84</v>
      </c>
      <c r="T417" s="10" t="s">
        <v>84</v>
      </c>
      <c r="U417" s="10"/>
      <c r="V417" s="10"/>
      <c r="W417" s="10"/>
      <c r="X417" s="10"/>
      <c r="Y417" s="10"/>
      <c r="Z417" s="10"/>
      <c r="AA417" s="10"/>
    </row>
    <row r="418" spans="1:27" ht="12.5" x14ac:dyDescent="0.25">
      <c r="A418" s="10" t="s">
        <v>34</v>
      </c>
      <c r="B418" s="10" t="s">
        <v>1168</v>
      </c>
      <c r="C418" s="10" t="s">
        <v>76</v>
      </c>
      <c r="D418" s="11">
        <v>2024</v>
      </c>
      <c r="E418" s="10" t="s">
        <v>81</v>
      </c>
      <c r="F418" s="10" t="s">
        <v>83</v>
      </c>
      <c r="G418" s="10" t="s">
        <v>84</v>
      </c>
      <c r="H418" s="12">
        <v>61738.166666666701</v>
      </c>
      <c r="I418" s="11">
        <v>808</v>
      </c>
      <c r="J418" s="11">
        <v>505</v>
      </c>
      <c r="K418" s="11">
        <v>33952</v>
      </c>
      <c r="L418" s="11">
        <v>1.30875282442789E-2</v>
      </c>
      <c r="M418" s="11">
        <v>1.3087528244278923</v>
      </c>
      <c r="N418" s="11">
        <v>0.625</v>
      </c>
      <c r="O418" s="11">
        <v>0.54993534523484899</v>
      </c>
      <c r="P418" s="11">
        <v>0.15625</v>
      </c>
      <c r="Q418" s="11">
        <v>0.28571428571428598</v>
      </c>
      <c r="R418" s="11">
        <v>0.18798449612403101</v>
      </c>
      <c r="S418" s="10" t="s">
        <v>84</v>
      </c>
      <c r="T418" s="10" t="s">
        <v>84</v>
      </c>
      <c r="U418" s="10"/>
      <c r="V418" s="10"/>
      <c r="W418" s="10"/>
      <c r="X418" s="10"/>
      <c r="Y418" s="10"/>
      <c r="Z418" s="10"/>
      <c r="AA418" s="10"/>
    </row>
    <row r="419" spans="1:27" ht="12.5" x14ac:dyDescent="0.25">
      <c r="A419" s="10" t="s">
        <v>86</v>
      </c>
      <c r="B419" s="10" t="s">
        <v>1171</v>
      </c>
      <c r="C419" s="10" t="s">
        <v>76</v>
      </c>
      <c r="D419" s="11">
        <v>2024</v>
      </c>
      <c r="E419" s="10" t="s">
        <v>81</v>
      </c>
      <c r="F419" s="10" t="s">
        <v>83</v>
      </c>
      <c r="G419" s="10" t="s">
        <v>84</v>
      </c>
      <c r="H419" s="12">
        <v>36144.25</v>
      </c>
      <c r="I419" s="11">
        <v>470</v>
      </c>
      <c r="J419" s="11">
        <v>204</v>
      </c>
      <c r="K419" s="11">
        <v>11229</v>
      </c>
      <c r="L419" s="11">
        <v>1.30034514480173E-2</v>
      </c>
      <c r="M419" s="11">
        <v>1.3003451448017318</v>
      </c>
      <c r="N419" s="11">
        <v>0.43404255319148899</v>
      </c>
      <c r="O419" s="11">
        <v>0.31067182193571602</v>
      </c>
      <c r="P419" s="11">
        <v>0.15371621621621601</v>
      </c>
      <c r="Q419" s="11">
        <v>4.3478260869565202E-2</v>
      </c>
      <c r="R419" s="11">
        <v>0.186046511627907</v>
      </c>
      <c r="S419" s="10" t="s">
        <v>84</v>
      </c>
      <c r="T419" s="10" t="s">
        <v>84</v>
      </c>
      <c r="U419" s="10"/>
      <c r="V419" s="10"/>
      <c r="W419" s="10"/>
      <c r="X419" s="10"/>
      <c r="Y419" s="10"/>
      <c r="Z419" s="10"/>
      <c r="AA419" s="10"/>
    </row>
    <row r="420" spans="1:27" ht="12.5" x14ac:dyDescent="0.25">
      <c r="A420" s="10" t="s">
        <v>14</v>
      </c>
      <c r="B420" s="10" t="s">
        <v>1174</v>
      </c>
      <c r="C420" s="10" t="s">
        <v>76</v>
      </c>
      <c r="D420" s="11">
        <v>2024</v>
      </c>
      <c r="E420" s="10" t="s">
        <v>81</v>
      </c>
      <c r="F420" s="10" t="s">
        <v>83</v>
      </c>
      <c r="G420" s="10" t="s">
        <v>84</v>
      </c>
      <c r="H420" s="12">
        <v>27108.333333333299</v>
      </c>
      <c r="I420" s="11">
        <v>346</v>
      </c>
      <c r="J420" s="11">
        <v>402</v>
      </c>
      <c r="K420" s="11">
        <v>5691</v>
      </c>
      <c r="L420" s="11">
        <v>1.27636028281586E-2</v>
      </c>
      <c r="M420" s="11">
        <v>1.276360282815864</v>
      </c>
      <c r="N420" s="11">
        <v>1.16184971098266</v>
      </c>
      <c r="O420" s="11">
        <v>0.20993544420534899</v>
      </c>
      <c r="P420" s="11">
        <v>0.150337837837838</v>
      </c>
      <c r="Q420" s="11">
        <v>3.5714285714285698E-2</v>
      </c>
      <c r="R420" s="11">
        <v>0.184108527131783</v>
      </c>
      <c r="S420" s="10" t="s">
        <v>84</v>
      </c>
      <c r="T420" s="10" t="s">
        <v>84</v>
      </c>
      <c r="U420" s="10"/>
      <c r="V420" s="10"/>
      <c r="W420" s="10"/>
      <c r="X420" s="10"/>
      <c r="Y420" s="10"/>
      <c r="Z420" s="10"/>
      <c r="AA420" s="10"/>
    </row>
    <row r="421" spans="1:27" ht="12.5" x14ac:dyDescent="0.25">
      <c r="A421" s="10" t="s">
        <v>110</v>
      </c>
      <c r="B421" s="10" t="s">
        <v>1176</v>
      </c>
      <c r="C421" s="10" t="s">
        <v>76</v>
      </c>
      <c r="D421" s="11">
        <v>2024</v>
      </c>
      <c r="E421" s="10" t="s">
        <v>81</v>
      </c>
      <c r="F421" s="10" t="s">
        <v>83</v>
      </c>
      <c r="G421" s="10" t="s">
        <v>84</v>
      </c>
      <c r="H421" s="12">
        <v>31181.916666666701</v>
      </c>
      <c r="I421" s="11">
        <v>397</v>
      </c>
      <c r="J421" s="11">
        <v>359</v>
      </c>
      <c r="K421" s="11">
        <v>28819</v>
      </c>
      <c r="L421" s="11">
        <v>1.27317382136548E-2</v>
      </c>
      <c r="M421" s="11">
        <v>1.2731738213654802</v>
      </c>
      <c r="N421" s="11">
        <v>0.90428211586901797</v>
      </c>
      <c r="O421" s="11">
        <v>0.92422157072876099</v>
      </c>
      <c r="P421" s="11">
        <v>0.14949324324324301</v>
      </c>
      <c r="Q421" s="11">
        <v>0.33333333333333298</v>
      </c>
      <c r="R421" s="11">
        <v>0.18217054263565899</v>
      </c>
      <c r="S421" s="10" t="s">
        <v>84</v>
      </c>
      <c r="T421" s="10" t="s">
        <v>84</v>
      </c>
      <c r="U421" s="10"/>
      <c r="V421" s="10"/>
      <c r="W421" s="10"/>
      <c r="X421" s="10"/>
      <c r="Y421" s="10"/>
      <c r="Z421" s="10"/>
      <c r="AA421" s="10"/>
    </row>
    <row r="422" spans="1:27" ht="12.5" x14ac:dyDescent="0.25">
      <c r="A422" s="10" t="s">
        <v>67</v>
      </c>
      <c r="B422" s="10" t="s">
        <v>1178</v>
      </c>
      <c r="C422" s="10" t="s">
        <v>76</v>
      </c>
      <c r="D422" s="11">
        <v>2024</v>
      </c>
      <c r="E422" s="10" t="s">
        <v>81</v>
      </c>
      <c r="F422" s="10" t="s">
        <v>83</v>
      </c>
      <c r="G422" s="10" t="s">
        <v>84</v>
      </c>
      <c r="H422" s="12">
        <v>34394.416666666701</v>
      </c>
      <c r="I422" s="11">
        <v>437</v>
      </c>
      <c r="J422" s="11">
        <v>367</v>
      </c>
      <c r="K422" s="11">
        <v>17284</v>
      </c>
      <c r="L422" s="11">
        <v>1.2705550561743301E-2</v>
      </c>
      <c r="M422" s="11">
        <v>1.2705550561743293</v>
      </c>
      <c r="N422" s="11">
        <v>0.83981693363844401</v>
      </c>
      <c r="O422" s="11">
        <v>0.50252342313311504</v>
      </c>
      <c r="P422" s="11">
        <v>0.14695945945945901</v>
      </c>
      <c r="Q422" s="11">
        <v>0</v>
      </c>
      <c r="R422" s="11">
        <v>0.18023255813953501</v>
      </c>
      <c r="S422" s="10" t="s">
        <v>84</v>
      </c>
      <c r="T422" s="10" t="s">
        <v>84</v>
      </c>
      <c r="U422" s="10"/>
      <c r="V422" s="10"/>
      <c r="W422" s="10"/>
      <c r="X422" s="10"/>
      <c r="Y422" s="10"/>
      <c r="Z422" s="10"/>
      <c r="AA422" s="10"/>
    </row>
    <row r="423" spans="1:27" ht="12.5" x14ac:dyDescent="0.25">
      <c r="A423" s="10" t="s">
        <v>36</v>
      </c>
      <c r="B423" s="10" t="s">
        <v>1181</v>
      </c>
      <c r="C423" s="10" t="s">
        <v>76</v>
      </c>
      <c r="D423" s="11">
        <v>2024</v>
      </c>
      <c r="E423" s="10" t="s">
        <v>81</v>
      </c>
      <c r="F423" s="10" t="s">
        <v>83</v>
      </c>
      <c r="G423" s="10" t="s">
        <v>84</v>
      </c>
      <c r="H423" s="12">
        <v>21613.583333333299</v>
      </c>
      <c r="I423" s="11">
        <v>272</v>
      </c>
      <c r="J423" s="11">
        <v>58</v>
      </c>
      <c r="K423" s="11">
        <v>36974</v>
      </c>
      <c r="L423" s="11">
        <v>1.2584678616456501E-2</v>
      </c>
      <c r="M423" s="11">
        <v>1.2584678616456493</v>
      </c>
      <c r="N423" s="11">
        <v>0.213235294117647</v>
      </c>
      <c r="O423" s="11">
        <v>1.71068348222376</v>
      </c>
      <c r="P423" s="11">
        <v>0.14527027027027001</v>
      </c>
      <c r="Q423" s="11">
        <v>6.3829787234042507E-2</v>
      </c>
      <c r="R423" s="11">
        <v>0.178294573643411</v>
      </c>
      <c r="S423" s="10" t="s">
        <v>84</v>
      </c>
      <c r="T423" s="10" t="s">
        <v>84</v>
      </c>
      <c r="U423" s="10"/>
      <c r="V423" s="10"/>
      <c r="W423" s="10"/>
      <c r="X423" s="10"/>
      <c r="Y423" s="10"/>
      <c r="Z423" s="10"/>
      <c r="AA423" s="10"/>
    </row>
    <row r="424" spans="1:27" ht="12.5" x14ac:dyDescent="0.25">
      <c r="A424" s="10" t="s">
        <v>110</v>
      </c>
      <c r="B424" s="10" t="s">
        <v>1183</v>
      </c>
      <c r="C424" s="10" t="s">
        <v>76</v>
      </c>
      <c r="D424" s="11">
        <v>2024</v>
      </c>
      <c r="E424" s="10" t="s">
        <v>81</v>
      </c>
      <c r="F424" s="10" t="s">
        <v>83</v>
      </c>
      <c r="G424" s="10" t="s">
        <v>84</v>
      </c>
      <c r="H424" s="12">
        <v>13307.166666666701</v>
      </c>
      <c r="I424" s="11">
        <v>167</v>
      </c>
      <c r="J424" s="11">
        <v>122</v>
      </c>
      <c r="K424" s="11">
        <v>2467</v>
      </c>
      <c r="L424" s="11">
        <v>1.2549628646218201E-2</v>
      </c>
      <c r="M424" s="11">
        <v>1.2549628646218172</v>
      </c>
      <c r="N424" s="11">
        <v>0.73053892215568905</v>
      </c>
      <c r="O424" s="11">
        <v>0.18538882557018099</v>
      </c>
      <c r="P424" s="11">
        <v>0.143581081081081</v>
      </c>
      <c r="Q424" s="11">
        <v>0.30303030303030298</v>
      </c>
      <c r="R424" s="11">
        <v>0.176356589147287</v>
      </c>
      <c r="S424" s="10" t="s">
        <v>84</v>
      </c>
      <c r="T424" s="10" t="s">
        <v>84</v>
      </c>
      <c r="U424" s="10"/>
      <c r="V424" s="10"/>
      <c r="W424" s="10"/>
      <c r="X424" s="10"/>
      <c r="Y424" s="10"/>
      <c r="Z424" s="10"/>
      <c r="AA424" s="10"/>
    </row>
    <row r="425" spans="1:27" ht="12.5" x14ac:dyDescent="0.25">
      <c r="A425" s="10" t="s">
        <v>53</v>
      </c>
      <c r="B425" s="10" t="s">
        <v>1185</v>
      </c>
      <c r="C425" s="10" t="s">
        <v>76</v>
      </c>
      <c r="D425" s="11">
        <v>2024</v>
      </c>
      <c r="E425" s="10" t="s">
        <v>81</v>
      </c>
      <c r="F425" s="10" t="s">
        <v>83</v>
      </c>
      <c r="G425" s="10" t="s">
        <v>84</v>
      </c>
      <c r="H425" s="12">
        <v>29414.583333333299</v>
      </c>
      <c r="I425" s="11">
        <v>368</v>
      </c>
      <c r="J425" s="11">
        <v>275</v>
      </c>
      <c r="K425" s="11">
        <v>4780</v>
      </c>
      <c r="L425" s="11">
        <v>1.2510801048232901E-2</v>
      </c>
      <c r="M425" s="11">
        <v>1.2510801048232891</v>
      </c>
      <c r="N425" s="11">
        <v>0.747282608695652</v>
      </c>
      <c r="O425" s="11">
        <v>0.16250442665911199</v>
      </c>
      <c r="P425" s="11">
        <v>0.141891891891892</v>
      </c>
      <c r="Q425" s="11">
        <v>0.6</v>
      </c>
      <c r="R425" s="11">
        <v>0.17441860465116299</v>
      </c>
      <c r="S425" s="10" t="s">
        <v>84</v>
      </c>
      <c r="T425" s="10" t="s">
        <v>84</v>
      </c>
      <c r="U425" s="10"/>
      <c r="V425" s="10"/>
      <c r="W425" s="10"/>
      <c r="X425" s="10"/>
      <c r="Y425" s="10"/>
      <c r="Z425" s="10"/>
      <c r="AA425" s="10"/>
    </row>
    <row r="426" spans="1:27" ht="12.5" x14ac:dyDescent="0.25">
      <c r="A426" s="10" t="s">
        <v>42</v>
      </c>
      <c r="B426" s="10" t="s">
        <v>1187</v>
      </c>
      <c r="C426" s="10" t="s">
        <v>76</v>
      </c>
      <c r="D426" s="11">
        <v>2024</v>
      </c>
      <c r="E426" s="10" t="s">
        <v>81</v>
      </c>
      <c r="F426" s="10" t="s">
        <v>83</v>
      </c>
      <c r="G426" s="10" t="s">
        <v>84</v>
      </c>
      <c r="H426" s="12">
        <v>13377.166666666701</v>
      </c>
      <c r="I426" s="11">
        <v>167</v>
      </c>
      <c r="J426" s="11">
        <v>121</v>
      </c>
      <c r="K426" s="11">
        <v>1562</v>
      </c>
      <c r="L426" s="11">
        <v>1.24839589848373E-2</v>
      </c>
      <c r="M426" s="11">
        <v>1.2483958984837316</v>
      </c>
      <c r="N426" s="11">
        <v>0.72455089820359297</v>
      </c>
      <c r="O426" s="11">
        <v>0.116766131343209</v>
      </c>
      <c r="P426" s="11">
        <v>0.14104729729729701</v>
      </c>
      <c r="Q426" s="11">
        <v>2.3809523809523801E-2</v>
      </c>
      <c r="R426" s="11">
        <v>0.17248062015503901</v>
      </c>
      <c r="S426" s="10" t="s">
        <v>84</v>
      </c>
      <c r="T426" s="10" t="s">
        <v>84</v>
      </c>
      <c r="U426" s="10"/>
      <c r="V426" s="10"/>
      <c r="W426" s="10"/>
      <c r="X426" s="10"/>
      <c r="Y426" s="10"/>
      <c r="Z426" s="10"/>
      <c r="AA426" s="10"/>
    </row>
    <row r="427" spans="1:27" ht="12.5" x14ac:dyDescent="0.25">
      <c r="A427" s="10" t="s">
        <v>29</v>
      </c>
      <c r="B427" s="10" t="s">
        <v>1190</v>
      </c>
      <c r="C427" s="10" t="s">
        <v>76</v>
      </c>
      <c r="D427" s="11">
        <v>2024</v>
      </c>
      <c r="E427" s="10" t="s">
        <v>81</v>
      </c>
      <c r="F427" s="10" t="s">
        <v>83</v>
      </c>
      <c r="G427" s="10" t="s">
        <v>84</v>
      </c>
      <c r="H427" s="12">
        <v>45299.583333333299</v>
      </c>
      <c r="I427" s="11">
        <v>553</v>
      </c>
      <c r="J427" s="11">
        <v>195</v>
      </c>
      <c r="K427" s="11">
        <v>6121</v>
      </c>
      <c r="L427" s="11">
        <v>1.22076178036958E-2</v>
      </c>
      <c r="M427" s="11">
        <v>1.2207617803695776</v>
      </c>
      <c r="N427" s="11">
        <v>0.35262206148282099</v>
      </c>
      <c r="O427" s="11">
        <v>0.13512265565356599</v>
      </c>
      <c r="P427" s="11">
        <v>0.139358108108108</v>
      </c>
      <c r="Q427" s="11">
        <v>4.08163265306122E-2</v>
      </c>
      <c r="R427" s="11">
        <v>0.170542635658915</v>
      </c>
      <c r="S427" s="10" t="s">
        <v>84</v>
      </c>
      <c r="T427" s="10" t="s">
        <v>84</v>
      </c>
      <c r="U427" s="10"/>
      <c r="V427" s="10"/>
      <c r="W427" s="10"/>
      <c r="X427" s="10"/>
      <c r="Y427" s="10"/>
      <c r="Z427" s="10"/>
      <c r="AA427" s="10"/>
    </row>
    <row r="428" spans="1:27" ht="12.5" x14ac:dyDescent="0.25">
      <c r="A428" s="10" t="s">
        <v>52</v>
      </c>
      <c r="B428" s="10" t="s">
        <v>1192</v>
      </c>
      <c r="C428" s="10" t="s">
        <v>76</v>
      </c>
      <c r="D428" s="11">
        <v>2024</v>
      </c>
      <c r="E428" s="10" t="s">
        <v>81</v>
      </c>
      <c r="F428" s="10" t="s">
        <v>83</v>
      </c>
      <c r="G428" s="10" t="s">
        <v>84</v>
      </c>
      <c r="H428" s="12">
        <v>8884.75</v>
      </c>
      <c r="I428" s="11">
        <v>108</v>
      </c>
      <c r="J428" s="11">
        <v>91</v>
      </c>
      <c r="K428" s="11">
        <v>2311</v>
      </c>
      <c r="L428" s="11">
        <v>1.2155659979177801E-2</v>
      </c>
      <c r="M428" s="11">
        <v>1.2155659979177804</v>
      </c>
      <c r="N428" s="11">
        <v>0.842592592592593</v>
      </c>
      <c r="O428" s="11">
        <v>0.26010861307296201</v>
      </c>
      <c r="P428" s="11">
        <v>0.13851351351351401</v>
      </c>
      <c r="Q428" s="11">
        <v>2.1276595744680899E-2</v>
      </c>
      <c r="R428" s="11">
        <v>0.168604651162791</v>
      </c>
      <c r="S428" s="10" t="s">
        <v>84</v>
      </c>
      <c r="T428" s="10" t="s">
        <v>84</v>
      </c>
      <c r="U428" s="10"/>
      <c r="V428" s="10"/>
      <c r="W428" s="10"/>
      <c r="X428" s="10"/>
      <c r="Y428" s="10"/>
      <c r="Z428" s="10"/>
      <c r="AA428" s="10"/>
    </row>
    <row r="429" spans="1:27" ht="12.5" x14ac:dyDescent="0.25">
      <c r="A429" s="10" t="s">
        <v>36</v>
      </c>
      <c r="B429" s="10" t="s">
        <v>1196</v>
      </c>
      <c r="C429" s="10" t="s">
        <v>76</v>
      </c>
      <c r="D429" s="11">
        <v>2024</v>
      </c>
      <c r="E429" s="10" t="s">
        <v>81</v>
      </c>
      <c r="F429" s="10" t="s">
        <v>83</v>
      </c>
      <c r="G429" s="10" t="s">
        <v>84</v>
      </c>
      <c r="H429" s="12">
        <v>30136.083333333299</v>
      </c>
      <c r="I429" s="11">
        <v>366</v>
      </c>
      <c r="J429" s="11">
        <v>84</v>
      </c>
      <c r="K429" s="11">
        <v>49810</v>
      </c>
      <c r="L429" s="11">
        <v>1.2144909341791301E-2</v>
      </c>
      <c r="M429" s="11">
        <v>1.2144909341791277</v>
      </c>
      <c r="N429" s="11">
        <v>0.22950819672131101</v>
      </c>
      <c r="O429" s="11">
        <v>1.6528358861055299</v>
      </c>
      <c r="P429" s="11">
        <v>0.137668918918919</v>
      </c>
      <c r="Q429" s="11">
        <v>4.2553191489361701E-2</v>
      </c>
      <c r="R429" s="11">
        <v>0.16666666666666699</v>
      </c>
      <c r="S429" s="10" t="s">
        <v>84</v>
      </c>
      <c r="T429" s="10" t="s">
        <v>84</v>
      </c>
      <c r="U429" s="10"/>
      <c r="V429" s="10"/>
      <c r="W429" s="10"/>
      <c r="X429" s="10"/>
      <c r="Y429" s="10"/>
      <c r="Z429" s="10"/>
      <c r="AA429" s="10"/>
    </row>
    <row r="430" spans="1:27" ht="12.5" x14ac:dyDescent="0.25">
      <c r="A430" s="10" t="s">
        <v>12</v>
      </c>
      <c r="B430" s="10" t="s">
        <v>1198</v>
      </c>
      <c r="C430" s="10" t="s">
        <v>76</v>
      </c>
      <c r="D430" s="11">
        <v>2024</v>
      </c>
      <c r="E430" s="10" t="s">
        <v>81</v>
      </c>
      <c r="F430" s="10" t="s">
        <v>83</v>
      </c>
      <c r="G430" s="10" t="s">
        <v>84</v>
      </c>
      <c r="H430" s="12">
        <v>55057.083333333299</v>
      </c>
      <c r="I430" s="11">
        <v>640</v>
      </c>
      <c r="J430" s="11">
        <v>144</v>
      </c>
      <c r="K430" s="11">
        <v>138146</v>
      </c>
      <c r="L430" s="11">
        <v>1.1624299022983699E-2</v>
      </c>
      <c r="M430" s="11">
        <v>1.1624299022983728</v>
      </c>
      <c r="N430" s="11">
        <v>0.22500000000000001</v>
      </c>
      <c r="O430" s="11">
        <v>2.5091412700454798</v>
      </c>
      <c r="P430" s="11">
        <v>0.133445945945946</v>
      </c>
      <c r="Q430" s="11">
        <v>9.7222222222222196E-2</v>
      </c>
      <c r="R430" s="11">
        <v>0.16472868217054301</v>
      </c>
      <c r="S430" s="10" t="s">
        <v>84</v>
      </c>
      <c r="T430" s="10" t="s">
        <v>84</v>
      </c>
      <c r="U430" s="10"/>
      <c r="V430" s="10"/>
      <c r="W430" s="10"/>
      <c r="X430" s="10"/>
      <c r="Y430" s="10"/>
      <c r="Z430" s="10"/>
      <c r="AA430" s="10"/>
    </row>
    <row r="431" spans="1:27" ht="12.5" x14ac:dyDescent="0.25">
      <c r="A431" s="10" t="s">
        <v>49</v>
      </c>
      <c r="B431" s="10" t="s">
        <v>1201</v>
      </c>
      <c r="C431" s="10" t="s">
        <v>76</v>
      </c>
      <c r="D431" s="11">
        <v>2024</v>
      </c>
      <c r="E431" s="10" t="s">
        <v>81</v>
      </c>
      <c r="F431" s="10" t="s">
        <v>83</v>
      </c>
      <c r="G431" s="10" t="s">
        <v>84</v>
      </c>
      <c r="H431" s="12">
        <v>35259.916666666701</v>
      </c>
      <c r="I431" s="11">
        <v>402</v>
      </c>
      <c r="J431" s="11">
        <v>330</v>
      </c>
      <c r="K431" s="11">
        <v>6561</v>
      </c>
      <c r="L431" s="11">
        <v>1.1401047932142E-2</v>
      </c>
      <c r="M431" s="11">
        <v>1.140104793214201</v>
      </c>
      <c r="N431" s="11">
        <v>0.82089552238805996</v>
      </c>
      <c r="O431" s="11">
        <v>0.18607531214622799</v>
      </c>
      <c r="P431" s="11">
        <v>0.13175675675675699</v>
      </c>
      <c r="Q431" s="11">
        <v>0.15384615384615399</v>
      </c>
      <c r="R431" s="11">
        <v>0.162790697674419</v>
      </c>
      <c r="S431" s="10" t="s">
        <v>84</v>
      </c>
      <c r="T431" s="10" t="s">
        <v>84</v>
      </c>
      <c r="U431" s="10"/>
      <c r="V431" s="10"/>
      <c r="W431" s="10"/>
      <c r="X431" s="10"/>
      <c r="Y431" s="10"/>
      <c r="Z431" s="10"/>
      <c r="AA431" s="10"/>
    </row>
    <row r="432" spans="1:27" ht="12.5" x14ac:dyDescent="0.25">
      <c r="A432" s="10" t="s">
        <v>34</v>
      </c>
      <c r="B432" s="10" t="s">
        <v>1203</v>
      </c>
      <c r="C432" s="10" t="s">
        <v>76</v>
      </c>
      <c r="D432" s="11">
        <v>2024</v>
      </c>
      <c r="E432" s="10" t="s">
        <v>81</v>
      </c>
      <c r="F432" s="10" t="s">
        <v>83</v>
      </c>
      <c r="G432" s="10" t="s">
        <v>84</v>
      </c>
      <c r="H432" s="12">
        <v>4292.75</v>
      </c>
      <c r="I432" s="11">
        <v>48</v>
      </c>
      <c r="J432" s="11">
        <v>40</v>
      </c>
      <c r="K432" s="11">
        <v>1119</v>
      </c>
      <c r="L432" s="11">
        <v>1.1181643468639001E-2</v>
      </c>
      <c r="M432" s="11">
        <v>1.1181643468638984</v>
      </c>
      <c r="N432" s="11">
        <v>0.83333333333333304</v>
      </c>
      <c r="O432" s="11">
        <v>0.26067206336264598</v>
      </c>
      <c r="P432" s="11">
        <v>0.12837837837837801</v>
      </c>
      <c r="Q432" s="11">
        <v>0.26530612244898</v>
      </c>
      <c r="R432" s="11">
        <v>0.160852713178295</v>
      </c>
      <c r="S432" s="10" t="s">
        <v>84</v>
      </c>
      <c r="T432" s="10" t="s">
        <v>84</v>
      </c>
      <c r="U432" s="10"/>
      <c r="V432" s="10"/>
      <c r="W432" s="10"/>
      <c r="X432" s="10"/>
      <c r="Y432" s="10"/>
      <c r="Z432" s="10"/>
      <c r="AA432" s="10"/>
    </row>
    <row r="433" spans="1:27" ht="12.5" x14ac:dyDescent="0.25">
      <c r="A433" s="10" t="s">
        <v>80</v>
      </c>
      <c r="B433" s="10" t="s">
        <v>1206</v>
      </c>
      <c r="C433" s="10" t="s">
        <v>76</v>
      </c>
      <c r="D433" s="11">
        <v>2024</v>
      </c>
      <c r="E433" s="10" t="s">
        <v>81</v>
      </c>
      <c r="F433" s="10" t="s">
        <v>83</v>
      </c>
      <c r="G433" s="10" t="s">
        <v>84</v>
      </c>
      <c r="H433" s="12">
        <v>7503.1666666666697</v>
      </c>
      <c r="I433" s="11">
        <v>82</v>
      </c>
      <c r="J433" s="11">
        <v>80</v>
      </c>
      <c r="K433" s="11">
        <v>4883</v>
      </c>
      <c r="L433" s="11">
        <v>1.09287189853173E-2</v>
      </c>
      <c r="M433" s="11">
        <v>1.0928718985317305</v>
      </c>
      <c r="N433" s="11">
        <v>0.97560975609756095</v>
      </c>
      <c r="O433" s="11">
        <v>0.65079188786956599</v>
      </c>
      <c r="P433" s="11">
        <v>0.12584459459459499</v>
      </c>
      <c r="Q433" s="11">
        <v>0.2</v>
      </c>
      <c r="R433" s="11">
        <v>0.15891472868217099</v>
      </c>
      <c r="S433" s="10" t="s">
        <v>84</v>
      </c>
      <c r="T433" s="10" t="s">
        <v>84</v>
      </c>
      <c r="U433" s="10"/>
      <c r="V433" s="10"/>
      <c r="W433" s="10"/>
      <c r="X433" s="10"/>
      <c r="Y433" s="10"/>
      <c r="Z433" s="10"/>
      <c r="AA433" s="10"/>
    </row>
    <row r="434" spans="1:27" ht="12.5" x14ac:dyDescent="0.25">
      <c r="A434" s="10" t="s">
        <v>53</v>
      </c>
      <c r="B434" s="10" t="s">
        <v>1208</v>
      </c>
      <c r="C434" s="10" t="s">
        <v>76</v>
      </c>
      <c r="D434" s="11">
        <v>2024</v>
      </c>
      <c r="E434" s="10" t="s">
        <v>81</v>
      </c>
      <c r="F434" s="10" t="s">
        <v>83</v>
      </c>
      <c r="G434" s="10" t="s">
        <v>84</v>
      </c>
      <c r="H434" s="12">
        <v>18908.916666666701</v>
      </c>
      <c r="I434" s="11">
        <v>200</v>
      </c>
      <c r="J434" s="11">
        <v>159</v>
      </c>
      <c r="K434" s="11">
        <v>2261</v>
      </c>
      <c r="L434" s="11">
        <v>1.05770205414553E-2</v>
      </c>
      <c r="M434" s="11">
        <v>1.0577020541455291</v>
      </c>
      <c r="N434" s="11">
        <v>0.79500000000000004</v>
      </c>
      <c r="O434" s="11">
        <v>0.119573217221152</v>
      </c>
      <c r="P434" s="11">
        <v>0.124155405405405</v>
      </c>
      <c r="Q434" s="11">
        <v>0.55000000000000004</v>
      </c>
      <c r="R434" s="11">
        <v>0.15697674418604701</v>
      </c>
      <c r="S434" s="10" t="s">
        <v>84</v>
      </c>
      <c r="T434" s="10" t="s">
        <v>84</v>
      </c>
      <c r="U434" s="10"/>
      <c r="V434" s="10"/>
      <c r="W434" s="10"/>
      <c r="X434" s="10"/>
      <c r="Y434" s="10"/>
      <c r="Z434" s="10"/>
      <c r="AA434" s="10"/>
    </row>
    <row r="435" spans="1:27" ht="12.5" x14ac:dyDescent="0.25">
      <c r="A435" s="10" t="s">
        <v>96</v>
      </c>
      <c r="B435" s="10" t="s">
        <v>1211</v>
      </c>
      <c r="C435" s="10" t="s">
        <v>76</v>
      </c>
      <c r="D435" s="11">
        <v>2024</v>
      </c>
      <c r="E435" s="10" t="s">
        <v>81</v>
      </c>
      <c r="F435" s="10" t="s">
        <v>83</v>
      </c>
      <c r="G435" s="10" t="s">
        <v>84</v>
      </c>
      <c r="H435" s="12">
        <v>18167.583333333299</v>
      </c>
      <c r="I435" s="11">
        <v>191</v>
      </c>
      <c r="J435" s="11">
        <v>119</v>
      </c>
      <c r="K435" s="11">
        <v>4351</v>
      </c>
      <c r="L435" s="11">
        <v>1.05132309837577E-2</v>
      </c>
      <c r="M435" s="11">
        <v>1.051323098375772</v>
      </c>
      <c r="N435" s="11">
        <v>0.62303664921465995</v>
      </c>
      <c r="O435" s="11">
        <v>0.23949250267188399</v>
      </c>
      <c r="P435" s="11">
        <v>0.12331081081081099</v>
      </c>
      <c r="Q435" s="11">
        <v>0.11764705882352899</v>
      </c>
      <c r="R435" s="11">
        <v>0.15503875968992201</v>
      </c>
      <c r="S435" s="10" t="s">
        <v>84</v>
      </c>
      <c r="T435" s="10" t="s">
        <v>84</v>
      </c>
      <c r="U435" s="10"/>
      <c r="V435" s="10"/>
      <c r="W435" s="10"/>
      <c r="X435" s="10"/>
      <c r="Y435" s="10"/>
      <c r="Z435" s="10"/>
      <c r="AA435" s="10"/>
    </row>
    <row r="436" spans="1:27" ht="12.5" x14ac:dyDescent="0.25">
      <c r="A436" s="10" t="s">
        <v>12</v>
      </c>
      <c r="B436" s="10" t="s">
        <v>1214</v>
      </c>
      <c r="C436" s="10" t="s">
        <v>76</v>
      </c>
      <c r="D436" s="11">
        <v>2024</v>
      </c>
      <c r="E436" s="10" t="s">
        <v>81</v>
      </c>
      <c r="F436" s="10" t="s">
        <v>83</v>
      </c>
      <c r="G436" s="10" t="s">
        <v>84</v>
      </c>
      <c r="H436" s="12">
        <v>6292.6666666666697</v>
      </c>
      <c r="I436" s="11">
        <v>66</v>
      </c>
      <c r="J436" s="11">
        <v>22</v>
      </c>
      <c r="K436" s="11">
        <v>10566</v>
      </c>
      <c r="L436" s="11">
        <v>1.048839919483E-2</v>
      </c>
      <c r="M436" s="11">
        <v>1.0488399194829956</v>
      </c>
      <c r="N436" s="11">
        <v>0.33333333333333298</v>
      </c>
      <c r="O436" s="11">
        <v>1.67909736200869</v>
      </c>
      <c r="P436" s="11">
        <v>0.12246621621621601</v>
      </c>
      <c r="Q436" s="11">
        <v>8.3333333333333301E-2</v>
      </c>
      <c r="R436" s="11">
        <v>0.153100775193798</v>
      </c>
      <c r="S436" s="10" t="s">
        <v>84</v>
      </c>
      <c r="T436" s="10" t="s">
        <v>84</v>
      </c>
      <c r="U436" s="10"/>
      <c r="V436" s="10"/>
      <c r="W436" s="10"/>
      <c r="X436" s="10"/>
      <c r="Y436" s="10"/>
      <c r="Z436" s="10"/>
      <c r="AA436" s="10"/>
    </row>
    <row r="437" spans="1:27" ht="12.5" x14ac:dyDescent="0.25">
      <c r="A437" s="10" t="s">
        <v>10</v>
      </c>
      <c r="B437" s="10" t="s">
        <v>1216</v>
      </c>
      <c r="C437" s="10" t="s">
        <v>76</v>
      </c>
      <c r="D437" s="11">
        <v>2024</v>
      </c>
      <c r="E437" s="10" t="s">
        <v>81</v>
      </c>
      <c r="F437" s="10" t="s">
        <v>83</v>
      </c>
      <c r="G437" s="10" t="s">
        <v>84</v>
      </c>
      <c r="H437" s="12">
        <v>15081.416666666701</v>
      </c>
      <c r="I437" s="11">
        <v>158</v>
      </c>
      <c r="J437" s="11">
        <v>122</v>
      </c>
      <c r="K437" s="11">
        <v>26990</v>
      </c>
      <c r="L437" s="11">
        <v>1.0476469385612501E-2</v>
      </c>
      <c r="M437" s="11">
        <v>1.0476469385612512</v>
      </c>
      <c r="N437" s="11">
        <v>0.772151898734177</v>
      </c>
      <c r="O437" s="11">
        <v>1.78961967542837</v>
      </c>
      <c r="P437" s="11">
        <v>0.121621621621622</v>
      </c>
      <c r="Q437" s="11">
        <v>0.16666666666666699</v>
      </c>
      <c r="R437" s="11">
        <v>0.15116279069767399</v>
      </c>
      <c r="S437" s="10" t="s">
        <v>84</v>
      </c>
      <c r="T437" s="10" t="s">
        <v>84</v>
      </c>
      <c r="U437" s="10"/>
      <c r="V437" s="10"/>
      <c r="W437" s="10"/>
      <c r="X437" s="10"/>
      <c r="Y437" s="10"/>
      <c r="Z437" s="10"/>
      <c r="AA437" s="10"/>
    </row>
    <row r="438" spans="1:27" ht="12.5" x14ac:dyDescent="0.25">
      <c r="A438" s="10" t="s">
        <v>77</v>
      </c>
      <c r="B438" s="10" t="s">
        <v>1218</v>
      </c>
      <c r="C438" s="10" t="s">
        <v>76</v>
      </c>
      <c r="D438" s="11">
        <v>2024</v>
      </c>
      <c r="E438" s="10" t="s">
        <v>81</v>
      </c>
      <c r="F438" s="10" t="s">
        <v>83</v>
      </c>
      <c r="G438" s="10" t="s">
        <v>84</v>
      </c>
      <c r="H438" s="12">
        <v>13643.583333333299</v>
      </c>
      <c r="I438" s="11">
        <v>140</v>
      </c>
      <c r="J438" s="11">
        <v>122</v>
      </c>
      <c r="K438" s="11">
        <v>6515</v>
      </c>
      <c r="L438" s="11">
        <v>1.02612339133781E-2</v>
      </c>
      <c r="M438" s="11">
        <v>1.0261233913378109</v>
      </c>
      <c r="N438" s="11">
        <v>0.871428571428571</v>
      </c>
      <c r="O438" s="11">
        <v>0.47751384961184401</v>
      </c>
      <c r="P438" s="11">
        <v>0.119932432432432</v>
      </c>
      <c r="Q438" s="11">
        <v>7.1428571428571397E-2</v>
      </c>
      <c r="R438" s="11">
        <v>0.14922480620154999</v>
      </c>
      <c r="S438" s="10" t="s">
        <v>84</v>
      </c>
      <c r="T438" s="10" t="s">
        <v>84</v>
      </c>
      <c r="U438" s="10"/>
      <c r="V438" s="10"/>
      <c r="W438" s="10"/>
      <c r="X438" s="10"/>
      <c r="Y438" s="10"/>
      <c r="Z438" s="10"/>
      <c r="AA438" s="10"/>
    </row>
    <row r="439" spans="1:27" ht="12.5" x14ac:dyDescent="0.25">
      <c r="A439" s="10" t="s">
        <v>29</v>
      </c>
      <c r="B439" s="10" t="s">
        <v>1171</v>
      </c>
      <c r="C439" s="10" t="s">
        <v>76</v>
      </c>
      <c r="D439" s="11">
        <v>2024</v>
      </c>
      <c r="E439" s="10" t="s">
        <v>81</v>
      </c>
      <c r="F439" s="10" t="s">
        <v>83</v>
      </c>
      <c r="G439" s="10" t="s">
        <v>84</v>
      </c>
      <c r="H439" s="12">
        <v>996.83333333333303</v>
      </c>
      <c r="I439" s="11">
        <v>10</v>
      </c>
      <c r="J439" s="11">
        <v>3</v>
      </c>
      <c r="K439" s="11">
        <v>214</v>
      </c>
      <c r="L439" s="11">
        <v>1.0031767262999499E-2</v>
      </c>
      <c r="M439" s="11">
        <v>1.00317672629995</v>
      </c>
      <c r="N439" s="11">
        <v>0.3</v>
      </c>
      <c r="O439" s="11">
        <v>0.21467981942818901</v>
      </c>
      <c r="P439" s="11">
        <v>0.117398648648649</v>
      </c>
      <c r="Q439" s="11">
        <v>2.04081632653061E-2</v>
      </c>
      <c r="R439" s="11">
        <v>0.14728682170542601</v>
      </c>
      <c r="S439" s="10" t="s">
        <v>84</v>
      </c>
      <c r="T439" s="10" t="s">
        <v>84</v>
      </c>
      <c r="U439" s="10"/>
      <c r="V439" s="10"/>
      <c r="W439" s="10"/>
      <c r="X439" s="10"/>
      <c r="Y439" s="10"/>
      <c r="Z439" s="10"/>
      <c r="AA439" s="10"/>
    </row>
    <row r="440" spans="1:27" ht="12.5" x14ac:dyDescent="0.25">
      <c r="A440" s="10" t="s">
        <v>22</v>
      </c>
      <c r="B440" s="10" t="s">
        <v>1062</v>
      </c>
      <c r="C440" s="10" t="s">
        <v>76</v>
      </c>
      <c r="D440" s="11">
        <v>2024</v>
      </c>
      <c r="E440" s="10" t="s">
        <v>81</v>
      </c>
      <c r="F440" s="10" t="s">
        <v>83</v>
      </c>
      <c r="G440" s="10" t="s">
        <v>84</v>
      </c>
      <c r="H440" s="12">
        <v>4541.4166666666697</v>
      </c>
      <c r="I440" s="11">
        <v>45</v>
      </c>
      <c r="J440" s="11">
        <v>38</v>
      </c>
      <c r="K440" s="11">
        <v>2611</v>
      </c>
      <c r="L440" s="11">
        <v>9.9088023193937298E-3</v>
      </c>
      <c r="M440" s="11">
        <v>0.99088023193937214</v>
      </c>
      <c r="N440" s="11">
        <v>0.844444444444444</v>
      </c>
      <c r="O440" s="11">
        <v>0.57493073013193396</v>
      </c>
      <c r="P440" s="11">
        <v>0.116554054054054</v>
      </c>
      <c r="Q440" s="11">
        <v>0</v>
      </c>
      <c r="R440" s="11">
        <v>0.145348837209302</v>
      </c>
      <c r="S440" s="10" t="s">
        <v>84</v>
      </c>
      <c r="T440" s="10" t="s">
        <v>84</v>
      </c>
      <c r="U440" s="10"/>
      <c r="V440" s="10"/>
      <c r="W440" s="10"/>
      <c r="X440" s="10"/>
      <c r="Y440" s="10"/>
      <c r="Z440" s="10"/>
      <c r="AA440" s="10"/>
    </row>
    <row r="441" spans="1:27" ht="12.5" x14ac:dyDescent="0.25">
      <c r="A441" s="10" t="s">
        <v>72</v>
      </c>
      <c r="B441" s="10" t="s">
        <v>1221</v>
      </c>
      <c r="C441" s="10" t="s">
        <v>76</v>
      </c>
      <c r="D441" s="11">
        <v>2024</v>
      </c>
      <c r="E441" s="10" t="s">
        <v>81</v>
      </c>
      <c r="F441" s="10" t="s">
        <v>83</v>
      </c>
      <c r="G441" s="10" t="s">
        <v>84</v>
      </c>
      <c r="H441" s="12">
        <v>64385.416666666701</v>
      </c>
      <c r="I441" s="11">
        <v>629</v>
      </c>
      <c r="J441" s="11">
        <v>375</v>
      </c>
      <c r="K441" s="11">
        <v>19197</v>
      </c>
      <c r="L441" s="11">
        <v>9.7692929946610607E-3</v>
      </c>
      <c r="M441" s="11">
        <v>0.97692929946610541</v>
      </c>
      <c r="N441" s="11">
        <v>0.59618441971383196</v>
      </c>
      <c r="O441" s="11">
        <v>0.298157579679663</v>
      </c>
      <c r="P441" s="11">
        <v>0.11402027027026999</v>
      </c>
      <c r="Q441" s="11">
        <v>0.2</v>
      </c>
      <c r="R441" s="11">
        <v>0.14341085271317799</v>
      </c>
      <c r="S441" s="10" t="s">
        <v>84</v>
      </c>
      <c r="T441" s="10" t="s">
        <v>84</v>
      </c>
      <c r="U441" s="10"/>
      <c r="V441" s="10"/>
      <c r="W441" s="10"/>
      <c r="X441" s="10"/>
      <c r="Y441" s="10"/>
      <c r="Z441" s="10"/>
      <c r="AA441" s="10"/>
    </row>
    <row r="442" spans="1:27" ht="12.5" x14ac:dyDescent="0.25">
      <c r="A442" s="10" t="s">
        <v>12</v>
      </c>
      <c r="B442" s="10" t="s">
        <v>1223</v>
      </c>
      <c r="C442" s="10" t="s">
        <v>76</v>
      </c>
      <c r="D442" s="11">
        <v>2024</v>
      </c>
      <c r="E442" s="10" t="s">
        <v>81</v>
      </c>
      <c r="F442" s="10" t="s">
        <v>83</v>
      </c>
      <c r="G442" s="10" t="s">
        <v>84</v>
      </c>
      <c r="H442" s="12">
        <v>32725.5</v>
      </c>
      <c r="I442" s="11">
        <v>310</v>
      </c>
      <c r="J442" s="11">
        <v>5443</v>
      </c>
      <c r="K442" s="11">
        <v>31859</v>
      </c>
      <c r="L442" s="11">
        <v>9.4727353287191902E-3</v>
      </c>
      <c r="M442" s="11">
        <v>0.9472735328719194</v>
      </c>
      <c r="N442" s="11">
        <v>17.558064516129001</v>
      </c>
      <c r="O442" s="11">
        <v>0.97352217689569298</v>
      </c>
      <c r="P442" s="11">
        <v>0.10979729729729699</v>
      </c>
      <c r="Q442" s="11">
        <v>6.9444444444444406E-2</v>
      </c>
      <c r="R442" s="11">
        <v>0.14147286821705399</v>
      </c>
      <c r="S442" s="10" t="s">
        <v>84</v>
      </c>
      <c r="T442" s="10" t="s">
        <v>84</v>
      </c>
      <c r="U442" s="10"/>
      <c r="V442" s="10"/>
      <c r="W442" s="10"/>
      <c r="X442" s="10"/>
      <c r="Y442" s="10"/>
      <c r="Z442" s="10"/>
      <c r="AA442" s="10"/>
    </row>
    <row r="443" spans="1:27" ht="12.5" x14ac:dyDescent="0.25">
      <c r="A443" s="10" t="s">
        <v>12</v>
      </c>
      <c r="B443" s="10" t="s">
        <v>1226</v>
      </c>
      <c r="C443" s="10" t="s">
        <v>76</v>
      </c>
      <c r="D443" s="11">
        <v>2024</v>
      </c>
      <c r="E443" s="10" t="s">
        <v>81</v>
      </c>
      <c r="F443" s="10" t="s">
        <v>83</v>
      </c>
      <c r="G443" s="10" t="s">
        <v>84</v>
      </c>
      <c r="H443" s="12">
        <v>13157.083333333299</v>
      </c>
      <c r="I443" s="11">
        <v>120</v>
      </c>
      <c r="J443" s="11">
        <v>11</v>
      </c>
      <c r="K443" s="11">
        <v>8111</v>
      </c>
      <c r="L443" s="11">
        <v>9.1205624346834702E-3</v>
      </c>
      <c r="M443" s="11">
        <v>0.91205624346834968</v>
      </c>
      <c r="N443" s="11">
        <v>9.1666666666666702E-2</v>
      </c>
      <c r="O443" s="11">
        <v>0.61647401589764705</v>
      </c>
      <c r="P443" s="11">
        <v>0.106418918918919</v>
      </c>
      <c r="Q443" s="11">
        <v>5.5555555555555601E-2</v>
      </c>
      <c r="R443" s="11">
        <v>0.13953488372093001</v>
      </c>
      <c r="S443" s="10" t="s">
        <v>84</v>
      </c>
      <c r="T443" s="10" t="s">
        <v>84</v>
      </c>
      <c r="U443" s="10"/>
      <c r="V443" s="10"/>
      <c r="W443" s="10"/>
      <c r="X443" s="10"/>
      <c r="Y443" s="10"/>
      <c r="Z443" s="10"/>
      <c r="AA443" s="10"/>
    </row>
    <row r="444" spans="1:27" ht="12.5" x14ac:dyDescent="0.25">
      <c r="A444" s="10" t="s">
        <v>10</v>
      </c>
      <c r="B444" s="10" t="s">
        <v>1228</v>
      </c>
      <c r="C444" s="10" t="s">
        <v>76</v>
      </c>
      <c r="D444" s="11">
        <v>2024</v>
      </c>
      <c r="E444" s="10" t="s">
        <v>81</v>
      </c>
      <c r="F444" s="10" t="s">
        <v>125</v>
      </c>
      <c r="G444" s="10" t="s">
        <v>84</v>
      </c>
      <c r="H444" s="12">
        <v>11945</v>
      </c>
      <c r="I444" s="11">
        <v>108</v>
      </c>
      <c r="J444" s="11">
        <v>102</v>
      </c>
      <c r="K444" s="11">
        <v>4075</v>
      </c>
      <c r="L444" s="11">
        <v>9.0414399330263698E-3</v>
      </c>
      <c r="M444" s="11">
        <v>0.90414399330263717</v>
      </c>
      <c r="N444" s="11">
        <v>0.94444444444444398</v>
      </c>
      <c r="O444" s="11">
        <v>0.34114692339891201</v>
      </c>
      <c r="P444" s="11">
        <v>0.10472972972973001</v>
      </c>
      <c r="Q444" s="11">
        <v>0.133333333333333</v>
      </c>
      <c r="R444" s="11">
        <v>0.137596899224806</v>
      </c>
      <c r="S444" s="10" t="s">
        <v>84</v>
      </c>
      <c r="T444" s="10" t="s">
        <v>84</v>
      </c>
      <c r="U444" s="10"/>
      <c r="V444" s="10"/>
      <c r="W444" s="10"/>
      <c r="X444" s="10"/>
      <c r="Y444" s="10"/>
      <c r="Z444" s="10"/>
      <c r="AA444" s="10"/>
    </row>
    <row r="445" spans="1:27" ht="12.5" x14ac:dyDescent="0.25">
      <c r="A445" s="10" t="s">
        <v>77</v>
      </c>
      <c r="B445" s="10" t="s">
        <v>1231</v>
      </c>
      <c r="C445" s="10" t="s">
        <v>76</v>
      </c>
      <c r="D445" s="11">
        <v>2024</v>
      </c>
      <c r="E445" s="10" t="s">
        <v>81</v>
      </c>
      <c r="F445" s="10" t="s">
        <v>83</v>
      </c>
      <c r="G445" s="10" t="s">
        <v>84</v>
      </c>
      <c r="H445" s="12">
        <v>16303.166666666701</v>
      </c>
      <c r="I445" s="11">
        <v>147</v>
      </c>
      <c r="J445" s="11">
        <v>156</v>
      </c>
      <c r="K445" s="11">
        <v>1219</v>
      </c>
      <c r="L445" s="11">
        <v>9.0166532064322891E-3</v>
      </c>
      <c r="M445" s="11">
        <v>0.90166532064322702</v>
      </c>
      <c r="N445" s="11">
        <v>1.06122448979592</v>
      </c>
      <c r="O445" s="11">
        <v>7.4770750058782004E-2</v>
      </c>
      <c r="P445" s="11">
        <v>0.103885135135135</v>
      </c>
      <c r="Q445" s="11">
        <v>3.5714285714285698E-2</v>
      </c>
      <c r="R445" s="11">
        <v>0.135658914728682</v>
      </c>
      <c r="S445" s="10" t="s">
        <v>84</v>
      </c>
      <c r="T445" s="10" t="s">
        <v>84</v>
      </c>
      <c r="U445" s="10"/>
      <c r="V445" s="10"/>
      <c r="W445" s="10"/>
      <c r="X445" s="10"/>
      <c r="Y445" s="10"/>
      <c r="Z445" s="10"/>
      <c r="AA445" s="10"/>
    </row>
    <row r="446" spans="1:27" ht="12.5" x14ac:dyDescent="0.25">
      <c r="A446" s="10" t="s">
        <v>91</v>
      </c>
      <c r="B446" s="10" t="s">
        <v>1233</v>
      </c>
      <c r="C446" s="10" t="s">
        <v>76</v>
      </c>
      <c r="D446" s="11">
        <v>2024</v>
      </c>
      <c r="E446" s="10" t="s">
        <v>81</v>
      </c>
      <c r="F446" s="10" t="s">
        <v>83</v>
      </c>
      <c r="G446" s="10" t="s">
        <v>84</v>
      </c>
      <c r="H446" s="12">
        <v>20697.416666666701</v>
      </c>
      <c r="I446" s="11">
        <v>186</v>
      </c>
      <c r="J446" s="11">
        <v>166</v>
      </c>
      <c r="K446" s="11">
        <v>3278</v>
      </c>
      <c r="L446" s="11">
        <v>8.9866287660698395E-3</v>
      </c>
      <c r="M446" s="11">
        <v>0.89866287660698252</v>
      </c>
      <c r="N446" s="11">
        <v>0.89247311827956999</v>
      </c>
      <c r="O446" s="11">
        <v>0.158377253199876</v>
      </c>
      <c r="P446" s="11">
        <v>0.103040540540541</v>
      </c>
      <c r="Q446" s="11">
        <v>0.133333333333333</v>
      </c>
      <c r="R446" s="11">
        <v>0.13372093023255799</v>
      </c>
      <c r="S446" s="10" t="s">
        <v>84</v>
      </c>
      <c r="T446" s="10" t="s">
        <v>84</v>
      </c>
      <c r="U446" s="10"/>
      <c r="V446" s="10"/>
      <c r="W446" s="10"/>
      <c r="X446" s="10"/>
      <c r="Y446" s="10"/>
      <c r="Z446" s="10"/>
      <c r="AA446" s="10"/>
    </row>
    <row r="447" spans="1:27" ht="12.5" x14ac:dyDescent="0.25">
      <c r="A447" s="10" t="s">
        <v>104</v>
      </c>
      <c r="B447" s="10" t="s">
        <v>1234</v>
      </c>
      <c r="C447" s="10" t="s">
        <v>76</v>
      </c>
      <c r="D447" s="11">
        <v>2024</v>
      </c>
      <c r="E447" s="10" t="s">
        <v>81</v>
      </c>
      <c r="F447" s="10" t="s">
        <v>83</v>
      </c>
      <c r="G447" s="10" t="s">
        <v>84</v>
      </c>
      <c r="H447" s="12">
        <v>50010</v>
      </c>
      <c r="I447" s="11">
        <v>446</v>
      </c>
      <c r="J447" s="11">
        <v>309</v>
      </c>
      <c r="K447" s="11">
        <v>1957</v>
      </c>
      <c r="L447" s="11">
        <v>8.9182163567286497E-3</v>
      </c>
      <c r="M447" s="11">
        <v>0.89182163567286554</v>
      </c>
      <c r="N447" s="11">
        <v>0.69282511210762299</v>
      </c>
      <c r="O447" s="11">
        <v>3.91321735652869E-2</v>
      </c>
      <c r="P447" s="11">
        <v>0.102195945945946</v>
      </c>
      <c r="Q447" s="11">
        <v>6.8965517241379296E-2</v>
      </c>
      <c r="R447" s="11">
        <v>0.13178294573643401</v>
      </c>
      <c r="S447" s="10" t="s">
        <v>84</v>
      </c>
      <c r="T447" s="10" t="s">
        <v>84</v>
      </c>
      <c r="U447" s="10"/>
      <c r="V447" s="10"/>
      <c r="W447" s="10"/>
      <c r="X447" s="10"/>
      <c r="Y447" s="10"/>
      <c r="Z447" s="10"/>
      <c r="AA447" s="10"/>
    </row>
    <row r="448" spans="1:27" ht="12.5" x14ac:dyDescent="0.25">
      <c r="A448" s="10" t="s">
        <v>65</v>
      </c>
      <c r="B448" s="10" t="s">
        <v>1236</v>
      </c>
      <c r="C448" s="10" t="s">
        <v>76</v>
      </c>
      <c r="D448" s="11">
        <v>2024</v>
      </c>
      <c r="E448" s="10" t="s">
        <v>81</v>
      </c>
      <c r="F448" s="10" t="s">
        <v>83</v>
      </c>
      <c r="G448" s="10" t="s">
        <v>84</v>
      </c>
      <c r="H448" s="12">
        <v>1016.41666666667</v>
      </c>
      <c r="I448" s="11">
        <v>9</v>
      </c>
      <c r="J448" s="11">
        <v>7</v>
      </c>
      <c r="K448" s="11">
        <v>119</v>
      </c>
      <c r="L448" s="11">
        <v>8.8546363859965602E-3</v>
      </c>
      <c r="M448" s="11">
        <v>0.88546363859965271</v>
      </c>
      <c r="N448" s="11">
        <v>0.77777777777777801</v>
      </c>
      <c r="O448" s="11">
        <v>0.117077969992621</v>
      </c>
      <c r="P448" s="11">
        <v>0.101351351351351</v>
      </c>
      <c r="Q448" s="11">
        <v>0</v>
      </c>
      <c r="R448" s="11">
        <v>0.12984496124031</v>
      </c>
      <c r="S448" s="10" t="s">
        <v>84</v>
      </c>
      <c r="T448" s="10" t="s">
        <v>84</v>
      </c>
      <c r="U448" s="10"/>
      <c r="V448" s="10"/>
      <c r="W448" s="10"/>
      <c r="X448" s="10"/>
      <c r="Y448" s="10"/>
      <c r="Z448" s="10"/>
      <c r="AA448" s="10"/>
    </row>
    <row r="449" spans="1:27" ht="12.5" x14ac:dyDescent="0.25">
      <c r="A449" s="10" t="s">
        <v>14</v>
      </c>
      <c r="B449" s="10" t="s">
        <v>292</v>
      </c>
      <c r="C449" s="10" t="s">
        <v>76</v>
      </c>
      <c r="D449" s="11">
        <v>2024</v>
      </c>
      <c r="E449" s="10" t="s">
        <v>81</v>
      </c>
      <c r="F449" s="10" t="s">
        <v>83</v>
      </c>
      <c r="G449" s="10" t="s">
        <v>84</v>
      </c>
      <c r="H449" s="12">
        <v>342</v>
      </c>
      <c r="I449" s="11">
        <v>3</v>
      </c>
      <c r="J449" s="11">
        <v>3</v>
      </c>
      <c r="K449" s="11">
        <v>47</v>
      </c>
      <c r="L449" s="11">
        <v>8.7719298245613996E-3</v>
      </c>
      <c r="M449" s="11">
        <v>0.8771929824561403</v>
      </c>
      <c r="N449" s="11">
        <v>1</v>
      </c>
      <c r="O449" s="11">
        <v>0.13742690058479501</v>
      </c>
      <c r="P449" s="11">
        <v>0.10050675675675701</v>
      </c>
      <c r="Q449" s="11">
        <v>0</v>
      </c>
      <c r="R449" s="11">
        <v>0.127906976744186</v>
      </c>
      <c r="S449" s="10" t="s">
        <v>84</v>
      </c>
      <c r="T449" s="10" t="s">
        <v>84</v>
      </c>
      <c r="U449" s="10"/>
      <c r="V449" s="10"/>
      <c r="W449" s="10"/>
      <c r="X449" s="10"/>
      <c r="Y449" s="10"/>
      <c r="Z449" s="10"/>
      <c r="AA449" s="10"/>
    </row>
    <row r="450" spans="1:27" ht="12.5" x14ac:dyDescent="0.25">
      <c r="A450" s="10" t="s">
        <v>82</v>
      </c>
      <c r="B450" s="10" t="s">
        <v>1168</v>
      </c>
      <c r="C450" s="10" t="s">
        <v>76</v>
      </c>
      <c r="D450" s="11">
        <v>2024</v>
      </c>
      <c r="E450" s="10" t="s">
        <v>81</v>
      </c>
      <c r="F450" s="10" t="s">
        <v>83</v>
      </c>
      <c r="G450" s="10" t="s">
        <v>84</v>
      </c>
      <c r="H450" s="12">
        <v>5538.75</v>
      </c>
      <c r="I450" s="11">
        <v>46</v>
      </c>
      <c r="J450" s="11">
        <v>27</v>
      </c>
      <c r="K450" s="11">
        <v>1923</v>
      </c>
      <c r="L450" s="11">
        <v>8.3051229970661292E-3</v>
      </c>
      <c r="M450" s="11">
        <v>0.83051229970661256</v>
      </c>
      <c r="N450" s="11">
        <v>0.58695652173913004</v>
      </c>
      <c r="O450" s="11">
        <v>0.34719025050778601</v>
      </c>
      <c r="P450" s="11">
        <v>9.7128378378378399E-2</v>
      </c>
      <c r="Q450" s="11">
        <v>0.20689655172413801</v>
      </c>
      <c r="R450" s="11">
        <v>0.12596899224806199</v>
      </c>
      <c r="S450" s="10" t="s">
        <v>84</v>
      </c>
      <c r="T450" s="10" t="s">
        <v>84</v>
      </c>
      <c r="U450" s="10"/>
      <c r="V450" s="10"/>
      <c r="W450" s="10"/>
      <c r="X450" s="10"/>
      <c r="Y450" s="10"/>
      <c r="Z450" s="10"/>
      <c r="AA450" s="10"/>
    </row>
    <row r="451" spans="1:27" ht="12.5" x14ac:dyDescent="0.25">
      <c r="A451" s="10" t="s">
        <v>29</v>
      </c>
      <c r="B451" s="10" t="s">
        <v>1240</v>
      </c>
      <c r="C451" s="10" t="s">
        <v>76</v>
      </c>
      <c r="D451" s="11">
        <v>2024</v>
      </c>
      <c r="E451" s="10" t="s">
        <v>81</v>
      </c>
      <c r="F451" s="10" t="s">
        <v>83</v>
      </c>
      <c r="G451" s="10" t="s">
        <v>84</v>
      </c>
      <c r="H451" s="12">
        <v>71335</v>
      </c>
      <c r="I451" s="11">
        <v>592</v>
      </c>
      <c r="J451" s="11">
        <v>64</v>
      </c>
      <c r="K451" s="11">
        <v>94778</v>
      </c>
      <c r="L451" s="11">
        <v>8.2988715216934204E-3</v>
      </c>
      <c r="M451" s="11">
        <v>0.82988715216934184</v>
      </c>
      <c r="N451" s="11">
        <v>0.108108108108108</v>
      </c>
      <c r="O451" s="11">
        <v>1.32863250858625</v>
      </c>
      <c r="P451" s="11">
        <v>9.62837837837838E-2</v>
      </c>
      <c r="Q451" s="11">
        <v>0</v>
      </c>
      <c r="R451" s="11">
        <v>0.124031007751938</v>
      </c>
      <c r="S451" s="10" t="s">
        <v>84</v>
      </c>
      <c r="T451" s="10" t="s">
        <v>84</v>
      </c>
      <c r="U451" s="10"/>
      <c r="V451" s="10"/>
      <c r="W451" s="10"/>
      <c r="X451" s="10"/>
      <c r="Y451" s="10"/>
      <c r="Z451" s="10"/>
      <c r="AA451" s="10"/>
    </row>
    <row r="452" spans="1:27" ht="12.5" x14ac:dyDescent="0.25">
      <c r="A452" s="10" t="s">
        <v>12</v>
      </c>
      <c r="B452" s="10" t="s">
        <v>1243</v>
      </c>
      <c r="C452" s="10" t="s">
        <v>76</v>
      </c>
      <c r="D452" s="11">
        <v>2024</v>
      </c>
      <c r="E452" s="10" t="s">
        <v>81</v>
      </c>
      <c r="F452" s="10" t="s">
        <v>83</v>
      </c>
      <c r="G452" s="10" t="s">
        <v>84</v>
      </c>
      <c r="H452" s="12">
        <v>3912.1666666666702</v>
      </c>
      <c r="I452" s="11">
        <v>32</v>
      </c>
      <c r="J452" s="11">
        <v>28</v>
      </c>
      <c r="K452" s="11">
        <v>544</v>
      </c>
      <c r="L452" s="11">
        <v>8.1796106164529498E-3</v>
      </c>
      <c r="M452" s="11">
        <v>0.81796106164529392</v>
      </c>
      <c r="N452" s="11">
        <v>0.875</v>
      </c>
      <c r="O452" s="11">
        <v>0.13905338047970001</v>
      </c>
      <c r="P452" s="11">
        <v>9.54391891891892E-2</v>
      </c>
      <c r="Q452" s="11">
        <v>4.1666666666666699E-2</v>
      </c>
      <c r="R452" s="11">
        <v>0.122093023255814</v>
      </c>
      <c r="S452" s="10" t="s">
        <v>84</v>
      </c>
      <c r="T452" s="10" t="s">
        <v>84</v>
      </c>
      <c r="U452" s="10"/>
      <c r="V452" s="10"/>
      <c r="W452" s="10"/>
      <c r="X452" s="10"/>
      <c r="Y452" s="10"/>
      <c r="Z452" s="10"/>
      <c r="AA452" s="10"/>
    </row>
    <row r="453" spans="1:27" ht="12.5" x14ac:dyDescent="0.25">
      <c r="A453" s="10" t="s">
        <v>34</v>
      </c>
      <c r="B453" s="10" t="s">
        <v>1245</v>
      </c>
      <c r="C453" s="10" t="s">
        <v>76</v>
      </c>
      <c r="D453" s="11">
        <v>2024</v>
      </c>
      <c r="E453" s="10" t="s">
        <v>81</v>
      </c>
      <c r="F453" s="10" t="s">
        <v>83</v>
      </c>
      <c r="G453" s="10" t="s">
        <v>84</v>
      </c>
      <c r="H453" s="12">
        <v>44640.916666666701</v>
      </c>
      <c r="I453" s="11">
        <v>357</v>
      </c>
      <c r="J453" s="11">
        <v>309</v>
      </c>
      <c r="K453" s="11">
        <v>16653</v>
      </c>
      <c r="L453" s="11">
        <v>7.9971476093494195E-3</v>
      </c>
      <c r="M453" s="11">
        <v>0.79971476093494143</v>
      </c>
      <c r="N453" s="11">
        <v>0.86554621848739499</v>
      </c>
      <c r="O453" s="11">
        <v>0.37304341495377003</v>
      </c>
      <c r="P453" s="11">
        <v>9.29054054054054E-2</v>
      </c>
      <c r="Q453" s="11">
        <v>0.20408163265306101</v>
      </c>
      <c r="R453" s="11">
        <v>0.12015503875969</v>
      </c>
      <c r="S453" s="10" t="s">
        <v>84</v>
      </c>
      <c r="T453" s="10" t="s">
        <v>84</v>
      </c>
      <c r="U453" s="10"/>
      <c r="V453" s="10"/>
      <c r="W453" s="10"/>
      <c r="X453" s="10"/>
      <c r="Y453" s="10"/>
      <c r="Z453" s="10"/>
      <c r="AA453" s="10"/>
    </row>
    <row r="454" spans="1:27" ht="12.5" x14ac:dyDescent="0.25">
      <c r="A454" s="10" t="s">
        <v>82</v>
      </c>
      <c r="B454" s="10" t="s">
        <v>1093</v>
      </c>
      <c r="C454" s="10" t="s">
        <v>76</v>
      </c>
      <c r="D454" s="11">
        <v>2024</v>
      </c>
      <c r="E454" s="10" t="s">
        <v>81</v>
      </c>
      <c r="F454" s="10" t="s">
        <v>83</v>
      </c>
      <c r="G454" s="10" t="s">
        <v>84</v>
      </c>
      <c r="H454" s="12">
        <v>7309.75</v>
      </c>
      <c r="I454" s="11">
        <v>58</v>
      </c>
      <c r="J454" s="11">
        <v>54</v>
      </c>
      <c r="K454" s="11">
        <v>58</v>
      </c>
      <c r="L454" s="11">
        <v>7.9346078867266294E-3</v>
      </c>
      <c r="M454" s="11">
        <v>0.79346078867266323</v>
      </c>
      <c r="N454" s="11">
        <v>0.931034482758621</v>
      </c>
      <c r="O454" s="11">
        <v>7.9346078867266294E-3</v>
      </c>
      <c r="P454" s="11">
        <v>9.20608108108108E-2</v>
      </c>
      <c r="Q454" s="11">
        <v>0.17241379310344801</v>
      </c>
      <c r="R454" s="11">
        <v>0.118217054263566</v>
      </c>
      <c r="S454" s="10" t="s">
        <v>84</v>
      </c>
      <c r="T454" s="10" t="s">
        <v>84</v>
      </c>
      <c r="U454" s="10"/>
      <c r="V454" s="10"/>
      <c r="W454" s="10"/>
      <c r="X454" s="10"/>
      <c r="Y454" s="10"/>
      <c r="Z454" s="10"/>
      <c r="AA454" s="10"/>
    </row>
    <row r="455" spans="1:27" ht="12.5" x14ac:dyDescent="0.25">
      <c r="A455" s="10" t="s">
        <v>77</v>
      </c>
      <c r="B455" s="10" t="s">
        <v>1247</v>
      </c>
      <c r="C455" s="10" t="s">
        <v>76</v>
      </c>
      <c r="D455" s="11">
        <v>2024</v>
      </c>
      <c r="E455" s="10" t="s">
        <v>81</v>
      </c>
      <c r="F455" s="10" t="s">
        <v>83</v>
      </c>
      <c r="G455" s="10" t="s">
        <v>84</v>
      </c>
      <c r="H455" s="12">
        <v>16593</v>
      </c>
      <c r="I455" s="11">
        <v>130</v>
      </c>
      <c r="J455" s="11">
        <v>25</v>
      </c>
      <c r="K455" s="11">
        <v>15922</v>
      </c>
      <c r="L455" s="11">
        <v>7.8346290604471795E-3</v>
      </c>
      <c r="M455" s="11">
        <v>0.78346290604471758</v>
      </c>
      <c r="N455" s="11">
        <v>0.19230769230769201</v>
      </c>
      <c r="O455" s="11">
        <v>0.95956126077261505</v>
      </c>
      <c r="P455" s="11">
        <v>9.0371621621621601E-2</v>
      </c>
      <c r="Q455" s="11">
        <v>0</v>
      </c>
      <c r="R455" s="11">
        <v>0.116279069767442</v>
      </c>
      <c r="S455" s="10" t="s">
        <v>84</v>
      </c>
      <c r="T455" s="10" t="s">
        <v>84</v>
      </c>
      <c r="U455" s="10"/>
      <c r="V455" s="10"/>
      <c r="W455" s="10"/>
      <c r="X455" s="10"/>
      <c r="Y455" s="10"/>
      <c r="Z455" s="10"/>
      <c r="AA455" s="10"/>
    </row>
    <row r="456" spans="1:27" ht="12.5" x14ac:dyDescent="0.25">
      <c r="A456" s="10" t="s">
        <v>36</v>
      </c>
      <c r="B456" s="10" t="s">
        <v>1249</v>
      </c>
      <c r="C456" s="10" t="s">
        <v>76</v>
      </c>
      <c r="D456" s="11">
        <v>2024</v>
      </c>
      <c r="E456" s="10" t="s">
        <v>81</v>
      </c>
      <c r="F456" s="10" t="s">
        <v>83</v>
      </c>
      <c r="G456" s="10" t="s">
        <v>84</v>
      </c>
      <c r="H456" s="12">
        <v>91061.666666666701</v>
      </c>
      <c r="I456" s="11">
        <v>702</v>
      </c>
      <c r="J456" s="11">
        <v>1216</v>
      </c>
      <c r="K456" s="11">
        <v>49811</v>
      </c>
      <c r="L456" s="11">
        <v>7.7090616249062003E-3</v>
      </c>
      <c r="M456" s="11">
        <v>0.77090616249061961</v>
      </c>
      <c r="N456" s="11">
        <v>1.73219373219373</v>
      </c>
      <c r="O456" s="11">
        <v>0.54700294672108596</v>
      </c>
      <c r="P456" s="11">
        <v>8.8682432432432401E-2</v>
      </c>
      <c r="Q456" s="11">
        <v>2.1276595744680899E-2</v>
      </c>
      <c r="R456" s="11">
        <v>0.114341085271318</v>
      </c>
      <c r="S456" s="10" t="s">
        <v>84</v>
      </c>
      <c r="T456" s="10" t="s">
        <v>84</v>
      </c>
      <c r="U456" s="10"/>
      <c r="V456" s="10"/>
      <c r="W456" s="10"/>
      <c r="X456" s="10"/>
      <c r="Y456" s="10"/>
      <c r="Z456" s="10"/>
      <c r="AA456" s="10"/>
    </row>
    <row r="457" spans="1:27" ht="12.5" x14ac:dyDescent="0.25">
      <c r="A457" s="10" t="s">
        <v>10</v>
      </c>
      <c r="B457" s="10" t="s">
        <v>1251</v>
      </c>
      <c r="C457" s="10" t="s">
        <v>76</v>
      </c>
      <c r="D457" s="11">
        <v>2024</v>
      </c>
      <c r="E457" s="10" t="s">
        <v>81</v>
      </c>
      <c r="F457" s="10" t="s">
        <v>83</v>
      </c>
      <c r="G457" s="10" t="s">
        <v>84</v>
      </c>
      <c r="H457" s="12">
        <v>9198.5833333333303</v>
      </c>
      <c r="I457" s="11">
        <v>70</v>
      </c>
      <c r="J457" s="11">
        <v>50</v>
      </c>
      <c r="K457" s="11">
        <v>5511</v>
      </c>
      <c r="L457" s="11">
        <v>7.6098674614750502E-3</v>
      </c>
      <c r="M457" s="11">
        <v>0.76098674614750483</v>
      </c>
      <c r="N457" s="11">
        <v>0.71428571428571397</v>
      </c>
      <c r="O457" s="11">
        <v>0.59911399400270005</v>
      </c>
      <c r="P457" s="11">
        <v>8.5304054054054099E-2</v>
      </c>
      <c r="Q457" s="11">
        <v>6.6666666666666693E-2</v>
      </c>
      <c r="R457" s="11">
        <v>0.112403100775194</v>
      </c>
      <c r="S457" s="10" t="s">
        <v>84</v>
      </c>
      <c r="T457" s="10" t="s">
        <v>84</v>
      </c>
      <c r="U457" s="10"/>
      <c r="V457" s="10"/>
      <c r="W457" s="10"/>
      <c r="X457" s="10"/>
      <c r="Y457" s="10"/>
      <c r="Z457" s="10"/>
      <c r="AA457" s="10"/>
    </row>
    <row r="458" spans="1:27" ht="12.5" x14ac:dyDescent="0.25">
      <c r="A458" s="10" t="s">
        <v>110</v>
      </c>
      <c r="B458" s="10" t="s">
        <v>1253</v>
      </c>
      <c r="C458" s="10" t="s">
        <v>76</v>
      </c>
      <c r="D458" s="11">
        <v>2024</v>
      </c>
      <c r="E458" s="10" t="s">
        <v>81</v>
      </c>
      <c r="F458" s="10" t="s">
        <v>83</v>
      </c>
      <c r="G458" s="10" t="s">
        <v>84</v>
      </c>
      <c r="H458" s="12">
        <v>14406.666666666701</v>
      </c>
      <c r="I458" s="11">
        <v>109</v>
      </c>
      <c r="J458" s="11">
        <v>103</v>
      </c>
      <c r="K458" s="11">
        <v>4461</v>
      </c>
      <c r="L458" s="11">
        <v>7.5659416936603397E-3</v>
      </c>
      <c r="M458" s="11">
        <v>0.75659416936603252</v>
      </c>
      <c r="N458" s="11">
        <v>0.94495412844036697</v>
      </c>
      <c r="O458" s="11">
        <v>0.30964831096714501</v>
      </c>
      <c r="P458" s="11">
        <v>8.4459459459459499E-2</v>
      </c>
      <c r="Q458" s="11">
        <v>0.12121212121212099</v>
      </c>
      <c r="R458" s="11">
        <v>0.11046511627907001</v>
      </c>
      <c r="S458" s="10" t="s">
        <v>84</v>
      </c>
      <c r="T458" s="10" t="s">
        <v>84</v>
      </c>
      <c r="U458" s="10"/>
      <c r="V458" s="10"/>
      <c r="W458" s="10"/>
      <c r="X458" s="10"/>
      <c r="Y458" s="10"/>
      <c r="Z458" s="10"/>
      <c r="AA458" s="10"/>
    </row>
    <row r="459" spans="1:27" ht="12.5" x14ac:dyDescent="0.25">
      <c r="A459" s="10" t="s">
        <v>91</v>
      </c>
      <c r="B459" s="10" t="s">
        <v>1254</v>
      </c>
      <c r="C459" s="10" t="s">
        <v>76</v>
      </c>
      <c r="D459" s="11">
        <v>2024</v>
      </c>
      <c r="E459" s="10" t="s">
        <v>81</v>
      </c>
      <c r="F459" s="10" t="s">
        <v>83</v>
      </c>
      <c r="G459" s="10" t="s">
        <v>84</v>
      </c>
      <c r="H459" s="12">
        <v>3711</v>
      </c>
      <c r="I459" s="11">
        <v>26</v>
      </c>
      <c r="J459" s="11">
        <v>23</v>
      </c>
      <c r="K459" s="11">
        <v>1907</v>
      </c>
      <c r="L459" s="11">
        <v>7.0061977903529997E-3</v>
      </c>
      <c r="M459" s="11">
        <v>0.70061977903530048</v>
      </c>
      <c r="N459" s="11">
        <v>0.88461538461538503</v>
      </c>
      <c r="O459" s="11">
        <v>0.51387766100781496</v>
      </c>
      <c r="P459" s="11">
        <v>8.1081081081081099E-2</v>
      </c>
      <c r="Q459" s="11">
        <v>6.6666666666666693E-2</v>
      </c>
      <c r="R459" s="11">
        <v>0.108527131782946</v>
      </c>
      <c r="S459" s="10" t="s">
        <v>84</v>
      </c>
      <c r="T459" s="10" t="s">
        <v>84</v>
      </c>
      <c r="U459" s="10"/>
      <c r="V459" s="10"/>
      <c r="W459" s="10"/>
      <c r="X459" s="10"/>
      <c r="Y459" s="10"/>
      <c r="Z459" s="10"/>
      <c r="AA459" s="10"/>
    </row>
    <row r="460" spans="1:27" ht="12.5" x14ac:dyDescent="0.25">
      <c r="A460" s="10" t="s">
        <v>72</v>
      </c>
      <c r="B460" s="10" t="s">
        <v>1256</v>
      </c>
      <c r="C460" s="10" t="s">
        <v>76</v>
      </c>
      <c r="D460" s="11">
        <v>2024</v>
      </c>
      <c r="E460" s="10" t="s">
        <v>81</v>
      </c>
      <c r="F460" s="10" t="s">
        <v>83</v>
      </c>
      <c r="G460" s="10" t="s">
        <v>84</v>
      </c>
      <c r="H460" s="12">
        <v>29580.5</v>
      </c>
      <c r="I460" s="11">
        <v>206</v>
      </c>
      <c r="J460" s="11">
        <v>113</v>
      </c>
      <c r="K460" s="11">
        <v>2795</v>
      </c>
      <c r="L460" s="11">
        <v>6.9640472608644196E-3</v>
      </c>
      <c r="M460" s="11">
        <v>0.69640472608644199</v>
      </c>
      <c r="N460" s="11">
        <v>0.54854368932038799</v>
      </c>
      <c r="O460" s="11">
        <v>9.4487922786971101E-2</v>
      </c>
      <c r="P460" s="11">
        <v>7.93918918918919E-2</v>
      </c>
      <c r="Q460" s="11">
        <v>0.1</v>
      </c>
      <c r="R460" s="11">
        <v>0.10658914728682201</v>
      </c>
      <c r="S460" s="10" t="s">
        <v>84</v>
      </c>
      <c r="T460" s="10" t="s">
        <v>84</v>
      </c>
      <c r="U460" s="10"/>
      <c r="V460" s="10"/>
      <c r="W460" s="10"/>
      <c r="X460" s="10"/>
      <c r="Y460" s="10"/>
      <c r="Z460" s="10"/>
      <c r="AA460" s="10"/>
    </row>
    <row r="461" spans="1:27" ht="12.5" x14ac:dyDescent="0.25">
      <c r="A461" s="10" t="s">
        <v>49</v>
      </c>
      <c r="B461" s="10" t="s">
        <v>1258</v>
      </c>
      <c r="C461" s="10" t="s">
        <v>76</v>
      </c>
      <c r="D461" s="11">
        <v>2024</v>
      </c>
      <c r="E461" s="10" t="s">
        <v>81</v>
      </c>
      <c r="F461" s="10" t="s">
        <v>125</v>
      </c>
      <c r="G461" s="10" t="s">
        <v>84</v>
      </c>
      <c r="H461" s="12">
        <v>27115.833333333299</v>
      </c>
      <c r="I461" s="11">
        <v>185</v>
      </c>
      <c r="J461" s="11">
        <v>65</v>
      </c>
      <c r="K461" s="11">
        <v>8170</v>
      </c>
      <c r="L461" s="11">
        <v>6.8225821322105799E-3</v>
      </c>
      <c r="M461" s="11">
        <v>0.68225821322105873</v>
      </c>
      <c r="N461" s="11">
        <v>0.35135135135135098</v>
      </c>
      <c r="O461" s="11">
        <v>0.30129997848735401</v>
      </c>
      <c r="P461" s="11">
        <v>7.5168918918918901E-2</v>
      </c>
      <c r="Q461" s="11">
        <v>0.115384615384615</v>
      </c>
      <c r="R461" s="11">
        <v>0.104651162790698</v>
      </c>
      <c r="S461" s="10" t="s">
        <v>84</v>
      </c>
      <c r="T461" s="10" t="s">
        <v>84</v>
      </c>
      <c r="U461" s="10"/>
      <c r="V461" s="10"/>
      <c r="W461" s="10"/>
      <c r="X461" s="10"/>
      <c r="Y461" s="10"/>
      <c r="Z461" s="10"/>
      <c r="AA461" s="10"/>
    </row>
    <row r="462" spans="1:27" ht="12.5" x14ac:dyDescent="0.25">
      <c r="A462" s="10" t="s">
        <v>34</v>
      </c>
      <c r="B462" s="10" t="s">
        <v>1260</v>
      </c>
      <c r="C462" s="10" t="s">
        <v>76</v>
      </c>
      <c r="D462" s="11">
        <v>2024</v>
      </c>
      <c r="E462" s="10" t="s">
        <v>81</v>
      </c>
      <c r="F462" s="10" t="s">
        <v>83</v>
      </c>
      <c r="G462" s="10" t="s">
        <v>84</v>
      </c>
      <c r="H462" s="12">
        <v>11132.583333333299</v>
      </c>
      <c r="I462" s="11">
        <v>73</v>
      </c>
      <c r="J462" s="11">
        <v>42</v>
      </c>
      <c r="K462" s="11">
        <v>5884</v>
      </c>
      <c r="L462" s="11">
        <v>6.5573279637101299E-3</v>
      </c>
      <c r="M462" s="11">
        <v>0.655732796371015</v>
      </c>
      <c r="N462" s="11">
        <v>0.57534246575342496</v>
      </c>
      <c r="O462" s="11">
        <v>0.52853859915712897</v>
      </c>
      <c r="P462" s="11">
        <v>7.0101351351351399E-2</v>
      </c>
      <c r="Q462" s="11">
        <v>0.183673469387755</v>
      </c>
      <c r="R462" s="11">
        <v>0.10271317829457401</v>
      </c>
      <c r="S462" s="10" t="s">
        <v>84</v>
      </c>
      <c r="T462" s="10" t="s">
        <v>84</v>
      </c>
      <c r="U462" s="10"/>
      <c r="V462" s="10"/>
      <c r="W462" s="10"/>
      <c r="X462" s="10"/>
      <c r="Y462" s="10"/>
      <c r="Z462" s="10"/>
      <c r="AA462" s="10"/>
    </row>
    <row r="463" spans="1:27" ht="12.5" x14ac:dyDescent="0.25">
      <c r="A463" s="10" t="s">
        <v>12</v>
      </c>
      <c r="B463" s="10" t="s">
        <v>1263</v>
      </c>
      <c r="C463" s="10" t="s">
        <v>76</v>
      </c>
      <c r="D463" s="11">
        <v>2024</v>
      </c>
      <c r="E463" s="10" t="s">
        <v>81</v>
      </c>
      <c r="F463" s="10" t="s">
        <v>83</v>
      </c>
      <c r="G463" s="10" t="s">
        <v>84</v>
      </c>
      <c r="H463" s="12">
        <v>9565.6666666666697</v>
      </c>
      <c r="I463" s="11">
        <v>62</v>
      </c>
      <c r="J463" s="11">
        <v>162</v>
      </c>
      <c r="K463" s="11">
        <v>10697</v>
      </c>
      <c r="L463" s="11">
        <v>6.4815137470815801E-3</v>
      </c>
      <c r="M463" s="11">
        <v>0.64815137470815742</v>
      </c>
      <c r="N463" s="11">
        <v>2.6129032258064502</v>
      </c>
      <c r="O463" s="11">
        <v>1.11827020246019</v>
      </c>
      <c r="P463" s="11">
        <v>6.9256756756756799E-2</v>
      </c>
      <c r="Q463" s="11">
        <v>2.7777777777777801E-2</v>
      </c>
      <c r="R463" s="11">
        <v>0.10077519379845</v>
      </c>
      <c r="S463" s="10" t="s">
        <v>84</v>
      </c>
      <c r="T463" s="10" t="s">
        <v>84</v>
      </c>
      <c r="U463" s="10"/>
      <c r="V463" s="10"/>
      <c r="W463" s="10"/>
      <c r="X463" s="10"/>
      <c r="Y463" s="10"/>
      <c r="Z463" s="10"/>
      <c r="AA463" s="10"/>
    </row>
    <row r="464" spans="1:27" ht="12.5" x14ac:dyDescent="0.25">
      <c r="A464" s="10" t="s">
        <v>53</v>
      </c>
      <c r="B464" s="10" t="s">
        <v>1265</v>
      </c>
      <c r="C464" s="10" t="s">
        <v>76</v>
      </c>
      <c r="D464" s="11">
        <v>2024</v>
      </c>
      <c r="E464" s="10" t="s">
        <v>81</v>
      </c>
      <c r="F464" s="10" t="s">
        <v>83</v>
      </c>
      <c r="G464" s="10" t="s">
        <v>84</v>
      </c>
      <c r="H464" s="12">
        <v>3446.5833333333298</v>
      </c>
      <c r="I464" s="11">
        <v>22</v>
      </c>
      <c r="J464" s="11">
        <v>12</v>
      </c>
      <c r="K464" s="11">
        <v>98</v>
      </c>
      <c r="L464" s="11">
        <v>6.3831330544742403E-3</v>
      </c>
      <c r="M464" s="11">
        <v>0.63831330544742448</v>
      </c>
      <c r="N464" s="11">
        <v>0.54545454545454497</v>
      </c>
      <c r="O464" s="11">
        <v>2.8433956333567101E-2</v>
      </c>
      <c r="P464" s="11">
        <v>6.8412162162162199E-2</v>
      </c>
      <c r="Q464" s="11">
        <v>0.4</v>
      </c>
      <c r="R464" s="11">
        <v>9.8837209302325604E-2</v>
      </c>
      <c r="S464" s="10" t="s">
        <v>84</v>
      </c>
      <c r="T464" s="10" t="s">
        <v>84</v>
      </c>
      <c r="U464" s="10"/>
      <c r="V464" s="10"/>
      <c r="W464" s="10"/>
      <c r="X464" s="10"/>
      <c r="Y464" s="10"/>
      <c r="Z464" s="10"/>
      <c r="AA464" s="10"/>
    </row>
    <row r="465" spans="1:27" ht="12.5" x14ac:dyDescent="0.25">
      <c r="A465" s="10" t="s">
        <v>49</v>
      </c>
      <c r="B465" s="10" t="s">
        <v>1266</v>
      </c>
      <c r="C465" s="10" t="s">
        <v>76</v>
      </c>
      <c r="D465" s="11">
        <v>2024</v>
      </c>
      <c r="E465" s="10" t="s">
        <v>81</v>
      </c>
      <c r="F465" s="10" t="s">
        <v>83</v>
      </c>
      <c r="G465" s="10" t="s">
        <v>84</v>
      </c>
      <c r="H465" s="12">
        <v>9812.5</v>
      </c>
      <c r="I465" s="11">
        <v>59</v>
      </c>
      <c r="J465" s="11">
        <v>26</v>
      </c>
      <c r="K465" s="11">
        <v>5960</v>
      </c>
      <c r="L465" s="11">
        <v>6.0127388535031797E-3</v>
      </c>
      <c r="M465" s="11">
        <v>0.60127388535031845</v>
      </c>
      <c r="N465" s="11">
        <v>0.44067796610169502</v>
      </c>
      <c r="O465" s="11">
        <v>0.60738853503184698</v>
      </c>
      <c r="P465" s="11">
        <v>6.5878378378378399E-2</v>
      </c>
      <c r="Q465" s="11">
        <v>3.8461538461538498E-2</v>
      </c>
      <c r="R465" s="11">
        <v>9.6899224806201598E-2</v>
      </c>
      <c r="S465" s="10" t="s">
        <v>84</v>
      </c>
      <c r="T465" s="10" t="s">
        <v>84</v>
      </c>
      <c r="U465" s="10"/>
      <c r="V465" s="10"/>
      <c r="W465" s="10"/>
      <c r="X465" s="10"/>
      <c r="Y465" s="10"/>
      <c r="Z465" s="10"/>
      <c r="AA465" s="10"/>
    </row>
    <row r="466" spans="1:27" ht="12.5" x14ac:dyDescent="0.25">
      <c r="A466" s="10" t="s">
        <v>88</v>
      </c>
      <c r="B466" s="10" t="s">
        <v>1269</v>
      </c>
      <c r="C466" s="10" t="s">
        <v>76</v>
      </c>
      <c r="D466" s="11">
        <v>2024</v>
      </c>
      <c r="E466" s="10" t="s">
        <v>81</v>
      </c>
      <c r="F466" s="10" t="s">
        <v>125</v>
      </c>
      <c r="G466" s="10" t="s">
        <v>84</v>
      </c>
      <c r="H466" s="12">
        <v>10893.583333333299</v>
      </c>
      <c r="I466" s="11">
        <v>65</v>
      </c>
      <c r="J466" s="11">
        <v>45</v>
      </c>
      <c r="K466" s="11">
        <v>13257</v>
      </c>
      <c r="L466" s="11">
        <v>5.9668153270656301E-3</v>
      </c>
      <c r="M466" s="11">
        <v>0.59668153270656454</v>
      </c>
      <c r="N466" s="11">
        <v>0.69230769230769196</v>
      </c>
      <c r="O466" s="11">
        <v>1.21695493524475</v>
      </c>
      <c r="P466" s="11">
        <v>6.50337837837838E-2</v>
      </c>
      <c r="Q466" s="11">
        <v>0</v>
      </c>
      <c r="R466" s="11">
        <v>9.4961240310077494E-2</v>
      </c>
      <c r="S466" s="10" t="s">
        <v>84</v>
      </c>
      <c r="T466" s="10" t="s">
        <v>84</v>
      </c>
      <c r="U466" s="10"/>
      <c r="V466" s="10"/>
      <c r="W466" s="10"/>
      <c r="X466" s="10"/>
      <c r="Y466" s="10"/>
      <c r="Z466" s="10"/>
      <c r="AA466" s="10"/>
    </row>
    <row r="467" spans="1:27" ht="12.5" x14ac:dyDescent="0.25">
      <c r="A467" s="10" t="s">
        <v>82</v>
      </c>
      <c r="B467" s="10" t="s">
        <v>1271</v>
      </c>
      <c r="C467" s="10" t="s">
        <v>76</v>
      </c>
      <c r="D467" s="11">
        <v>2024</v>
      </c>
      <c r="E467" s="10" t="s">
        <v>81</v>
      </c>
      <c r="F467" s="10" t="s">
        <v>83</v>
      </c>
      <c r="G467" s="10" t="s">
        <v>84</v>
      </c>
      <c r="H467" s="12">
        <v>20378.416666666701</v>
      </c>
      <c r="I467" s="11">
        <v>121</v>
      </c>
      <c r="J467" s="11">
        <v>83</v>
      </c>
      <c r="K467" s="11">
        <v>7126</v>
      </c>
      <c r="L467" s="11">
        <v>5.9376546264225602E-3</v>
      </c>
      <c r="M467" s="11">
        <v>0.59376546264225527</v>
      </c>
      <c r="N467" s="11">
        <v>0.68595041322313999</v>
      </c>
      <c r="O467" s="11">
        <v>0.34968369312303499</v>
      </c>
      <c r="P467" s="11">
        <v>6.41891891891892E-2</v>
      </c>
      <c r="Q467" s="11">
        <v>6.8965517241379296E-2</v>
      </c>
      <c r="R467" s="11">
        <v>9.3023255813953501E-2</v>
      </c>
      <c r="S467" s="10" t="s">
        <v>84</v>
      </c>
      <c r="T467" s="10" t="s">
        <v>84</v>
      </c>
      <c r="U467" s="10"/>
      <c r="V467" s="10"/>
      <c r="W467" s="10"/>
      <c r="X467" s="10"/>
      <c r="Y467" s="10"/>
      <c r="Z467" s="10"/>
      <c r="AA467" s="10"/>
    </row>
    <row r="468" spans="1:27" ht="12.5" x14ac:dyDescent="0.25">
      <c r="A468" s="10" t="s">
        <v>53</v>
      </c>
      <c r="B468" s="10" t="s">
        <v>1273</v>
      </c>
      <c r="C468" s="10" t="s">
        <v>76</v>
      </c>
      <c r="D468" s="11">
        <v>2024</v>
      </c>
      <c r="E468" s="10" t="s">
        <v>81</v>
      </c>
      <c r="F468" s="10" t="s">
        <v>83</v>
      </c>
      <c r="G468" s="10" t="s">
        <v>84</v>
      </c>
      <c r="H468" s="12">
        <v>5105.0833333333303</v>
      </c>
      <c r="I468" s="11">
        <v>30</v>
      </c>
      <c r="J468" s="11">
        <v>27</v>
      </c>
      <c r="K468" s="11">
        <v>215</v>
      </c>
      <c r="L468" s="11">
        <v>5.8764956497608604E-3</v>
      </c>
      <c r="M468" s="11">
        <v>0.58764956497608634</v>
      </c>
      <c r="N468" s="11">
        <v>0.9</v>
      </c>
      <c r="O468" s="11">
        <v>4.2114885489952798E-2</v>
      </c>
      <c r="P468" s="11">
        <v>6.33445945945946E-2</v>
      </c>
      <c r="Q468" s="11">
        <v>0.375</v>
      </c>
      <c r="R468" s="11">
        <v>9.1085271317829494E-2</v>
      </c>
      <c r="S468" s="10" t="s">
        <v>84</v>
      </c>
      <c r="T468" s="10" t="s">
        <v>84</v>
      </c>
      <c r="U468" s="10"/>
      <c r="V468" s="10"/>
      <c r="W468" s="10"/>
      <c r="X468" s="10"/>
      <c r="Y468" s="10"/>
      <c r="Z468" s="10"/>
      <c r="AA468" s="10"/>
    </row>
    <row r="469" spans="1:27" ht="12.5" x14ac:dyDescent="0.25">
      <c r="A469" s="10" t="s">
        <v>34</v>
      </c>
      <c r="B469" s="10" t="s">
        <v>1275</v>
      </c>
      <c r="C469" s="10" t="s">
        <v>76</v>
      </c>
      <c r="D469" s="11">
        <v>2024</v>
      </c>
      <c r="E469" s="10" t="s">
        <v>81</v>
      </c>
      <c r="F469" s="10" t="s">
        <v>83</v>
      </c>
      <c r="G469" s="10" t="s">
        <v>84</v>
      </c>
      <c r="H469" s="12">
        <v>5498.0833333333303</v>
      </c>
      <c r="I469" s="11">
        <v>32</v>
      </c>
      <c r="J469" s="11">
        <v>15</v>
      </c>
      <c r="K469" s="11">
        <v>5427</v>
      </c>
      <c r="L469" s="11">
        <v>5.8202100732073301E-3</v>
      </c>
      <c r="M469" s="11">
        <v>0.58202100732073325</v>
      </c>
      <c r="N469" s="11">
        <v>0.46875</v>
      </c>
      <c r="O469" s="11">
        <v>0.98707125210300595</v>
      </c>
      <c r="P469" s="11">
        <v>6.08108108108108E-2</v>
      </c>
      <c r="Q469" s="11">
        <v>0.16326530612244899</v>
      </c>
      <c r="R469" s="11">
        <v>8.9147286821705404E-2</v>
      </c>
      <c r="S469" s="10" t="s">
        <v>84</v>
      </c>
      <c r="T469" s="10" t="s">
        <v>84</v>
      </c>
      <c r="U469" s="10"/>
      <c r="V469" s="10"/>
      <c r="W469" s="10"/>
      <c r="X469" s="10"/>
      <c r="Y469" s="10"/>
      <c r="Z469" s="10"/>
      <c r="AA469" s="10"/>
    </row>
    <row r="470" spans="1:27" ht="12.5" x14ac:dyDescent="0.25">
      <c r="A470" s="10" t="s">
        <v>62</v>
      </c>
      <c r="B470" s="10" t="s">
        <v>1277</v>
      </c>
      <c r="C470" s="10" t="s">
        <v>76</v>
      </c>
      <c r="D470" s="11">
        <v>2024</v>
      </c>
      <c r="E470" s="10" t="s">
        <v>81</v>
      </c>
      <c r="F470" s="10" t="s">
        <v>83</v>
      </c>
      <c r="G470" s="10" t="s">
        <v>84</v>
      </c>
      <c r="H470" s="12">
        <v>17893.416666666701</v>
      </c>
      <c r="I470" s="11">
        <v>94</v>
      </c>
      <c r="J470" s="11">
        <v>53</v>
      </c>
      <c r="K470" s="11">
        <v>9083</v>
      </c>
      <c r="L470" s="11">
        <v>5.2533287382230901E-3</v>
      </c>
      <c r="M470" s="11">
        <v>0.52533287382230798</v>
      </c>
      <c r="N470" s="11">
        <v>0.56382978723404298</v>
      </c>
      <c r="O470" s="11">
        <v>0.50761686094979097</v>
      </c>
      <c r="P470" s="11">
        <v>5.6587837837837801E-2</v>
      </c>
      <c r="Q470" s="11">
        <v>8.3333333333333301E-2</v>
      </c>
      <c r="R470" s="11">
        <v>8.7209302325581398E-2</v>
      </c>
      <c r="S470" s="10" t="s">
        <v>84</v>
      </c>
      <c r="T470" s="10" t="s">
        <v>84</v>
      </c>
      <c r="U470" s="10"/>
      <c r="V470" s="10"/>
      <c r="W470" s="10"/>
      <c r="X470" s="10"/>
      <c r="Y470" s="10"/>
      <c r="Z470" s="10"/>
      <c r="AA470" s="10"/>
    </row>
    <row r="471" spans="1:27" ht="12.5" x14ac:dyDescent="0.25">
      <c r="A471" s="10" t="s">
        <v>34</v>
      </c>
      <c r="B471" s="10" t="s">
        <v>1279</v>
      </c>
      <c r="C471" s="10" t="s">
        <v>76</v>
      </c>
      <c r="D471" s="11">
        <v>2024</v>
      </c>
      <c r="E471" s="10" t="s">
        <v>81</v>
      </c>
      <c r="F471" s="10" t="s">
        <v>83</v>
      </c>
      <c r="G471" s="10" t="s">
        <v>84</v>
      </c>
      <c r="H471" s="12">
        <v>60013.666666666701</v>
      </c>
      <c r="I471" s="11">
        <v>315</v>
      </c>
      <c r="J471" s="11">
        <v>240</v>
      </c>
      <c r="K471" s="11">
        <v>19397</v>
      </c>
      <c r="L471" s="11">
        <v>5.2488044389889001E-3</v>
      </c>
      <c r="M471" s="11">
        <v>0.52488044389888944</v>
      </c>
      <c r="N471" s="11">
        <v>0.76190476190476197</v>
      </c>
      <c r="O471" s="11">
        <v>0.32320971334307202</v>
      </c>
      <c r="P471" s="11">
        <v>5.5743243243243201E-2</v>
      </c>
      <c r="Q471" s="11">
        <v>0.14285714285714299</v>
      </c>
      <c r="R471" s="11">
        <v>8.5271317829457405E-2</v>
      </c>
      <c r="S471" s="10" t="s">
        <v>84</v>
      </c>
      <c r="T471" s="10" t="s">
        <v>84</v>
      </c>
      <c r="U471" s="10"/>
      <c r="V471" s="10"/>
      <c r="W471" s="10"/>
      <c r="X471" s="10"/>
      <c r="Y471" s="10"/>
      <c r="Z471" s="10"/>
      <c r="AA471" s="10"/>
    </row>
    <row r="472" spans="1:27" ht="12.5" x14ac:dyDescent="0.25">
      <c r="A472" s="10" t="s">
        <v>115</v>
      </c>
      <c r="B472" s="10" t="s">
        <v>1091</v>
      </c>
      <c r="C472" s="10" t="s">
        <v>76</v>
      </c>
      <c r="D472" s="11">
        <v>2024</v>
      </c>
      <c r="E472" s="10" t="s">
        <v>81</v>
      </c>
      <c r="F472" s="10" t="s">
        <v>83</v>
      </c>
      <c r="G472" s="10" t="s">
        <v>84</v>
      </c>
      <c r="H472" s="12">
        <v>5216.5</v>
      </c>
      <c r="I472" s="11">
        <v>27</v>
      </c>
      <c r="J472" s="11">
        <v>22</v>
      </c>
      <c r="K472" s="11">
        <v>2056</v>
      </c>
      <c r="L472" s="11">
        <v>5.1758842135531504E-3</v>
      </c>
      <c r="M472" s="11">
        <v>0.51758842135531491</v>
      </c>
      <c r="N472" s="11">
        <v>0.81481481481481499</v>
      </c>
      <c r="O472" s="11">
        <v>0.39413399789130599</v>
      </c>
      <c r="P472" s="11">
        <v>5.4898648648648601E-2</v>
      </c>
      <c r="Q472" s="11">
        <v>0.44444444444444398</v>
      </c>
      <c r="R472" s="11">
        <v>8.3333333333333301E-2</v>
      </c>
      <c r="S472" s="10" t="s">
        <v>84</v>
      </c>
      <c r="T472" s="10" t="s">
        <v>84</v>
      </c>
      <c r="U472" s="10"/>
      <c r="V472" s="10"/>
      <c r="W472" s="10"/>
      <c r="X472" s="10"/>
      <c r="Y472" s="10"/>
      <c r="Z472" s="10"/>
      <c r="AA472" s="10"/>
    </row>
    <row r="473" spans="1:27" ht="12.5" x14ac:dyDescent="0.25">
      <c r="A473" s="10" t="s">
        <v>12</v>
      </c>
      <c r="B473" s="10" t="s">
        <v>1283</v>
      </c>
      <c r="C473" s="10" t="s">
        <v>76</v>
      </c>
      <c r="D473" s="11">
        <v>2024</v>
      </c>
      <c r="E473" s="10" t="s">
        <v>81</v>
      </c>
      <c r="F473" s="10" t="s">
        <v>83</v>
      </c>
      <c r="G473" s="10" t="s">
        <v>84</v>
      </c>
      <c r="H473" s="12">
        <v>5855.0833333333303</v>
      </c>
      <c r="I473" s="11">
        <v>30</v>
      </c>
      <c r="J473" s="11">
        <v>28</v>
      </c>
      <c r="K473" s="11">
        <v>262</v>
      </c>
      <c r="L473" s="11">
        <v>5.1237528643201802E-3</v>
      </c>
      <c r="M473" s="11">
        <v>0.51237528643201802</v>
      </c>
      <c r="N473" s="11">
        <v>0.93333333333333302</v>
      </c>
      <c r="O473" s="11">
        <v>4.4747441681729602E-2</v>
      </c>
      <c r="P473" s="11">
        <v>5.4054054054054099E-2</v>
      </c>
      <c r="Q473" s="11">
        <v>1.38888888888889E-2</v>
      </c>
      <c r="R473" s="11">
        <v>8.1395348837209294E-2</v>
      </c>
      <c r="S473" s="10" t="s">
        <v>84</v>
      </c>
      <c r="T473" s="10" t="s">
        <v>84</v>
      </c>
      <c r="U473" s="10"/>
      <c r="V473" s="10"/>
      <c r="W473" s="10"/>
      <c r="X473" s="10"/>
      <c r="Y473" s="10"/>
      <c r="Z473" s="10"/>
      <c r="AA473" s="10"/>
    </row>
    <row r="474" spans="1:27" ht="12.5" x14ac:dyDescent="0.25">
      <c r="A474" s="10" t="s">
        <v>53</v>
      </c>
      <c r="B474" s="10" t="s">
        <v>1286</v>
      </c>
      <c r="C474" s="10" t="s">
        <v>76</v>
      </c>
      <c r="D474" s="11">
        <v>2024</v>
      </c>
      <c r="E474" s="10" t="s">
        <v>81</v>
      </c>
      <c r="F474" s="10" t="s">
        <v>83</v>
      </c>
      <c r="G474" s="10" t="s">
        <v>84</v>
      </c>
      <c r="H474" s="12">
        <v>15577.5</v>
      </c>
      <c r="I474" s="11">
        <v>78</v>
      </c>
      <c r="J474" s="11">
        <v>50</v>
      </c>
      <c r="K474" s="11">
        <v>2126</v>
      </c>
      <c r="L474" s="11">
        <v>5.0072219547424197E-3</v>
      </c>
      <c r="M474" s="11">
        <v>0.50072219547424168</v>
      </c>
      <c r="N474" s="11">
        <v>0.64102564102564097</v>
      </c>
      <c r="O474" s="11">
        <v>0.13647889584336401</v>
      </c>
      <c r="P474" s="11">
        <v>5.2364864864864899E-2</v>
      </c>
      <c r="Q474" s="11">
        <v>0.3</v>
      </c>
      <c r="R474" s="11">
        <v>7.9457364341085301E-2</v>
      </c>
      <c r="S474" s="10" t="s">
        <v>84</v>
      </c>
      <c r="T474" s="10" t="s">
        <v>84</v>
      </c>
      <c r="U474" s="10"/>
      <c r="V474" s="10"/>
      <c r="W474" s="10"/>
      <c r="X474" s="10"/>
      <c r="Y474" s="10"/>
      <c r="Z474" s="10"/>
      <c r="AA474" s="10"/>
    </row>
    <row r="475" spans="1:27" ht="12.5" x14ac:dyDescent="0.25">
      <c r="A475" s="10" t="s">
        <v>62</v>
      </c>
      <c r="B475" s="10" t="s">
        <v>1287</v>
      </c>
      <c r="C475" s="10" t="s">
        <v>76</v>
      </c>
      <c r="D475" s="11">
        <v>2024</v>
      </c>
      <c r="E475" s="10" t="s">
        <v>81</v>
      </c>
      <c r="F475" s="10" t="s">
        <v>83</v>
      </c>
      <c r="G475" s="10" t="s">
        <v>84</v>
      </c>
      <c r="H475" s="12">
        <v>10836.416666666701</v>
      </c>
      <c r="I475" s="11">
        <v>53</v>
      </c>
      <c r="J475" s="11">
        <v>34</v>
      </c>
      <c r="K475" s="11">
        <v>4409</v>
      </c>
      <c r="L475" s="11">
        <v>4.8909156624652997E-3</v>
      </c>
      <c r="M475" s="11">
        <v>0.48909156624652833</v>
      </c>
      <c r="N475" s="11">
        <v>0.64150943396226401</v>
      </c>
      <c r="O475" s="11">
        <v>0.40686881426055699</v>
      </c>
      <c r="P475" s="11">
        <v>5.1520270270270299E-2</v>
      </c>
      <c r="Q475" s="11">
        <v>5.5555555555555601E-2</v>
      </c>
      <c r="R475" s="11">
        <v>7.7519379844961198E-2</v>
      </c>
      <c r="S475" s="10" t="s">
        <v>84</v>
      </c>
      <c r="T475" s="10" t="s">
        <v>84</v>
      </c>
      <c r="U475" s="10"/>
      <c r="V475" s="10"/>
      <c r="W475" s="10"/>
      <c r="X475" s="10"/>
      <c r="Y475" s="10"/>
      <c r="Z475" s="10"/>
      <c r="AA475" s="10"/>
    </row>
    <row r="476" spans="1:27" ht="12.5" x14ac:dyDescent="0.25">
      <c r="A476" s="10" t="s">
        <v>34</v>
      </c>
      <c r="B476" s="10" t="s">
        <v>1289</v>
      </c>
      <c r="C476" s="10" t="s">
        <v>76</v>
      </c>
      <c r="D476" s="11">
        <v>2024</v>
      </c>
      <c r="E476" s="10" t="s">
        <v>81</v>
      </c>
      <c r="F476" s="10" t="s">
        <v>83</v>
      </c>
      <c r="G476" s="10" t="s">
        <v>84</v>
      </c>
      <c r="H476" s="12">
        <v>9361</v>
      </c>
      <c r="I476" s="11">
        <v>45</v>
      </c>
      <c r="J476" s="11">
        <v>33</v>
      </c>
      <c r="K476" s="11">
        <v>3585</v>
      </c>
      <c r="L476" s="11">
        <v>4.8071787202222001E-3</v>
      </c>
      <c r="M476" s="11">
        <v>0.48071787202221983</v>
      </c>
      <c r="N476" s="11">
        <v>0.73333333333333295</v>
      </c>
      <c r="O476" s="11">
        <v>0.38297190471103498</v>
      </c>
      <c r="P476" s="11">
        <v>5.0675675675675699E-2</v>
      </c>
      <c r="Q476" s="11">
        <v>0.122448979591837</v>
      </c>
      <c r="R476" s="11">
        <v>7.5581395348837205E-2</v>
      </c>
      <c r="S476" s="10" t="s">
        <v>84</v>
      </c>
      <c r="T476" s="10" t="s">
        <v>84</v>
      </c>
      <c r="U476" s="10"/>
      <c r="V476" s="10"/>
      <c r="W476" s="10"/>
      <c r="X476" s="10"/>
      <c r="Y476" s="10"/>
      <c r="Z476" s="10"/>
      <c r="AA476" s="10"/>
    </row>
    <row r="477" spans="1:27" ht="12.5" x14ac:dyDescent="0.25">
      <c r="A477" s="10" t="s">
        <v>53</v>
      </c>
      <c r="B477" s="10" t="s">
        <v>1292</v>
      </c>
      <c r="C477" s="10" t="s">
        <v>76</v>
      </c>
      <c r="D477" s="11">
        <v>2024</v>
      </c>
      <c r="E477" s="10" t="s">
        <v>81</v>
      </c>
      <c r="F477" s="10" t="s">
        <v>83</v>
      </c>
      <c r="G477" s="10" t="s">
        <v>84</v>
      </c>
      <c r="H477" s="12">
        <v>5303.5833333333303</v>
      </c>
      <c r="I477" s="11">
        <v>24</v>
      </c>
      <c r="J477" s="11">
        <v>10</v>
      </c>
      <c r="K477" s="11">
        <v>329</v>
      </c>
      <c r="L477" s="11">
        <v>4.5252423675816696E-3</v>
      </c>
      <c r="M477" s="11">
        <v>0.45252423675816689</v>
      </c>
      <c r="N477" s="11">
        <v>0.41666666666666702</v>
      </c>
      <c r="O477" s="11">
        <v>6.2033530788932E-2</v>
      </c>
      <c r="P477" s="11">
        <v>4.9831081081081099E-2</v>
      </c>
      <c r="Q477" s="11">
        <v>0.27500000000000002</v>
      </c>
      <c r="R477" s="11">
        <v>7.3643410852713198E-2</v>
      </c>
      <c r="S477" s="10" t="s">
        <v>84</v>
      </c>
      <c r="T477" s="10" t="s">
        <v>84</v>
      </c>
      <c r="U477" s="10"/>
      <c r="V477" s="10"/>
      <c r="W477" s="10"/>
      <c r="X477" s="10"/>
      <c r="Y477" s="10"/>
      <c r="Z477" s="10"/>
      <c r="AA477" s="10"/>
    </row>
    <row r="478" spans="1:27" ht="12.5" x14ac:dyDescent="0.25">
      <c r="A478" s="10" t="s">
        <v>34</v>
      </c>
      <c r="B478" s="10" t="s">
        <v>1295</v>
      </c>
      <c r="C478" s="10" t="s">
        <v>76</v>
      </c>
      <c r="D478" s="11">
        <v>2024</v>
      </c>
      <c r="E478" s="10" t="s">
        <v>81</v>
      </c>
      <c r="F478" s="10" t="s">
        <v>83</v>
      </c>
      <c r="G478" s="10" t="s">
        <v>84</v>
      </c>
      <c r="H478" s="12">
        <v>5309.5833333333303</v>
      </c>
      <c r="I478" s="11">
        <v>24</v>
      </c>
      <c r="J478" s="11">
        <v>17</v>
      </c>
      <c r="K478" s="11">
        <v>790</v>
      </c>
      <c r="L478" s="11">
        <v>4.5201286981087696E-3</v>
      </c>
      <c r="M478" s="11">
        <v>0.45201286981087679</v>
      </c>
      <c r="N478" s="11">
        <v>0.70833333333333304</v>
      </c>
      <c r="O478" s="11">
        <v>0.14878756964608</v>
      </c>
      <c r="P478" s="11">
        <v>4.89864864864865E-2</v>
      </c>
      <c r="Q478" s="11">
        <v>0.102040816326531</v>
      </c>
      <c r="R478" s="11">
        <v>7.1705426356589094E-2</v>
      </c>
      <c r="S478" s="10" t="s">
        <v>84</v>
      </c>
      <c r="T478" s="10" t="s">
        <v>84</v>
      </c>
      <c r="U478" s="10"/>
      <c r="V478" s="10"/>
      <c r="W478" s="10"/>
      <c r="X478" s="10"/>
      <c r="Y478" s="10"/>
      <c r="Z478" s="10"/>
      <c r="AA478" s="10"/>
    </row>
    <row r="479" spans="1:27" ht="12.5" x14ac:dyDescent="0.25">
      <c r="A479" s="10" t="s">
        <v>62</v>
      </c>
      <c r="B479" s="10" t="s">
        <v>1297</v>
      </c>
      <c r="C479" s="10" t="s">
        <v>76</v>
      </c>
      <c r="D479" s="11">
        <v>2024</v>
      </c>
      <c r="E479" s="10" t="s">
        <v>81</v>
      </c>
      <c r="F479" s="10" t="s">
        <v>83</v>
      </c>
      <c r="G479" s="10" t="s">
        <v>84</v>
      </c>
      <c r="H479" s="12">
        <v>11308</v>
      </c>
      <c r="I479" s="11">
        <v>51</v>
      </c>
      <c r="J479" s="11">
        <v>32</v>
      </c>
      <c r="K479" s="11">
        <v>7689</v>
      </c>
      <c r="L479" s="11">
        <v>4.5100813583303897E-3</v>
      </c>
      <c r="M479" s="11">
        <v>0.45100813583303856</v>
      </c>
      <c r="N479" s="11">
        <v>0.62745098039215697</v>
      </c>
      <c r="O479" s="11">
        <v>0.67996108949416301</v>
      </c>
      <c r="P479" s="11">
        <v>4.81418918918919E-2</v>
      </c>
      <c r="Q479" s="11">
        <v>2.7777777777777801E-2</v>
      </c>
      <c r="R479" s="11">
        <v>6.9767441860465101E-2</v>
      </c>
      <c r="S479" s="10" t="s">
        <v>84</v>
      </c>
      <c r="T479" s="10" t="s">
        <v>84</v>
      </c>
      <c r="U479" s="10"/>
      <c r="V479" s="10"/>
      <c r="W479" s="10"/>
      <c r="X479" s="10"/>
      <c r="Y479" s="10"/>
      <c r="Z479" s="10"/>
      <c r="AA479" s="10"/>
    </row>
    <row r="480" spans="1:27" ht="12.5" x14ac:dyDescent="0.25">
      <c r="A480" s="10" t="s">
        <v>82</v>
      </c>
      <c r="B480" s="10" t="s">
        <v>1299</v>
      </c>
      <c r="C480" s="10" t="s">
        <v>76</v>
      </c>
      <c r="D480" s="11">
        <v>2024</v>
      </c>
      <c r="E480" s="10" t="s">
        <v>81</v>
      </c>
      <c r="F480" s="10" t="s">
        <v>83</v>
      </c>
      <c r="G480" s="10" t="s">
        <v>84</v>
      </c>
      <c r="H480" s="12">
        <v>13609</v>
      </c>
      <c r="I480" s="11">
        <v>61</v>
      </c>
      <c r="J480" s="11">
        <v>45</v>
      </c>
      <c r="K480" s="11">
        <v>2104</v>
      </c>
      <c r="L480" s="11">
        <v>4.4823278712616604E-3</v>
      </c>
      <c r="M480" s="11">
        <v>0.44823278712616649</v>
      </c>
      <c r="N480" s="11">
        <v>0.73770491803278704</v>
      </c>
      <c r="O480" s="11">
        <v>0.15460357116614001</v>
      </c>
      <c r="P480" s="11">
        <v>4.72972972972973E-2</v>
      </c>
      <c r="Q480" s="11">
        <v>5.1724137931034503E-2</v>
      </c>
      <c r="R480" s="11">
        <v>6.7829457364341095E-2</v>
      </c>
      <c r="S480" s="10" t="s">
        <v>84</v>
      </c>
      <c r="T480" s="10" t="s">
        <v>84</v>
      </c>
      <c r="U480" s="10"/>
      <c r="V480" s="10"/>
      <c r="W480" s="10"/>
      <c r="X480" s="10"/>
      <c r="Y480" s="10"/>
      <c r="Z480" s="10"/>
      <c r="AA480" s="10"/>
    </row>
    <row r="481" spans="1:27" ht="12.5" x14ac:dyDescent="0.25">
      <c r="A481" s="10" t="s">
        <v>109</v>
      </c>
      <c r="B481" s="10" t="s">
        <v>1302</v>
      </c>
      <c r="C481" s="10" t="s">
        <v>76</v>
      </c>
      <c r="D481" s="11">
        <v>2024</v>
      </c>
      <c r="E481" s="10" t="s">
        <v>81</v>
      </c>
      <c r="F481" s="10" t="s">
        <v>83</v>
      </c>
      <c r="G481" s="10" t="s">
        <v>84</v>
      </c>
      <c r="H481" s="12">
        <v>5636.4166666666697</v>
      </c>
      <c r="I481" s="11">
        <v>25</v>
      </c>
      <c r="J481" s="11">
        <v>24</v>
      </c>
      <c r="K481" s="11">
        <v>618</v>
      </c>
      <c r="L481" s="11">
        <v>4.4354421396572896E-3</v>
      </c>
      <c r="M481" s="11">
        <v>0.44354421396572863</v>
      </c>
      <c r="N481" s="11">
        <v>0.96</v>
      </c>
      <c r="O481" s="11">
        <v>0.10964412969232799</v>
      </c>
      <c r="P481" s="11">
        <v>4.64527027027027E-2</v>
      </c>
      <c r="Q481" s="11">
        <v>5.5555555555555601E-2</v>
      </c>
      <c r="R481" s="11">
        <v>6.5891472868217102E-2</v>
      </c>
      <c r="S481" s="10" t="s">
        <v>84</v>
      </c>
      <c r="T481" s="10" t="s">
        <v>84</v>
      </c>
      <c r="U481" s="10"/>
      <c r="V481" s="10"/>
      <c r="W481" s="10"/>
      <c r="X481" s="10"/>
      <c r="Y481" s="10"/>
      <c r="Z481" s="10"/>
      <c r="AA481" s="10"/>
    </row>
    <row r="482" spans="1:27" ht="12.5" x14ac:dyDescent="0.25">
      <c r="A482" s="10" t="s">
        <v>62</v>
      </c>
      <c r="B482" s="10" t="s">
        <v>1304</v>
      </c>
      <c r="C482" s="10" t="s">
        <v>76</v>
      </c>
      <c r="D482" s="11">
        <v>2024</v>
      </c>
      <c r="E482" s="10" t="s">
        <v>81</v>
      </c>
      <c r="F482" s="10" t="s">
        <v>83</v>
      </c>
      <c r="G482" s="10" t="s">
        <v>84</v>
      </c>
      <c r="H482" s="12">
        <v>27918</v>
      </c>
      <c r="I482" s="11">
        <v>111</v>
      </c>
      <c r="J482" s="11">
        <v>89</v>
      </c>
      <c r="K482" s="11">
        <v>479</v>
      </c>
      <c r="L482" s="11">
        <v>3.9759295078443998E-3</v>
      </c>
      <c r="M482" s="11">
        <v>0.39759295078444012</v>
      </c>
      <c r="N482" s="11">
        <v>0.80180180180180205</v>
      </c>
      <c r="O482" s="11">
        <v>1.7157389497815E-2</v>
      </c>
      <c r="P482" s="11">
        <v>4.3074324324324301E-2</v>
      </c>
      <c r="Q482" s="11">
        <v>0</v>
      </c>
      <c r="R482" s="11">
        <v>6.3953488372092998E-2</v>
      </c>
      <c r="S482" s="10" t="s">
        <v>84</v>
      </c>
      <c r="T482" s="10" t="s">
        <v>84</v>
      </c>
      <c r="U482" s="10"/>
      <c r="V482" s="10"/>
      <c r="W482" s="10"/>
      <c r="X482" s="10"/>
      <c r="Y482" s="10"/>
      <c r="Z482" s="10"/>
      <c r="AA482" s="10"/>
    </row>
    <row r="483" spans="1:27" ht="12.5" x14ac:dyDescent="0.25">
      <c r="A483" s="10" t="s">
        <v>109</v>
      </c>
      <c r="B483" s="10" t="s">
        <v>1307</v>
      </c>
      <c r="C483" s="10" t="s">
        <v>76</v>
      </c>
      <c r="D483" s="11">
        <v>2024</v>
      </c>
      <c r="E483" s="10" t="s">
        <v>81</v>
      </c>
      <c r="F483" s="10" t="s">
        <v>83</v>
      </c>
      <c r="G483" s="10" t="s">
        <v>84</v>
      </c>
      <c r="H483" s="12">
        <v>6886</v>
      </c>
      <c r="I483" s="11">
        <v>26</v>
      </c>
      <c r="J483" s="11">
        <v>19</v>
      </c>
      <c r="K483" s="11">
        <v>942</v>
      </c>
      <c r="L483" s="11">
        <v>3.7757769387162399E-3</v>
      </c>
      <c r="M483" s="11">
        <v>0.3775776938716236</v>
      </c>
      <c r="N483" s="11">
        <v>0.73076923076923095</v>
      </c>
      <c r="O483" s="11">
        <v>0.13679930293348799</v>
      </c>
      <c r="P483" s="11">
        <v>4.1385135135135101E-2</v>
      </c>
      <c r="Q483" s="11">
        <v>0</v>
      </c>
      <c r="R483" s="11">
        <v>6.2015503875968998E-2</v>
      </c>
      <c r="S483" s="10" t="s">
        <v>84</v>
      </c>
      <c r="T483" s="10" t="s">
        <v>84</v>
      </c>
      <c r="U483" s="10"/>
      <c r="V483" s="10"/>
      <c r="W483" s="10"/>
      <c r="X483" s="10"/>
      <c r="Y483" s="10"/>
      <c r="Z483" s="10"/>
      <c r="AA483" s="10"/>
    </row>
    <row r="484" spans="1:27" ht="12.5" x14ac:dyDescent="0.25">
      <c r="A484" s="10" t="s">
        <v>110</v>
      </c>
      <c r="B484" s="10" t="s">
        <v>1309</v>
      </c>
      <c r="C484" s="10" t="s">
        <v>76</v>
      </c>
      <c r="D484" s="11">
        <v>2024</v>
      </c>
      <c r="E484" s="10" t="s">
        <v>81</v>
      </c>
      <c r="F484" s="10" t="s">
        <v>83</v>
      </c>
      <c r="G484" s="10" t="s">
        <v>84</v>
      </c>
      <c r="H484" s="12">
        <v>4384.5833333333303</v>
      </c>
      <c r="I484" s="11">
        <v>16</v>
      </c>
      <c r="J484" s="11">
        <v>15</v>
      </c>
      <c r="K484" s="11">
        <v>2071</v>
      </c>
      <c r="L484" s="11">
        <v>3.64914948208686E-3</v>
      </c>
      <c r="M484" s="11">
        <v>0.36491494820868597</v>
      </c>
      <c r="N484" s="11">
        <v>0.9375</v>
      </c>
      <c r="O484" s="11">
        <v>0.47233678608761798</v>
      </c>
      <c r="P484" s="11">
        <v>4.0540540540540501E-2</v>
      </c>
      <c r="Q484" s="11">
        <v>6.0606060606060601E-2</v>
      </c>
      <c r="R484" s="11">
        <v>6.0077519379844999E-2</v>
      </c>
      <c r="S484" s="10" t="s">
        <v>84</v>
      </c>
      <c r="T484" s="10" t="s">
        <v>84</v>
      </c>
      <c r="U484" s="10"/>
      <c r="V484" s="10"/>
      <c r="W484" s="10"/>
      <c r="X484" s="10"/>
      <c r="Y484" s="10"/>
      <c r="Z484" s="10"/>
      <c r="AA484" s="10"/>
    </row>
    <row r="485" spans="1:27" ht="12.5" x14ac:dyDescent="0.25">
      <c r="A485" s="10" t="s">
        <v>36</v>
      </c>
      <c r="B485" s="10" t="s">
        <v>1311</v>
      </c>
      <c r="C485" s="10" t="s">
        <v>76</v>
      </c>
      <c r="D485" s="11">
        <v>2024</v>
      </c>
      <c r="E485" s="10" t="s">
        <v>81</v>
      </c>
      <c r="F485" s="10" t="s">
        <v>83</v>
      </c>
      <c r="G485" s="10" t="s">
        <v>84</v>
      </c>
      <c r="H485" s="12">
        <v>179486.25</v>
      </c>
      <c r="I485" s="11">
        <v>654</v>
      </c>
      <c r="J485" s="11">
        <v>10840</v>
      </c>
      <c r="K485" s="11">
        <v>104784</v>
      </c>
      <c r="L485" s="11">
        <v>3.6437331550467E-3</v>
      </c>
      <c r="M485" s="11">
        <v>0.36437331550466956</v>
      </c>
      <c r="N485" s="11">
        <v>16.574923547400601</v>
      </c>
      <c r="O485" s="11">
        <v>0.58379959467647202</v>
      </c>
      <c r="P485" s="11">
        <v>3.9695945945945901E-2</v>
      </c>
      <c r="Q485" s="11">
        <v>0</v>
      </c>
      <c r="R485" s="11">
        <v>5.8139534883720902E-2</v>
      </c>
      <c r="S485" s="10" t="s">
        <v>84</v>
      </c>
      <c r="T485" s="10" t="s">
        <v>84</v>
      </c>
      <c r="U485" s="10"/>
      <c r="V485" s="10"/>
      <c r="W485" s="10"/>
      <c r="X485" s="10"/>
      <c r="Y485" s="10"/>
      <c r="Z485" s="10"/>
      <c r="AA485" s="10"/>
    </row>
    <row r="486" spans="1:27" ht="12.5" x14ac:dyDescent="0.25">
      <c r="A486" s="10" t="s">
        <v>34</v>
      </c>
      <c r="B486" s="10" t="s">
        <v>1313</v>
      </c>
      <c r="C486" s="10" t="s">
        <v>76</v>
      </c>
      <c r="D486" s="11">
        <v>2024</v>
      </c>
      <c r="E486" s="10" t="s">
        <v>81</v>
      </c>
      <c r="F486" s="10" t="s">
        <v>83</v>
      </c>
      <c r="G486" s="10" t="s">
        <v>84</v>
      </c>
      <c r="H486" s="12">
        <v>16261.583333333299</v>
      </c>
      <c r="I486" s="11">
        <v>59</v>
      </c>
      <c r="J486" s="11">
        <v>39</v>
      </c>
      <c r="K486" s="11">
        <v>361</v>
      </c>
      <c r="L486" s="11">
        <v>3.6281829875114699E-3</v>
      </c>
      <c r="M486" s="11">
        <v>0.36281829875114741</v>
      </c>
      <c r="N486" s="11">
        <v>0.66101694915254205</v>
      </c>
      <c r="O486" s="11">
        <v>2.2199560313417601E-2</v>
      </c>
      <c r="P486" s="11">
        <v>3.8851351351351399E-2</v>
      </c>
      <c r="Q486" s="11">
        <v>8.1632653061224497E-2</v>
      </c>
      <c r="R486" s="11">
        <v>5.6201550387596902E-2</v>
      </c>
      <c r="S486" s="10" t="s">
        <v>84</v>
      </c>
      <c r="T486" s="10" t="s">
        <v>84</v>
      </c>
      <c r="U486" s="10"/>
      <c r="V486" s="10"/>
      <c r="W486" s="10"/>
      <c r="X486" s="10"/>
      <c r="Y486" s="10"/>
      <c r="Z486" s="10"/>
      <c r="AA486" s="10"/>
    </row>
    <row r="487" spans="1:27" ht="12.5" x14ac:dyDescent="0.25">
      <c r="A487" s="10" t="s">
        <v>80</v>
      </c>
      <c r="B487" s="10" t="s">
        <v>1314</v>
      </c>
      <c r="C487" s="10" t="s">
        <v>76</v>
      </c>
      <c r="D487" s="11">
        <v>2024</v>
      </c>
      <c r="E487" s="10" t="s">
        <v>81</v>
      </c>
      <c r="F487" s="10" t="s">
        <v>83</v>
      </c>
      <c r="G487" s="10" t="s">
        <v>84</v>
      </c>
      <c r="H487" s="12">
        <v>15118.333333333299</v>
      </c>
      <c r="I487" s="11">
        <v>53</v>
      </c>
      <c r="J487" s="11">
        <v>53</v>
      </c>
      <c r="K487" s="11">
        <v>5063</v>
      </c>
      <c r="L487" s="11">
        <v>3.5056774335795399E-3</v>
      </c>
      <c r="M487" s="11">
        <v>0.35056774335795471</v>
      </c>
      <c r="N487" s="11">
        <v>1</v>
      </c>
      <c r="O487" s="11">
        <v>0.33489141219270202</v>
      </c>
      <c r="P487" s="11">
        <v>3.6317567567567599E-2</v>
      </c>
      <c r="Q487" s="11">
        <v>0.1</v>
      </c>
      <c r="R487" s="11">
        <v>5.4263565891472902E-2</v>
      </c>
      <c r="S487" s="10" t="s">
        <v>84</v>
      </c>
      <c r="T487" s="10" t="s">
        <v>84</v>
      </c>
      <c r="U487" s="10"/>
      <c r="V487" s="10"/>
      <c r="W487" s="10"/>
      <c r="X487" s="10"/>
      <c r="Y487" s="10"/>
      <c r="Z487" s="10"/>
      <c r="AA487" s="10"/>
    </row>
    <row r="488" spans="1:27" ht="12.5" x14ac:dyDescent="0.25">
      <c r="A488" s="10" t="s">
        <v>53</v>
      </c>
      <c r="B488" s="10" t="s">
        <v>1317</v>
      </c>
      <c r="C488" s="10" t="s">
        <v>76</v>
      </c>
      <c r="D488" s="11">
        <v>2024</v>
      </c>
      <c r="E488" s="10" t="s">
        <v>81</v>
      </c>
      <c r="F488" s="10" t="s">
        <v>83</v>
      </c>
      <c r="G488" s="10" t="s">
        <v>84</v>
      </c>
      <c r="H488" s="12">
        <v>13187.5</v>
      </c>
      <c r="I488" s="11">
        <v>46</v>
      </c>
      <c r="J488" s="11">
        <v>38</v>
      </c>
      <c r="K488" s="11">
        <v>234</v>
      </c>
      <c r="L488" s="11">
        <v>3.48815165876777E-3</v>
      </c>
      <c r="M488" s="11">
        <v>0.34881516587677724</v>
      </c>
      <c r="N488" s="11">
        <v>0.82608695652173902</v>
      </c>
      <c r="O488" s="11">
        <v>1.77440758293839E-2</v>
      </c>
      <c r="P488" s="11">
        <v>3.5472972972972999E-2</v>
      </c>
      <c r="Q488" s="11">
        <v>0.25</v>
      </c>
      <c r="R488" s="11">
        <v>5.2325581395348798E-2</v>
      </c>
      <c r="S488" s="10" t="s">
        <v>84</v>
      </c>
      <c r="T488" s="10" t="s">
        <v>84</v>
      </c>
      <c r="U488" s="10"/>
      <c r="V488" s="10"/>
      <c r="W488" s="10"/>
      <c r="X488" s="10"/>
      <c r="Y488" s="10"/>
      <c r="Z488" s="10"/>
      <c r="AA488" s="10"/>
    </row>
    <row r="489" spans="1:27" ht="12.5" x14ac:dyDescent="0.25">
      <c r="A489" s="10" t="s">
        <v>71</v>
      </c>
      <c r="B489" s="10" t="s">
        <v>1319</v>
      </c>
      <c r="C489" s="10" t="s">
        <v>76</v>
      </c>
      <c r="D489" s="11">
        <v>2024</v>
      </c>
      <c r="E489" s="10" t="s">
        <v>81</v>
      </c>
      <c r="F489" s="10" t="s">
        <v>83</v>
      </c>
      <c r="G489" s="10" t="s">
        <v>84</v>
      </c>
      <c r="H489" s="12">
        <v>30234</v>
      </c>
      <c r="I489" s="11">
        <v>98</v>
      </c>
      <c r="J489" s="11">
        <v>22</v>
      </c>
      <c r="K489" s="11">
        <v>49199</v>
      </c>
      <c r="L489" s="11">
        <v>3.2413838724614698E-3</v>
      </c>
      <c r="M489" s="11">
        <v>0.32413838724614674</v>
      </c>
      <c r="N489" s="11">
        <v>0.22448979591836701</v>
      </c>
      <c r="O489" s="11">
        <v>1.62727393001257</v>
      </c>
      <c r="P489" s="11">
        <v>3.4628378378378399E-2</v>
      </c>
      <c r="Q489" s="11">
        <v>0.33333333333333298</v>
      </c>
      <c r="R489" s="11">
        <v>5.0387596899224799E-2</v>
      </c>
      <c r="S489" s="10" t="s">
        <v>84</v>
      </c>
      <c r="T489" s="10" t="s">
        <v>84</v>
      </c>
      <c r="U489" s="10"/>
      <c r="V489" s="10"/>
      <c r="W489" s="10"/>
      <c r="X489" s="10"/>
      <c r="Y489" s="10"/>
      <c r="Z489" s="10"/>
      <c r="AA489" s="10"/>
    </row>
    <row r="490" spans="1:27" ht="12.5" x14ac:dyDescent="0.25">
      <c r="A490" s="10" t="s">
        <v>53</v>
      </c>
      <c r="B490" s="10" t="s">
        <v>1322</v>
      </c>
      <c r="C490" s="10" t="s">
        <v>76</v>
      </c>
      <c r="D490" s="11">
        <v>2024</v>
      </c>
      <c r="E490" s="10" t="s">
        <v>81</v>
      </c>
      <c r="F490" s="10" t="s">
        <v>83</v>
      </c>
      <c r="G490" s="10" t="s">
        <v>84</v>
      </c>
      <c r="H490" s="12">
        <v>7348.9166666666697</v>
      </c>
      <c r="I490" s="11">
        <v>21</v>
      </c>
      <c r="J490" s="11">
        <v>14</v>
      </c>
      <c r="K490" s="11">
        <v>159</v>
      </c>
      <c r="L490" s="11">
        <v>2.85756404005125E-3</v>
      </c>
      <c r="M490" s="11">
        <v>0.28575640400512536</v>
      </c>
      <c r="N490" s="11">
        <v>0.66666666666666696</v>
      </c>
      <c r="O490" s="11">
        <v>2.1635842017530899E-2</v>
      </c>
      <c r="P490" s="11">
        <v>3.20945945945946E-2</v>
      </c>
      <c r="Q490" s="11">
        <v>0.22500000000000001</v>
      </c>
      <c r="R490" s="11">
        <v>4.8449612403100799E-2</v>
      </c>
      <c r="S490" s="10" t="s">
        <v>84</v>
      </c>
      <c r="T490" s="10" t="s">
        <v>84</v>
      </c>
      <c r="U490" s="10"/>
      <c r="V490" s="10"/>
      <c r="W490" s="10"/>
      <c r="X490" s="10"/>
      <c r="Y490" s="10"/>
      <c r="Z490" s="10"/>
      <c r="AA490" s="10"/>
    </row>
    <row r="491" spans="1:27" ht="12.5" x14ac:dyDescent="0.25">
      <c r="A491" s="10" t="s">
        <v>72</v>
      </c>
      <c r="B491" s="10" t="s">
        <v>1325</v>
      </c>
      <c r="C491" s="10" t="s">
        <v>76</v>
      </c>
      <c r="D491" s="11">
        <v>2024</v>
      </c>
      <c r="E491" s="10" t="s">
        <v>81</v>
      </c>
      <c r="F491" s="10" t="s">
        <v>83</v>
      </c>
      <c r="G491" s="10" t="s">
        <v>84</v>
      </c>
      <c r="H491" s="12">
        <v>1194.6666666666699</v>
      </c>
      <c r="I491" s="11">
        <v>3</v>
      </c>
      <c r="J491" s="11">
        <v>3</v>
      </c>
      <c r="K491" s="11">
        <v>771</v>
      </c>
      <c r="L491" s="11">
        <v>2.5111607142857101E-3</v>
      </c>
      <c r="M491" s="11">
        <v>0.25111607142857073</v>
      </c>
      <c r="N491" s="11">
        <v>1</v>
      </c>
      <c r="O491" s="11">
        <v>0.64536830357142805</v>
      </c>
      <c r="P491" s="11">
        <v>2.87162162162162E-2</v>
      </c>
      <c r="Q491" s="11">
        <v>0</v>
      </c>
      <c r="R491" s="11">
        <v>4.6511627906976702E-2</v>
      </c>
      <c r="S491" s="10" t="s">
        <v>84</v>
      </c>
      <c r="T491" s="10" t="s">
        <v>84</v>
      </c>
      <c r="U491" s="10"/>
      <c r="V491" s="10"/>
      <c r="W491" s="10"/>
      <c r="X491" s="10"/>
      <c r="Y491" s="10"/>
      <c r="Z491" s="10"/>
      <c r="AA491" s="10"/>
    </row>
    <row r="492" spans="1:27" ht="12.5" x14ac:dyDescent="0.25">
      <c r="A492" s="10" t="s">
        <v>91</v>
      </c>
      <c r="B492" s="10" t="s">
        <v>1327</v>
      </c>
      <c r="C492" s="10" t="s">
        <v>76</v>
      </c>
      <c r="D492" s="11">
        <v>2024</v>
      </c>
      <c r="E492" s="10" t="s">
        <v>81</v>
      </c>
      <c r="F492" s="10" t="s">
        <v>83</v>
      </c>
      <c r="G492" s="10" t="s">
        <v>84</v>
      </c>
      <c r="H492" s="12">
        <v>1606.5</v>
      </c>
      <c r="I492" s="11">
        <v>4</v>
      </c>
      <c r="J492" s="11">
        <v>4</v>
      </c>
      <c r="K492" s="11">
        <v>123</v>
      </c>
      <c r="L492" s="11">
        <v>2.4898848428260198E-3</v>
      </c>
      <c r="M492" s="11">
        <v>0.24898848428260195</v>
      </c>
      <c r="N492" s="11">
        <v>1</v>
      </c>
      <c r="O492" s="11">
        <v>7.6563958916900099E-2</v>
      </c>
      <c r="P492" s="11">
        <v>2.7871621621621601E-2</v>
      </c>
      <c r="Q492" s="11">
        <v>0</v>
      </c>
      <c r="R492" s="11">
        <v>4.4573643410852702E-2</v>
      </c>
      <c r="S492" s="10" t="s">
        <v>84</v>
      </c>
      <c r="T492" s="10" t="s">
        <v>84</v>
      </c>
      <c r="U492" s="10"/>
      <c r="V492" s="10"/>
      <c r="W492" s="10"/>
      <c r="X492" s="10"/>
      <c r="Y492" s="10"/>
      <c r="Z492" s="10"/>
      <c r="AA492" s="10"/>
    </row>
    <row r="493" spans="1:27" ht="12.5" x14ac:dyDescent="0.25">
      <c r="A493" s="10" t="s">
        <v>80</v>
      </c>
      <c r="B493" s="10" t="s">
        <v>1328</v>
      </c>
      <c r="C493" s="10" t="s">
        <v>76</v>
      </c>
      <c r="D493" s="11">
        <v>2024</v>
      </c>
      <c r="E493" s="10" t="s">
        <v>81</v>
      </c>
      <c r="F493" s="10" t="s">
        <v>83</v>
      </c>
      <c r="G493" s="10" t="s">
        <v>84</v>
      </c>
      <c r="H493" s="12">
        <v>1609.8333333333301</v>
      </c>
      <c r="I493" s="11">
        <v>4</v>
      </c>
      <c r="J493" s="11">
        <v>1</v>
      </c>
      <c r="K493" s="11">
        <v>1166</v>
      </c>
      <c r="L493" s="11">
        <v>2.4847292680401701E-3</v>
      </c>
      <c r="M493" s="11">
        <v>0.2484729268040175</v>
      </c>
      <c r="N493" s="11">
        <v>0.25</v>
      </c>
      <c r="O493" s="11">
        <v>0.72429858163370997</v>
      </c>
      <c r="P493" s="11">
        <v>2.7027027027027001E-2</v>
      </c>
      <c r="Q493" s="11">
        <v>0</v>
      </c>
      <c r="R493" s="11">
        <v>4.2635658914728702E-2</v>
      </c>
      <c r="S493" s="10" t="s">
        <v>84</v>
      </c>
      <c r="T493" s="10" t="s">
        <v>84</v>
      </c>
      <c r="U493" s="10"/>
      <c r="V493" s="10"/>
      <c r="W493" s="10"/>
      <c r="X493" s="10"/>
      <c r="Y493" s="10"/>
      <c r="Z493" s="10"/>
      <c r="AA493" s="10"/>
    </row>
    <row r="494" spans="1:27" ht="12.5" x14ac:dyDescent="0.25">
      <c r="A494" s="10" t="s">
        <v>34</v>
      </c>
      <c r="B494" s="10" t="s">
        <v>1330</v>
      </c>
      <c r="C494" s="10" t="s">
        <v>76</v>
      </c>
      <c r="D494" s="11">
        <v>2024</v>
      </c>
      <c r="E494" s="10" t="s">
        <v>81</v>
      </c>
      <c r="F494" s="10" t="s">
        <v>83</v>
      </c>
      <c r="G494" s="10" t="s">
        <v>84</v>
      </c>
      <c r="H494" s="12">
        <v>26092.166666666701</v>
      </c>
      <c r="I494" s="11">
        <v>60</v>
      </c>
      <c r="J494" s="11">
        <v>45</v>
      </c>
      <c r="K494" s="11">
        <v>21304</v>
      </c>
      <c r="L494" s="11">
        <v>2.29954073061519E-3</v>
      </c>
      <c r="M494" s="11">
        <v>0.22995407306151883</v>
      </c>
      <c r="N494" s="11">
        <v>0.75</v>
      </c>
      <c r="O494" s="11">
        <v>0.81649026208376696</v>
      </c>
      <c r="P494" s="11">
        <v>2.6182432432432401E-2</v>
      </c>
      <c r="Q494" s="11">
        <v>6.1224489795918401E-2</v>
      </c>
      <c r="R494" s="11">
        <v>4.0697674418604703E-2</v>
      </c>
      <c r="S494" s="10" t="s">
        <v>84</v>
      </c>
      <c r="T494" s="10" t="s">
        <v>84</v>
      </c>
      <c r="U494" s="10"/>
      <c r="V494" s="10"/>
      <c r="W494" s="10"/>
      <c r="X494" s="10"/>
      <c r="Y494" s="10"/>
      <c r="Z494" s="10"/>
      <c r="AA494" s="10"/>
    </row>
    <row r="495" spans="1:27" ht="12.5" x14ac:dyDescent="0.25">
      <c r="A495" s="10" t="s">
        <v>34</v>
      </c>
      <c r="B495" s="10" t="s">
        <v>1333</v>
      </c>
      <c r="C495" s="10" t="s">
        <v>76</v>
      </c>
      <c r="D495" s="11">
        <v>2024</v>
      </c>
      <c r="E495" s="10" t="s">
        <v>81</v>
      </c>
      <c r="F495" s="10" t="s">
        <v>83</v>
      </c>
      <c r="G495" s="10" t="s">
        <v>84</v>
      </c>
      <c r="H495" s="12">
        <v>15316.916666666701</v>
      </c>
      <c r="I495" s="11">
        <v>32</v>
      </c>
      <c r="J495" s="11">
        <v>17</v>
      </c>
      <c r="K495" s="11">
        <v>2346</v>
      </c>
      <c r="L495" s="11">
        <v>2.0891933211100999E-3</v>
      </c>
      <c r="M495" s="11">
        <v>0.20891933211100969</v>
      </c>
      <c r="N495" s="11">
        <v>0.53125</v>
      </c>
      <c r="O495" s="11">
        <v>0.15316398535388401</v>
      </c>
      <c r="P495" s="11">
        <v>2.3648648648648601E-2</v>
      </c>
      <c r="Q495" s="11">
        <v>4.08163265306122E-2</v>
      </c>
      <c r="R495" s="11">
        <v>3.8759689922480599E-2</v>
      </c>
      <c r="S495" s="10" t="s">
        <v>84</v>
      </c>
      <c r="T495" s="10" t="s">
        <v>84</v>
      </c>
      <c r="U495" s="10"/>
      <c r="V495" s="10"/>
      <c r="W495" s="10"/>
      <c r="X495" s="10"/>
      <c r="Y495" s="10"/>
      <c r="Z495" s="10"/>
      <c r="AA495" s="10"/>
    </row>
    <row r="496" spans="1:27" ht="12.5" x14ac:dyDescent="0.25">
      <c r="A496" s="10" t="s">
        <v>115</v>
      </c>
      <c r="B496" s="10" t="s">
        <v>1314</v>
      </c>
      <c r="C496" s="10" t="s">
        <v>76</v>
      </c>
      <c r="D496" s="11">
        <v>2024</v>
      </c>
      <c r="E496" s="10" t="s">
        <v>81</v>
      </c>
      <c r="F496" s="10" t="s">
        <v>83</v>
      </c>
      <c r="G496" s="10" t="s">
        <v>84</v>
      </c>
      <c r="H496" s="12">
        <v>1469.3333333333301</v>
      </c>
      <c r="I496" s="11">
        <v>3</v>
      </c>
      <c r="J496" s="11">
        <v>3</v>
      </c>
      <c r="K496" s="11">
        <v>547</v>
      </c>
      <c r="L496" s="11">
        <v>2.0417422867513601E-3</v>
      </c>
      <c r="M496" s="11">
        <v>0.20417422867513657</v>
      </c>
      <c r="N496" s="11">
        <v>1</v>
      </c>
      <c r="O496" s="11">
        <v>0.372277676950998</v>
      </c>
      <c r="P496" s="11">
        <v>2.2804054054054099E-2</v>
      </c>
      <c r="Q496" s="11">
        <v>0.33333333333333298</v>
      </c>
      <c r="R496" s="11">
        <v>3.6821705426356599E-2</v>
      </c>
      <c r="S496" s="10" t="s">
        <v>84</v>
      </c>
      <c r="T496" s="10" t="s">
        <v>84</v>
      </c>
      <c r="U496" s="10"/>
      <c r="V496" s="10"/>
      <c r="W496" s="10"/>
      <c r="X496" s="10"/>
      <c r="Y496" s="10"/>
      <c r="Z496" s="10"/>
      <c r="AA496" s="10"/>
    </row>
    <row r="497" spans="1:27" ht="12.5" x14ac:dyDescent="0.25">
      <c r="A497" s="10" t="s">
        <v>34</v>
      </c>
      <c r="B497" s="10" t="s">
        <v>1336</v>
      </c>
      <c r="C497" s="10" t="s">
        <v>76</v>
      </c>
      <c r="D497" s="11">
        <v>2024</v>
      </c>
      <c r="E497" s="10" t="s">
        <v>81</v>
      </c>
      <c r="F497" s="10" t="s">
        <v>83</v>
      </c>
      <c r="G497" s="10" t="s">
        <v>84</v>
      </c>
      <c r="H497" s="12">
        <v>30061.666666666701</v>
      </c>
      <c r="I497" s="11">
        <v>54</v>
      </c>
      <c r="J497" s="11">
        <v>31</v>
      </c>
      <c r="K497" s="11">
        <v>7863</v>
      </c>
      <c r="L497" s="11">
        <v>1.79630758995398E-3</v>
      </c>
      <c r="M497" s="11">
        <v>0.17963075899539815</v>
      </c>
      <c r="N497" s="11">
        <v>0.57407407407407396</v>
      </c>
      <c r="O497" s="11">
        <v>0.26156234407052198</v>
      </c>
      <c r="P497" s="11">
        <v>2.0270270270270299E-2</v>
      </c>
      <c r="Q497" s="11">
        <v>2.04081632653061E-2</v>
      </c>
      <c r="R497" s="11">
        <v>3.4883720930232599E-2</v>
      </c>
      <c r="S497" s="10" t="s">
        <v>84</v>
      </c>
      <c r="T497" s="10" t="s">
        <v>84</v>
      </c>
      <c r="U497" s="10"/>
      <c r="V497" s="10"/>
      <c r="W497" s="10"/>
      <c r="X497" s="10"/>
      <c r="Y497" s="10"/>
      <c r="Z497" s="10"/>
      <c r="AA497" s="10"/>
    </row>
    <row r="498" spans="1:27" ht="12.5" x14ac:dyDescent="0.25">
      <c r="A498" s="10" t="s">
        <v>53</v>
      </c>
      <c r="B498" s="10" t="s">
        <v>1338</v>
      </c>
      <c r="C498" s="10" t="s">
        <v>76</v>
      </c>
      <c r="D498" s="11">
        <v>2024</v>
      </c>
      <c r="E498" s="10" t="s">
        <v>81</v>
      </c>
      <c r="F498" s="10" t="s">
        <v>83</v>
      </c>
      <c r="G498" s="10" t="s">
        <v>84</v>
      </c>
      <c r="H498" s="12">
        <v>11738.583333333299</v>
      </c>
      <c r="I498" s="11">
        <v>21</v>
      </c>
      <c r="J498" s="11">
        <v>15</v>
      </c>
      <c r="K498" s="11">
        <v>320</v>
      </c>
      <c r="L498" s="11">
        <v>1.7889722638308101E-3</v>
      </c>
      <c r="M498" s="11">
        <v>0.17889722638308195</v>
      </c>
      <c r="N498" s="11">
        <v>0.71428571428571397</v>
      </c>
      <c r="O498" s="11">
        <v>2.72605297345648E-2</v>
      </c>
      <c r="P498" s="11">
        <v>1.9425675675675699E-2</v>
      </c>
      <c r="Q498" s="11">
        <v>0.15</v>
      </c>
      <c r="R498" s="11">
        <v>3.2945736434108502E-2</v>
      </c>
      <c r="S498" s="10" t="s">
        <v>84</v>
      </c>
      <c r="T498" s="10" t="s">
        <v>84</v>
      </c>
      <c r="U498" s="10"/>
      <c r="V498" s="10"/>
      <c r="W498" s="10"/>
      <c r="X498" s="10"/>
      <c r="Y498" s="10"/>
      <c r="Z498" s="10"/>
      <c r="AA498" s="10"/>
    </row>
    <row r="499" spans="1:27" ht="12.5" x14ac:dyDescent="0.25">
      <c r="A499" s="10" t="s">
        <v>104</v>
      </c>
      <c r="B499" s="10" t="s">
        <v>1341</v>
      </c>
      <c r="C499" s="10" t="s">
        <v>76</v>
      </c>
      <c r="D499" s="11">
        <v>2024</v>
      </c>
      <c r="E499" s="10" t="s">
        <v>81</v>
      </c>
      <c r="F499" s="10" t="s">
        <v>83</v>
      </c>
      <c r="G499" s="10" t="s">
        <v>84</v>
      </c>
      <c r="H499" s="12">
        <v>18956.666666666701</v>
      </c>
      <c r="I499" s="11">
        <v>30</v>
      </c>
      <c r="J499" s="11">
        <v>32</v>
      </c>
      <c r="K499" s="11">
        <v>304</v>
      </c>
      <c r="L499" s="11">
        <v>1.5825567082820499E-3</v>
      </c>
      <c r="M499" s="11">
        <v>0.15825567082820438</v>
      </c>
      <c r="N499" s="11">
        <v>1.06666666666667</v>
      </c>
      <c r="O499" s="11">
        <v>1.60365746439247E-2</v>
      </c>
      <c r="P499" s="11">
        <v>1.8581081081081099E-2</v>
      </c>
      <c r="Q499" s="11">
        <v>3.4482758620689703E-2</v>
      </c>
      <c r="R499" s="11">
        <v>3.1007751937984499E-2</v>
      </c>
      <c r="S499" s="10" t="s">
        <v>84</v>
      </c>
      <c r="T499" s="10" t="s">
        <v>84</v>
      </c>
      <c r="U499" s="10"/>
      <c r="V499" s="10"/>
      <c r="W499" s="10"/>
      <c r="X499" s="10"/>
      <c r="Y499" s="10"/>
      <c r="Z499" s="10"/>
      <c r="AA499" s="10"/>
    </row>
    <row r="500" spans="1:27" ht="12.5" x14ac:dyDescent="0.25">
      <c r="A500" s="10" t="s">
        <v>86</v>
      </c>
      <c r="B500" s="10" t="s">
        <v>1342</v>
      </c>
      <c r="C500" s="10" t="s">
        <v>76</v>
      </c>
      <c r="D500" s="11">
        <v>2024</v>
      </c>
      <c r="E500" s="10" t="s">
        <v>81</v>
      </c>
      <c r="F500" s="10" t="s">
        <v>83</v>
      </c>
      <c r="G500" s="10" t="s">
        <v>84</v>
      </c>
      <c r="H500" s="12">
        <v>21550.5</v>
      </c>
      <c r="I500" s="11">
        <v>34</v>
      </c>
      <c r="J500" s="11">
        <v>24</v>
      </c>
      <c r="K500" s="11">
        <v>30175</v>
      </c>
      <c r="L500" s="11">
        <v>1.57768961277001E-3</v>
      </c>
      <c r="M500" s="11">
        <v>0.15776896127700052</v>
      </c>
      <c r="N500" s="11">
        <v>0.70588235294117696</v>
      </c>
      <c r="O500" s="11">
        <v>1.4001995313333799</v>
      </c>
      <c r="P500" s="11">
        <v>1.77364864864865E-2</v>
      </c>
      <c r="Q500" s="11">
        <v>0</v>
      </c>
      <c r="R500" s="11">
        <v>2.9069767441860499E-2</v>
      </c>
      <c r="S500" s="10" t="s">
        <v>84</v>
      </c>
      <c r="T500" s="10" t="s">
        <v>84</v>
      </c>
      <c r="U500" s="10"/>
      <c r="V500" s="10"/>
      <c r="W500" s="10"/>
      <c r="X500" s="10"/>
      <c r="Y500" s="10"/>
      <c r="Z500" s="10"/>
      <c r="AA500" s="10"/>
    </row>
    <row r="501" spans="1:27" ht="12.5" x14ac:dyDescent="0.25">
      <c r="A501" s="10" t="s">
        <v>10</v>
      </c>
      <c r="B501" s="10" t="s">
        <v>1343</v>
      </c>
      <c r="C501" s="10" t="s">
        <v>76</v>
      </c>
      <c r="D501" s="11">
        <v>2024</v>
      </c>
      <c r="E501" s="10" t="s">
        <v>81</v>
      </c>
      <c r="F501" s="10" t="s">
        <v>83</v>
      </c>
      <c r="G501" s="10" t="s">
        <v>84</v>
      </c>
      <c r="H501" s="12">
        <v>18961</v>
      </c>
      <c r="I501" s="11">
        <v>27</v>
      </c>
      <c r="J501" s="11">
        <v>5</v>
      </c>
      <c r="K501" s="11">
        <v>19062</v>
      </c>
      <c r="L501" s="11">
        <v>1.4239755287168399E-3</v>
      </c>
      <c r="M501" s="11">
        <v>0.14239755287168399</v>
      </c>
      <c r="N501" s="11">
        <v>0.18518518518518501</v>
      </c>
      <c r="O501" s="11">
        <v>1.0053267232740899</v>
      </c>
      <c r="P501" s="11">
        <v>1.68918918918919E-2</v>
      </c>
      <c r="Q501" s="11">
        <v>0</v>
      </c>
      <c r="R501" s="11">
        <v>2.7131782945736399E-2</v>
      </c>
      <c r="S501" s="10" t="s">
        <v>84</v>
      </c>
      <c r="T501" s="10" t="s">
        <v>84</v>
      </c>
      <c r="U501" s="10"/>
      <c r="V501" s="10"/>
      <c r="W501" s="10"/>
      <c r="X501" s="10"/>
      <c r="Y501" s="10"/>
      <c r="Z501" s="10"/>
      <c r="AA501" s="10"/>
    </row>
    <row r="502" spans="1:27" ht="12.5" x14ac:dyDescent="0.25">
      <c r="A502" s="10" t="s">
        <v>12</v>
      </c>
      <c r="B502" s="10" t="s">
        <v>1344</v>
      </c>
      <c r="C502" s="10" t="s">
        <v>76</v>
      </c>
      <c r="D502" s="11">
        <v>2024</v>
      </c>
      <c r="E502" s="10" t="s">
        <v>81</v>
      </c>
      <c r="F502" s="10" t="s">
        <v>83</v>
      </c>
      <c r="G502" s="10" t="s">
        <v>84</v>
      </c>
      <c r="H502" s="12">
        <v>3062.75</v>
      </c>
      <c r="I502" s="11">
        <v>4</v>
      </c>
      <c r="J502" s="11">
        <v>2</v>
      </c>
      <c r="K502" s="11">
        <v>2061</v>
      </c>
      <c r="L502" s="11">
        <v>1.3060158354420001E-3</v>
      </c>
      <c r="M502" s="11">
        <v>0.13060158354420046</v>
      </c>
      <c r="N502" s="11">
        <v>0.5</v>
      </c>
      <c r="O502" s="11">
        <v>0.67292465921149303</v>
      </c>
      <c r="P502" s="11">
        <v>1.60472972972973E-2</v>
      </c>
      <c r="Q502" s="11">
        <v>0</v>
      </c>
      <c r="R502" s="11">
        <v>2.5193798449612399E-2</v>
      </c>
      <c r="S502" s="10" t="s">
        <v>84</v>
      </c>
      <c r="T502" s="10" t="s">
        <v>84</v>
      </c>
      <c r="U502" s="10"/>
      <c r="V502" s="10"/>
      <c r="W502" s="10"/>
      <c r="X502" s="10"/>
      <c r="Y502" s="10"/>
      <c r="Z502" s="10"/>
      <c r="AA502" s="10"/>
    </row>
    <row r="503" spans="1:27" ht="12.5" x14ac:dyDescent="0.25">
      <c r="A503" s="10" t="s">
        <v>6</v>
      </c>
      <c r="B503" s="10" t="s">
        <v>1345</v>
      </c>
      <c r="C503" s="10" t="s">
        <v>76</v>
      </c>
      <c r="D503" s="11">
        <v>2024</v>
      </c>
      <c r="E503" s="10" t="s">
        <v>81</v>
      </c>
      <c r="F503" s="10" t="s">
        <v>83</v>
      </c>
      <c r="G503" s="10" t="s">
        <v>84</v>
      </c>
      <c r="H503" s="12">
        <v>2388.6666666666702</v>
      </c>
      <c r="I503" s="11">
        <v>3</v>
      </c>
      <c r="J503" s="11">
        <v>0</v>
      </c>
      <c r="K503" s="11">
        <v>1133</v>
      </c>
      <c r="L503" s="11">
        <v>1.2559307842589999E-3</v>
      </c>
      <c r="M503" s="11">
        <v>0.1255930784258999</v>
      </c>
      <c r="N503" s="11">
        <v>0</v>
      </c>
      <c r="O503" s="11">
        <v>0.47432319285514901</v>
      </c>
      <c r="P503" s="11">
        <v>1.52027027027027E-2</v>
      </c>
      <c r="Q503" s="11">
        <v>0</v>
      </c>
      <c r="R503" s="11">
        <v>2.32558139534884E-2</v>
      </c>
      <c r="S503" s="10" t="s">
        <v>84</v>
      </c>
      <c r="T503" s="10" t="s">
        <v>84</v>
      </c>
      <c r="U503" s="10"/>
      <c r="V503" s="10"/>
      <c r="W503" s="10"/>
      <c r="X503" s="10"/>
      <c r="Y503" s="10"/>
      <c r="Z503" s="10"/>
      <c r="AA503" s="10"/>
    </row>
    <row r="504" spans="1:27" ht="12.5" x14ac:dyDescent="0.25">
      <c r="A504" s="10" t="s">
        <v>53</v>
      </c>
      <c r="B504" s="10" t="s">
        <v>1346</v>
      </c>
      <c r="C504" s="10" t="s">
        <v>76</v>
      </c>
      <c r="D504" s="11">
        <v>2024</v>
      </c>
      <c r="E504" s="10" t="s">
        <v>81</v>
      </c>
      <c r="F504" s="10" t="s">
        <v>125</v>
      </c>
      <c r="G504" s="10" t="s">
        <v>84</v>
      </c>
      <c r="H504" s="12">
        <v>1720.9166666666699</v>
      </c>
      <c r="I504" s="11">
        <v>2</v>
      </c>
      <c r="J504" s="11">
        <v>1</v>
      </c>
      <c r="K504" s="11">
        <v>13</v>
      </c>
      <c r="L504" s="11">
        <v>1.16217132342259E-3</v>
      </c>
      <c r="M504" s="11">
        <v>0.11621713234225924</v>
      </c>
      <c r="N504" s="11">
        <v>0.5</v>
      </c>
      <c r="O504" s="11">
        <v>7.5541136022468603E-3</v>
      </c>
      <c r="P504" s="11">
        <v>1.43581081081081E-2</v>
      </c>
      <c r="Q504" s="11">
        <v>0.125</v>
      </c>
      <c r="R504" s="11">
        <v>2.1317829457364299E-2</v>
      </c>
      <c r="S504" s="10" t="s">
        <v>84</v>
      </c>
      <c r="T504" s="10" t="s">
        <v>84</v>
      </c>
      <c r="U504" s="10"/>
      <c r="V504" s="10"/>
      <c r="W504" s="10"/>
      <c r="X504" s="10"/>
      <c r="Y504" s="10"/>
      <c r="Z504" s="10"/>
      <c r="AA504" s="10"/>
    </row>
    <row r="505" spans="1:27" ht="12.5" x14ac:dyDescent="0.25">
      <c r="A505" s="10" t="s">
        <v>104</v>
      </c>
      <c r="B505" s="10" t="s">
        <v>1347</v>
      </c>
      <c r="C505" s="10" t="s">
        <v>76</v>
      </c>
      <c r="D505" s="11">
        <v>2024</v>
      </c>
      <c r="E505" s="10" t="s">
        <v>81</v>
      </c>
      <c r="F505" s="10" t="s">
        <v>83</v>
      </c>
      <c r="G505" s="10" t="s">
        <v>84</v>
      </c>
      <c r="H505" s="12">
        <v>2632.0833333333298</v>
      </c>
      <c r="I505" s="11">
        <v>3</v>
      </c>
      <c r="J505" s="11">
        <v>2</v>
      </c>
      <c r="K505" s="11">
        <v>68</v>
      </c>
      <c r="L505" s="11">
        <v>1.1397815418711401E-3</v>
      </c>
      <c r="M505" s="11">
        <v>0.11397815418711429</v>
      </c>
      <c r="N505" s="11">
        <v>0.66666666666666696</v>
      </c>
      <c r="O505" s="11">
        <v>2.5835048282412499E-2</v>
      </c>
      <c r="P505" s="11">
        <v>1.35135135135135E-2</v>
      </c>
      <c r="Q505" s="11">
        <v>0</v>
      </c>
      <c r="R505" s="11">
        <v>1.9379844961240299E-2</v>
      </c>
      <c r="S505" s="10" t="s">
        <v>84</v>
      </c>
      <c r="T505" s="10" t="s">
        <v>84</v>
      </c>
      <c r="U505" s="10"/>
      <c r="V505" s="10"/>
      <c r="W505" s="10"/>
      <c r="X505" s="10"/>
      <c r="Y505" s="10"/>
      <c r="Z505" s="10"/>
      <c r="AA505" s="10"/>
    </row>
    <row r="506" spans="1:27" ht="12.5" x14ac:dyDescent="0.25">
      <c r="A506" s="10" t="s">
        <v>53</v>
      </c>
      <c r="B506" s="10" t="s">
        <v>1313</v>
      </c>
      <c r="C506" s="10" t="s">
        <v>76</v>
      </c>
      <c r="D506" s="11">
        <v>2024</v>
      </c>
      <c r="E506" s="10" t="s">
        <v>81</v>
      </c>
      <c r="F506" s="10" t="s">
        <v>83</v>
      </c>
      <c r="G506" s="10" t="s">
        <v>84</v>
      </c>
      <c r="H506" s="12">
        <v>7238.6666666666697</v>
      </c>
      <c r="I506" s="11">
        <v>8</v>
      </c>
      <c r="J506" s="11">
        <v>7</v>
      </c>
      <c r="K506" s="11">
        <v>32</v>
      </c>
      <c r="L506" s="11">
        <v>1.10517590716522E-3</v>
      </c>
      <c r="M506" s="11">
        <v>0.11051759071652233</v>
      </c>
      <c r="N506" s="11">
        <v>0.875</v>
      </c>
      <c r="O506" s="11">
        <v>4.4207036286609E-3</v>
      </c>
      <c r="P506" s="11">
        <v>1.2668918918918901E-2</v>
      </c>
      <c r="Q506" s="11">
        <v>0.1</v>
      </c>
      <c r="R506" s="11">
        <v>1.74418604651163E-2</v>
      </c>
      <c r="S506" s="10" t="s">
        <v>84</v>
      </c>
      <c r="T506" s="10" t="s">
        <v>84</v>
      </c>
      <c r="U506" s="10"/>
      <c r="V506" s="10"/>
      <c r="W506" s="10"/>
      <c r="X506" s="10"/>
      <c r="Y506" s="10"/>
      <c r="Z506" s="10"/>
      <c r="AA506" s="10"/>
    </row>
    <row r="507" spans="1:27" ht="12.5" x14ac:dyDescent="0.25">
      <c r="A507" s="10" t="s">
        <v>115</v>
      </c>
      <c r="B507" s="10" t="s">
        <v>1348</v>
      </c>
      <c r="C507" s="10" t="s">
        <v>76</v>
      </c>
      <c r="D507" s="11">
        <v>2024</v>
      </c>
      <c r="E507" s="10" t="s">
        <v>81</v>
      </c>
      <c r="F507" s="10" t="s">
        <v>83</v>
      </c>
      <c r="G507" s="10" t="s">
        <v>84</v>
      </c>
      <c r="H507" s="12">
        <v>6999.5</v>
      </c>
      <c r="I507" s="11">
        <v>5</v>
      </c>
      <c r="J507" s="11">
        <v>1</v>
      </c>
      <c r="K507" s="11">
        <v>173</v>
      </c>
      <c r="L507" s="11">
        <v>7.1433673833845297E-4</v>
      </c>
      <c r="M507" s="11">
        <v>7.1433673833845274E-2</v>
      </c>
      <c r="N507" s="11">
        <v>0.2</v>
      </c>
      <c r="O507" s="11">
        <v>2.4716051146510501E-2</v>
      </c>
      <c r="P507" s="11">
        <v>1.1824324324324301E-2</v>
      </c>
      <c r="Q507" s="11">
        <v>0.22222222222222199</v>
      </c>
      <c r="R507" s="11">
        <v>1.5503875968992199E-2</v>
      </c>
      <c r="S507" s="10" t="s">
        <v>84</v>
      </c>
      <c r="T507" s="10" t="s">
        <v>84</v>
      </c>
      <c r="U507" s="10"/>
      <c r="V507" s="10"/>
      <c r="W507" s="10"/>
      <c r="X507" s="10"/>
      <c r="Y507" s="10"/>
      <c r="Z507" s="10"/>
      <c r="AA507" s="10"/>
    </row>
    <row r="508" spans="1:27" ht="12.5" x14ac:dyDescent="0.25">
      <c r="A508" s="10" t="s">
        <v>53</v>
      </c>
      <c r="B508" s="10" t="s">
        <v>1349</v>
      </c>
      <c r="C508" s="10" t="s">
        <v>76</v>
      </c>
      <c r="D508" s="11">
        <v>2024</v>
      </c>
      <c r="E508" s="10" t="s">
        <v>81</v>
      </c>
      <c r="F508" s="10" t="s">
        <v>125</v>
      </c>
      <c r="G508" s="10" t="s">
        <v>84</v>
      </c>
      <c r="H508" s="12">
        <v>1646.5833333333301</v>
      </c>
      <c r="I508" s="11">
        <v>1</v>
      </c>
      <c r="J508" s="11">
        <v>1</v>
      </c>
      <c r="K508" s="11">
        <v>3</v>
      </c>
      <c r="L508" s="11">
        <v>6.0731818411862998E-4</v>
      </c>
      <c r="M508" s="11">
        <v>6.0731818411863064E-2</v>
      </c>
      <c r="N508" s="11">
        <v>1</v>
      </c>
      <c r="O508" s="11">
        <v>1.82195455235589E-3</v>
      </c>
      <c r="P508" s="11">
        <v>1.0135135135135099E-2</v>
      </c>
      <c r="Q508" s="11">
        <v>7.4999999999999997E-2</v>
      </c>
      <c r="R508" s="11">
        <v>1.35658914728682E-2</v>
      </c>
      <c r="S508" s="10" t="s">
        <v>84</v>
      </c>
      <c r="T508" s="10" t="s">
        <v>84</v>
      </c>
      <c r="U508" s="10"/>
      <c r="V508" s="10"/>
      <c r="W508" s="10"/>
      <c r="X508" s="10"/>
      <c r="Y508" s="10"/>
      <c r="Z508" s="10"/>
      <c r="AA508" s="10"/>
    </row>
    <row r="509" spans="1:27" ht="12.5" x14ac:dyDescent="0.25">
      <c r="A509" s="10" t="s">
        <v>112</v>
      </c>
      <c r="B509" s="10" t="s">
        <v>1328</v>
      </c>
      <c r="C509" s="10" t="s">
        <v>76</v>
      </c>
      <c r="D509" s="11">
        <v>2024</v>
      </c>
      <c r="E509" s="10" t="s">
        <v>81</v>
      </c>
      <c r="F509" s="10" t="s">
        <v>83</v>
      </c>
      <c r="G509" s="10" t="s">
        <v>84</v>
      </c>
      <c r="H509" s="12">
        <v>22583.833333333299</v>
      </c>
      <c r="I509" s="11">
        <v>9</v>
      </c>
      <c r="J509" s="11">
        <v>7</v>
      </c>
      <c r="K509" s="11">
        <v>18073</v>
      </c>
      <c r="L509" s="11">
        <v>3.9851516202593298E-4</v>
      </c>
      <c r="M509" s="11">
        <v>3.9851516202593355E-2</v>
      </c>
      <c r="N509" s="11">
        <v>0.77777777777777801</v>
      </c>
      <c r="O509" s="11">
        <v>0.80026272481052096</v>
      </c>
      <c r="P509" s="11">
        <v>9.2905405405405393E-3</v>
      </c>
      <c r="Q509" s="11">
        <v>0</v>
      </c>
      <c r="R509" s="11">
        <v>1.16279069767442E-2</v>
      </c>
      <c r="S509" s="10" t="s">
        <v>84</v>
      </c>
      <c r="T509" s="10" t="s">
        <v>84</v>
      </c>
      <c r="U509" s="10"/>
      <c r="V509" s="10"/>
      <c r="W509" s="10"/>
      <c r="X509" s="10"/>
      <c r="Y509" s="10"/>
      <c r="Z509" s="10"/>
      <c r="AA509" s="10"/>
    </row>
    <row r="510" spans="1:27" ht="12.5" x14ac:dyDescent="0.25">
      <c r="A510" s="10" t="s">
        <v>53</v>
      </c>
      <c r="B510" s="10" t="s">
        <v>1351</v>
      </c>
      <c r="C510" s="10" t="s">
        <v>76</v>
      </c>
      <c r="D510" s="11">
        <v>2024</v>
      </c>
      <c r="E510" s="10" t="s">
        <v>81</v>
      </c>
      <c r="F510" s="10" t="s">
        <v>83</v>
      </c>
      <c r="G510" s="10" t="s">
        <v>84</v>
      </c>
      <c r="H510" s="12">
        <v>6830.25</v>
      </c>
      <c r="I510" s="11">
        <v>2</v>
      </c>
      <c r="J510" s="11">
        <v>2</v>
      </c>
      <c r="K510" s="11">
        <v>122</v>
      </c>
      <c r="L510" s="11">
        <v>2.9281505069360598E-4</v>
      </c>
      <c r="M510" s="11">
        <v>2.9281505069360565E-2</v>
      </c>
      <c r="N510" s="11">
        <v>1</v>
      </c>
      <c r="O510" s="11">
        <v>1.7861718092309901E-2</v>
      </c>
      <c r="P510" s="11">
        <v>8.4459459459459499E-3</v>
      </c>
      <c r="Q510" s="11">
        <v>0.05</v>
      </c>
      <c r="R510" s="11">
        <v>9.6899224806201497E-3</v>
      </c>
      <c r="S510" s="10" t="s">
        <v>84</v>
      </c>
      <c r="T510" s="10" t="s">
        <v>84</v>
      </c>
      <c r="U510" s="10"/>
      <c r="V510" s="10"/>
      <c r="W510" s="10"/>
      <c r="X510" s="10"/>
      <c r="Y510" s="10"/>
      <c r="Z510" s="10"/>
      <c r="AA510" s="10"/>
    </row>
    <row r="511" spans="1:27" ht="12.5" x14ac:dyDescent="0.25">
      <c r="A511" s="10"/>
      <c r="B511" s="10"/>
      <c r="C511" s="10"/>
      <c r="D511" s="11"/>
      <c r="E511" s="10"/>
      <c r="F511" s="10"/>
      <c r="G511" s="10"/>
      <c r="H511" s="12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2.5" x14ac:dyDescent="0.25">
      <c r="A512" s="10"/>
      <c r="B512" s="10"/>
      <c r="C512" s="10"/>
      <c r="D512" s="11"/>
      <c r="E512" s="10"/>
      <c r="F512" s="10"/>
      <c r="G512" s="10"/>
      <c r="H512" s="12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2.5" x14ac:dyDescent="0.25">
      <c r="A513" s="10"/>
      <c r="B513" s="10"/>
      <c r="C513" s="10"/>
      <c r="D513" s="11"/>
      <c r="E513" s="10"/>
      <c r="F513" s="10"/>
      <c r="G513" s="10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2.5" x14ac:dyDescent="0.25">
      <c r="A514" s="10"/>
      <c r="B514" s="10"/>
      <c r="C514" s="10"/>
      <c r="D514" s="11"/>
      <c r="E514" s="10"/>
      <c r="F514" s="10"/>
      <c r="G514" s="10"/>
      <c r="H514" s="12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2.5" x14ac:dyDescent="0.25">
      <c r="A515" s="10"/>
      <c r="B515" s="10"/>
      <c r="C515" s="10"/>
      <c r="D515" s="11"/>
      <c r="E515" s="10"/>
      <c r="F515" s="10"/>
      <c r="G515" s="10"/>
      <c r="H515" s="12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2.5" x14ac:dyDescent="0.25">
      <c r="A516" s="10"/>
      <c r="B516" s="10"/>
      <c r="C516" s="10"/>
      <c r="D516" s="11"/>
      <c r="E516" s="10"/>
      <c r="F516" s="10"/>
      <c r="G516" s="10"/>
      <c r="H516" s="12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2.5" x14ac:dyDescent="0.25">
      <c r="A517" s="10"/>
      <c r="B517" s="10"/>
      <c r="C517" s="10"/>
      <c r="D517" s="11"/>
      <c r="E517" s="10"/>
      <c r="F517" s="10"/>
      <c r="G517" s="10"/>
      <c r="H517" s="12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2.5" x14ac:dyDescent="0.25">
      <c r="A518" s="10"/>
      <c r="B518" s="10"/>
      <c r="C518" s="10"/>
      <c r="D518" s="11"/>
      <c r="E518" s="10"/>
      <c r="F518" s="10"/>
      <c r="G518" s="10"/>
      <c r="H518" s="12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2.5" x14ac:dyDescent="0.25">
      <c r="A519" s="10"/>
      <c r="B519" s="10"/>
      <c r="C519" s="10"/>
      <c r="D519" s="11"/>
      <c r="E519" s="10"/>
      <c r="F519" s="10"/>
      <c r="G519" s="10"/>
      <c r="H519" s="12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2.5" x14ac:dyDescent="0.25">
      <c r="A520" s="10"/>
      <c r="B520" s="10"/>
      <c r="C520" s="10"/>
      <c r="D520" s="11"/>
      <c r="E520" s="10"/>
      <c r="F520" s="10"/>
      <c r="G520" s="10"/>
      <c r="H520" s="12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2.5" x14ac:dyDescent="0.25">
      <c r="A521" s="10"/>
      <c r="B521" s="10"/>
      <c r="C521" s="10"/>
      <c r="D521" s="11"/>
      <c r="E521" s="10"/>
      <c r="F521" s="10"/>
      <c r="G521" s="10"/>
      <c r="H521" s="12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2.5" x14ac:dyDescent="0.25">
      <c r="A522" s="10"/>
      <c r="B522" s="10"/>
      <c r="C522" s="10"/>
      <c r="D522" s="11"/>
      <c r="E522" s="10"/>
      <c r="F522" s="10"/>
      <c r="G522" s="10"/>
      <c r="H522" s="12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2.5" x14ac:dyDescent="0.25">
      <c r="A523" s="10"/>
      <c r="B523" s="10"/>
      <c r="C523" s="10"/>
      <c r="D523" s="11"/>
      <c r="E523" s="10"/>
      <c r="F523" s="10"/>
      <c r="G523" s="10"/>
      <c r="H523" s="12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2.5" x14ac:dyDescent="0.25">
      <c r="A524" s="10"/>
      <c r="B524" s="10"/>
      <c r="C524" s="10"/>
      <c r="D524" s="11"/>
      <c r="E524" s="10"/>
      <c r="F524" s="10"/>
      <c r="G524" s="10"/>
      <c r="H524" s="12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2.5" x14ac:dyDescent="0.25">
      <c r="A525" s="10"/>
      <c r="B525" s="10"/>
      <c r="C525" s="10"/>
      <c r="D525" s="11"/>
      <c r="E525" s="10"/>
      <c r="F525" s="10"/>
      <c r="G525" s="10"/>
      <c r="H525" s="12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2.5" x14ac:dyDescent="0.25">
      <c r="A526" s="10"/>
      <c r="B526" s="10"/>
      <c r="C526" s="10"/>
      <c r="D526" s="11"/>
      <c r="E526" s="10"/>
      <c r="F526" s="10"/>
      <c r="G526" s="10"/>
      <c r="H526" s="12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2.5" x14ac:dyDescent="0.25">
      <c r="A527" s="10"/>
      <c r="B527" s="10"/>
      <c r="C527" s="10"/>
      <c r="D527" s="11"/>
      <c r="E527" s="10"/>
      <c r="F527" s="10"/>
      <c r="G527" s="10"/>
      <c r="H527" s="12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2.5" x14ac:dyDescent="0.25">
      <c r="A528" s="10"/>
      <c r="B528" s="10"/>
      <c r="C528" s="10"/>
      <c r="D528" s="11"/>
      <c r="E528" s="10"/>
      <c r="F528" s="10"/>
      <c r="G528" s="10"/>
      <c r="H528" s="12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2.5" x14ac:dyDescent="0.25">
      <c r="A529" s="10"/>
      <c r="B529" s="10"/>
      <c r="C529" s="10"/>
      <c r="D529" s="11"/>
      <c r="E529" s="10"/>
      <c r="F529" s="10"/>
      <c r="G529" s="10"/>
      <c r="H529" s="12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2.5" x14ac:dyDescent="0.25">
      <c r="A530" s="10"/>
      <c r="B530" s="10"/>
      <c r="C530" s="10"/>
      <c r="D530" s="11"/>
      <c r="E530" s="10"/>
      <c r="F530" s="10"/>
      <c r="G530" s="10"/>
      <c r="H530" s="12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2.5" x14ac:dyDescent="0.25">
      <c r="A531" s="10"/>
      <c r="B531" s="10"/>
      <c r="C531" s="10"/>
      <c r="D531" s="11"/>
      <c r="E531" s="10"/>
      <c r="F531" s="10"/>
      <c r="G531" s="10"/>
      <c r="H531" s="12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2.5" x14ac:dyDescent="0.25">
      <c r="A532" s="10"/>
      <c r="B532" s="10"/>
      <c r="C532" s="10"/>
      <c r="D532" s="11"/>
      <c r="E532" s="10"/>
      <c r="F532" s="10"/>
      <c r="G532" s="10"/>
      <c r="H532" s="12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2.5" x14ac:dyDescent="0.25">
      <c r="A533" s="10"/>
      <c r="B533" s="10"/>
      <c r="C533" s="10"/>
      <c r="D533" s="11"/>
      <c r="E533" s="10"/>
      <c r="F533" s="10"/>
      <c r="G533" s="10"/>
      <c r="H533" s="12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2.5" x14ac:dyDescent="0.25">
      <c r="A534" s="10"/>
      <c r="B534" s="10"/>
      <c r="C534" s="10"/>
      <c r="D534" s="11"/>
      <c r="E534" s="10"/>
      <c r="F534" s="10"/>
      <c r="G534" s="10"/>
      <c r="H534" s="12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2.5" x14ac:dyDescent="0.25">
      <c r="A535" s="10"/>
      <c r="B535" s="10"/>
      <c r="C535" s="10"/>
      <c r="D535" s="11"/>
      <c r="E535" s="10"/>
      <c r="F535" s="10"/>
      <c r="G535" s="10"/>
      <c r="H535" s="12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2.5" x14ac:dyDescent="0.25">
      <c r="A536" s="10"/>
      <c r="B536" s="10"/>
      <c r="C536" s="10"/>
      <c r="D536" s="11"/>
      <c r="E536" s="10"/>
      <c r="F536" s="10"/>
      <c r="G536" s="10"/>
      <c r="H536" s="12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2.5" x14ac:dyDescent="0.25">
      <c r="A537" s="10"/>
      <c r="B537" s="10"/>
      <c r="C537" s="10"/>
      <c r="D537" s="11"/>
      <c r="E537" s="10"/>
      <c r="F537" s="10"/>
      <c r="G537" s="10"/>
      <c r="H537" s="12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2.5" x14ac:dyDescent="0.25">
      <c r="A538" s="10"/>
      <c r="B538" s="10"/>
      <c r="C538" s="10"/>
      <c r="D538" s="11"/>
      <c r="E538" s="10"/>
      <c r="F538" s="10"/>
      <c r="G538" s="10"/>
      <c r="H538" s="12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2.5" x14ac:dyDescent="0.25">
      <c r="A539" s="10"/>
      <c r="B539" s="10"/>
      <c r="C539" s="10"/>
      <c r="D539" s="11"/>
      <c r="E539" s="10"/>
      <c r="F539" s="10"/>
      <c r="G539" s="10"/>
      <c r="H539" s="12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2.5" x14ac:dyDescent="0.25">
      <c r="A540" s="10"/>
      <c r="B540" s="10"/>
      <c r="C540" s="10"/>
      <c r="D540" s="11"/>
      <c r="E540" s="10"/>
      <c r="F540" s="10"/>
      <c r="G540" s="10"/>
      <c r="H540" s="12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2.5" x14ac:dyDescent="0.25">
      <c r="A541" s="10"/>
      <c r="B541" s="10"/>
      <c r="C541" s="10"/>
      <c r="D541" s="11"/>
      <c r="E541" s="10"/>
      <c r="F541" s="10"/>
      <c r="G541" s="10"/>
      <c r="H541" s="12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2.5" x14ac:dyDescent="0.25">
      <c r="A542" s="10"/>
      <c r="B542" s="10"/>
      <c r="C542" s="10"/>
      <c r="D542" s="11"/>
      <c r="E542" s="10"/>
      <c r="F542" s="10"/>
      <c r="G542" s="10"/>
      <c r="H542" s="12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2.5" x14ac:dyDescent="0.25">
      <c r="A543" s="10"/>
      <c r="B543" s="10"/>
      <c r="C543" s="10"/>
      <c r="D543" s="11"/>
      <c r="E543" s="10"/>
      <c r="F543" s="10"/>
      <c r="G543" s="10"/>
      <c r="H543" s="12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2.5" x14ac:dyDescent="0.25">
      <c r="A544" s="10"/>
      <c r="B544" s="10"/>
      <c r="C544" s="10"/>
      <c r="D544" s="11"/>
      <c r="E544" s="10"/>
      <c r="F544" s="10"/>
      <c r="G544" s="10"/>
      <c r="H544" s="12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2.5" x14ac:dyDescent="0.25">
      <c r="A545" s="10"/>
      <c r="B545" s="10"/>
      <c r="C545" s="10"/>
      <c r="D545" s="11"/>
      <c r="E545" s="10"/>
      <c r="F545" s="10"/>
      <c r="G545" s="10"/>
      <c r="H545" s="12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2.5" x14ac:dyDescent="0.25">
      <c r="A546" s="10"/>
      <c r="B546" s="10"/>
      <c r="C546" s="10"/>
      <c r="D546" s="11"/>
      <c r="E546" s="10"/>
      <c r="F546" s="10"/>
      <c r="G546" s="10"/>
      <c r="H546" s="12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2.5" x14ac:dyDescent="0.25">
      <c r="A547" s="10"/>
      <c r="B547" s="10"/>
      <c r="C547" s="10"/>
      <c r="D547" s="11"/>
      <c r="E547" s="10"/>
      <c r="F547" s="10"/>
      <c r="G547" s="10"/>
      <c r="H547" s="12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2.5" x14ac:dyDescent="0.25">
      <c r="A548" s="10"/>
      <c r="B548" s="10"/>
      <c r="C548" s="10"/>
      <c r="D548" s="11"/>
      <c r="E548" s="10"/>
      <c r="F548" s="10"/>
      <c r="G548" s="10"/>
      <c r="H548" s="12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2.5" x14ac:dyDescent="0.25">
      <c r="A549" s="10"/>
      <c r="B549" s="10"/>
      <c r="C549" s="10"/>
      <c r="D549" s="11"/>
      <c r="E549" s="10"/>
      <c r="F549" s="10"/>
      <c r="G549" s="10"/>
      <c r="H549" s="12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2.5" x14ac:dyDescent="0.25">
      <c r="A550" s="10"/>
      <c r="B550" s="10"/>
      <c r="C550" s="10"/>
      <c r="D550" s="11"/>
      <c r="E550" s="10"/>
      <c r="F550" s="10"/>
      <c r="G550" s="10"/>
      <c r="H550" s="12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2.5" x14ac:dyDescent="0.25">
      <c r="A551" s="10"/>
      <c r="B551" s="10"/>
      <c r="C551" s="10"/>
      <c r="D551" s="11"/>
      <c r="E551" s="10"/>
      <c r="F551" s="10"/>
      <c r="G551" s="10"/>
      <c r="H551" s="12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2.5" x14ac:dyDescent="0.25">
      <c r="A552" s="10"/>
      <c r="B552" s="10"/>
      <c r="C552" s="10"/>
      <c r="D552" s="11"/>
      <c r="E552" s="10"/>
      <c r="F552" s="10"/>
      <c r="G552" s="10"/>
      <c r="H552" s="12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2.5" x14ac:dyDescent="0.25">
      <c r="A553" s="10"/>
      <c r="B553" s="10"/>
      <c r="C553" s="10"/>
      <c r="D553" s="11"/>
      <c r="E553" s="10"/>
      <c r="F553" s="10"/>
      <c r="G553" s="10"/>
      <c r="H553" s="12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2.5" x14ac:dyDescent="0.25">
      <c r="A554" s="10"/>
      <c r="B554" s="10"/>
      <c r="C554" s="10"/>
      <c r="D554" s="11"/>
      <c r="E554" s="10"/>
      <c r="F554" s="10"/>
      <c r="G554" s="10"/>
      <c r="H554" s="12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2.5" x14ac:dyDescent="0.25">
      <c r="A555" s="10"/>
      <c r="B555" s="10"/>
      <c r="C555" s="10"/>
      <c r="D555" s="11"/>
      <c r="E555" s="10"/>
      <c r="F555" s="10"/>
      <c r="G555" s="10"/>
      <c r="H555" s="12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2.5" x14ac:dyDescent="0.25">
      <c r="A556" s="10"/>
      <c r="B556" s="10"/>
      <c r="C556" s="10"/>
      <c r="D556" s="11"/>
      <c r="E556" s="10"/>
      <c r="F556" s="10"/>
      <c r="G556" s="10"/>
      <c r="H556" s="12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2.5" x14ac:dyDescent="0.25">
      <c r="A557" s="10"/>
      <c r="B557" s="10"/>
      <c r="C557" s="10"/>
      <c r="D557" s="11"/>
      <c r="E557" s="10"/>
      <c r="F557" s="10"/>
      <c r="G557" s="10"/>
      <c r="H557" s="12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2.5" x14ac:dyDescent="0.25">
      <c r="A558" s="10"/>
      <c r="B558" s="10"/>
      <c r="C558" s="10"/>
      <c r="D558" s="11"/>
      <c r="E558" s="10"/>
      <c r="F558" s="10"/>
      <c r="G558" s="10"/>
      <c r="H558" s="12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2.5" x14ac:dyDescent="0.25">
      <c r="A559" s="10"/>
      <c r="B559" s="10"/>
      <c r="C559" s="10"/>
      <c r="D559" s="11"/>
      <c r="E559" s="10"/>
      <c r="F559" s="10"/>
      <c r="G559" s="10"/>
      <c r="H559" s="12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2.5" x14ac:dyDescent="0.25">
      <c r="A560" s="10"/>
      <c r="B560" s="10"/>
      <c r="C560" s="10"/>
      <c r="D560" s="11"/>
      <c r="E560" s="10"/>
      <c r="F560" s="10"/>
      <c r="G560" s="10"/>
      <c r="H560" s="12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2.5" x14ac:dyDescent="0.25">
      <c r="A561" s="10"/>
      <c r="B561" s="10"/>
      <c r="C561" s="10"/>
      <c r="D561" s="11"/>
      <c r="E561" s="10"/>
      <c r="F561" s="10"/>
      <c r="G561" s="10"/>
      <c r="H561" s="12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2.5" x14ac:dyDescent="0.25">
      <c r="A562" s="10"/>
      <c r="B562" s="10"/>
      <c r="C562" s="10"/>
      <c r="D562" s="11"/>
      <c r="E562" s="10"/>
      <c r="F562" s="10"/>
      <c r="G562" s="10"/>
      <c r="H562" s="12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2.5" x14ac:dyDescent="0.25">
      <c r="A563" s="10"/>
      <c r="B563" s="10"/>
      <c r="C563" s="10"/>
      <c r="D563" s="11"/>
      <c r="E563" s="10"/>
      <c r="F563" s="10"/>
      <c r="G563" s="10"/>
      <c r="H563" s="12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2.5" x14ac:dyDescent="0.25">
      <c r="A564" s="10"/>
      <c r="B564" s="10"/>
      <c r="C564" s="10"/>
      <c r="D564" s="11"/>
      <c r="E564" s="10"/>
      <c r="F564" s="10"/>
      <c r="G564" s="10"/>
      <c r="H564" s="12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2.5" x14ac:dyDescent="0.25">
      <c r="A565" s="10"/>
      <c r="B565" s="10"/>
      <c r="C565" s="10"/>
      <c r="D565" s="11"/>
      <c r="E565" s="10"/>
      <c r="F565" s="10"/>
      <c r="G565" s="10"/>
      <c r="H565" s="12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2.5" x14ac:dyDescent="0.25">
      <c r="A566" s="10"/>
      <c r="B566" s="10"/>
      <c r="C566" s="10"/>
      <c r="D566" s="11"/>
      <c r="E566" s="10"/>
      <c r="F566" s="10"/>
      <c r="G566" s="10"/>
      <c r="H566" s="12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2.5" x14ac:dyDescent="0.25">
      <c r="A567" s="10"/>
      <c r="B567" s="10"/>
      <c r="C567" s="10"/>
      <c r="D567" s="11"/>
      <c r="E567" s="10"/>
      <c r="F567" s="10"/>
      <c r="G567" s="10"/>
      <c r="H567" s="12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2.5" x14ac:dyDescent="0.25">
      <c r="A568" s="10"/>
      <c r="B568" s="10"/>
      <c r="C568" s="10"/>
      <c r="D568" s="11"/>
      <c r="E568" s="10"/>
      <c r="F568" s="10"/>
      <c r="G568" s="10"/>
      <c r="H568" s="12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2.5" x14ac:dyDescent="0.25">
      <c r="A569" s="10"/>
      <c r="B569" s="10"/>
      <c r="C569" s="10"/>
      <c r="D569" s="11"/>
      <c r="E569" s="10"/>
      <c r="F569" s="10"/>
      <c r="G569" s="10"/>
      <c r="H569" s="12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2.5" x14ac:dyDescent="0.25">
      <c r="A570" s="10"/>
      <c r="B570" s="10"/>
      <c r="C570" s="10"/>
      <c r="D570" s="11"/>
      <c r="E570" s="10"/>
      <c r="F570" s="10"/>
      <c r="G570" s="10"/>
      <c r="H570" s="12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2.5" x14ac:dyDescent="0.25">
      <c r="A571" s="10"/>
      <c r="B571" s="10"/>
      <c r="C571" s="10"/>
      <c r="D571" s="11"/>
      <c r="E571" s="10"/>
      <c r="F571" s="10"/>
      <c r="G571" s="10"/>
      <c r="H571" s="12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2.5" x14ac:dyDescent="0.25">
      <c r="A572" s="10"/>
      <c r="B572" s="10"/>
      <c r="C572" s="10"/>
      <c r="D572" s="11"/>
      <c r="E572" s="10"/>
      <c r="F572" s="10"/>
      <c r="G572" s="10"/>
      <c r="H572" s="12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2.5" x14ac:dyDescent="0.25">
      <c r="A573" s="10"/>
      <c r="B573" s="10"/>
      <c r="C573" s="10"/>
      <c r="D573" s="11"/>
      <c r="E573" s="10"/>
      <c r="F573" s="10"/>
      <c r="G573" s="10"/>
      <c r="H573" s="12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2.5" x14ac:dyDescent="0.25">
      <c r="A574" s="10"/>
      <c r="B574" s="10"/>
      <c r="C574" s="10"/>
      <c r="D574" s="11"/>
      <c r="E574" s="10"/>
      <c r="F574" s="10"/>
      <c r="G574" s="10"/>
      <c r="H574" s="12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2.5" x14ac:dyDescent="0.25">
      <c r="A575" s="10"/>
      <c r="B575" s="10"/>
      <c r="C575" s="10"/>
      <c r="D575" s="11"/>
      <c r="E575" s="10"/>
      <c r="F575" s="10"/>
      <c r="G575" s="10"/>
      <c r="H575" s="12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2.5" x14ac:dyDescent="0.25">
      <c r="A576" s="10"/>
      <c r="B576" s="10"/>
      <c r="C576" s="10"/>
      <c r="D576" s="11"/>
      <c r="E576" s="10"/>
      <c r="F576" s="10"/>
      <c r="G576" s="10"/>
      <c r="H576" s="12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2.5" x14ac:dyDescent="0.25">
      <c r="A577" s="10"/>
      <c r="B577" s="10"/>
      <c r="C577" s="10"/>
      <c r="D577" s="11"/>
      <c r="E577" s="10"/>
      <c r="F577" s="10"/>
      <c r="G577" s="10"/>
      <c r="H577" s="12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2.5" x14ac:dyDescent="0.25">
      <c r="A578" s="10"/>
      <c r="B578" s="10"/>
      <c r="C578" s="10"/>
      <c r="D578" s="11"/>
      <c r="E578" s="10"/>
      <c r="F578" s="10"/>
      <c r="G578" s="10"/>
      <c r="H578" s="12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2.5" x14ac:dyDescent="0.25">
      <c r="A579" s="10"/>
      <c r="B579" s="10"/>
      <c r="C579" s="10"/>
      <c r="D579" s="11"/>
      <c r="E579" s="10"/>
      <c r="F579" s="10"/>
      <c r="G579" s="10"/>
      <c r="H579" s="12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2.5" x14ac:dyDescent="0.25">
      <c r="A580" s="10"/>
      <c r="B580" s="10"/>
      <c r="C580" s="10"/>
      <c r="D580" s="11"/>
      <c r="E580" s="10"/>
      <c r="F580" s="10"/>
      <c r="G580" s="10"/>
      <c r="H580" s="12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2.5" x14ac:dyDescent="0.25">
      <c r="A581" s="10"/>
      <c r="B581" s="10"/>
      <c r="C581" s="10"/>
      <c r="D581" s="11"/>
      <c r="E581" s="10"/>
      <c r="F581" s="10"/>
      <c r="G581" s="10"/>
      <c r="H581" s="12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2.5" x14ac:dyDescent="0.25">
      <c r="A582" s="10"/>
      <c r="B582" s="10"/>
      <c r="C582" s="10"/>
      <c r="D582" s="11"/>
      <c r="E582" s="10"/>
      <c r="F582" s="10"/>
      <c r="G582" s="10"/>
      <c r="H582" s="12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2.5" x14ac:dyDescent="0.25">
      <c r="A583" s="10"/>
      <c r="B583" s="10"/>
      <c r="C583" s="10"/>
      <c r="D583" s="11"/>
      <c r="E583" s="10"/>
      <c r="F583" s="10"/>
      <c r="G583" s="10"/>
      <c r="H583" s="12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2.5" x14ac:dyDescent="0.25">
      <c r="A584" s="10"/>
      <c r="B584" s="10"/>
      <c r="C584" s="10"/>
      <c r="D584" s="11"/>
      <c r="E584" s="10"/>
      <c r="F584" s="10"/>
      <c r="G584" s="10"/>
      <c r="H584" s="12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2.5" x14ac:dyDescent="0.25">
      <c r="A585" s="10"/>
      <c r="B585" s="10"/>
      <c r="C585" s="10"/>
      <c r="D585" s="11"/>
      <c r="E585" s="10"/>
      <c r="F585" s="10"/>
      <c r="G585" s="10"/>
      <c r="H585" s="12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2.5" x14ac:dyDescent="0.25">
      <c r="A586" s="10"/>
      <c r="B586" s="10"/>
      <c r="C586" s="10"/>
      <c r="D586" s="11"/>
      <c r="E586" s="10"/>
      <c r="F586" s="10"/>
      <c r="G586" s="10"/>
      <c r="H586" s="12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2.5" x14ac:dyDescent="0.25">
      <c r="A587" s="10"/>
      <c r="B587" s="10"/>
      <c r="C587" s="10"/>
      <c r="D587" s="11"/>
      <c r="E587" s="10"/>
      <c r="F587" s="10"/>
      <c r="G587" s="10"/>
      <c r="H587" s="12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2.5" x14ac:dyDescent="0.25">
      <c r="A588" s="10"/>
      <c r="B588" s="10"/>
      <c r="C588" s="10"/>
      <c r="D588" s="11"/>
      <c r="E588" s="10"/>
      <c r="F588" s="10"/>
      <c r="G588" s="10"/>
      <c r="H588" s="12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2.5" x14ac:dyDescent="0.25">
      <c r="A589" s="10"/>
      <c r="B589" s="10"/>
      <c r="C589" s="10"/>
      <c r="D589" s="11"/>
      <c r="E589" s="10"/>
      <c r="F589" s="10"/>
      <c r="G589" s="10"/>
      <c r="H589" s="12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2.5" x14ac:dyDescent="0.25">
      <c r="A590" s="10"/>
      <c r="B590" s="10"/>
      <c r="C590" s="10"/>
      <c r="D590" s="11"/>
      <c r="E590" s="10"/>
      <c r="F590" s="10"/>
      <c r="G590" s="10"/>
      <c r="H590" s="12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2.5" x14ac:dyDescent="0.25">
      <c r="A591" s="10"/>
      <c r="B591" s="10"/>
      <c r="C591" s="10"/>
      <c r="D591" s="11"/>
      <c r="E591" s="10"/>
      <c r="F591" s="10"/>
      <c r="G591" s="10"/>
      <c r="H591" s="12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2.5" x14ac:dyDescent="0.25">
      <c r="A592" s="10"/>
      <c r="B592" s="10"/>
      <c r="C592" s="10"/>
      <c r="D592" s="11"/>
      <c r="E592" s="10"/>
      <c r="F592" s="10"/>
      <c r="G592" s="10"/>
      <c r="H592" s="12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2.5" x14ac:dyDescent="0.25">
      <c r="A593" s="10"/>
      <c r="B593" s="10"/>
      <c r="C593" s="10"/>
      <c r="D593" s="11"/>
      <c r="E593" s="10"/>
      <c r="F593" s="10"/>
      <c r="G593" s="10"/>
      <c r="H593" s="12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2.5" x14ac:dyDescent="0.25">
      <c r="A594" s="10"/>
      <c r="B594" s="10"/>
      <c r="C594" s="10"/>
      <c r="D594" s="11"/>
      <c r="E594" s="10"/>
      <c r="F594" s="10"/>
      <c r="G594" s="10"/>
      <c r="H594" s="12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2.5" x14ac:dyDescent="0.25">
      <c r="A595" s="10"/>
      <c r="B595" s="10"/>
      <c r="C595" s="10"/>
      <c r="D595" s="11"/>
      <c r="E595" s="10"/>
      <c r="F595" s="10"/>
      <c r="G595" s="10"/>
      <c r="H595" s="12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2.5" x14ac:dyDescent="0.25">
      <c r="A596" s="10"/>
      <c r="B596" s="10"/>
      <c r="C596" s="10"/>
      <c r="D596" s="11"/>
      <c r="E596" s="10"/>
      <c r="F596" s="10"/>
      <c r="G596" s="10"/>
      <c r="H596" s="12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2.5" x14ac:dyDescent="0.25">
      <c r="A597" s="10"/>
      <c r="B597" s="10"/>
      <c r="C597" s="10"/>
      <c r="D597" s="11"/>
      <c r="E597" s="10"/>
      <c r="F597" s="10"/>
      <c r="G597" s="10"/>
      <c r="H597" s="12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2.5" x14ac:dyDescent="0.25">
      <c r="A598" s="10"/>
      <c r="B598" s="10"/>
      <c r="C598" s="10"/>
      <c r="D598" s="11"/>
      <c r="E598" s="10"/>
      <c r="F598" s="10"/>
      <c r="G598" s="10"/>
      <c r="H598" s="12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2.5" x14ac:dyDescent="0.25">
      <c r="A599" s="10"/>
      <c r="B599" s="10"/>
      <c r="C599" s="10"/>
      <c r="D599" s="11"/>
      <c r="E599" s="10"/>
      <c r="F599" s="10"/>
      <c r="G599" s="10"/>
      <c r="H599" s="12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2.5" x14ac:dyDescent="0.25">
      <c r="A600" s="10"/>
      <c r="B600" s="10"/>
      <c r="C600" s="10"/>
      <c r="D600" s="11"/>
      <c r="E600" s="10"/>
      <c r="F600" s="10"/>
      <c r="G600" s="10"/>
      <c r="H600" s="12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2.5" x14ac:dyDescent="0.25">
      <c r="A601" s="10"/>
      <c r="B601" s="10"/>
      <c r="C601" s="10"/>
      <c r="D601" s="11"/>
      <c r="E601" s="10"/>
      <c r="F601" s="10"/>
      <c r="G601" s="10"/>
      <c r="H601" s="12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2.5" x14ac:dyDescent="0.25">
      <c r="A602" s="10"/>
      <c r="B602" s="10"/>
      <c r="C602" s="10"/>
      <c r="D602" s="11"/>
      <c r="E602" s="10"/>
      <c r="F602" s="10"/>
      <c r="G602" s="10"/>
      <c r="H602" s="12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2.5" x14ac:dyDescent="0.25">
      <c r="A603" s="10"/>
      <c r="B603" s="10"/>
      <c r="C603" s="10"/>
      <c r="D603" s="11"/>
      <c r="E603" s="10"/>
      <c r="F603" s="10"/>
      <c r="G603" s="10"/>
      <c r="H603" s="12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2.5" x14ac:dyDescent="0.25">
      <c r="A604" s="10"/>
      <c r="B604" s="10"/>
      <c r="C604" s="10"/>
      <c r="D604" s="11"/>
      <c r="E604" s="10"/>
      <c r="F604" s="10"/>
      <c r="G604" s="10"/>
      <c r="H604" s="12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2.5" x14ac:dyDescent="0.25">
      <c r="A605" s="10"/>
      <c r="B605" s="10"/>
      <c r="C605" s="10"/>
      <c r="D605" s="11"/>
      <c r="E605" s="10"/>
      <c r="F605" s="10"/>
      <c r="G605" s="10"/>
      <c r="H605" s="12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2.5" x14ac:dyDescent="0.25">
      <c r="A606" s="10"/>
      <c r="B606" s="10"/>
      <c r="C606" s="10"/>
      <c r="D606" s="11"/>
      <c r="E606" s="10"/>
      <c r="F606" s="10"/>
      <c r="G606" s="10"/>
      <c r="H606" s="12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2.5" x14ac:dyDescent="0.25">
      <c r="A607" s="10"/>
      <c r="B607" s="10"/>
      <c r="C607" s="10"/>
      <c r="D607" s="11"/>
      <c r="E607" s="10"/>
      <c r="F607" s="10"/>
      <c r="G607" s="10"/>
      <c r="H607" s="12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2.5" x14ac:dyDescent="0.25">
      <c r="A608" s="10"/>
      <c r="B608" s="10"/>
      <c r="C608" s="10"/>
      <c r="D608" s="11"/>
      <c r="E608" s="10"/>
      <c r="F608" s="10"/>
      <c r="G608" s="10"/>
      <c r="H608" s="12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2.5" x14ac:dyDescent="0.25">
      <c r="A609" s="10"/>
      <c r="B609" s="10"/>
      <c r="C609" s="10"/>
      <c r="D609" s="11"/>
      <c r="E609" s="10"/>
      <c r="F609" s="10"/>
      <c r="G609" s="10"/>
      <c r="H609" s="12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2.5" x14ac:dyDescent="0.25">
      <c r="A610" s="10"/>
      <c r="B610" s="10"/>
      <c r="C610" s="10"/>
      <c r="D610" s="11"/>
      <c r="E610" s="10"/>
      <c r="F610" s="10"/>
      <c r="G610" s="10"/>
      <c r="H610" s="12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2.5" x14ac:dyDescent="0.25">
      <c r="A611" s="10"/>
      <c r="B611" s="10"/>
      <c r="C611" s="10"/>
      <c r="D611" s="11"/>
      <c r="E611" s="10"/>
      <c r="F611" s="10"/>
      <c r="G611" s="10"/>
      <c r="H611" s="12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2.5" x14ac:dyDescent="0.25">
      <c r="A612" s="10"/>
      <c r="B612" s="10"/>
      <c r="C612" s="10"/>
      <c r="D612" s="11"/>
      <c r="E612" s="10"/>
      <c r="F612" s="10"/>
      <c r="G612" s="10"/>
      <c r="H612" s="12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2.5" x14ac:dyDescent="0.25">
      <c r="A613" s="10"/>
      <c r="B613" s="10"/>
      <c r="C613" s="10"/>
      <c r="D613" s="11"/>
      <c r="E613" s="10"/>
      <c r="F613" s="10"/>
      <c r="G613" s="10"/>
      <c r="H613" s="12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2.5" x14ac:dyDescent="0.25">
      <c r="A614" s="10"/>
      <c r="B614" s="10"/>
      <c r="C614" s="10"/>
      <c r="D614" s="11"/>
      <c r="E614" s="10"/>
      <c r="F614" s="10"/>
      <c r="G614" s="10"/>
      <c r="H614" s="12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2.5" x14ac:dyDescent="0.25">
      <c r="A615" s="10"/>
      <c r="B615" s="10"/>
      <c r="C615" s="10"/>
      <c r="D615" s="11"/>
      <c r="E615" s="10"/>
      <c r="F615" s="10"/>
      <c r="G615" s="10"/>
      <c r="H615" s="12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2.5" x14ac:dyDescent="0.25">
      <c r="A616" s="10"/>
      <c r="B616" s="10"/>
      <c r="C616" s="10"/>
      <c r="D616" s="11"/>
      <c r="E616" s="10"/>
      <c r="F616" s="10"/>
      <c r="G616" s="10"/>
      <c r="H616" s="12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2.5" x14ac:dyDescent="0.25">
      <c r="A617" s="10"/>
      <c r="B617" s="10"/>
      <c r="C617" s="10"/>
      <c r="D617" s="11"/>
      <c r="E617" s="10"/>
      <c r="F617" s="10"/>
      <c r="G617" s="10"/>
      <c r="H617" s="12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2.5" x14ac:dyDescent="0.25">
      <c r="A618" s="10"/>
      <c r="B618" s="10"/>
      <c r="C618" s="10"/>
      <c r="D618" s="11"/>
      <c r="E618" s="10"/>
      <c r="F618" s="10"/>
      <c r="G618" s="10"/>
      <c r="H618" s="12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2.5" x14ac:dyDescent="0.25">
      <c r="A619" s="10"/>
      <c r="B619" s="10"/>
      <c r="C619" s="10"/>
      <c r="D619" s="11"/>
      <c r="E619" s="10"/>
      <c r="F619" s="10"/>
      <c r="G619" s="10"/>
      <c r="H619" s="12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2.5" x14ac:dyDescent="0.25">
      <c r="A620" s="10"/>
      <c r="B620" s="10"/>
      <c r="C620" s="10"/>
      <c r="D620" s="11"/>
      <c r="E620" s="10"/>
      <c r="F620" s="10"/>
      <c r="G620" s="10"/>
      <c r="H620" s="12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2.5" x14ac:dyDescent="0.25">
      <c r="A621" s="10"/>
      <c r="B621" s="10"/>
      <c r="C621" s="10"/>
      <c r="D621" s="11"/>
      <c r="E621" s="10"/>
      <c r="F621" s="10"/>
      <c r="G621" s="10"/>
      <c r="H621" s="12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2.5" x14ac:dyDescent="0.25">
      <c r="A622" s="10"/>
      <c r="B622" s="10"/>
      <c r="C622" s="10"/>
      <c r="D622" s="11"/>
      <c r="E622" s="10"/>
      <c r="F622" s="10"/>
      <c r="G622" s="10"/>
      <c r="H622" s="12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2.5" x14ac:dyDescent="0.25">
      <c r="A623" s="10"/>
      <c r="B623" s="10"/>
      <c r="C623" s="10"/>
      <c r="D623" s="11"/>
      <c r="E623" s="10"/>
      <c r="F623" s="10"/>
      <c r="G623" s="10"/>
      <c r="H623" s="12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2.5" x14ac:dyDescent="0.25">
      <c r="A624" s="10"/>
      <c r="B624" s="10"/>
      <c r="C624" s="10"/>
      <c r="D624" s="11"/>
      <c r="E624" s="10"/>
      <c r="F624" s="10"/>
      <c r="G624" s="10"/>
      <c r="H624" s="12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2.5" x14ac:dyDescent="0.25">
      <c r="A625" s="10"/>
      <c r="B625" s="10"/>
      <c r="C625" s="10"/>
      <c r="D625" s="11"/>
      <c r="E625" s="10"/>
      <c r="F625" s="10"/>
      <c r="G625" s="10"/>
      <c r="H625" s="12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2.5" x14ac:dyDescent="0.25">
      <c r="A626" s="10"/>
      <c r="B626" s="10"/>
      <c r="C626" s="10"/>
      <c r="D626" s="11"/>
      <c r="E626" s="10"/>
      <c r="F626" s="10"/>
      <c r="G626" s="10"/>
      <c r="H626" s="12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2.5" x14ac:dyDescent="0.25">
      <c r="A627" s="10"/>
      <c r="B627" s="10"/>
      <c r="C627" s="10"/>
      <c r="D627" s="11"/>
      <c r="E627" s="10"/>
      <c r="F627" s="10"/>
      <c r="G627" s="10"/>
      <c r="H627" s="12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2.5" x14ac:dyDescent="0.25">
      <c r="A628" s="10"/>
      <c r="B628" s="10"/>
      <c r="C628" s="10"/>
      <c r="D628" s="11"/>
      <c r="E628" s="10"/>
      <c r="F628" s="10"/>
      <c r="G628" s="10"/>
      <c r="H628" s="12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2.5" x14ac:dyDescent="0.25">
      <c r="A629" s="10"/>
      <c r="B629" s="10"/>
      <c r="C629" s="10"/>
      <c r="D629" s="11"/>
      <c r="E629" s="10"/>
      <c r="F629" s="10"/>
      <c r="G629" s="10"/>
      <c r="H629" s="12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2.5" x14ac:dyDescent="0.25">
      <c r="A630" s="10"/>
      <c r="B630" s="10"/>
      <c r="C630" s="10"/>
      <c r="D630" s="11"/>
      <c r="E630" s="10"/>
      <c r="F630" s="10"/>
      <c r="G630" s="10"/>
      <c r="H630" s="12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2.5" x14ac:dyDescent="0.25">
      <c r="A631" s="10"/>
      <c r="B631" s="10"/>
      <c r="C631" s="10"/>
      <c r="D631" s="11"/>
      <c r="E631" s="10"/>
      <c r="F631" s="10"/>
      <c r="G631" s="10"/>
      <c r="H631" s="12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2.5" x14ac:dyDescent="0.25">
      <c r="A632" s="10"/>
      <c r="B632" s="10"/>
      <c r="C632" s="10"/>
      <c r="D632" s="11"/>
      <c r="E632" s="10"/>
      <c r="F632" s="10"/>
      <c r="G632" s="10"/>
      <c r="H632" s="12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2.5" x14ac:dyDescent="0.25">
      <c r="A633" s="10"/>
      <c r="B633" s="10"/>
      <c r="C633" s="10"/>
      <c r="D633" s="11"/>
      <c r="E633" s="10"/>
      <c r="F633" s="10"/>
      <c r="G633" s="10"/>
      <c r="H633" s="12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2.5" x14ac:dyDescent="0.25">
      <c r="A634" s="10"/>
      <c r="B634" s="10"/>
      <c r="C634" s="10"/>
      <c r="D634" s="11"/>
      <c r="E634" s="10"/>
      <c r="F634" s="10"/>
      <c r="G634" s="10"/>
      <c r="H634" s="12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2.5" x14ac:dyDescent="0.25">
      <c r="A635" s="10"/>
      <c r="B635" s="10"/>
      <c r="C635" s="10"/>
      <c r="D635" s="11"/>
      <c r="E635" s="10"/>
      <c r="F635" s="10"/>
      <c r="G635" s="10"/>
      <c r="H635" s="12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2.5" x14ac:dyDescent="0.25">
      <c r="A636" s="10"/>
      <c r="B636" s="10"/>
      <c r="C636" s="10"/>
      <c r="D636" s="11"/>
      <c r="E636" s="10"/>
      <c r="F636" s="10"/>
      <c r="G636" s="10"/>
      <c r="H636" s="12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2.5" x14ac:dyDescent="0.25">
      <c r="A637" s="10"/>
      <c r="B637" s="10"/>
      <c r="C637" s="10"/>
      <c r="D637" s="11"/>
      <c r="E637" s="10"/>
      <c r="F637" s="10"/>
      <c r="G637" s="10"/>
      <c r="H637" s="12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2.5" x14ac:dyDescent="0.25">
      <c r="A638" s="10"/>
      <c r="B638" s="10"/>
      <c r="C638" s="10"/>
      <c r="D638" s="11"/>
      <c r="E638" s="10"/>
      <c r="F638" s="10"/>
      <c r="G638" s="10"/>
      <c r="H638" s="12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2.5" x14ac:dyDescent="0.25">
      <c r="A639" s="10"/>
      <c r="B639" s="10"/>
      <c r="C639" s="10"/>
      <c r="D639" s="11"/>
      <c r="E639" s="10"/>
      <c r="F639" s="10"/>
      <c r="G639" s="10"/>
      <c r="H639" s="12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2.5" x14ac:dyDescent="0.25">
      <c r="A640" s="10"/>
      <c r="B640" s="10"/>
      <c r="C640" s="10"/>
      <c r="D640" s="11"/>
      <c r="E640" s="10"/>
      <c r="F640" s="10"/>
      <c r="G640" s="10"/>
      <c r="H640" s="12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2.5" x14ac:dyDescent="0.25">
      <c r="A641" s="10"/>
      <c r="B641" s="10"/>
      <c r="C641" s="10"/>
      <c r="D641" s="11"/>
      <c r="E641" s="10"/>
      <c r="F641" s="10"/>
      <c r="G641" s="10"/>
      <c r="H641" s="12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2.5" x14ac:dyDescent="0.25">
      <c r="A642" s="10"/>
      <c r="B642" s="10"/>
      <c r="C642" s="10"/>
      <c r="D642" s="11"/>
      <c r="E642" s="10"/>
      <c r="F642" s="10"/>
      <c r="G642" s="10"/>
      <c r="H642" s="12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2.5" x14ac:dyDescent="0.25">
      <c r="A643" s="10"/>
      <c r="B643" s="10"/>
      <c r="C643" s="10"/>
      <c r="D643" s="11"/>
      <c r="E643" s="10"/>
      <c r="F643" s="10"/>
      <c r="G643" s="10"/>
      <c r="H643" s="12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2.5" x14ac:dyDescent="0.25">
      <c r="A644" s="10"/>
      <c r="B644" s="10"/>
      <c r="C644" s="10"/>
      <c r="D644" s="11"/>
      <c r="E644" s="10"/>
      <c r="F644" s="10"/>
      <c r="G644" s="10"/>
      <c r="H644" s="12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2.5" x14ac:dyDescent="0.25">
      <c r="A645" s="10"/>
      <c r="B645" s="10"/>
      <c r="C645" s="10"/>
      <c r="D645" s="11"/>
      <c r="E645" s="10"/>
      <c r="F645" s="10"/>
      <c r="G645" s="10"/>
      <c r="H645" s="12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2.5" x14ac:dyDescent="0.25">
      <c r="A646" s="10"/>
      <c r="B646" s="10"/>
      <c r="C646" s="10"/>
      <c r="D646" s="11"/>
      <c r="E646" s="10"/>
      <c r="F646" s="10"/>
      <c r="G646" s="10"/>
      <c r="H646" s="12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2.5" x14ac:dyDescent="0.25">
      <c r="A647" s="10"/>
      <c r="B647" s="10"/>
      <c r="C647" s="10"/>
      <c r="D647" s="11"/>
      <c r="E647" s="10"/>
      <c r="F647" s="10"/>
      <c r="G647" s="10"/>
      <c r="H647" s="12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2.5" x14ac:dyDescent="0.25">
      <c r="A648" s="10"/>
      <c r="B648" s="10"/>
      <c r="C648" s="10"/>
      <c r="D648" s="11"/>
      <c r="E648" s="10"/>
      <c r="F648" s="10"/>
      <c r="G648" s="10"/>
      <c r="H648" s="12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2.5" x14ac:dyDescent="0.25">
      <c r="A649" s="10"/>
      <c r="B649" s="10"/>
      <c r="C649" s="10"/>
      <c r="D649" s="11"/>
      <c r="E649" s="10"/>
      <c r="F649" s="10"/>
      <c r="G649" s="10"/>
      <c r="H649" s="12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2.5" x14ac:dyDescent="0.25">
      <c r="A650" s="10"/>
      <c r="B650" s="10"/>
      <c r="C650" s="10"/>
      <c r="D650" s="11"/>
      <c r="E650" s="10"/>
      <c r="F650" s="10"/>
      <c r="G650" s="10"/>
      <c r="H650" s="12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2.5" x14ac:dyDescent="0.25">
      <c r="A651" s="10"/>
      <c r="B651" s="10"/>
      <c r="C651" s="10"/>
      <c r="D651" s="11"/>
      <c r="E651" s="10"/>
      <c r="F651" s="10"/>
      <c r="G651" s="10"/>
      <c r="H651" s="12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2.5" x14ac:dyDescent="0.25">
      <c r="A652" s="10"/>
      <c r="B652" s="10"/>
      <c r="C652" s="10"/>
      <c r="D652" s="11"/>
      <c r="E652" s="10"/>
      <c r="F652" s="10"/>
      <c r="G652" s="10"/>
      <c r="H652" s="12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2.5" x14ac:dyDescent="0.25">
      <c r="A653" s="10"/>
      <c r="B653" s="10"/>
      <c r="C653" s="10"/>
      <c r="D653" s="11"/>
      <c r="E653" s="10"/>
      <c r="F653" s="10"/>
      <c r="G653" s="10"/>
      <c r="H653" s="12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2.5" x14ac:dyDescent="0.25">
      <c r="A654" s="10"/>
      <c r="B654" s="10"/>
      <c r="C654" s="10"/>
      <c r="D654" s="11"/>
      <c r="E654" s="10"/>
      <c r="F654" s="10"/>
      <c r="G654" s="10"/>
      <c r="H654" s="12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2.5" x14ac:dyDescent="0.25">
      <c r="A655" s="10"/>
      <c r="B655" s="10"/>
      <c r="C655" s="10"/>
      <c r="D655" s="11"/>
      <c r="E655" s="10"/>
      <c r="F655" s="10"/>
      <c r="G655" s="10"/>
      <c r="H655" s="12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2.5" x14ac:dyDescent="0.25">
      <c r="A656" s="10"/>
      <c r="B656" s="10"/>
      <c r="C656" s="10"/>
      <c r="D656" s="11"/>
      <c r="E656" s="10"/>
      <c r="F656" s="10"/>
      <c r="G656" s="10"/>
      <c r="H656" s="12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2.5" x14ac:dyDescent="0.25">
      <c r="A657" s="10"/>
      <c r="B657" s="10"/>
      <c r="C657" s="10"/>
      <c r="D657" s="11"/>
      <c r="E657" s="10"/>
      <c r="F657" s="10"/>
      <c r="G657" s="10"/>
      <c r="H657" s="12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2.5" x14ac:dyDescent="0.25">
      <c r="A658" s="10"/>
      <c r="B658" s="10"/>
      <c r="C658" s="10"/>
      <c r="D658" s="11"/>
      <c r="E658" s="10"/>
      <c r="F658" s="10"/>
      <c r="G658" s="10"/>
      <c r="H658" s="12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2.5" x14ac:dyDescent="0.25">
      <c r="A659" s="10"/>
      <c r="B659" s="10"/>
      <c r="C659" s="10"/>
      <c r="D659" s="11"/>
      <c r="E659" s="10"/>
      <c r="F659" s="10"/>
      <c r="G659" s="10"/>
      <c r="H659" s="12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2.5" x14ac:dyDescent="0.25">
      <c r="A660" s="10"/>
      <c r="B660" s="10"/>
      <c r="C660" s="10"/>
      <c r="D660" s="11"/>
      <c r="E660" s="10"/>
      <c r="F660" s="10"/>
      <c r="G660" s="10"/>
      <c r="H660" s="12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2.5" x14ac:dyDescent="0.25">
      <c r="A661" s="10"/>
      <c r="B661" s="10"/>
      <c r="C661" s="10"/>
      <c r="D661" s="11"/>
      <c r="E661" s="10"/>
      <c r="F661" s="10"/>
      <c r="G661" s="10"/>
      <c r="H661" s="12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2.5" x14ac:dyDescent="0.25">
      <c r="A662" s="10"/>
      <c r="B662" s="10"/>
      <c r="C662" s="10"/>
      <c r="D662" s="11"/>
      <c r="E662" s="10"/>
      <c r="F662" s="10"/>
      <c r="G662" s="10"/>
      <c r="H662" s="12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2.5" x14ac:dyDescent="0.25">
      <c r="A663" s="10"/>
      <c r="B663" s="10"/>
      <c r="C663" s="10"/>
      <c r="D663" s="11"/>
      <c r="E663" s="10"/>
      <c r="F663" s="10"/>
      <c r="G663" s="10"/>
      <c r="H663" s="12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2.5" x14ac:dyDescent="0.25">
      <c r="A664" s="10"/>
      <c r="B664" s="10"/>
      <c r="C664" s="10"/>
      <c r="D664" s="11"/>
      <c r="E664" s="10"/>
      <c r="F664" s="10"/>
      <c r="G664" s="10"/>
      <c r="H664" s="12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2.5" x14ac:dyDescent="0.25">
      <c r="A665" s="10"/>
      <c r="B665" s="10"/>
      <c r="C665" s="10"/>
      <c r="D665" s="11"/>
      <c r="E665" s="10"/>
      <c r="F665" s="10"/>
      <c r="G665" s="10"/>
      <c r="H665" s="12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2.5" x14ac:dyDescent="0.25">
      <c r="A666" s="10"/>
      <c r="B666" s="10"/>
      <c r="C666" s="10"/>
      <c r="D666" s="11"/>
      <c r="E666" s="10"/>
      <c r="F666" s="10"/>
      <c r="G666" s="10"/>
      <c r="H666" s="12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2.5" x14ac:dyDescent="0.25">
      <c r="A667" s="10"/>
      <c r="B667" s="10"/>
      <c r="C667" s="10"/>
      <c r="D667" s="11"/>
      <c r="E667" s="10"/>
      <c r="F667" s="10"/>
      <c r="G667" s="10"/>
      <c r="H667" s="12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2.5" x14ac:dyDescent="0.25">
      <c r="A668" s="10"/>
      <c r="B668" s="10"/>
      <c r="C668" s="10"/>
      <c r="D668" s="11"/>
      <c r="E668" s="10"/>
      <c r="F668" s="10"/>
      <c r="G668" s="10"/>
      <c r="H668" s="12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2.5" x14ac:dyDescent="0.25">
      <c r="A669" s="10"/>
      <c r="B669" s="10"/>
      <c r="C669" s="10"/>
      <c r="D669" s="11"/>
      <c r="E669" s="10"/>
      <c r="F669" s="10"/>
      <c r="G669" s="10"/>
      <c r="H669" s="12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2.5" x14ac:dyDescent="0.25">
      <c r="A670" s="10"/>
      <c r="B670" s="10"/>
      <c r="C670" s="10"/>
      <c r="D670" s="11"/>
      <c r="E670" s="10"/>
      <c r="F670" s="10"/>
      <c r="G670" s="10"/>
      <c r="H670" s="12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2.5" x14ac:dyDescent="0.25">
      <c r="A671" s="10"/>
      <c r="B671" s="10"/>
      <c r="C671" s="10"/>
      <c r="D671" s="11"/>
      <c r="E671" s="10"/>
      <c r="F671" s="10"/>
      <c r="G671" s="10"/>
      <c r="H671" s="12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2.5" x14ac:dyDescent="0.25">
      <c r="A672" s="10"/>
      <c r="B672" s="10"/>
      <c r="C672" s="10"/>
      <c r="D672" s="11"/>
      <c r="E672" s="10"/>
      <c r="F672" s="10"/>
      <c r="G672" s="10"/>
      <c r="H672" s="12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2.5" x14ac:dyDescent="0.25">
      <c r="A673" s="10"/>
      <c r="B673" s="10"/>
      <c r="C673" s="10"/>
      <c r="D673" s="11"/>
      <c r="E673" s="10"/>
      <c r="F673" s="10"/>
      <c r="G673" s="10"/>
      <c r="H673" s="12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2.5" x14ac:dyDescent="0.25">
      <c r="A674" s="10"/>
      <c r="B674" s="10"/>
      <c r="C674" s="10"/>
      <c r="D674" s="11"/>
      <c r="E674" s="10"/>
      <c r="F674" s="10"/>
      <c r="G674" s="10"/>
      <c r="H674" s="12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2.5" x14ac:dyDescent="0.25">
      <c r="A675" s="10"/>
      <c r="B675" s="10"/>
      <c r="C675" s="10"/>
      <c r="D675" s="11"/>
      <c r="E675" s="10"/>
      <c r="F675" s="10"/>
      <c r="G675" s="10"/>
      <c r="H675" s="12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2.5" x14ac:dyDescent="0.25">
      <c r="A676" s="10"/>
      <c r="B676" s="10"/>
      <c r="C676" s="10"/>
      <c r="D676" s="11"/>
      <c r="E676" s="10"/>
      <c r="F676" s="10"/>
      <c r="G676" s="10"/>
      <c r="H676" s="12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2.5" x14ac:dyDescent="0.25">
      <c r="A677" s="10"/>
      <c r="B677" s="10"/>
      <c r="C677" s="10"/>
      <c r="D677" s="11"/>
      <c r="E677" s="10"/>
      <c r="F677" s="10"/>
      <c r="G677" s="10"/>
      <c r="H677" s="12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2.5" x14ac:dyDescent="0.25">
      <c r="A678" s="10"/>
      <c r="B678" s="10"/>
      <c r="C678" s="10"/>
      <c r="D678" s="11"/>
      <c r="E678" s="10"/>
      <c r="F678" s="10"/>
      <c r="G678" s="10"/>
      <c r="H678" s="12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2.5" x14ac:dyDescent="0.25">
      <c r="A679" s="10"/>
      <c r="B679" s="10"/>
      <c r="C679" s="10"/>
      <c r="D679" s="11"/>
      <c r="E679" s="10"/>
      <c r="F679" s="10"/>
      <c r="G679" s="10"/>
      <c r="H679" s="12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2.5" x14ac:dyDescent="0.25">
      <c r="A680" s="10"/>
      <c r="B680" s="10"/>
      <c r="C680" s="10"/>
      <c r="D680" s="11"/>
      <c r="E680" s="10"/>
      <c r="F680" s="10"/>
      <c r="G680" s="10"/>
      <c r="H680" s="12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2.5" x14ac:dyDescent="0.25">
      <c r="A681" s="10"/>
      <c r="B681" s="10"/>
      <c r="C681" s="10"/>
      <c r="D681" s="11"/>
      <c r="E681" s="10"/>
      <c r="F681" s="10"/>
      <c r="G681" s="10"/>
      <c r="H681" s="12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2.5" x14ac:dyDescent="0.25">
      <c r="A682" s="10"/>
      <c r="B682" s="10"/>
      <c r="C682" s="10"/>
      <c r="D682" s="11"/>
      <c r="E682" s="10"/>
      <c r="F682" s="10"/>
      <c r="G682" s="10"/>
      <c r="H682" s="12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2.5" x14ac:dyDescent="0.25">
      <c r="A683" s="10"/>
      <c r="B683" s="10"/>
      <c r="C683" s="10"/>
      <c r="D683" s="11"/>
      <c r="E683" s="10"/>
      <c r="F683" s="10"/>
      <c r="G683" s="10"/>
      <c r="H683" s="12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2.5" x14ac:dyDescent="0.25">
      <c r="A684" s="10"/>
      <c r="B684" s="10"/>
      <c r="C684" s="10"/>
      <c r="D684" s="11"/>
      <c r="E684" s="10"/>
      <c r="F684" s="10"/>
      <c r="G684" s="10"/>
      <c r="H684" s="12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2.5" x14ac:dyDescent="0.25">
      <c r="A685" s="10"/>
      <c r="B685" s="10"/>
      <c r="C685" s="10"/>
      <c r="D685" s="11"/>
      <c r="E685" s="10"/>
      <c r="F685" s="10"/>
      <c r="G685" s="10"/>
      <c r="H685" s="12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2.5" x14ac:dyDescent="0.25">
      <c r="A686" s="10"/>
      <c r="B686" s="10"/>
      <c r="C686" s="10"/>
      <c r="D686" s="11"/>
      <c r="E686" s="10"/>
      <c r="F686" s="10"/>
      <c r="G686" s="10"/>
      <c r="H686" s="12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2.5" x14ac:dyDescent="0.25">
      <c r="A687" s="10"/>
      <c r="B687" s="10"/>
      <c r="C687" s="10"/>
      <c r="D687" s="11"/>
      <c r="E687" s="10"/>
      <c r="F687" s="10"/>
      <c r="G687" s="10"/>
      <c r="H687" s="12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2.5" x14ac:dyDescent="0.25">
      <c r="A688" s="10"/>
      <c r="B688" s="10"/>
      <c r="C688" s="10"/>
      <c r="D688" s="11"/>
      <c r="E688" s="10"/>
      <c r="F688" s="10"/>
      <c r="G688" s="10"/>
      <c r="H688" s="12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2.5" x14ac:dyDescent="0.25">
      <c r="A689" s="10"/>
      <c r="B689" s="10"/>
      <c r="C689" s="10"/>
      <c r="D689" s="11"/>
      <c r="E689" s="10"/>
      <c r="F689" s="10"/>
      <c r="G689" s="10"/>
      <c r="H689" s="12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2.5" x14ac:dyDescent="0.25">
      <c r="A690" s="10"/>
      <c r="B690" s="10"/>
      <c r="C690" s="10"/>
      <c r="D690" s="11"/>
      <c r="E690" s="10"/>
      <c r="F690" s="10"/>
      <c r="G690" s="10"/>
      <c r="H690" s="12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2.5" x14ac:dyDescent="0.25">
      <c r="A691" s="10"/>
      <c r="B691" s="10"/>
      <c r="C691" s="10"/>
      <c r="D691" s="11"/>
      <c r="E691" s="10"/>
      <c r="F691" s="10"/>
      <c r="G691" s="10"/>
      <c r="H691" s="12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2.5" x14ac:dyDescent="0.25">
      <c r="A692" s="10"/>
      <c r="B692" s="10"/>
      <c r="C692" s="10"/>
      <c r="D692" s="11"/>
      <c r="E692" s="10"/>
      <c r="F692" s="10"/>
      <c r="G692" s="10"/>
      <c r="H692" s="12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2.5" x14ac:dyDescent="0.25">
      <c r="A693" s="10"/>
      <c r="B693" s="10"/>
      <c r="C693" s="10"/>
      <c r="D693" s="11"/>
      <c r="E693" s="10"/>
      <c r="F693" s="10"/>
      <c r="G693" s="10"/>
      <c r="H693" s="12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2.5" x14ac:dyDescent="0.25">
      <c r="A694" s="10"/>
      <c r="B694" s="10"/>
      <c r="C694" s="10"/>
      <c r="D694" s="11"/>
      <c r="E694" s="10"/>
      <c r="F694" s="10"/>
      <c r="G694" s="10"/>
      <c r="H694" s="12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2.5" x14ac:dyDescent="0.25">
      <c r="A695" s="10"/>
      <c r="B695" s="10"/>
      <c r="C695" s="10"/>
      <c r="D695" s="11"/>
      <c r="E695" s="10"/>
      <c r="F695" s="10"/>
      <c r="G695" s="10"/>
      <c r="H695" s="12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2.5" x14ac:dyDescent="0.25">
      <c r="A696" s="10"/>
      <c r="B696" s="10"/>
      <c r="C696" s="10"/>
      <c r="D696" s="11"/>
      <c r="E696" s="10"/>
      <c r="F696" s="10"/>
      <c r="G696" s="10"/>
      <c r="H696" s="12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2.5" x14ac:dyDescent="0.25">
      <c r="A697" s="10"/>
      <c r="B697" s="10"/>
      <c r="C697" s="10"/>
      <c r="D697" s="11"/>
      <c r="E697" s="10"/>
      <c r="F697" s="10"/>
      <c r="G697" s="10"/>
      <c r="H697" s="12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2.5" x14ac:dyDescent="0.25">
      <c r="A698" s="10"/>
      <c r="B698" s="10"/>
      <c r="C698" s="10"/>
      <c r="D698" s="11"/>
      <c r="E698" s="10"/>
      <c r="F698" s="10"/>
      <c r="G698" s="10"/>
      <c r="H698" s="12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2.5" x14ac:dyDescent="0.25">
      <c r="A699" s="10"/>
      <c r="B699" s="10"/>
      <c r="C699" s="10"/>
      <c r="D699" s="11"/>
      <c r="E699" s="10"/>
      <c r="F699" s="10"/>
      <c r="G699" s="10"/>
      <c r="H699" s="12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2.5" x14ac:dyDescent="0.25">
      <c r="A700" s="10"/>
      <c r="B700" s="10"/>
      <c r="C700" s="10"/>
      <c r="D700" s="11"/>
      <c r="E700" s="10"/>
      <c r="F700" s="10"/>
      <c r="G700" s="10"/>
      <c r="H700" s="12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2.5" x14ac:dyDescent="0.25">
      <c r="A701" s="10"/>
      <c r="B701" s="10"/>
      <c r="C701" s="10"/>
      <c r="D701" s="11"/>
      <c r="E701" s="10"/>
      <c r="F701" s="10"/>
      <c r="G701" s="10"/>
      <c r="H701" s="12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2.5" x14ac:dyDescent="0.25">
      <c r="A702" s="10"/>
      <c r="B702" s="10"/>
      <c r="C702" s="10"/>
      <c r="D702" s="11"/>
      <c r="E702" s="10"/>
      <c r="F702" s="10"/>
      <c r="G702" s="10"/>
      <c r="H702" s="12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2.5" x14ac:dyDescent="0.25">
      <c r="A703" s="10"/>
      <c r="B703" s="10"/>
      <c r="C703" s="10"/>
      <c r="D703" s="11"/>
      <c r="E703" s="10"/>
      <c r="F703" s="10"/>
      <c r="G703" s="10"/>
      <c r="H703" s="12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2.5" x14ac:dyDescent="0.25">
      <c r="A704" s="10"/>
      <c r="B704" s="10"/>
      <c r="C704" s="10"/>
      <c r="D704" s="11"/>
      <c r="E704" s="10"/>
      <c r="F704" s="10"/>
      <c r="G704" s="10"/>
      <c r="H704" s="12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2.5" x14ac:dyDescent="0.25">
      <c r="A705" s="10"/>
      <c r="B705" s="10"/>
      <c r="C705" s="10"/>
      <c r="D705" s="11"/>
      <c r="E705" s="10"/>
      <c r="F705" s="10"/>
      <c r="G705" s="10"/>
      <c r="H705" s="12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2.5" x14ac:dyDescent="0.25">
      <c r="A706" s="10"/>
      <c r="B706" s="10"/>
      <c r="C706" s="10"/>
      <c r="D706" s="11"/>
      <c r="E706" s="10"/>
      <c r="F706" s="10"/>
      <c r="G706" s="10"/>
      <c r="H706" s="12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2.5" x14ac:dyDescent="0.25">
      <c r="A707" s="10"/>
      <c r="B707" s="10"/>
      <c r="C707" s="10"/>
      <c r="D707" s="11"/>
      <c r="E707" s="10"/>
      <c r="F707" s="10"/>
      <c r="G707" s="10"/>
      <c r="H707" s="12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2.5" x14ac:dyDescent="0.25">
      <c r="A708" s="10"/>
      <c r="B708" s="10"/>
      <c r="C708" s="10"/>
      <c r="D708" s="11"/>
      <c r="E708" s="10"/>
      <c r="F708" s="10"/>
      <c r="G708" s="10"/>
      <c r="H708" s="12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2.5" x14ac:dyDescent="0.25">
      <c r="A709" s="10"/>
      <c r="B709" s="10"/>
      <c r="C709" s="10"/>
      <c r="D709" s="11"/>
      <c r="E709" s="10"/>
      <c r="F709" s="10"/>
      <c r="G709" s="10"/>
      <c r="H709" s="12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2.5" x14ac:dyDescent="0.25">
      <c r="A710" s="10"/>
      <c r="B710" s="10"/>
      <c r="C710" s="10"/>
      <c r="D710" s="11"/>
      <c r="E710" s="10"/>
      <c r="F710" s="10"/>
      <c r="G710" s="10"/>
      <c r="H710" s="12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2.5" x14ac:dyDescent="0.25">
      <c r="A711" s="10"/>
      <c r="B711" s="10"/>
      <c r="C711" s="10"/>
      <c r="D711" s="11"/>
      <c r="E711" s="10"/>
      <c r="F711" s="10"/>
      <c r="G711" s="10"/>
      <c r="H711" s="12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2.5" x14ac:dyDescent="0.25">
      <c r="A712" s="10"/>
      <c r="B712" s="10"/>
      <c r="C712" s="10"/>
      <c r="D712" s="11"/>
      <c r="E712" s="10"/>
      <c r="F712" s="10"/>
      <c r="G712" s="10"/>
      <c r="H712" s="12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2.5" x14ac:dyDescent="0.25">
      <c r="A713" s="10"/>
      <c r="B713" s="10"/>
      <c r="C713" s="10"/>
      <c r="D713" s="11"/>
      <c r="E713" s="10"/>
      <c r="F713" s="10"/>
      <c r="G713" s="10"/>
      <c r="H713" s="12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2.5" x14ac:dyDescent="0.25">
      <c r="A714" s="10"/>
      <c r="B714" s="10"/>
      <c r="C714" s="10"/>
      <c r="D714" s="11"/>
      <c r="E714" s="10"/>
      <c r="F714" s="10"/>
      <c r="G714" s="10"/>
      <c r="H714" s="12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2.5" x14ac:dyDescent="0.25">
      <c r="A715" s="10"/>
      <c r="B715" s="10"/>
      <c r="C715" s="10"/>
      <c r="D715" s="11"/>
      <c r="E715" s="10"/>
      <c r="F715" s="10"/>
      <c r="G715" s="10"/>
      <c r="H715" s="12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2.5" x14ac:dyDescent="0.25">
      <c r="A716" s="10"/>
      <c r="B716" s="10"/>
      <c r="C716" s="10"/>
      <c r="D716" s="11"/>
      <c r="E716" s="10"/>
      <c r="F716" s="10"/>
      <c r="G716" s="10"/>
      <c r="H716" s="12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2.5" x14ac:dyDescent="0.25">
      <c r="A717" s="10"/>
      <c r="B717" s="10"/>
      <c r="C717" s="10"/>
      <c r="D717" s="11"/>
      <c r="E717" s="10"/>
      <c r="F717" s="10"/>
      <c r="G717" s="10"/>
      <c r="H717" s="12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2.5" x14ac:dyDescent="0.25">
      <c r="A718" s="10"/>
      <c r="B718" s="10"/>
      <c r="C718" s="10"/>
      <c r="D718" s="11"/>
      <c r="E718" s="10"/>
      <c r="F718" s="10"/>
      <c r="G718" s="10"/>
      <c r="H718" s="12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2.5" x14ac:dyDescent="0.25">
      <c r="A719" s="10"/>
      <c r="B719" s="10"/>
      <c r="C719" s="10"/>
      <c r="D719" s="11"/>
      <c r="E719" s="10"/>
      <c r="F719" s="10"/>
      <c r="G719" s="10"/>
      <c r="H719" s="12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2.5" x14ac:dyDescent="0.25">
      <c r="A720" s="10"/>
      <c r="B720" s="10"/>
      <c r="C720" s="10"/>
      <c r="D720" s="11"/>
      <c r="E720" s="10"/>
      <c r="F720" s="10"/>
      <c r="G720" s="10"/>
      <c r="H720" s="12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2.5" x14ac:dyDescent="0.25">
      <c r="A721" s="10"/>
      <c r="B721" s="10"/>
      <c r="C721" s="10"/>
      <c r="D721" s="11"/>
      <c r="E721" s="10"/>
      <c r="F721" s="10"/>
      <c r="G721" s="10"/>
      <c r="H721" s="12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2.5" x14ac:dyDescent="0.25">
      <c r="A722" s="10"/>
      <c r="B722" s="10"/>
      <c r="C722" s="10"/>
      <c r="D722" s="11"/>
      <c r="E722" s="10"/>
      <c r="F722" s="10"/>
      <c r="G722" s="10"/>
      <c r="H722" s="12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2.5" x14ac:dyDescent="0.25">
      <c r="A723" s="10"/>
      <c r="B723" s="10"/>
      <c r="C723" s="10"/>
      <c r="D723" s="11"/>
      <c r="E723" s="10"/>
      <c r="F723" s="10"/>
      <c r="G723" s="10"/>
      <c r="H723" s="12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2.5" x14ac:dyDescent="0.25">
      <c r="A724" s="10"/>
      <c r="B724" s="10"/>
      <c r="C724" s="10"/>
      <c r="D724" s="11"/>
      <c r="E724" s="10"/>
      <c r="F724" s="10"/>
      <c r="G724" s="10"/>
      <c r="H724" s="12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2.5" x14ac:dyDescent="0.25">
      <c r="A725" s="10"/>
      <c r="B725" s="10"/>
      <c r="C725" s="10"/>
      <c r="D725" s="11"/>
      <c r="E725" s="10"/>
      <c r="F725" s="10"/>
      <c r="G725" s="10"/>
      <c r="H725" s="12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2.5" x14ac:dyDescent="0.25">
      <c r="A726" s="10"/>
      <c r="B726" s="10"/>
      <c r="C726" s="10"/>
      <c r="D726" s="11"/>
      <c r="E726" s="10"/>
      <c r="F726" s="10"/>
      <c r="G726" s="10"/>
      <c r="H726" s="12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2.5" x14ac:dyDescent="0.25">
      <c r="A727" s="10"/>
      <c r="B727" s="10"/>
      <c r="C727" s="10"/>
      <c r="D727" s="11"/>
      <c r="E727" s="10"/>
      <c r="F727" s="10"/>
      <c r="G727" s="10"/>
      <c r="H727" s="12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2.5" x14ac:dyDescent="0.25">
      <c r="A728" s="10"/>
      <c r="B728" s="10"/>
      <c r="C728" s="10"/>
      <c r="D728" s="11"/>
      <c r="E728" s="10"/>
      <c r="F728" s="10"/>
      <c r="G728" s="10"/>
      <c r="H728" s="12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2.5" x14ac:dyDescent="0.25">
      <c r="A729" s="10"/>
      <c r="B729" s="10"/>
      <c r="C729" s="10"/>
      <c r="D729" s="11"/>
      <c r="E729" s="10"/>
      <c r="F729" s="10"/>
      <c r="G729" s="10"/>
      <c r="H729" s="12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2.5" x14ac:dyDescent="0.25">
      <c r="A730" s="10"/>
      <c r="B730" s="10"/>
      <c r="C730" s="10"/>
      <c r="D730" s="11"/>
      <c r="E730" s="10"/>
      <c r="F730" s="10"/>
      <c r="G730" s="10"/>
      <c r="H730" s="12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2.5" x14ac:dyDescent="0.25">
      <c r="A731" s="10"/>
      <c r="B731" s="10"/>
      <c r="C731" s="10"/>
      <c r="D731" s="11"/>
      <c r="E731" s="10"/>
      <c r="F731" s="10"/>
      <c r="G731" s="10"/>
      <c r="H731" s="12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2.5" x14ac:dyDescent="0.25">
      <c r="A732" s="10"/>
      <c r="B732" s="10"/>
      <c r="C732" s="10"/>
      <c r="D732" s="11"/>
      <c r="E732" s="10"/>
      <c r="F732" s="10"/>
      <c r="G732" s="10"/>
      <c r="H732" s="12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2.5" x14ac:dyDescent="0.25">
      <c r="A733" s="10"/>
      <c r="B733" s="10"/>
      <c r="C733" s="10"/>
      <c r="D733" s="11"/>
      <c r="E733" s="10"/>
      <c r="F733" s="10"/>
      <c r="G733" s="10"/>
      <c r="H733" s="12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2.5" x14ac:dyDescent="0.25">
      <c r="A734" s="10"/>
      <c r="B734" s="10"/>
      <c r="C734" s="10"/>
      <c r="D734" s="11"/>
      <c r="E734" s="10"/>
      <c r="F734" s="10"/>
      <c r="G734" s="10"/>
      <c r="H734" s="12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2.5" x14ac:dyDescent="0.25">
      <c r="A735" s="10"/>
      <c r="B735" s="10"/>
      <c r="C735" s="10"/>
      <c r="D735" s="11"/>
      <c r="E735" s="10"/>
      <c r="F735" s="10"/>
      <c r="G735" s="10"/>
      <c r="H735" s="12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2.5" x14ac:dyDescent="0.25">
      <c r="A736" s="10"/>
      <c r="B736" s="10"/>
      <c r="C736" s="10"/>
      <c r="D736" s="11"/>
      <c r="E736" s="10"/>
      <c r="F736" s="10"/>
      <c r="G736" s="10"/>
      <c r="H736" s="12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2.5" x14ac:dyDescent="0.25">
      <c r="A737" s="10"/>
      <c r="B737" s="10"/>
      <c r="C737" s="10"/>
      <c r="D737" s="11"/>
      <c r="E737" s="10"/>
      <c r="F737" s="10"/>
      <c r="G737" s="10"/>
      <c r="H737" s="12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2.5" x14ac:dyDescent="0.25">
      <c r="A738" s="10"/>
      <c r="B738" s="10"/>
      <c r="C738" s="10"/>
      <c r="D738" s="11"/>
      <c r="E738" s="10"/>
      <c r="F738" s="10"/>
      <c r="G738" s="10"/>
      <c r="H738" s="12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2.5" x14ac:dyDescent="0.25">
      <c r="A739" s="10"/>
      <c r="B739" s="10"/>
      <c r="C739" s="10"/>
      <c r="D739" s="11"/>
      <c r="E739" s="10"/>
      <c r="F739" s="10"/>
      <c r="G739" s="10"/>
      <c r="H739" s="12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2.5" x14ac:dyDescent="0.25">
      <c r="A740" s="10"/>
      <c r="B740" s="10"/>
      <c r="C740" s="10"/>
      <c r="D740" s="11"/>
      <c r="E740" s="10"/>
      <c r="F740" s="10"/>
      <c r="G740" s="10"/>
      <c r="H740" s="12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2.5" x14ac:dyDescent="0.25">
      <c r="A741" s="10"/>
      <c r="B741" s="10"/>
      <c r="C741" s="10"/>
      <c r="D741" s="11"/>
      <c r="E741" s="10"/>
      <c r="F741" s="10"/>
      <c r="G741" s="10"/>
      <c r="H741" s="12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2.5" x14ac:dyDescent="0.25">
      <c r="A742" s="10"/>
      <c r="B742" s="10"/>
      <c r="C742" s="10"/>
      <c r="D742" s="11"/>
      <c r="E742" s="10"/>
      <c r="F742" s="10"/>
      <c r="G742" s="10"/>
      <c r="H742" s="12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2.5" x14ac:dyDescent="0.25">
      <c r="A743" s="10"/>
      <c r="B743" s="10"/>
      <c r="C743" s="10"/>
      <c r="D743" s="11"/>
      <c r="E743" s="10"/>
      <c r="F743" s="10"/>
      <c r="G743" s="10"/>
      <c r="H743" s="12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2.5" x14ac:dyDescent="0.25">
      <c r="A744" s="10"/>
      <c r="B744" s="10"/>
      <c r="C744" s="10"/>
      <c r="D744" s="11"/>
      <c r="E744" s="10"/>
      <c r="F744" s="10"/>
      <c r="G744" s="10"/>
      <c r="H744" s="12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2.5" x14ac:dyDescent="0.25">
      <c r="A745" s="10"/>
      <c r="B745" s="10"/>
      <c r="C745" s="10"/>
      <c r="D745" s="11"/>
      <c r="E745" s="10"/>
      <c r="F745" s="10"/>
      <c r="G745" s="10"/>
      <c r="H745" s="12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2.5" x14ac:dyDescent="0.25">
      <c r="A746" s="10"/>
      <c r="B746" s="10"/>
      <c r="C746" s="10"/>
      <c r="D746" s="11"/>
      <c r="E746" s="10"/>
      <c r="F746" s="10"/>
      <c r="G746" s="10"/>
      <c r="H746" s="12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2.5" x14ac:dyDescent="0.25">
      <c r="A747" s="10"/>
      <c r="B747" s="10"/>
      <c r="C747" s="10"/>
      <c r="D747" s="11"/>
      <c r="E747" s="10"/>
      <c r="F747" s="10"/>
      <c r="G747" s="10"/>
      <c r="H747" s="12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2.5" x14ac:dyDescent="0.25">
      <c r="A748" s="10"/>
      <c r="B748" s="10"/>
      <c r="C748" s="10"/>
      <c r="D748" s="11"/>
      <c r="E748" s="10"/>
      <c r="F748" s="10"/>
      <c r="G748" s="10"/>
      <c r="H748" s="12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2.5" x14ac:dyDescent="0.25">
      <c r="A749" s="10"/>
      <c r="B749" s="10"/>
      <c r="C749" s="10"/>
      <c r="D749" s="11"/>
      <c r="E749" s="10"/>
      <c r="F749" s="10"/>
      <c r="G749" s="10"/>
      <c r="H749" s="12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2.5" x14ac:dyDescent="0.25">
      <c r="A750" s="10"/>
      <c r="B750" s="10"/>
      <c r="C750" s="10"/>
      <c r="D750" s="11"/>
      <c r="E750" s="10"/>
      <c r="F750" s="10"/>
      <c r="G750" s="10"/>
      <c r="H750" s="12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2.5" x14ac:dyDescent="0.25">
      <c r="A751" s="10"/>
      <c r="B751" s="10"/>
      <c r="C751" s="10"/>
      <c r="D751" s="11"/>
      <c r="E751" s="10"/>
      <c r="F751" s="10"/>
      <c r="G751" s="10"/>
      <c r="H751" s="12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2.5" x14ac:dyDescent="0.25">
      <c r="A752" s="10"/>
      <c r="B752" s="10"/>
      <c r="C752" s="10"/>
      <c r="D752" s="11"/>
      <c r="E752" s="10"/>
      <c r="F752" s="10"/>
      <c r="G752" s="10"/>
      <c r="H752" s="12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2.5" x14ac:dyDescent="0.25">
      <c r="A753" s="10"/>
      <c r="B753" s="10"/>
      <c r="C753" s="10"/>
      <c r="D753" s="11"/>
      <c r="E753" s="10"/>
      <c r="F753" s="10"/>
      <c r="G753" s="10"/>
      <c r="H753" s="12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2.5" x14ac:dyDescent="0.25">
      <c r="A754" s="10"/>
      <c r="B754" s="10"/>
      <c r="C754" s="10"/>
      <c r="D754" s="11"/>
      <c r="E754" s="10"/>
      <c r="F754" s="10"/>
      <c r="G754" s="10"/>
      <c r="H754" s="12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2.5" x14ac:dyDescent="0.25">
      <c r="A755" s="10"/>
      <c r="B755" s="10"/>
      <c r="C755" s="10"/>
      <c r="D755" s="11"/>
      <c r="E755" s="10"/>
      <c r="F755" s="10"/>
      <c r="G755" s="10"/>
      <c r="H755" s="12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2.5" x14ac:dyDescent="0.25">
      <c r="A756" s="10"/>
      <c r="B756" s="10"/>
      <c r="C756" s="10"/>
      <c r="D756" s="11"/>
      <c r="E756" s="10"/>
      <c r="F756" s="10"/>
      <c r="G756" s="10"/>
      <c r="H756" s="12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2.5" x14ac:dyDescent="0.25">
      <c r="A757" s="10"/>
      <c r="B757" s="10"/>
      <c r="C757" s="10"/>
      <c r="D757" s="11"/>
      <c r="E757" s="10"/>
      <c r="F757" s="10"/>
      <c r="G757" s="10"/>
      <c r="H757" s="12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2.5" x14ac:dyDescent="0.25">
      <c r="A758" s="10"/>
      <c r="B758" s="10"/>
      <c r="C758" s="10"/>
      <c r="D758" s="11"/>
      <c r="E758" s="10"/>
      <c r="F758" s="10"/>
      <c r="G758" s="10"/>
      <c r="H758" s="12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2.5" x14ac:dyDescent="0.25">
      <c r="A759" s="10"/>
      <c r="B759" s="10"/>
      <c r="C759" s="10"/>
      <c r="D759" s="11"/>
      <c r="E759" s="10"/>
      <c r="F759" s="10"/>
      <c r="G759" s="10"/>
      <c r="H759" s="12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2.5" x14ac:dyDescent="0.25">
      <c r="A760" s="10"/>
      <c r="B760" s="10"/>
      <c r="C760" s="10"/>
      <c r="D760" s="11"/>
      <c r="E760" s="10"/>
      <c r="F760" s="10"/>
      <c r="G760" s="10"/>
      <c r="H760" s="12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2.5" x14ac:dyDescent="0.25">
      <c r="A761" s="10"/>
      <c r="B761" s="10"/>
      <c r="C761" s="10"/>
      <c r="D761" s="11"/>
      <c r="E761" s="10"/>
      <c r="F761" s="10"/>
      <c r="G761" s="10"/>
      <c r="H761" s="12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2.5" x14ac:dyDescent="0.25">
      <c r="A762" s="10"/>
      <c r="B762" s="10"/>
      <c r="C762" s="10"/>
      <c r="D762" s="11"/>
      <c r="E762" s="10"/>
      <c r="F762" s="10"/>
      <c r="G762" s="10"/>
      <c r="H762" s="12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2.5" x14ac:dyDescent="0.25">
      <c r="A763" s="10"/>
      <c r="B763" s="10"/>
      <c r="C763" s="10"/>
      <c r="D763" s="11"/>
      <c r="E763" s="10"/>
      <c r="F763" s="10"/>
      <c r="G763" s="10"/>
      <c r="H763" s="12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2.5" x14ac:dyDescent="0.25">
      <c r="A764" s="10"/>
      <c r="B764" s="10"/>
      <c r="C764" s="10"/>
      <c r="D764" s="11"/>
      <c r="E764" s="10"/>
      <c r="F764" s="10"/>
      <c r="G764" s="10"/>
      <c r="H764" s="12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2.5" x14ac:dyDescent="0.25">
      <c r="A765" s="10"/>
      <c r="B765" s="10"/>
      <c r="C765" s="10"/>
      <c r="D765" s="11"/>
      <c r="E765" s="10"/>
      <c r="F765" s="10"/>
      <c r="G765" s="10"/>
      <c r="H765" s="12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2.5" x14ac:dyDescent="0.25">
      <c r="A766" s="10"/>
      <c r="B766" s="10"/>
      <c r="C766" s="10"/>
      <c r="D766" s="11"/>
      <c r="E766" s="10"/>
      <c r="F766" s="10"/>
      <c r="G766" s="10"/>
      <c r="H766" s="12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2.5" x14ac:dyDescent="0.25">
      <c r="A767" s="10"/>
      <c r="B767" s="10"/>
      <c r="C767" s="10"/>
      <c r="D767" s="11"/>
      <c r="E767" s="10"/>
      <c r="F767" s="10"/>
      <c r="G767" s="10"/>
      <c r="H767" s="12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2.5" x14ac:dyDescent="0.25">
      <c r="A768" s="10"/>
      <c r="B768" s="10"/>
      <c r="C768" s="10"/>
      <c r="D768" s="11"/>
      <c r="E768" s="10"/>
      <c r="F768" s="10"/>
      <c r="G768" s="10"/>
      <c r="H768" s="12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2.5" x14ac:dyDescent="0.25">
      <c r="A769" s="10"/>
      <c r="B769" s="10"/>
      <c r="C769" s="10"/>
      <c r="D769" s="11"/>
      <c r="E769" s="10"/>
      <c r="F769" s="10"/>
      <c r="G769" s="10"/>
      <c r="H769" s="12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2.5" x14ac:dyDescent="0.25">
      <c r="A770" s="10"/>
      <c r="B770" s="10"/>
      <c r="C770" s="10"/>
      <c r="D770" s="11"/>
      <c r="E770" s="10"/>
      <c r="F770" s="10"/>
      <c r="G770" s="10"/>
      <c r="H770" s="12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2.5" x14ac:dyDescent="0.25">
      <c r="A771" s="10"/>
      <c r="B771" s="10"/>
      <c r="C771" s="10"/>
      <c r="D771" s="11"/>
      <c r="E771" s="10"/>
      <c r="F771" s="10"/>
      <c r="G771" s="10"/>
      <c r="H771" s="12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2.5" x14ac:dyDescent="0.25">
      <c r="A772" s="10"/>
      <c r="B772" s="10"/>
      <c r="C772" s="10"/>
      <c r="D772" s="11"/>
      <c r="E772" s="10"/>
      <c r="F772" s="10"/>
      <c r="G772" s="10"/>
      <c r="H772" s="12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2.5" x14ac:dyDescent="0.25">
      <c r="A773" s="10"/>
      <c r="B773" s="10"/>
      <c r="C773" s="10"/>
      <c r="D773" s="11"/>
      <c r="E773" s="10"/>
      <c r="F773" s="10"/>
      <c r="G773" s="10"/>
      <c r="H773" s="12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2.5" x14ac:dyDescent="0.25">
      <c r="A774" s="10"/>
      <c r="B774" s="10"/>
      <c r="C774" s="10"/>
      <c r="D774" s="11"/>
      <c r="E774" s="10"/>
      <c r="F774" s="10"/>
      <c r="G774" s="10"/>
      <c r="H774" s="12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2.5" x14ac:dyDescent="0.25">
      <c r="A775" s="10"/>
      <c r="B775" s="10"/>
      <c r="C775" s="10"/>
      <c r="D775" s="11"/>
      <c r="E775" s="10"/>
      <c r="F775" s="10"/>
      <c r="G775" s="10"/>
      <c r="H775" s="12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2.5" x14ac:dyDescent="0.25">
      <c r="A776" s="10"/>
      <c r="B776" s="10"/>
      <c r="C776" s="10"/>
      <c r="D776" s="11"/>
      <c r="E776" s="10"/>
      <c r="F776" s="10"/>
      <c r="G776" s="10"/>
      <c r="H776" s="12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2.5" x14ac:dyDescent="0.25">
      <c r="A777" s="10"/>
      <c r="B777" s="10"/>
      <c r="C777" s="10"/>
      <c r="D777" s="11"/>
      <c r="E777" s="10"/>
      <c r="F777" s="10"/>
      <c r="G777" s="10"/>
      <c r="H777" s="12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2.5" x14ac:dyDescent="0.25">
      <c r="A778" s="10"/>
      <c r="B778" s="10"/>
      <c r="C778" s="10"/>
      <c r="D778" s="11"/>
      <c r="E778" s="10"/>
      <c r="F778" s="10"/>
      <c r="G778" s="10"/>
      <c r="H778" s="12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2.5" x14ac:dyDescent="0.25">
      <c r="A779" s="10"/>
      <c r="B779" s="10"/>
      <c r="C779" s="10"/>
      <c r="D779" s="11"/>
      <c r="E779" s="10"/>
      <c r="F779" s="10"/>
      <c r="G779" s="10"/>
      <c r="H779" s="12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2.5" x14ac:dyDescent="0.25">
      <c r="A780" s="10"/>
      <c r="B780" s="10"/>
      <c r="C780" s="10"/>
      <c r="D780" s="11"/>
      <c r="E780" s="10"/>
      <c r="F780" s="10"/>
      <c r="G780" s="10"/>
      <c r="H780" s="12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2.5" x14ac:dyDescent="0.25">
      <c r="A781" s="10"/>
      <c r="B781" s="10"/>
      <c r="C781" s="10"/>
      <c r="D781" s="11"/>
      <c r="E781" s="10"/>
      <c r="F781" s="10"/>
      <c r="G781" s="10"/>
      <c r="H781" s="12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2.5" x14ac:dyDescent="0.25">
      <c r="A782" s="10"/>
      <c r="B782" s="10"/>
      <c r="C782" s="10"/>
      <c r="D782" s="11"/>
      <c r="E782" s="10"/>
      <c r="F782" s="10"/>
      <c r="G782" s="10"/>
      <c r="H782" s="12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2.5" x14ac:dyDescent="0.25">
      <c r="A783" s="10"/>
      <c r="B783" s="10"/>
      <c r="C783" s="10"/>
      <c r="D783" s="11"/>
      <c r="E783" s="10"/>
      <c r="F783" s="10"/>
      <c r="G783" s="10"/>
      <c r="H783" s="12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2.5" x14ac:dyDescent="0.25">
      <c r="A784" s="10"/>
      <c r="B784" s="10"/>
      <c r="C784" s="10"/>
      <c r="D784" s="11"/>
      <c r="E784" s="10"/>
      <c r="F784" s="10"/>
      <c r="G784" s="10"/>
      <c r="H784" s="12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2.5" x14ac:dyDescent="0.25">
      <c r="A785" s="10"/>
      <c r="B785" s="10"/>
      <c r="C785" s="10"/>
      <c r="D785" s="11"/>
      <c r="E785" s="10"/>
      <c r="F785" s="10"/>
      <c r="G785" s="10"/>
      <c r="H785" s="12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2.5" x14ac:dyDescent="0.25">
      <c r="A786" s="10"/>
      <c r="B786" s="10"/>
      <c r="C786" s="10"/>
      <c r="D786" s="11"/>
      <c r="E786" s="10"/>
      <c r="F786" s="10"/>
      <c r="G786" s="10"/>
      <c r="H786" s="12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2.5" x14ac:dyDescent="0.25">
      <c r="A787" s="10"/>
      <c r="B787" s="10"/>
      <c r="C787" s="10"/>
      <c r="D787" s="11"/>
      <c r="E787" s="10"/>
      <c r="F787" s="10"/>
      <c r="G787" s="10"/>
      <c r="H787" s="12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2.5" x14ac:dyDescent="0.25">
      <c r="A788" s="10"/>
      <c r="B788" s="10"/>
      <c r="C788" s="10"/>
      <c r="D788" s="11"/>
      <c r="E788" s="10"/>
      <c r="F788" s="10"/>
      <c r="G788" s="10"/>
      <c r="H788" s="12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2.5" x14ac:dyDescent="0.25">
      <c r="A789" s="10"/>
      <c r="B789" s="10"/>
      <c r="C789" s="10"/>
      <c r="D789" s="11"/>
      <c r="E789" s="10"/>
      <c r="F789" s="10"/>
      <c r="G789" s="10"/>
      <c r="H789" s="12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2.5" x14ac:dyDescent="0.25">
      <c r="A790" s="10"/>
      <c r="B790" s="10"/>
      <c r="C790" s="10"/>
      <c r="D790" s="11"/>
      <c r="E790" s="10"/>
      <c r="F790" s="10"/>
      <c r="G790" s="10"/>
      <c r="H790" s="12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2.5" x14ac:dyDescent="0.25">
      <c r="A791" s="10"/>
      <c r="B791" s="10"/>
      <c r="C791" s="10"/>
      <c r="D791" s="11"/>
      <c r="E791" s="10"/>
      <c r="F791" s="10"/>
      <c r="G791" s="10"/>
      <c r="H791" s="12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2.5" x14ac:dyDescent="0.25">
      <c r="A792" s="10"/>
      <c r="B792" s="10"/>
      <c r="C792" s="10"/>
      <c r="D792" s="11"/>
      <c r="E792" s="10"/>
      <c r="F792" s="10"/>
      <c r="G792" s="10"/>
      <c r="H792" s="12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2.5" x14ac:dyDescent="0.25">
      <c r="A793" s="10"/>
      <c r="B793" s="10"/>
      <c r="C793" s="10"/>
      <c r="D793" s="11"/>
      <c r="E793" s="10"/>
      <c r="F793" s="10"/>
      <c r="G793" s="10"/>
      <c r="H793" s="12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2.5" x14ac:dyDescent="0.25">
      <c r="A794" s="10"/>
      <c r="B794" s="10"/>
      <c r="C794" s="10"/>
      <c r="D794" s="11"/>
      <c r="E794" s="10"/>
      <c r="F794" s="10"/>
      <c r="G794" s="10"/>
      <c r="H794" s="12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2.5" x14ac:dyDescent="0.25">
      <c r="A795" s="10"/>
      <c r="B795" s="10"/>
      <c r="C795" s="10"/>
      <c r="D795" s="11"/>
      <c r="E795" s="10"/>
      <c r="F795" s="10"/>
      <c r="G795" s="10"/>
      <c r="H795" s="12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2.5" x14ac:dyDescent="0.25">
      <c r="A796" s="10"/>
      <c r="B796" s="10"/>
      <c r="C796" s="10"/>
      <c r="D796" s="11"/>
      <c r="E796" s="10"/>
      <c r="F796" s="10"/>
      <c r="G796" s="10"/>
      <c r="H796" s="12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2.5" x14ac:dyDescent="0.25">
      <c r="A797" s="10"/>
      <c r="B797" s="10"/>
      <c r="C797" s="10"/>
      <c r="D797" s="11"/>
      <c r="E797" s="10"/>
      <c r="F797" s="10"/>
      <c r="G797" s="10"/>
      <c r="H797" s="12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2.5" x14ac:dyDescent="0.25">
      <c r="A798" s="10"/>
      <c r="B798" s="10"/>
      <c r="C798" s="10"/>
      <c r="D798" s="11"/>
      <c r="E798" s="10"/>
      <c r="F798" s="10"/>
      <c r="G798" s="10"/>
      <c r="H798" s="12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2.5" x14ac:dyDescent="0.25">
      <c r="A799" s="10"/>
      <c r="B799" s="10"/>
      <c r="C799" s="10"/>
      <c r="D799" s="11"/>
      <c r="E799" s="10"/>
      <c r="F799" s="10"/>
      <c r="G799" s="10"/>
      <c r="H799" s="12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2.5" x14ac:dyDescent="0.25">
      <c r="A800" s="10"/>
      <c r="B800" s="10"/>
      <c r="C800" s="10"/>
      <c r="D800" s="11"/>
      <c r="E800" s="10"/>
      <c r="F800" s="10"/>
      <c r="G800" s="10"/>
      <c r="H800" s="12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2.5" x14ac:dyDescent="0.25">
      <c r="A801" s="10"/>
      <c r="B801" s="10"/>
      <c r="C801" s="10"/>
      <c r="D801" s="11"/>
      <c r="E801" s="10"/>
      <c r="F801" s="10"/>
      <c r="G801" s="10"/>
      <c r="H801" s="12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2.5" x14ac:dyDescent="0.25">
      <c r="A802" s="10"/>
      <c r="B802" s="10"/>
      <c r="C802" s="10"/>
      <c r="D802" s="11"/>
      <c r="E802" s="10"/>
      <c r="F802" s="10"/>
      <c r="G802" s="10"/>
      <c r="H802" s="12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2.5" x14ac:dyDescent="0.25">
      <c r="A803" s="10"/>
      <c r="B803" s="10"/>
      <c r="C803" s="10"/>
      <c r="D803" s="11"/>
      <c r="E803" s="10"/>
      <c r="F803" s="10"/>
      <c r="G803" s="10"/>
      <c r="H803" s="12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2.5" x14ac:dyDescent="0.25">
      <c r="A804" s="10"/>
      <c r="B804" s="10"/>
      <c r="C804" s="10"/>
      <c r="D804" s="11"/>
      <c r="E804" s="10"/>
      <c r="F804" s="10"/>
      <c r="G804" s="10"/>
      <c r="H804" s="12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2.5" x14ac:dyDescent="0.25">
      <c r="A805" s="10"/>
      <c r="B805" s="10"/>
      <c r="C805" s="10"/>
      <c r="D805" s="11"/>
      <c r="E805" s="10"/>
      <c r="F805" s="10"/>
      <c r="G805" s="10"/>
      <c r="H805" s="12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2.5" x14ac:dyDescent="0.25">
      <c r="A806" s="10"/>
      <c r="B806" s="10"/>
      <c r="C806" s="10"/>
      <c r="D806" s="11"/>
      <c r="E806" s="10"/>
      <c r="F806" s="10"/>
      <c r="G806" s="10"/>
      <c r="H806" s="12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2.5" x14ac:dyDescent="0.25">
      <c r="A807" s="10"/>
      <c r="B807" s="10"/>
      <c r="C807" s="10"/>
      <c r="D807" s="11"/>
      <c r="E807" s="10"/>
      <c r="F807" s="10"/>
      <c r="G807" s="10"/>
      <c r="H807" s="12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2.5" x14ac:dyDescent="0.25">
      <c r="A808" s="10"/>
      <c r="B808" s="10"/>
      <c r="C808" s="10"/>
      <c r="D808" s="11"/>
      <c r="E808" s="10"/>
      <c r="F808" s="10"/>
      <c r="G808" s="10"/>
      <c r="H808" s="12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2.5" x14ac:dyDescent="0.25">
      <c r="A809" s="10"/>
      <c r="B809" s="10"/>
      <c r="C809" s="10"/>
      <c r="D809" s="11"/>
      <c r="E809" s="10"/>
      <c r="F809" s="10"/>
      <c r="G809" s="10"/>
      <c r="H809" s="12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2.5" x14ac:dyDescent="0.25">
      <c r="A810" s="10"/>
      <c r="B810" s="10"/>
      <c r="C810" s="10"/>
      <c r="D810" s="11"/>
      <c r="E810" s="10"/>
      <c r="F810" s="10"/>
      <c r="G810" s="10"/>
      <c r="H810" s="12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2.5" x14ac:dyDescent="0.25">
      <c r="A811" s="10"/>
      <c r="B811" s="10"/>
      <c r="C811" s="10"/>
      <c r="D811" s="11"/>
      <c r="E811" s="10"/>
      <c r="F811" s="10"/>
      <c r="G811" s="10"/>
      <c r="H811" s="12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2.5" x14ac:dyDescent="0.25">
      <c r="A812" s="10"/>
      <c r="B812" s="10"/>
      <c r="C812" s="10"/>
      <c r="D812" s="11"/>
      <c r="E812" s="10"/>
      <c r="F812" s="10"/>
      <c r="G812" s="10"/>
      <c r="H812" s="12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2.5" x14ac:dyDescent="0.25">
      <c r="A813" s="10"/>
      <c r="B813" s="10"/>
      <c r="C813" s="10"/>
      <c r="D813" s="11"/>
      <c r="E813" s="10"/>
      <c r="F813" s="10"/>
      <c r="G813" s="10"/>
      <c r="H813" s="12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2.5" x14ac:dyDescent="0.25">
      <c r="A814" s="10"/>
      <c r="B814" s="10"/>
      <c r="C814" s="10"/>
      <c r="D814" s="11"/>
      <c r="E814" s="10"/>
      <c r="F814" s="10"/>
      <c r="G814" s="10"/>
      <c r="H814" s="12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2.5" x14ac:dyDescent="0.25">
      <c r="A815" s="10"/>
      <c r="B815" s="10"/>
      <c r="C815" s="10"/>
      <c r="D815" s="11"/>
      <c r="E815" s="10"/>
      <c r="F815" s="10"/>
      <c r="G815" s="10"/>
      <c r="H815" s="12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2.5" x14ac:dyDescent="0.25">
      <c r="A816" s="10"/>
      <c r="B816" s="10"/>
      <c r="C816" s="10"/>
      <c r="D816" s="11"/>
      <c r="E816" s="10"/>
      <c r="F816" s="10"/>
      <c r="G816" s="10"/>
      <c r="H816" s="12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2.5" x14ac:dyDescent="0.25">
      <c r="A817" s="10"/>
      <c r="B817" s="10"/>
      <c r="C817" s="10"/>
      <c r="D817" s="11"/>
      <c r="E817" s="10"/>
      <c r="F817" s="10"/>
      <c r="G817" s="10"/>
      <c r="H817" s="12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2.5" x14ac:dyDescent="0.25">
      <c r="A818" s="10"/>
      <c r="B818" s="10"/>
      <c r="C818" s="10"/>
      <c r="D818" s="11"/>
      <c r="E818" s="10"/>
      <c r="F818" s="10"/>
      <c r="G818" s="10"/>
      <c r="H818" s="12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2.5" x14ac:dyDescent="0.25">
      <c r="A819" s="10"/>
      <c r="B819" s="10"/>
      <c r="C819" s="10"/>
      <c r="D819" s="11"/>
      <c r="E819" s="10"/>
      <c r="F819" s="10"/>
      <c r="G819" s="10"/>
      <c r="H819" s="12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2.5" x14ac:dyDescent="0.25">
      <c r="A820" s="10"/>
      <c r="B820" s="10"/>
      <c r="C820" s="10"/>
      <c r="D820" s="11"/>
      <c r="E820" s="10"/>
      <c r="F820" s="10"/>
      <c r="G820" s="10"/>
      <c r="H820" s="12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2.5" x14ac:dyDescent="0.25">
      <c r="A821" s="10"/>
      <c r="B821" s="10"/>
      <c r="C821" s="10"/>
      <c r="D821" s="11"/>
      <c r="E821" s="10"/>
      <c r="F821" s="10"/>
      <c r="G821" s="10"/>
      <c r="H821" s="12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2.5" x14ac:dyDescent="0.25">
      <c r="A822" s="10"/>
      <c r="B822" s="10"/>
      <c r="C822" s="10"/>
      <c r="D822" s="11"/>
      <c r="E822" s="10"/>
      <c r="F822" s="10"/>
      <c r="G822" s="10"/>
      <c r="H822" s="12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2.5" x14ac:dyDescent="0.25">
      <c r="A823" s="10"/>
      <c r="B823" s="10"/>
      <c r="C823" s="10"/>
      <c r="D823" s="11"/>
      <c r="E823" s="10"/>
      <c r="F823" s="10"/>
      <c r="G823" s="10"/>
      <c r="H823" s="12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2.5" x14ac:dyDescent="0.25">
      <c r="A824" s="10"/>
      <c r="B824" s="10"/>
      <c r="C824" s="10"/>
      <c r="D824" s="11"/>
      <c r="E824" s="10"/>
      <c r="F824" s="10"/>
      <c r="G824" s="10"/>
      <c r="H824" s="12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2.5" x14ac:dyDescent="0.25">
      <c r="A825" s="10"/>
      <c r="B825" s="10"/>
      <c r="C825" s="10"/>
      <c r="D825" s="11"/>
      <c r="E825" s="10"/>
      <c r="F825" s="10"/>
      <c r="G825" s="10"/>
      <c r="H825" s="12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2.5" x14ac:dyDescent="0.25">
      <c r="A826" s="10"/>
      <c r="B826" s="10"/>
      <c r="C826" s="10"/>
      <c r="D826" s="11"/>
      <c r="E826" s="10"/>
      <c r="F826" s="10"/>
      <c r="G826" s="10"/>
      <c r="H826" s="12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2.5" x14ac:dyDescent="0.25">
      <c r="A827" s="10"/>
      <c r="B827" s="10"/>
      <c r="C827" s="10"/>
      <c r="D827" s="11"/>
      <c r="E827" s="10"/>
      <c r="F827" s="10"/>
      <c r="G827" s="10"/>
      <c r="H827" s="12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2.5" x14ac:dyDescent="0.25">
      <c r="A828" s="10"/>
      <c r="B828" s="10"/>
      <c r="C828" s="10"/>
      <c r="D828" s="11"/>
      <c r="E828" s="10"/>
      <c r="F828" s="10"/>
      <c r="G828" s="10"/>
      <c r="H828" s="12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2.5" x14ac:dyDescent="0.25">
      <c r="A829" s="10"/>
      <c r="B829" s="10"/>
      <c r="C829" s="10"/>
      <c r="D829" s="11"/>
      <c r="E829" s="10"/>
      <c r="F829" s="10"/>
      <c r="G829" s="10"/>
      <c r="H829" s="12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2.5" x14ac:dyDescent="0.25">
      <c r="A830" s="10"/>
      <c r="B830" s="10"/>
      <c r="C830" s="10"/>
      <c r="D830" s="11"/>
      <c r="E830" s="10"/>
      <c r="F830" s="10"/>
      <c r="G830" s="10"/>
      <c r="H830" s="12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2.5" x14ac:dyDescent="0.25">
      <c r="A831" s="10"/>
      <c r="B831" s="10"/>
      <c r="C831" s="10"/>
      <c r="D831" s="11"/>
      <c r="E831" s="10"/>
      <c r="F831" s="10"/>
      <c r="G831" s="10"/>
      <c r="H831" s="12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2.5" x14ac:dyDescent="0.25">
      <c r="A832" s="10"/>
      <c r="B832" s="10"/>
      <c r="C832" s="10"/>
      <c r="D832" s="11"/>
      <c r="E832" s="10"/>
      <c r="F832" s="10"/>
      <c r="G832" s="10"/>
      <c r="H832" s="12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2.5" x14ac:dyDescent="0.25">
      <c r="A833" s="10"/>
      <c r="B833" s="10"/>
      <c r="C833" s="10"/>
      <c r="D833" s="11"/>
      <c r="E833" s="10"/>
      <c r="F833" s="10"/>
      <c r="G833" s="10"/>
      <c r="H833" s="12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2.5" x14ac:dyDescent="0.25">
      <c r="A834" s="10"/>
      <c r="B834" s="10"/>
      <c r="C834" s="10"/>
      <c r="D834" s="11"/>
      <c r="E834" s="10"/>
      <c r="F834" s="10"/>
      <c r="G834" s="10"/>
      <c r="H834" s="12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2.5" x14ac:dyDescent="0.25">
      <c r="A835" s="10"/>
      <c r="B835" s="10"/>
      <c r="C835" s="10"/>
      <c r="D835" s="11"/>
      <c r="E835" s="10"/>
      <c r="F835" s="10"/>
      <c r="G835" s="10"/>
      <c r="H835" s="12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2.5" x14ac:dyDescent="0.25">
      <c r="A836" s="10"/>
      <c r="B836" s="10"/>
      <c r="C836" s="10"/>
      <c r="D836" s="11"/>
      <c r="E836" s="10"/>
      <c r="F836" s="10"/>
      <c r="G836" s="10"/>
      <c r="H836" s="12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2.5" x14ac:dyDescent="0.25">
      <c r="A837" s="10"/>
      <c r="B837" s="10"/>
      <c r="C837" s="10"/>
      <c r="D837" s="11"/>
      <c r="E837" s="10"/>
      <c r="F837" s="10"/>
      <c r="G837" s="10"/>
      <c r="H837" s="12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2.5" x14ac:dyDescent="0.25">
      <c r="A838" s="10"/>
      <c r="B838" s="10"/>
      <c r="C838" s="10"/>
      <c r="D838" s="11"/>
      <c r="E838" s="10"/>
      <c r="F838" s="10"/>
      <c r="G838" s="10"/>
      <c r="H838" s="12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2.5" x14ac:dyDescent="0.25">
      <c r="A839" s="10"/>
      <c r="B839" s="10"/>
      <c r="C839" s="10"/>
      <c r="D839" s="11"/>
      <c r="E839" s="10"/>
      <c r="F839" s="10"/>
      <c r="G839" s="10"/>
      <c r="H839" s="12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2.5" x14ac:dyDescent="0.25">
      <c r="A840" s="10"/>
      <c r="B840" s="10"/>
      <c r="C840" s="10"/>
      <c r="D840" s="11"/>
      <c r="E840" s="10"/>
      <c r="F840" s="10"/>
      <c r="G840" s="10"/>
      <c r="H840" s="12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2.5" x14ac:dyDescent="0.25">
      <c r="A841" s="10"/>
      <c r="B841" s="10"/>
      <c r="C841" s="10"/>
      <c r="D841" s="11"/>
      <c r="E841" s="10"/>
      <c r="F841" s="10"/>
      <c r="G841" s="10"/>
      <c r="H841" s="12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2.5" x14ac:dyDescent="0.25">
      <c r="A842" s="10"/>
      <c r="B842" s="10"/>
      <c r="C842" s="10"/>
      <c r="D842" s="11"/>
      <c r="E842" s="10"/>
      <c r="F842" s="10"/>
      <c r="G842" s="10"/>
      <c r="H842" s="12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2.5" x14ac:dyDescent="0.25">
      <c r="A843" s="10"/>
      <c r="B843" s="10"/>
      <c r="C843" s="10"/>
      <c r="D843" s="11"/>
      <c r="E843" s="10"/>
      <c r="F843" s="10"/>
      <c r="G843" s="10"/>
      <c r="H843" s="12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2.5" x14ac:dyDescent="0.25">
      <c r="A844" s="10"/>
      <c r="B844" s="10"/>
      <c r="C844" s="10"/>
      <c r="D844" s="11"/>
      <c r="E844" s="10"/>
      <c r="F844" s="10"/>
      <c r="G844" s="10"/>
      <c r="H844" s="12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2.5" x14ac:dyDescent="0.25">
      <c r="A845" s="10"/>
      <c r="B845" s="10"/>
      <c r="C845" s="10"/>
      <c r="D845" s="11"/>
      <c r="E845" s="10"/>
      <c r="F845" s="10"/>
      <c r="G845" s="10"/>
      <c r="H845" s="12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2.5" x14ac:dyDescent="0.25">
      <c r="A846" s="10"/>
      <c r="B846" s="10"/>
      <c r="C846" s="10"/>
      <c r="D846" s="11"/>
      <c r="E846" s="10"/>
      <c r="F846" s="10"/>
      <c r="G846" s="10"/>
      <c r="H846" s="12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2.5" x14ac:dyDescent="0.25">
      <c r="A847" s="10"/>
      <c r="B847" s="10"/>
      <c r="C847" s="10"/>
      <c r="D847" s="11"/>
      <c r="E847" s="10"/>
      <c r="F847" s="10"/>
      <c r="G847" s="10"/>
      <c r="H847" s="12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2.5" x14ac:dyDescent="0.25">
      <c r="A848" s="10"/>
      <c r="B848" s="10"/>
      <c r="C848" s="10"/>
      <c r="D848" s="11"/>
      <c r="E848" s="10"/>
      <c r="F848" s="10"/>
      <c r="G848" s="10"/>
      <c r="H848" s="12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2.5" x14ac:dyDescent="0.25">
      <c r="A849" s="10"/>
      <c r="B849" s="10"/>
      <c r="C849" s="10"/>
      <c r="D849" s="11"/>
      <c r="E849" s="10"/>
      <c r="F849" s="10"/>
      <c r="G849" s="10"/>
      <c r="H849" s="12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2.5" x14ac:dyDescent="0.25">
      <c r="A850" s="10"/>
      <c r="B850" s="10"/>
      <c r="C850" s="10"/>
      <c r="D850" s="11"/>
      <c r="E850" s="10"/>
      <c r="F850" s="10"/>
      <c r="G850" s="10"/>
      <c r="H850" s="12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2.5" x14ac:dyDescent="0.25">
      <c r="A851" s="10"/>
      <c r="B851" s="10"/>
      <c r="C851" s="10"/>
      <c r="D851" s="11"/>
      <c r="E851" s="10"/>
      <c r="F851" s="10"/>
      <c r="G851" s="10"/>
      <c r="H851" s="12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2.5" x14ac:dyDescent="0.25">
      <c r="A852" s="10"/>
      <c r="B852" s="10"/>
      <c r="C852" s="10"/>
      <c r="D852" s="11"/>
      <c r="E852" s="10"/>
      <c r="F852" s="10"/>
      <c r="G852" s="10"/>
      <c r="H852" s="12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2.5" x14ac:dyDescent="0.25">
      <c r="A853" s="10"/>
      <c r="B853" s="10"/>
      <c r="C853" s="10"/>
      <c r="D853" s="11"/>
      <c r="E853" s="10"/>
      <c r="F853" s="10"/>
      <c r="G853" s="10"/>
      <c r="H853" s="12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2.5" x14ac:dyDescent="0.25">
      <c r="A854" s="10"/>
      <c r="B854" s="10"/>
      <c r="C854" s="10"/>
      <c r="D854" s="11"/>
      <c r="E854" s="10"/>
      <c r="F854" s="10"/>
      <c r="G854" s="10"/>
      <c r="H854" s="12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2.5" x14ac:dyDescent="0.25">
      <c r="A855" s="10"/>
      <c r="B855" s="10"/>
      <c r="C855" s="10"/>
      <c r="D855" s="11"/>
      <c r="E855" s="10"/>
      <c r="F855" s="10"/>
      <c r="G855" s="10"/>
      <c r="H855" s="12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2.5" x14ac:dyDescent="0.25">
      <c r="A856" s="10"/>
      <c r="B856" s="10"/>
      <c r="C856" s="10"/>
      <c r="D856" s="11"/>
      <c r="E856" s="10"/>
      <c r="F856" s="10"/>
      <c r="G856" s="10"/>
      <c r="H856" s="12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2.5" x14ac:dyDescent="0.25">
      <c r="A857" s="10"/>
      <c r="B857" s="10"/>
      <c r="C857" s="10"/>
      <c r="D857" s="11"/>
      <c r="E857" s="10"/>
      <c r="F857" s="10"/>
      <c r="G857" s="10"/>
      <c r="H857" s="12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2.5" x14ac:dyDescent="0.25">
      <c r="A858" s="10"/>
      <c r="B858" s="10"/>
      <c r="C858" s="10"/>
      <c r="D858" s="11"/>
      <c r="E858" s="10"/>
      <c r="F858" s="10"/>
      <c r="G858" s="10"/>
      <c r="H858" s="12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2.5" x14ac:dyDescent="0.25">
      <c r="A859" s="10"/>
      <c r="B859" s="10"/>
      <c r="C859" s="10"/>
      <c r="D859" s="11"/>
      <c r="E859" s="10"/>
      <c r="F859" s="10"/>
      <c r="G859" s="10"/>
      <c r="H859" s="12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2.5" x14ac:dyDescent="0.25">
      <c r="A860" s="10"/>
      <c r="B860" s="10"/>
      <c r="C860" s="10"/>
      <c r="D860" s="11"/>
      <c r="E860" s="10"/>
      <c r="F860" s="10"/>
      <c r="G860" s="10"/>
      <c r="H860" s="12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2.5" x14ac:dyDescent="0.25">
      <c r="A861" s="10"/>
      <c r="B861" s="10"/>
      <c r="C861" s="10"/>
      <c r="D861" s="11"/>
      <c r="E861" s="10"/>
      <c r="F861" s="10"/>
      <c r="G861" s="10"/>
      <c r="H861" s="12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2.5" x14ac:dyDescent="0.25">
      <c r="A862" s="10"/>
      <c r="B862" s="10"/>
      <c r="C862" s="10"/>
      <c r="D862" s="11"/>
      <c r="E862" s="10"/>
      <c r="F862" s="10"/>
      <c r="G862" s="10"/>
      <c r="H862" s="12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2.5" x14ac:dyDescent="0.25">
      <c r="A863" s="10"/>
      <c r="B863" s="10"/>
      <c r="C863" s="10"/>
      <c r="D863" s="11"/>
      <c r="E863" s="10"/>
      <c r="F863" s="10"/>
      <c r="G863" s="10"/>
      <c r="H863" s="12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2.5" x14ac:dyDescent="0.25">
      <c r="A864" s="10"/>
      <c r="B864" s="10"/>
      <c r="C864" s="10"/>
      <c r="D864" s="11"/>
      <c r="E864" s="10"/>
      <c r="F864" s="10"/>
      <c r="G864" s="10"/>
      <c r="H864" s="12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2.5" x14ac:dyDescent="0.25">
      <c r="A865" s="10"/>
      <c r="B865" s="10"/>
      <c r="C865" s="10"/>
      <c r="D865" s="11"/>
      <c r="E865" s="10"/>
      <c r="F865" s="10"/>
      <c r="G865" s="10"/>
      <c r="H865" s="12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2.5" x14ac:dyDescent="0.25">
      <c r="A866" s="10"/>
      <c r="B866" s="10"/>
      <c r="C866" s="10"/>
      <c r="D866" s="11"/>
      <c r="E866" s="10"/>
      <c r="F866" s="10"/>
      <c r="G866" s="10"/>
      <c r="H866" s="12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2.5" x14ac:dyDescent="0.25">
      <c r="A867" s="10"/>
      <c r="B867" s="10"/>
      <c r="C867" s="10"/>
      <c r="D867" s="11"/>
      <c r="E867" s="10"/>
      <c r="F867" s="10"/>
      <c r="G867" s="10"/>
      <c r="H867" s="12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2.5" x14ac:dyDescent="0.25">
      <c r="A868" s="10"/>
      <c r="B868" s="10"/>
      <c r="C868" s="10"/>
      <c r="D868" s="11"/>
      <c r="E868" s="10"/>
      <c r="F868" s="10"/>
      <c r="G868" s="10"/>
      <c r="H868" s="12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2.5" x14ac:dyDescent="0.25">
      <c r="A869" s="10"/>
      <c r="B869" s="10"/>
      <c r="C869" s="10"/>
      <c r="D869" s="11"/>
      <c r="E869" s="10"/>
      <c r="F869" s="10"/>
      <c r="G869" s="10"/>
      <c r="H869" s="12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2.5" x14ac:dyDescent="0.25">
      <c r="A870" s="10"/>
      <c r="B870" s="10"/>
      <c r="C870" s="10"/>
      <c r="D870" s="11"/>
      <c r="E870" s="10"/>
      <c r="F870" s="10"/>
      <c r="G870" s="10"/>
      <c r="H870" s="12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2.5" x14ac:dyDescent="0.25">
      <c r="A871" s="10"/>
      <c r="B871" s="10"/>
      <c r="C871" s="10"/>
      <c r="D871" s="11"/>
      <c r="E871" s="10"/>
      <c r="F871" s="10"/>
      <c r="G871" s="10"/>
      <c r="H871" s="12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2.5" x14ac:dyDescent="0.25">
      <c r="A872" s="10"/>
      <c r="B872" s="10"/>
      <c r="C872" s="10"/>
      <c r="D872" s="11"/>
      <c r="E872" s="10"/>
      <c r="F872" s="10"/>
      <c r="G872" s="10"/>
      <c r="H872" s="12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2.5" x14ac:dyDescent="0.25">
      <c r="A873" s="10"/>
      <c r="B873" s="10"/>
      <c r="C873" s="10"/>
      <c r="D873" s="11"/>
      <c r="E873" s="10"/>
      <c r="F873" s="10"/>
      <c r="G873" s="10"/>
      <c r="H873" s="12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2.5" x14ac:dyDescent="0.25">
      <c r="A874" s="10"/>
      <c r="B874" s="10"/>
      <c r="C874" s="10"/>
      <c r="D874" s="11"/>
      <c r="E874" s="10"/>
      <c r="F874" s="10"/>
      <c r="G874" s="10"/>
      <c r="H874" s="12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2.5" x14ac:dyDescent="0.25">
      <c r="A875" s="10"/>
      <c r="B875" s="10"/>
      <c r="C875" s="10"/>
      <c r="D875" s="11"/>
      <c r="E875" s="10"/>
      <c r="F875" s="10"/>
      <c r="G875" s="10"/>
      <c r="H875" s="12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2.5" x14ac:dyDescent="0.25">
      <c r="A876" s="10"/>
      <c r="B876" s="10"/>
      <c r="C876" s="10"/>
      <c r="D876" s="11"/>
      <c r="E876" s="10"/>
      <c r="F876" s="10"/>
      <c r="G876" s="10"/>
      <c r="H876" s="12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2.5" x14ac:dyDescent="0.25">
      <c r="A877" s="10"/>
      <c r="B877" s="10"/>
      <c r="C877" s="10"/>
      <c r="D877" s="11"/>
      <c r="E877" s="10"/>
      <c r="F877" s="10"/>
      <c r="G877" s="10"/>
      <c r="H877" s="12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2.5" x14ac:dyDescent="0.25">
      <c r="A878" s="10"/>
      <c r="B878" s="10"/>
      <c r="C878" s="10"/>
      <c r="D878" s="11"/>
      <c r="E878" s="10"/>
      <c r="F878" s="10"/>
      <c r="G878" s="10"/>
      <c r="H878" s="12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2.5" x14ac:dyDescent="0.25">
      <c r="A879" s="10"/>
      <c r="B879" s="10"/>
      <c r="C879" s="10"/>
      <c r="D879" s="11"/>
      <c r="E879" s="10"/>
      <c r="F879" s="10"/>
      <c r="G879" s="10"/>
      <c r="H879" s="12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2.5" x14ac:dyDescent="0.25">
      <c r="A880" s="10"/>
      <c r="B880" s="10"/>
      <c r="C880" s="10"/>
      <c r="D880" s="11"/>
      <c r="E880" s="10"/>
      <c r="F880" s="10"/>
      <c r="G880" s="10"/>
      <c r="H880" s="12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2.5" x14ac:dyDescent="0.25">
      <c r="A881" s="10"/>
      <c r="B881" s="10"/>
      <c r="C881" s="10"/>
      <c r="D881" s="11"/>
      <c r="E881" s="10"/>
      <c r="F881" s="10"/>
      <c r="G881" s="10"/>
      <c r="H881" s="12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2.5" x14ac:dyDescent="0.25">
      <c r="A882" s="10"/>
      <c r="B882" s="10"/>
      <c r="C882" s="10"/>
      <c r="D882" s="11"/>
      <c r="E882" s="10"/>
      <c r="F882" s="10"/>
      <c r="G882" s="10"/>
      <c r="H882" s="12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2.5" x14ac:dyDescent="0.25">
      <c r="A883" s="10"/>
      <c r="B883" s="10"/>
      <c r="C883" s="10"/>
      <c r="D883" s="11"/>
      <c r="E883" s="10"/>
      <c r="F883" s="10"/>
      <c r="G883" s="10"/>
      <c r="H883" s="12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2.5" x14ac:dyDescent="0.25">
      <c r="A884" s="10"/>
      <c r="B884" s="10"/>
      <c r="C884" s="10"/>
      <c r="D884" s="11"/>
      <c r="E884" s="10"/>
      <c r="F884" s="10"/>
      <c r="G884" s="10"/>
      <c r="H884" s="12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2.5" x14ac:dyDescent="0.25">
      <c r="A885" s="10"/>
      <c r="B885" s="10"/>
      <c r="C885" s="10"/>
      <c r="D885" s="11"/>
      <c r="E885" s="10"/>
      <c r="F885" s="10"/>
      <c r="G885" s="10"/>
      <c r="H885" s="12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2.5" x14ac:dyDescent="0.25">
      <c r="A886" s="10"/>
      <c r="B886" s="10"/>
      <c r="C886" s="10"/>
      <c r="D886" s="11"/>
      <c r="E886" s="10"/>
      <c r="F886" s="10"/>
      <c r="G886" s="10"/>
      <c r="H886" s="12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2.5" x14ac:dyDescent="0.25">
      <c r="A887" s="10"/>
      <c r="B887" s="10"/>
      <c r="C887" s="10"/>
      <c r="D887" s="11"/>
      <c r="E887" s="10"/>
      <c r="F887" s="10"/>
      <c r="G887" s="10"/>
      <c r="H887" s="12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2.5" x14ac:dyDescent="0.25">
      <c r="A888" s="10"/>
      <c r="B888" s="10"/>
      <c r="C888" s="10"/>
      <c r="D888" s="11"/>
      <c r="E888" s="10"/>
      <c r="F888" s="10"/>
      <c r="G888" s="10"/>
      <c r="H888" s="12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2.5" x14ac:dyDescent="0.25">
      <c r="A889" s="10"/>
      <c r="B889" s="10"/>
      <c r="C889" s="10"/>
      <c r="D889" s="11"/>
      <c r="E889" s="10"/>
      <c r="F889" s="10"/>
      <c r="G889" s="10"/>
      <c r="H889" s="12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2.5" x14ac:dyDescent="0.25">
      <c r="A890" s="10"/>
      <c r="B890" s="10"/>
      <c r="C890" s="10"/>
      <c r="D890" s="11"/>
      <c r="E890" s="10"/>
      <c r="F890" s="10"/>
      <c r="G890" s="10"/>
      <c r="H890" s="12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2.5" x14ac:dyDescent="0.25">
      <c r="A891" s="10"/>
      <c r="B891" s="10"/>
      <c r="C891" s="10"/>
      <c r="D891" s="11"/>
      <c r="E891" s="10"/>
      <c r="F891" s="10"/>
      <c r="G891" s="10"/>
      <c r="H891" s="12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2.5" x14ac:dyDescent="0.25">
      <c r="A892" s="10"/>
      <c r="B892" s="10"/>
      <c r="C892" s="10"/>
      <c r="D892" s="11"/>
      <c r="E892" s="10"/>
      <c r="F892" s="10"/>
      <c r="G892" s="10"/>
      <c r="H892" s="12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2.5" x14ac:dyDescent="0.25">
      <c r="A893" s="10"/>
      <c r="B893" s="10"/>
      <c r="C893" s="10"/>
      <c r="D893" s="11"/>
      <c r="E893" s="10"/>
      <c r="F893" s="10"/>
      <c r="G893" s="10"/>
      <c r="H893" s="12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2.5" x14ac:dyDescent="0.25">
      <c r="A894" s="10"/>
      <c r="B894" s="10"/>
      <c r="C894" s="10"/>
      <c r="D894" s="11"/>
      <c r="E894" s="10"/>
      <c r="F894" s="10"/>
      <c r="G894" s="10"/>
      <c r="H894" s="12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2.5" x14ac:dyDescent="0.25">
      <c r="A895" s="10"/>
      <c r="B895" s="10"/>
      <c r="C895" s="10"/>
      <c r="D895" s="11"/>
      <c r="E895" s="10"/>
      <c r="F895" s="10"/>
      <c r="G895" s="10"/>
      <c r="H895" s="12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2.5" x14ac:dyDescent="0.25">
      <c r="A896" s="10"/>
      <c r="B896" s="10"/>
      <c r="C896" s="10"/>
      <c r="D896" s="11"/>
      <c r="E896" s="10"/>
      <c r="F896" s="10"/>
      <c r="G896" s="10"/>
      <c r="H896" s="12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2.5" x14ac:dyDescent="0.25">
      <c r="A897" s="10"/>
      <c r="B897" s="10"/>
      <c r="C897" s="10"/>
      <c r="D897" s="11"/>
      <c r="E897" s="10"/>
      <c r="F897" s="10"/>
      <c r="G897" s="10"/>
      <c r="H897" s="12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2.5" x14ac:dyDescent="0.25">
      <c r="A898" s="10"/>
      <c r="B898" s="10"/>
      <c r="C898" s="10"/>
      <c r="D898" s="11"/>
      <c r="E898" s="10"/>
      <c r="F898" s="10"/>
      <c r="G898" s="10"/>
      <c r="H898" s="12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2.5" x14ac:dyDescent="0.25">
      <c r="A899" s="10"/>
      <c r="B899" s="10"/>
      <c r="C899" s="10"/>
      <c r="D899" s="11"/>
      <c r="E899" s="10"/>
      <c r="F899" s="10"/>
      <c r="G899" s="10"/>
      <c r="H899" s="12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2.5" x14ac:dyDescent="0.25">
      <c r="A900" s="10"/>
      <c r="B900" s="10"/>
      <c r="C900" s="10"/>
      <c r="D900" s="11"/>
      <c r="E900" s="10"/>
      <c r="F900" s="10"/>
      <c r="G900" s="10"/>
      <c r="H900" s="12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2.5" x14ac:dyDescent="0.25">
      <c r="A901" s="10"/>
      <c r="B901" s="10"/>
      <c r="C901" s="10"/>
      <c r="D901" s="11"/>
      <c r="E901" s="10"/>
      <c r="F901" s="10"/>
      <c r="G901" s="10"/>
      <c r="H901" s="12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2.5" x14ac:dyDescent="0.25">
      <c r="A902" s="10"/>
      <c r="B902" s="10"/>
      <c r="C902" s="10"/>
      <c r="D902" s="11"/>
      <c r="E902" s="10"/>
      <c r="F902" s="10"/>
      <c r="G902" s="10"/>
      <c r="H902" s="12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2.5" x14ac:dyDescent="0.25">
      <c r="A903" s="10"/>
      <c r="B903" s="10"/>
      <c r="C903" s="10"/>
      <c r="D903" s="11"/>
      <c r="E903" s="10"/>
      <c r="F903" s="10"/>
      <c r="G903" s="10"/>
      <c r="H903" s="12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2.5" x14ac:dyDescent="0.25">
      <c r="A904" s="10"/>
      <c r="B904" s="10"/>
      <c r="C904" s="10"/>
      <c r="D904" s="11"/>
      <c r="E904" s="10"/>
      <c r="F904" s="10"/>
      <c r="G904" s="10"/>
      <c r="H904" s="12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2.5" x14ac:dyDescent="0.25">
      <c r="A905" s="10"/>
      <c r="B905" s="10"/>
      <c r="C905" s="10"/>
      <c r="D905" s="11"/>
      <c r="E905" s="10"/>
      <c r="F905" s="10"/>
      <c r="G905" s="10"/>
      <c r="H905" s="12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2.5" x14ac:dyDescent="0.25">
      <c r="A906" s="10"/>
      <c r="B906" s="10"/>
      <c r="C906" s="10"/>
      <c r="D906" s="11"/>
      <c r="E906" s="10"/>
      <c r="F906" s="10"/>
      <c r="G906" s="10"/>
      <c r="H906" s="12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2.5" x14ac:dyDescent="0.25">
      <c r="A907" s="10"/>
      <c r="B907" s="10"/>
      <c r="C907" s="10"/>
      <c r="D907" s="11"/>
      <c r="E907" s="10"/>
      <c r="F907" s="10"/>
      <c r="G907" s="10"/>
      <c r="H907" s="12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2.5" x14ac:dyDescent="0.25">
      <c r="A908" s="10"/>
      <c r="B908" s="10"/>
      <c r="C908" s="10"/>
      <c r="D908" s="11"/>
      <c r="E908" s="10"/>
      <c r="F908" s="10"/>
      <c r="G908" s="10"/>
      <c r="H908" s="12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2.5" x14ac:dyDescent="0.25">
      <c r="A909" s="10"/>
      <c r="B909" s="10"/>
      <c r="C909" s="10"/>
      <c r="D909" s="11"/>
      <c r="E909" s="10"/>
      <c r="F909" s="10"/>
      <c r="G909" s="10"/>
      <c r="H909" s="12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2.5" x14ac:dyDescent="0.25">
      <c r="A910" s="10"/>
      <c r="B910" s="10"/>
      <c r="C910" s="10"/>
      <c r="D910" s="11"/>
      <c r="E910" s="10"/>
      <c r="F910" s="10"/>
      <c r="G910" s="10"/>
      <c r="H910" s="12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2.5" x14ac:dyDescent="0.25">
      <c r="A911" s="10"/>
      <c r="B911" s="10"/>
      <c r="C911" s="10"/>
      <c r="D911" s="11"/>
      <c r="E911" s="10"/>
      <c r="F911" s="10"/>
      <c r="G911" s="10"/>
      <c r="H911" s="12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2.5" x14ac:dyDescent="0.25">
      <c r="A912" s="10"/>
      <c r="B912" s="10"/>
      <c r="C912" s="10"/>
      <c r="D912" s="11"/>
      <c r="E912" s="10"/>
      <c r="F912" s="10"/>
      <c r="G912" s="10"/>
      <c r="H912" s="12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2.5" x14ac:dyDescent="0.25">
      <c r="A913" s="10"/>
      <c r="B913" s="10"/>
      <c r="C913" s="10"/>
      <c r="D913" s="11"/>
      <c r="E913" s="10"/>
      <c r="F913" s="10"/>
      <c r="G913" s="10"/>
      <c r="H913" s="12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2.5" x14ac:dyDescent="0.25">
      <c r="A914" s="10"/>
      <c r="B914" s="10"/>
      <c r="C914" s="10"/>
      <c r="D914" s="11"/>
      <c r="E914" s="10"/>
      <c r="F914" s="10"/>
      <c r="G914" s="10"/>
      <c r="H914" s="12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2.5" x14ac:dyDescent="0.25">
      <c r="A915" s="10"/>
      <c r="B915" s="10"/>
      <c r="C915" s="10"/>
      <c r="D915" s="11"/>
      <c r="E915" s="10"/>
      <c r="F915" s="10"/>
      <c r="G915" s="10"/>
      <c r="H915" s="12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2.5" x14ac:dyDescent="0.25">
      <c r="A916" s="10"/>
      <c r="B916" s="10"/>
      <c r="C916" s="10"/>
      <c r="D916" s="11"/>
      <c r="E916" s="10"/>
      <c r="F916" s="10"/>
      <c r="G916" s="10"/>
      <c r="H916" s="12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2.5" x14ac:dyDescent="0.25">
      <c r="A917" s="10"/>
      <c r="B917" s="10"/>
      <c r="C917" s="10"/>
      <c r="D917" s="11"/>
      <c r="E917" s="10"/>
      <c r="F917" s="10"/>
      <c r="G917" s="10"/>
      <c r="H917" s="12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2.5" x14ac:dyDescent="0.25">
      <c r="A918" s="10"/>
      <c r="B918" s="10"/>
      <c r="C918" s="10"/>
      <c r="D918" s="11"/>
      <c r="E918" s="10"/>
      <c r="F918" s="10"/>
      <c r="G918" s="10"/>
      <c r="H918" s="12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2.5" x14ac:dyDescent="0.25">
      <c r="A919" s="10"/>
      <c r="B919" s="10"/>
      <c r="C919" s="10"/>
      <c r="D919" s="11"/>
      <c r="E919" s="10"/>
      <c r="F919" s="10"/>
      <c r="G919" s="10"/>
      <c r="H919" s="12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2.5" x14ac:dyDescent="0.25">
      <c r="A920" s="10"/>
      <c r="B920" s="10"/>
      <c r="C920" s="10"/>
      <c r="D920" s="11"/>
      <c r="E920" s="10"/>
      <c r="F920" s="10"/>
      <c r="G920" s="10"/>
      <c r="H920" s="12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2.5" x14ac:dyDescent="0.25">
      <c r="A921" s="10"/>
      <c r="B921" s="10"/>
      <c r="C921" s="10"/>
      <c r="D921" s="11"/>
      <c r="E921" s="10"/>
      <c r="F921" s="10"/>
      <c r="G921" s="10"/>
      <c r="H921" s="12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2.5" x14ac:dyDescent="0.25">
      <c r="A922" s="10"/>
      <c r="B922" s="10"/>
      <c r="C922" s="10"/>
      <c r="D922" s="11"/>
      <c r="E922" s="10"/>
      <c r="F922" s="10"/>
      <c r="G922" s="10"/>
      <c r="H922" s="12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2.5" x14ac:dyDescent="0.25">
      <c r="A923" s="10"/>
      <c r="B923" s="10"/>
      <c r="C923" s="10"/>
      <c r="D923" s="11"/>
      <c r="E923" s="10"/>
      <c r="F923" s="10"/>
      <c r="G923" s="10"/>
      <c r="H923" s="12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2.5" x14ac:dyDescent="0.25">
      <c r="A924" s="10"/>
      <c r="B924" s="10"/>
      <c r="C924" s="10"/>
      <c r="D924" s="11"/>
      <c r="E924" s="10"/>
      <c r="F924" s="10"/>
      <c r="G924" s="10"/>
      <c r="H924" s="12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2.5" x14ac:dyDescent="0.25">
      <c r="A925" s="10"/>
      <c r="B925" s="10"/>
      <c r="C925" s="10"/>
      <c r="D925" s="11"/>
      <c r="E925" s="10"/>
      <c r="F925" s="10"/>
      <c r="G925" s="10"/>
      <c r="H925" s="12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2.5" x14ac:dyDescent="0.25">
      <c r="A926" s="10"/>
      <c r="B926" s="10"/>
      <c r="C926" s="10"/>
      <c r="D926" s="11"/>
      <c r="E926" s="10"/>
      <c r="F926" s="10"/>
      <c r="G926" s="10"/>
      <c r="H926" s="12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2.5" x14ac:dyDescent="0.25">
      <c r="A927" s="10"/>
      <c r="B927" s="10"/>
      <c r="C927" s="10"/>
      <c r="D927" s="11"/>
      <c r="E927" s="10"/>
      <c r="F927" s="10"/>
      <c r="G927" s="10"/>
      <c r="H927" s="12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2.5" x14ac:dyDescent="0.25">
      <c r="A928" s="10"/>
      <c r="B928" s="10"/>
      <c r="C928" s="10"/>
      <c r="D928" s="11"/>
      <c r="E928" s="10"/>
      <c r="F928" s="10"/>
      <c r="G928" s="10"/>
      <c r="H928" s="12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2.5" x14ac:dyDescent="0.25">
      <c r="A929" s="10"/>
      <c r="B929" s="10"/>
      <c r="C929" s="10"/>
      <c r="D929" s="11"/>
      <c r="E929" s="10"/>
      <c r="F929" s="10"/>
      <c r="G929" s="10"/>
      <c r="H929" s="12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2.5" x14ac:dyDescent="0.25">
      <c r="A930" s="10"/>
      <c r="B930" s="10"/>
      <c r="C930" s="10"/>
      <c r="D930" s="11"/>
      <c r="E930" s="10"/>
      <c r="F930" s="10"/>
      <c r="G930" s="10"/>
      <c r="H930" s="12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2.5" x14ac:dyDescent="0.25">
      <c r="A931" s="10"/>
      <c r="B931" s="10"/>
      <c r="C931" s="10"/>
      <c r="D931" s="11"/>
      <c r="E931" s="10"/>
      <c r="F931" s="10"/>
      <c r="G931" s="10"/>
      <c r="H931" s="12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2.5" x14ac:dyDescent="0.25">
      <c r="A932" s="10"/>
      <c r="B932" s="10"/>
      <c r="C932" s="10"/>
      <c r="D932" s="11"/>
      <c r="E932" s="10"/>
      <c r="F932" s="10"/>
      <c r="G932" s="10"/>
      <c r="H932" s="12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2.5" x14ac:dyDescent="0.25">
      <c r="A933" s="10"/>
      <c r="B933" s="10"/>
      <c r="C933" s="10"/>
      <c r="D933" s="11"/>
      <c r="E933" s="10"/>
      <c r="F933" s="10"/>
      <c r="G933" s="10"/>
      <c r="H933" s="12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2.5" x14ac:dyDescent="0.25">
      <c r="A934" s="10"/>
      <c r="B934" s="10"/>
      <c r="C934" s="10"/>
      <c r="D934" s="11"/>
      <c r="E934" s="10"/>
      <c r="F934" s="10"/>
      <c r="G934" s="10"/>
      <c r="H934" s="12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2.5" x14ac:dyDescent="0.25">
      <c r="A935" s="10"/>
      <c r="B935" s="10"/>
      <c r="C935" s="10"/>
      <c r="D935" s="11"/>
      <c r="E935" s="10"/>
      <c r="F935" s="10"/>
      <c r="G935" s="10"/>
      <c r="H935" s="12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2.5" x14ac:dyDescent="0.25">
      <c r="A936" s="10"/>
      <c r="B936" s="10"/>
      <c r="C936" s="10"/>
      <c r="D936" s="11"/>
      <c r="E936" s="10"/>
      <c r="F936" s="10"/>
      <c r="G936" s="10"/>
      <c r="H936" s="12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2.5" x14ac:dyDescent="0.25">
      <c r="A937" s="10"/>
      <c r="B937" s="10"/>
      <c r="C937" s="10"/>
      <c r="D937" s="11"/>
      <c r="E937" s="10"/>
      <c r="F937" s="10"/>
      <c r="G937" s="10"/>
      <c r="H937" s="12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2.5" x14ac:dyDescent="0.25">
      <c r="A938" s="10"/>
      <c r="B938" s="10"/>
      <c r="C938" s="10"/>
      <c r="D938" s="11"/>
      <c r="E938" s="10"/>
      <c r="F938" s="10"/>
      <c r="G938" s="10"/>
      <c r="H938" s="12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2.5" x14ac:dyDescent="0.25">
      <c r="A939" s="10"/>
      <c r="B939" s="10"/>
      <c r="C939" s="10"/>
      <c r="D939" s="11"/>
      <c r="E939" s="10"/>
      <c r="F939" s="10"/>
      <c r="G939" s="10"/>
      <c r="H939" s="12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2.5" x14ac:dyDescent="0.25">
      <c r="A940" s="10"/>
      <c r="B940" s="10"/>
      <c r="C940" s="10"/>
      <c r="D940" s="11"/>
      <c r="E940" s="10"/>
      <c r="F940" s="10"/>
      <c r="G940" s="10"/>
      <c r="H940" s="12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2.5" x14ac:dyDescent="0.25">
      <c r="A941" s="10"/>
      <c r="B941" s="10"/>
      <c r="C941" s="10"/>
      <c r="D941" s="11"/>
      <c r="E941" s="10"/>
      <c r="F941" s="10"/>
      <c r="G941" s="10"/>
      <c r="H941" s="12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2.5" x14ac:dyDescent="0.25">
      <c r="A942" s="10"/>
      <c r="B942" s="10"/>
      <c r="C942" s="10"/>
      <c r="D942" s="11"/>
      <c r="E942" s="10"/>
      <c r="F942" s="10"/>
      <c r="G942" s="10"/>
      <c r="H942" s="12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2.5" x14ac:dyDescent="0.25">
      <c r="A943" s="10"/>
      <c r="B943" s="10"/>
      <c r="C943" s="10"/>
      <c r="D943" s="11"/>
      <c r="E943" s="10"/>
      <c r="F943" s="10"/>
      <c r="G943" s="10"/>
      <c r="H943" s="12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2.5" x14ac:dyDescent="0.25">
      <c r="A944" s="10"/>
      <c r="B944" s="10"/>
      <c r="C944" s="10"/>
      <c r="D944" s="11"/>
      <c r="E944" s="10"/>
      <c r="F944" s="10"/>
      <c r="G944" s="10"/>
      <c r="H944" s="12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2.5" x14ac:dyDescent="0.25">
      <c r="A945" s="10"/>
      <c r="B945" s="10"/>
      <c r="C945" s="10"/>
      <c r="D945" s="11"/>
      <c r="E945" s="10"/>
      <c r="F945" s="10"/>
      <c r="G945" s="10"/>
      <c r="H945" s="12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2.5" x14ac:dyDescent="0.25">
      <c r="A946" s="10"/>
      <c r="B946" s="10"/>
      <c r="C946" s="10"/>
      <c r="D946" s="11"/>
      <c r="E946" s="10"/>
      <c r="F946" s="10"/>
      <c r="G946" s="10"/>
      <c r="H946" s="12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2.5" x14ac:dyDescent="0.25">
      <c r="A947" s="10"/>
      <c r="B947" s="10"/>
      <c r="C947" s="10"/>
      <c r="D947" s="11"/>
      <c r="E947" s="10"/>
      <c r="F947" s="10"/>
      <c r="G947" s="10"/>
      <c r="H947" s="12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2.5" x14ac:dyDescent="0.25">
      <c r="A948" s="10"/>
      <c r="B948" s="10"/>
      <c r="C948" s="10"/>
      <c r="D948" s="11"/>
      <c r="E948" s="10"/>
      <c r="F948" s="10"/>
      <c r="G948" s="10"/>
      <c r="H948" s="12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2.5" x14ac:dyDescent="0.25">
      <c r="A949" s="10"/>
      <c r="B949" s="10"/>
      <c r="C949" s="10"/>
      <c r="D949" s="11"/>
      <c r="E949" s="10"/>
      <c r="F949" s="10"/>
      <c r="G949" s="10"/>
      <c r="H949" s="12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2.5" x14ac:dyDescent="0.25">
      <c r="A950" s="10"/>
      <c r="B950" s="10"/>
      <c r="C950" s="10"/>
      <c r="D950" s="11"/>
      <c r="E950" s="10"/>
      <c r="F950" s="10"/>
      <c r="G950" s="10"/>
      <c r="H950" s="12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2.5" x14ac:dyDescent="0.25">
      <c r="A951" s="10"/>
      <c r="B951" s="10"/>
      <c r="C951" s="10"/>
      <c r="D951" s="11"/>
      <c r="E951" s="10"/>
      <c r="F951" s="10"/>
      <c r="G951" s="10"/>
      <c r="H951" s="12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2.5" x14ac:dyDescent="0.25">
      <c r="A952" s="10"/>
      <c r="B952" s="10"/>
      <c r="C952" s="10"/>
      <c r="D952" s="11"/>
      <c r="E952" s="10"/>
      <c r="F952" s="10"/>
      <c r="G952" s="10"/>
      <c r="H952" s="12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2.5" x14ac:dyDescent="0.25">
      <c r="A953" s="10"/>
      <c r="B953" s="10"/>
      <c r="C953" s="10"/>
      <c r="D953" s="11"/>
      <c r="E953" s="10"/>
      <c r="F953" s="10"/>
      <c r="G953" s="10"/>
      <c r="H953" s="12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2.5" x14ac:dyDescent="0.25">
      <c r="A954" s="10"/>
      <c r="B954" s="10"/>
      <c r="C954" s="10"/>
      <c r="D954" s="11"/>
      <c r="E954" s="10"/>
      <c r="F954" s="10"/>
      <c r="G954" s="10"/>
      <c r="H954" s="12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2.5" x14ac:dyDescent="0.25">
      <c r="A955" s="10"/>
      <c r="B955" s="10"/>
      <c r="C955" s="10"/>
      <c r="D955" s="11"/>
      <c r="E955" s="10"/>
      <c r="F955" s="10"/>
      <c r="G955" s="10"/>
      <c r="H955" s="12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2.5" x14ac:dyDescent="0.25">
      <c r="A956" s="10"/>
      <c r="B956" s="10"/>
      <c r="C956" s="10"/>
      <c r="D956" s="11"/>
      <c r="E956" s="10"/>
      <c r="F956" s="10"/>
      <c r="G956" s="10"/>
      <c r="H956" s="12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2.5" x14ac:dyDescent="0.25">
      <c r="A957" s="10"/>
      <c r="B957" s="10"/>
      <c r="C957" s="10"/>
      <c r="D957" s="11"/>
      <c r="E957" s="10"/>
      <c r="F957" s="10"/>
      <c r="G957" s="10"/>
      <c r="H957" s="12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2.5" x14ac:dyDescent="0.25">
      <c r="A958" s="10"/>
      <c r="B958" s="10"/>
      <c r="C958" s="10"/>
      <c r="D958" s="11"/>
      <c r="E958" s="10"/>
      <c r="F958" s="10"/>
      <c r="G958" s="10"/>
      <c r="H958" s="12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2.5" x14ac:dyDescent="0.25">
      <c r="A959" s="10"/>
      <c r="B959" s="10"/>
      <c r="C959" s="10"/>
      <c r="D959" s="11"/>
      <c r="E959" s="10"/>
      <c r="F959" s="10"/>
      <c r="G959" s="10"/>
      <c r="H959" s="12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2.5" x14ac:dyDescent="0.25">
      <c r="A960" s="10"/>
      <c r="B960" s="10"/>
      <c r="C960" s="10"/>
      <c r="D960" s="11"/>
      <c r="E960" s="10"/>
      <c r="F960" s="10"/>
      <c r="G960" s="10"/>
      <c r="H960" s="12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2.5" x14ac:dyDescent="0.25">
      <c r="A961" s="10"/>
      <c r="B961" s="10"/>
      <c r="C961" s="10"/>
      <c r="D961" s="11"/>
      <c r="E961" s="10"/>
      <c r="F961" s="10"/>
      <c r="G961" s="10"/>
      <c r="H961" s="12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2.5" x14ac:dyDescent="0.25">
      <c r="A962" s="10"/>
      <c r="B962" s="10"/>
      <c r="C962" s="10"/>
      <c r="D962" s="11"/>
      <c r="E962" s="10"/>
      <c r="F962" s="10"/>
      <c r="G962" s="10"/>
      <c r="H962" s="12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2.5" x14ac:dyDescent="0.25">
      <c r="A963" s="10"/>
      <c r="B963" s="10"/>
      <c r="C963" s="10"/>
      <c r="D963" s="11"/>
      <c r="E963" s="10"/>
      <c r="F963" s="10"/>
      <c r="G963" s="10"/>
      <c r="H963" s="12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2.5" x14ac:dyDescent="0.25">
      <c r="A964" s="10"/>
      <c r="B964" s="10"/>
      <c r="C964" s="10"/>
      <c r="D964" s="11"/>
      <c r="E964" s="10"/>
      <c r="F964" s="10"/>
      <c r="G964" s="10"/>
      <c r="H964" s="12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2.5" x14ac:dyDescent="0.25">
      <c r="A965" s="10"/>
      <c r="B965" s="10"/>
      <c r="C965" s="10"/>
      <c r="D965" s="11"/>
      <c r="E965" s="10"/>
      <c r="F965" s="10"/>
      <c r="G965" s="10"/>
      <c r="H965" s="12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2.5" x14ac:dyDescent="0.25">
      <c r="A966" s="10"/>
      <c r="B966" s="10"/>
      <c r="C966" s="10"/>
      <c r="D966" s="11"/>
      <c r="E966" s="10"/>
      <c r="F966" s="10"/>
      <c r="G966" s="10"/>
      <c r="H966" s="12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2.5" x14ac:dyDescent="0.25">
      <c r="A967" s="10"/>
      <c r="B967" s="10"/>
      <c r="C967" s="10"/>
      <c r="D967" s="11"/>
      <c r="E967" s="10"/>
      <c r="F967" s="10"/>
      <c r="G967" s="10"/>
      <c r="H967" s="12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2.5" x14ac:dyDescent="0.25">
      <c r="A968" s="10"/>
      <c r="B968" s="10"/>
      <c r="C968" s="10"/>
      <c r="D968" s="11"/>
      <c r="E968" s="10"/>
      <c r="F968" s="10"/>
      <c r="G968" s="10"/>
      <c r="H968" s="12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2.5" x14ac:dyDescent="0.25">
      <c r="A969" s="10"/>
      <c r="B969" s="10"/>
      <c r="C969" s="10"/>
      <c r="D969" s="11"/>
      <c r="E969" s="10"/>
      <c r="F969" s="10"/>
      <c r="G969" s="10"/>
      <c r="H969" s="12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2.5" x14ac:dyDescent="0.25">
      <c r="A970" s="10"/>
      <c r="B970" s="10"/>
      <c r="C970" s="10"/>
      <c r="D970" s="11"/>
      <c r="E970" s="10"/>
      <c r="F970" s="10"/>
      <c r="G970" s="10"/>
      <c r="H970" s="12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2.5" x14ac:dyDescent="0.25">
      <c r="A971" s="10"/>
      <c r="B971" s="10"/>
      <c r="C971" s="10"/>
      <c r="D971" s="11"/>
      <c r="E971" s="10"/>
      <c r="F971" s="10"/>
      <c r="G971" s="10"/>
      <c r="H971" s="12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2.5" x14ac:dyDescent="0.25">
      <c r="A972" s="10"/>
      <c r="B972" s="10"/>
      <c r="C972" s="10"/>
      <c r="D972" s="11"/>
      <c r="E972" s="10"/>
      <c r="F972" s="10"/>
      <c r="G972" s="10"/>
      <c r="H972" s="12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2.5" x14ac:dyDescent="0.25">
      <c r="A973" s="10"/>
      <c r="B973" s="10"/>
      <c r="C973" s="10"/>
      <c r="D973" s="11"/>
      <c r="E973" s="10"/>
      <c r="F973" s="10"/>
      <c r="G973" s="10"/>
      <c r="H973" s="12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2.5" x14ac:dyDescent="0.25">
      <c r="A974" s="10"/>
      <c r="B974" s="10"/>
      <c r="C974" s="10"/>
      <c r="D974" s="11"/>
      <c r="E974" s="10"/>
      <c r="F974" s="10"/>
      <c r="G974" s="10"/>
      <c r="H974" s="12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2.5" x14ac:dyDescent="0.25">
      <c r="A975" s="10"/>
      <c r="B975" s="10"/>
      <c r="C975" s="10"/>
      <c r="D975" s="11"/>
      <c r="E975" s="10"/>
      <c r="F975" s="10"/>
      <c r="G975" s="10"/>
      <c r="H975" s="12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2.5" x14ac:dyDescent="0.25">
      <c r="A976" s="10"/>
      <c r="B976" s="10"/>
      <c r="C976" s="10"/>
      <c r="D976" s="11"/>
      <c r="E976" s="10"/>
      <c r="F976" s="10"/>
      <c r="G976" s="10"/>
      <c r="H976" s="12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ht="12.5" x14ac:dyDescent="0.25">
      <c r="A977" s="10"/>
      <c r="B977" s="10"/>
      <c r="C977" s="10"/>
      <c r="D977" s="11"/>
      <c r="E977" s="10"/>
      <c r="F977" s="10"/>
      <c r="G977" s="10"/>
      <c r="H977" s="12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ht="12.5" x14ac:dyDescent="0.25">
      <c r="A978" s="10"/>
      <c r="B978" s="10"/>
      <c r="C978" s="10"/>
      <c r="D978" s="11"/>
      <c r="E978" s="10"/>
      <c r="F978" s="10"/>
      <c r="G978" s="10"/>
      <c r="H978" s="12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ht="12.5" x14ac:dyDescent="0.25">
      <c r="A979" s="10"/>
      <c r="B979" s="10"/>
      <c r="C979" s="10"/>
      <c r="D979" s="11"/>
      <c r="E979" s="10"/>
      <c r="F979" s="10"/>
      <c r="G979" s="10"/>
      <c r="H979" s="12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ht="12.5" x14ac:dyDescent="0.25">
      <c r="A980" s="10"/>
      <c r="B980" s="10"/>
      <c r="C980" s="10"/>
      <c r="D980" s="11"/>
      <c r="E980" s="10"/>
      <c r="F980" s="10"/>
      <c r="G980" s="10"/>
      <c r="H980" s="12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ht="12.5" x14ac:dyDescent="0.25">
      <c r="A981" s="10"/>
      <c r="B981" s="10"/>
      <c r="C981" s="10"/>
      <c r="D981" s="11"/>
      <c r="E981" s="10"/>
      <c r="F981" s="10"/>
      <c r="G981" s="10"/>
      <c r="H981" s="12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ht="12.5" x14ac:dyDescent="0.25">
      <c r="A982" s="10"/>
      <c r="B982" s="10"/>
      <c r="C982" s="10"/>
      <c r="D982" s="11"/>
      <c r="E982" s="10"/>
      <c r="F982" s="10"/>
      <c r="G982" s="10"/>
      <c r="H982" s="12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ht="12.5" x14ac:dyDescent="0.25">
      <c r="A983" s="10"/>
      <c r="B983" s="10"/>
      <c r="C983" s="10"/>
      <c r="D983" s="11"/>
      <c r="E983" s="10"/>
      <c r="F983" s="10"/>
      <c r="G983" s="10"/>
      <c r="H983" s="12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ht="12.5" x14ac:dyDescent="0.25">
      <c r="A984" s="10"/>
      <c r="B984" s="10"/>
      <c r="C984" s="10"/>
      <c r="D984" s="11"/>
      <c r="E984" s="10"/>
      <c r="F984" s="10"/>
      <c r="G984" s="10"/>
      <c r="H984" s="12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ht="12.5" x14ac:dyDescent="0.25">
      <c r="A985" s="10"/>
      <c r="B985" s="10"/>
      <c r="C985" s="10"/>
      <c r="D985" s="11"/>
      <c r="E985" s="10"/>
      <c r="F985" s="10"/>
      <c r="G985" s="10"/>
      <c r="H985" s="12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ht="12.5" x14ac:dyDescent="0.25">
      <c r="A986" s="10"/>
      <c r="B986" s="10"/>
      <c r="C986" s="10"/>
      <c r="D986" s="11"/>
      <c r="E986" s="10"/>
      <c r="F986" s="10"/>
      <c r="G986" s="10"/>
      <c r="H986" s="12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ht="12.5" x14ac:dyDescent="0.25">
      <c r="A987" s="10"/>
      <c r="B987" s="10"/>
      <c r="C987" s="10"/>
      <c r="D987" s="11"/>
      <c r="E987" s="10"/>
      <c r="F987" s="10"/>
      <c r="G987" s="10"/>
      <c r="H987" s="12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ht="12.5" x14ac:dyDescent="0.25">
      <c r="A988" s="10"/>
      <c r="B988" s="10"/>
      <c r="C988" s="10"/>
      <c r="D988" s="11"/>
      <c r="E988" s="10"/>
      <c r="F988" s="10"/>
      <c r="G988" s="10"/>
      <c r="H988" s="12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ht="12.5" x14ac:dyDescent="0.25">
      <c r="A989" s="10"/>
      <c r="B989" s="10"/>
      <c r="C989" s="10"/>
      <c r="D989" s="11"/>
      <c r="E989" s="10"/>
      <c r="F989" s="10"/>
      <c r="G989" s="10"/>
      <c r="H989" s="12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ht="12.5" x14ac:dyDescent="0.25">
      <c r="A990" s="10"/>
      <c r="B990" s="10"/>
      <c r="C990" s="10"/>
      <c r="D990" s="11"/>
      <c r="E990" s="10"/>
      <c r="F990" s="10"/>
      <c r="G990" s="10"/>
      <c r="H990" s="12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ht="12.5" x14ac:dyDescent="0.25">
      <c r="A991" s="10"/>
      <c r="B991" s="10"/>
      <c r="C991" s="10"/>
      <c r="D991" s="11"/>
      <c r="E991" s="10"/>
      <c r="F991" s="10"/>
      <c r="G991" s="10"/>
      <c r="H991" s="12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ht="12.5" x14ac:dyDescent="0.25">
      <c r="A992" s="10"/>
      <c r="B992" s="10"/>
      <c r="C992" s="10"/>
      <c r="D992" s="11"/>
      <c r="E992" s="10"/>
      <c r="F992" s="10"/>
      <c r="G992" s="10"/>
      <c r="H992" s="12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ht="12.5" x14ac:dyDescent="0.25">
      <c r="A993" s="10"/>
      <c r="B993" s="10"/>
      <c r="C993" s="10"/>
      <c r="D993" s="11"/>
      <c r="E993" s="10"/>
      <c r="F993" s="10"/>
      <c r="G993" s="10"/>
      <c r="H993" s="12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ht="12.5" x14ac:dyDescent="0.25">
      <c r="A994" s="10"/>
      <c r="B994" s="10"/>
      <c r="C994" s="10"/>
      <c r="D994" s="11"/>
      <c r="E994" s="10"/>
      <c r="F994" s="10"/>
      <c r="G994" s="10"/>
      <c r="H994" s="12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ht="12.5" x14ac:dyDescent="0.25">
      <c r="A995" s="10"/>
      <c r="B995" s="10"/>
      <c r="C995" s="10"/>
      <c r="D995" s="11"/>
      <c r="E995" s="10"/>
      <c r="F995" s="10"/>
      <c r="G995" s="10"/>
      <c r="H995" s="12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ht="12.5" x14ac:dyDescent="0.25">
      <c r="A996" s="10"/>
      <c r="B996" s="10"/>
      <c r="C996" s="10"/>
      <c r="D996" s="11"/>
      <c r="E996" s="10"/>
      <c r="F996" s="10"/>
      <c r="G996" s="10"/>
      <c r="H996" s="12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ht="12.5" x14ac:dyDescent="0.25">
      <c r="A997" s="10"/>
      <c r="B997" s="10"/>
      <c r="C997" s="10"/>
      <c r="D997" s="11"/>
      <c r="E997" s="10"/>
      <c r="F997" s="10"/>
      <c r="G997" s="10"/>
      <c r="H997" s="12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ht="12.5" x14ac:dyDescent="0.25">
      <c r="A998" s="10"/>
      <c r="B998" s="10"/>
      <c r="C998" s="10"/>
      <c r="D998" s="11"/>
      <c r="E998" s="10"/>
      <c r="F998" s="10"/>
      <c r="G998" s="10"/>
      <c r="H998" s="12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ht="12.5" x14ac:dyDescent="0.25">
      <c r="A999" s="10"/>
      <c r="B999" s="10"/>
      <c r="C999" s="10"/>
      <c r="D999" s="11"/>
      <c r="E999" s="10"/>
      <c r="F999" s="10"/>
      <c r="G999" s="10"/>
      <c r="H999" s="12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ht="12.5" x14ac:dyDescent="0.25">
      <c r="A1000" s="10"/>
      <c r="B1000" s="10"/>
      <c r="C1000" s="10"/>
      <c r="D1000" s="11"/>
      <c r="E1000" s="10"/>
      <c r="F1000" s="10"/>
      <c r="G1000" s="10"/>
      <c r="H1000" s="12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spans="1:27" ht="12.5" x14ac:dyDescent="0.25">
      <c r="A1001" s="10"/>
      <c r="B1001" s="10"/>
      <c r="C1001" s="10"/>
      <c r="D1001" s="11"/>
      <c r="E1001" s="10"/>
      <c r="F1001" s="10"/>
      <c r="G1001" s="10"/>
      <c r="H1001" s="12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spans="1:27" ht="12.5" x14ac:dyDescent="0.25">
      <c r="A1002" s="10"/>
      <c r="B1002" s="10"/>
      <c r="C1002" s="10"/>
      <c r="D1002" s="11"/>
      <c r="E1002" s="10"/>
      <c r="F1002" s="10"/>
      <c r="G1002" s="10"/>
      <c r="H1002" s="12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spans="1:27" ht="12.5" x14ac:dyDescent="0.25">
      <c r="A1003" s="10"/>
      <c r="B1003" s="10"/>
      <c r="C1003" s="10"/>
      <c r="D1003" s="11"/>
      <c r="E1003" s="10"/>
      <c r="F1003" s="10"/>
      <c r="G1003" s="10"/>
      <c r="H1003" s="12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spans="1:27" ht="12.5" x14ac:dyDescent="0.25">
      <c r="A1004" s="10"/>
      <c r="B1004" s="10"/>
      <c r="C1004" s="10"/>
      <c r="D1004" s="11"/>
      <c r="E1004" s="10"/>
      <c r="F1004" s="10"/>
      <c r="G1004" s="10"/>
      <c r="H1004" s="12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spans="1:27" ht="12.5" x14ac:dyDescent="0.25">
      <c r="A1005" s="10"/>
      <c r="B1005" s="10"/>
      <c r="C1005" s="10"/>
      <c r="D1005" s="11"/>
      <c r="E1005" s="10"/>
      <c r="F1005" s="10"/>
      <c r="G1005" s="10"/>
      <c r="H1005" s="12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spans="1:27" ht="12.5" x14ac:dyDescent="0.25">
      <c r="A1006" s="10"/>
      <c r="B1006" s="10"/>
      <c r="C1006" s="10"/>
      <c r="D1006" s="11"/>
      <c r="E1006" s="10"/>
      <c r="F1006" s="10"/>
      <c r="G1006" s="10"/>
      <c r="H1006" s="12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spans="1:27" ht="12.5" x14ac:dyDescent="0.25">
      <c r="A1007" s="10"/>
      <c r="B1007" s="10"/>
      <c r="C1007" s="10"/>
      <c r="D1007" s="11"/>
      <c r="E1007" s="10"/>
      <c r="F1007" s="10"/>
      <c r="G1007" s="10"/>
      <c r="H1007" s="12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spans="1:27" ht="12.5" x14ac:dyDescent="0.25">
      <c r="A1008" s="10"/>
      <c r="B1008" s="10"/>
      <c r="C1008" s="10"/>
      <c r="D1008" s="11"/>
      <c r="E1008" s="10"/>
      <c r="F1008" s="10"/>
      <c r="G1008" s="10"/>
      <c r="H1008" s="12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spans="1:27" ht="12.5" x14ac:dyDescent="0.25">
      <c r="A1009" s="10"/>
      <c r="B1009" s="10"/>
      <c r="C1009" s="10"/>
      <c r="D1009" s="11"/>
      <c r="E1009" s="10"/>
      <c r="F1009" s="10"/>
      <c r="G1009" s="10"/>
      <c r="H1009" s="12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spans="1:27" ht="12.5" x14ac:dyDescent="0.25">
      <c r="A1010" s="10"/>
      <c r="B1010" s="10"/>
      <c r="C1010" s="10"/>
      <c r="D1010" s="11"/>
      <c r="E1010" s="10"/>
      <c r="F1010" s="10"/>
      <c r="G1010" s="10"/>
      <c r="H1010" s="12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spans="1:27" ht="12.5" x14ac:dyDescent="0.25">
      <c r="A1011" s="10"/>
      <c r="B1011" s="10"/>
      <c r="C1011" s="10"/>
      <c r="D1011" s="11"/>
      <c r="E1011" s="10"/>
      <c r="F1011" s="10"/>
      <c r="G1011" s="10"/>
      <c r="H1011" s="12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spans="1:27" ht="12.5" x14ac:dyDescent="0.25">
      <c r="A1012" s="10"/>
      <c r="B1012" s="10"/>
      <c r="C1012" s="10"/>
      <c r="D1012" s="11"/>
      <c r="E1012" s="10"/>
      <c r="F1012" s="10"/>
      <c r="G1012" s="10"/>
      <c r="H1012" s="12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 spans="1:27" ht="12.5" x14ac:dyDescent="0.25">
      <c r="A1013" s="10"/>
      <c r="B1013" s="10"/>
      <c r="C1013" s="10"/>
      <c r="D1013" s="11"/>
      <c r="E1013" s="10"/>
      <c r="F1013" s="10"/>
      <c r="G1013" s="10"/>
      <c r="H1013" s="12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 spans="1:27" ht="12.5" x14ac:dyDescent="0.25">
      <c r="A1014" s="10"/>
      <c r="B1014" s="10"/>
      <c r="C1014" s="10"/>
      <c r="D1014" s="11"/>
      <c r="E1014" s="10"/>
      <c r="F1014" s="10"/>
      <c r="G1014" s="10"/>
      <c r="H1014" s="12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 spans="1:27" ht="12.5" x14ac:dyDescent="0.25">
      <c r="A1015" s="10"/>
      <c r="B1015" s="10"/>
      <c r="C1015" s="10"/>
      <c r="D1015" s="11"/>
      <c r="E1015" s="10"/>
      <c r="F1015" s="10"/>
      <c r="G1015" s="10"/>
      <c r="H1015" s="12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 spans="1:27" ht="12.5" x14ac:dyDescent="0.25">
      <c r="A1016" s="10"/>
      <c r="B1016" s="10"/>
      <c r="C1016" s="10"/>
      <c r="D1016" s="11"/>
      <c r="E1016" s="10"/>
      <c r="F1016" s="10"/>
      <c r="G1016" s="10"/>
      <c r="H1016" s="12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 spans="1:27" ht="12.5" x14ac:dyDescent="0.25">
      <c r="A1017" s="10"/>
      <c r="B1017" s="10"/>
      <c r="C1017" s="10"/>
      <c r="D1017" s="11"/>
      <c r="E1017" s="10"/>
      <c r="F1017" s="10"/>
      <c r="G1017" s="10"/>
      <c r="H1017" s="12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 spans="1:27" ht="12.5" x14ac:dyDescent="0.25">
      <c r="A1018" s="10"/>
      <c r="B1018" s="10"/>
      <c r="C1018" s="10"/>
      <c r="D1018" s="11"/>
      <c r="E1018" s="10"/>
      <c r="F1018" s="10"/>
      <c r="G1018" s="10"/>
      <c r="H1018" s="12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 spans="1:27" ht="12.5" x14ac:dyDescent="0.25">
      <c r="A1019" s="10"/>
      <c r="B1019" s="10"/>
      <c r="C1019" s="10"/>
      <c r="D1019" s="11"/>
      <c r="E1019" s="10"/>
      <c r="F1019" s="10"/>
      <c r="G1019" s="10"/>
      <c r="H1019" s="12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 spans="1:27" ht="12.5" x14ac:dyDescent="0.25">
      <c r="A1020" s="10"/>
      <c r="B1020" s="10"/>
      <c r="C1020" s="10"/>
      <c r="D1020" s="11"/>
      <c r="E1020" s="10"/>
      <c r="F1020" s="10"/>
      <c r="G1020" s="10"/>
      <c r="H1020" s="12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 spans="1:27" ht="12.5" x14ac:dyDescent="0.25">
      <c r="A1021" s="10"/>
      <c r="B1021" s="10"/>
      <c r="C1021" s="10"/>
      <c r="D1021" s="11"/>
      <c r="E1021" s="10"/>
      <c r="F1021" s="10"/>
      <c r="G1021" s="10"/>
      <c r="H1021" s="12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 spans="1:27" ht="12.5" x14ac:dyDescent="0.25">
      <c r="A1022" s="10"/>
      <c r="B1022" s="10"/>
      <c r="C1022" s="10"/>
      <c r="D1022" s="11"/>
      <c r="E1022" s="10"/>
      <c r="F1022" s="10"/>
      <c r="G1022" s="10"/>
      <c r="H1022" s="12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 spans="1:27" ht="12.5" x14ac:dyDescent="0.25">
      <c r="A1023" s="10"/>
      <c r="B1023" s="10"/>
      <c r="C1023" s="10"/>
      <c r="D1023" s="11"/>
      <c r="E1023" s="10"/>
      <c r="F1023" s="10"/>
      <c r="G1023" s="10"/>
      <c r="H1023" s="12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 spans="1:27" ht="12.5" x14ac:dyDescent="0.25">
      <c r="A1024" s="10"/>
      <c r="B1024" s="10"/>
      <c r="C1024" s="10"/>
      <c r="D1024" s="11"/>
      <c r="E1024" s="10"/>
      <c r="F1024" s="10"/>
      <c r="G1024" s="10"/>
      <c r="H1024" s="12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 spans="1:27" ht="12.5" x14ac:dyDescent="0.25">
      <c r="A1025" s="10"/>
      <c r="B1025" s="10"/>
      <c r="C1025" s="10"/>
      <c r="D1025" s="11"/>
      <c r="E1025" s="10"/>
      <c r="F1025" s="10"/>
      <c r="G1025" s="10"/>
      <c r="H1025" s="12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0"/>
      <c r="T1025" s="10"/>
      <c r="U1025" s="10"/>
      <c r="V1025" s="10"/>
      <c r="W1025" s="10"/>
      <c r="X1025" s="10"/>
      <c r="Y1025" s="10"/>
      <c r="Z1025" s="10"/>
      <c r="AA1025" s="10"/>
    </row>
    <row r="1026" spans="1:27" ht="12.5" x14ac:dyDescent="0.25">
      <c r="A1026" s="10"/>
      <c r="B1026" s="10"/>
      <c r="C1026" s="10"/>
      <c r="D1026" s="11"/>
      <c r="E1026" s="10"/>
      <c r="F1026" s="10"/>
      <c r="G1026" s="10"/>
      <c r="H1026" s="12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 spans="1:27" ht="12.5" x14ac:dyDescent="0.25">
      <c r="A1027" s="10"/>
      <c r="B1027" s="10"/>
      <c r="C1027" s="10"/>
      <c r="D1027" s="11"/>
      <c r="E1027" s="10"/>
      <c r="F1027" s="10"/>
      <c r="G1027" s="10"/>
      <c r="H1027" s="12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0"/>
      <c r="T1027" s="10"/>
      <c r="U1027" s="10"/>
      <c r="V1027" s="10"/>
      <c r="W1027" s="10"/>
      <c r="X1027" s="10"/>
      <c r="Y1027" s="10"/>
      <c r="Z1027" s="10"/>
      <c r="AA1027" s="10"/>
    </row>
    <row r="1028" spans="1:27" ht="12.5" x14ac:dyDescent="0.25">
      <c r="A1028" s="10"/>
      <c r="B1028" s="10"/>
      <c r="C1028" s="10"/>
      <c r="D1028" s="11"/>
      <c r="E1028" s="10"/>
      <c r="F1028" s="10"/>
      <c r="G1028" s="10"/>
      <c r="H1028" s="12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 spans="1:27" ht="12.5" x14ac:dyDescent="0.25">
      <c r="A1029" s="10"/>
      <c r="B1029" s="10"/>
      <c r="C1029" s="10"/>
      <c r="D1029" s="11"/>
      <c r="E1029" s="10"/>
      <c r="F1029" s="10"/>
      <c r="G1029" s="10"/>
      <c r="H1029" s="12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0"/>
      <c r="T1029" s="10"/>
      <c r="U1029" s="10"/>
      <c r="V1029" s="10"/>
      <c r="W1029" s="10"/>
      <c r="X1029" s="10"/>
      <c r="Y1029" s="10"/>
      <c r="Z1029" s="10"/>
      <c r="AA1029" s="10"/>
    </row>
    <row r="1030" spans="1:27" ht="12.5" x14ac:dyDescent="0.25">
      <c r="A1030" s="10"/>
      <c r="B1030" s="10"/>
      <c r="C1030" s="10"/>
      <c r="D1030" s="11"/>
      <c r="E1030" s="10"/>
      <c r="F1030" s="10"/>
      <c r="G1030" s="10"/>
      <c r="H1030" s="12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0"/>
      <c r="T1030" s="10"/>
      <c r="U1030" s="10"/>
      <c r="V1030" s="10"/>
      <c r="W1030" s="10"/>
      <c r="X1030" s="10"/>
      <c r="Y1030" s="10"/>
      <c r="Z1030" s="10"/>
      <c r="AA1030" s="10"/>
    </row>
    <row r="1031" spans="1:27" ht="12.5" x14ac:dyDescent="0.25">
      <c r="A1031" s="10"/>
      <c r="B1031" s="10"/>
      <c r="C1031" s="10"/>
      <c r="D1031" s="11"/>
      <c r="E1031" s="10"/>
      <c r="F1031" s="10"/>
      <c r="G1031" s="10"/>
      <c r="H1031" s="12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0"/>
      <c r="T1031" s="10"/>
      <c r="U1031" s="10"/>
      <c r="V1031" s="10"/>
      <c r="W1031" s="10"/>
      <c r="X1031" s="10"/>
      <c r="Y1031" s="10"/>
      <c r="Z1031" s="10"/>
      <c r="AA1031" s="10"/>
    </row>
    <row r="1032" spans="1:27" ht="12.5" x14ac:dyDescent="0.25">
      <c r="A1032" s="10"/>
      <c r="B1032" s="10"/>
      <c r="C1032" s="10"/>
      <c r="D1032" s="11"/>
      <c r="E1032" s="10"/>
      <c r="F1032" s="10"/>
      <c r="G1032" s="10"/>
      <c r="H1032" s="12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0"/>
      <c r="T1032" s="10"/>
      <c r="U1032" s="10"/>
      <c r="V1032" s="10"/>
      <c r="W1032" s="10"/>
      <c r="X1032" s="10"/>
      <c r="Y1032" s="10"/>
      <c r="Z1032" s="10"/>
      <c r="AA1032" s="10"/>
    </row>
    <row r="1033" spans="1:27" ht="12.5" x14ac:dyDescent="0.25">
      <c r="A1033" s="10"/>
      <c r="B1033" s="10"/>
      <c r="C1033" s="10"/>
      <c r="D1033" s="11"/>
      <c r="E1033" s="10"/>
      <c r="F1033" s="10"/>
      <c r="G1033" s="10"/>
      <c r="H1033" s="12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0"/>
      <c r="T1033" s="10"/>
      <c r="U1033" s="10"/>
      <c r="V1033" s="10"/>
      <c r="W1033" s="10"/>
      <c r="X1033" s="10"/>
      <c r="Y1033" s="10"/>
      <c r="Z1033" s="10"/>
      <c r="AA1033" s="10"/>
    </row>
    <row r="1034" spans="1:27" ht="12.5" x14ac:dyDescent="0.25">
      <c r="A1034" s="10"/>
      <c r="B1034" s="10"/>
      <c r="C1034" s="10"/>
      <c r="D1034" s="11"/>
      <c r="E1034" s="10"/>
      <c r="F1034" s="10"/>
      <c r="G1034" s="10"/>
      <c r="H1034" s="12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0"/>
      <c r="T1034" s="10"/>
      <c r="U1034" s="10"/>
      <c r="V1034" s="10"/>
      <c r="W1034" s="10"/>
      <c r="X1034" s="10"/>
      <c r="Y1034" s="10"/>
      <c r="Z1034" s="10"/>
      <c r="AA1034" s="10"/>
    </row>
    <row r="1035" spans="1:27" ht="12.5" x14ac:dyDescent="0.25">
      <c r="A1035" s="10"/>
      <c r="B1035" s="10"/>
      <c r="C1035" s="10"/>
      <c r="D1035" s="11"/>
      <c r="E1035" s="10"/>
      <c r="F1035" s="10"/>
      <c r="G1035" s="10"/>
      <c r="H1035" s="12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0"/>
      <c r="T1035" s="10"/>
      <c r="U1035" s="10"/>
      <c r="V1035" s="10"/>
      <c r="W1035" s="10"/>
      <c r="X1035" s="10"/>
      <c r="Y1035" s="10"/>
      <c r="Z1035" s="10"/>
      <c r="AA1035" s="10"/>
    </row>
    <row r="1036" spans="1:27" ht="12.5" x14ac:dyDescent="0.25">
      <c r="A1036" s="10"/>
      <c r="B1036" s="10"/>
      <c r="C1036" s="10"/>
      <c r="D1036" s="11"/>
      <c r="E1036" s="10"/>
      <c r="F1036" s="10"/>
      <c r="G1036" s="10"/>
      <c r="H1036" s="12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0"/>
      <c r="T1036" s="10"/>
      <c r="U1036" s="10"/>
      <c r="V1036" s="10"/>
      <c r="W1036" s="10"/>
      <c r="X1036" s="10"/>
      <c r="Y1036" s="10"/>
      <c r="Z1036" s="10"/>
      <c r="AA1036" s="10"/>
    </row>
    <row r="1037" spans="1:27" ht="12.5" x14ac:dyDescent="0.25">
      <c r="A1037" s="10"/>
      <c r="B1037" s="10"/>
      <c r="C1037" s="10"/>
      <c r="D1037" s="11"/>
      <c r="E1037" s="10"/>
      <c r="F1037" s="10"/>
      <c r="G1037" s="10"/>
      <c r="H1037" s="12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0"/>
      <c r="T1037" s="10"/>
      <c r="U1037" s="10"/>
      <c r="V1037" s="10"/>
      <c r="W1037" s="10"/>
      <c r="X1037" s="10"/>
      <c r="Y1037" s="10"/>
      <c r="Z1037" s="10"/>
      <c r="AA1037" s="10"/>
    </row>
    <row r="1038" spans="1:27" ht="12.5" x14ac:dyDescent="0.25">
      <c r="A1038" s="10"/>
      <c r="B1038" s="10"/>
      <c r="C1038" s="10"/>
      <c r="D1038" s="11"/>
      <c r="E1038" s="10"/>
      <c r="F1038" s="10"/>
      <c r="G1038" s="10"/>
      <c r="H1038" s="12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0"/>
      <c r="T1038" s="10"/>
      <c r="U1038" s="10"/>
      <c r="V1038" s="10"/>
      <c r="W1038" s="10"/>
      <c r="X1038" s="10"/>
      <c r="Y1038" s="10"/>
      <c r="Z1038" s="10"/>
      <c r="AA1038" s="10"/>
    </row>
    <row r="1039" spans="1:27" ht="12.5" x14ac:dyDescent="0.25">
      <c r="A1039" s="10"/>
      <c r="B1039" s="10"/>
      <c r="C1039" s="10"/>
      <c r="D1039" s="11"/>
      <c r="E1039" s="10"/>
      <c r="F1039" s="10"/>
      <c r="G1039" s="10"/>
      <c r="H1039" s="12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0"/>
      <c r="T1039" s="10"/>
      <c r="U1039" s="10"/>
      <c r="V1039" s="10"/>
      <c r="W1039" s="10"/>
      <c r="X1039" s="10"/>
      <c r="Y1039" s="10"/>
      <c r="Z1039" s="10"/>
      <c r="AA1039" s="10"/>
    </row>
    <row r="1040" spans="1:27" ht="12.5" x14ac:dyDescent="0.25">
      <c r="A1040" s="10"/>
      <c r="B1040" s="10"/>
      <c r="C1040" s="10"/>
      <c r="D1040" s="11"/>
      <c r="E1040" s="10"/>
      <c r="F1040" s="10"/>
      <c r="G1040" s="10"/>
      <c r="H1040" s="12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0"/>
      <c r="T1040" s="10"/>
      <c r="U1040" s="10"/>
      <c r="V1040" s="10"/>
      <c r="W1040" s="10"/>
      <c r="X1040" s="10"/>
      <c r="Y1040" s="10"/>
      <c r="Z1040" s="10"/>
      <c r="AA1040" s="10"/>
    </row>
    <row r="1041" spans="1:27" ht="12.5" x14ac:dyDescent="0.25">
      <c r="A1041" s="10"/>
      <c r="B1041" s="10"/>
      <c r="C1041" s="10"/>
      <c r="D1041" s="11"/>
      <c r="E1041" s="10"/>
      <c r="F1041" s="10"/>
      <c r="G1041" s="10"/>
      <c r="H1041" s="12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0"/>
      <c r="T1041" s="10"/>
      <c r="U1041" s="10"/>
      <c r="V1041" s="10"/>
      <c r="W1041" s="10"/>
      <c r="X1041" s="10"/>
      <c r="Y1041" s="10"/>
      <c r="Z1041" s="10"/>
      <c r="AA1041" s="10"/>
    </row>
    <row r="1042" spans="1:27" ht="12.5" x14ac:dyDescent="0.25">
      <c r="A1042" s="10"/>
      <c r="B1042" s="10"/>
      <c r="C1042" s="10"/>
      <c r="D1042" s="11"/>
      <c r="E1042" s="10"/>
      <c r="F1042" s="10"/>
      <c r="G1042" s="10"/>
      <c r="H1042" s="12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0"/>
      <c r="T1042" s="10"/>
      <c r="U1042" s="10"/>
      <c r="V1042" s="10"/>
      <c r="W1042" s="10"/>
      <c r="X1042" s="10"/>
      <c r="Y1042" s="10"/>
      <c r="Z1042" s="10"/>
      <c r="AA1042" s="10"/>
    </row>
    <row r="1043" spans="1:27" ht="12.5" x14ac:dyDescent="0.25">
      <c r="A1043" s="10"/>
      <c r="B1043" s="10"/>
      <c r="C1043" s="10"/>
      <c r="D1043" s="11"/>
      <c r="E1043" s="10"/>
      <c r="F1043" s="10"/>
      <c r="G1043" s="10"/>
      <c r="H1043" s="12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0"/>
      <c r="T1043" s="10"/>
      <c r="U1043" s="10"/>
      <c r="V1043" s="10"/>
      <c r="W1043" s="10"/>
      <c r="X1043" s="10"/>
      <c r="Y1043" s="10"/>
      <c r="Z1043" s="10"/>
      <c r="AA1043" s="10"/>
    </row>
    <row r="1044" spans="1:27" ht="12.5" x14ac:dyDescent="0.25">
      <c r="A1044" s="10"/>
      <c r="B1044" s="10"/>
      <c r="C1044" s="10"/>
      <c r="D1044" s="11"/>
      <c r="E1044" s="10"/>
      <c r="F1044" s="10"/>
      <c r="G1044" s="10"/>
      <c r="H1044" s="12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0"/>
      <c r="T1044" s="10"/>
      <c r="U1044" s="10"/>
      <c r="V1044" s="10"/>
      <c r="W1044" s="10"/>
      <c r="X1044" s="10"/>
      <c r="Y1044" s="10"/>
      <c r="Z1044" s="10"/>
      <c r="AA1044" s="10"/>
    </row>
    <row r="1045" spans="1:27" ht="12.5" x14ac:dyDescent="0.25">
      <c r="A1045" s="10"/>
      <c r="B1045" s="10"/>
      <c r="C1045" s="10"/>
      <c r="D1045" s="11"/>
      <c r="E1045" s="10"/>
      <c r="F1045" s="10"/>
      <c r="G1045" s="10"/>
      <c r="H1045" s="12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0"/>
      <c r="T1045" s="10"/>
      <c r="U1045" s="10"/>
      <c r="V1045" s="10"/>
      <c r="W1045" s="10"/>
      <c r="X1045" s="10"/>
      <c r="Y1045" s="10"/>
      <c r="Z1045" s="10"/>
      <c r="AA1045" s="10"/>
    </row>
    <row r="1046" spans="1:27" ht="12.5" x14ac:dyDescent="0.25">
      <c r="A1046" s="10"/>
      <c r="B1046" s="10"/>
      <c r="C1046" s="10"/>
      <c r="D1046" s="11"/>
      <c r="E1046" s="10"/>
      <c r="F1046" s="10"/>
      <c r="G1046" s="10"/>
      <c r="H1046" s="12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0"/>
      <c r="T1046" s="10"/>
      <c r="U1046" s="10"/>
      <c r="V1046" s="10"/>
      <c r="W1046" s="10"/>
      <c r="X1046" s="10"/>
      <c r="Y1046" s="10"/>
      <c r="Z1046" s="10"/>
      <c r="AA1046" s="10"/>
    </row>
    <row r="1047" spans="1:27" ht="12.5" x14ac:dyDescent="0.25">
      <c r="A1047" s="10"/>
      <c r="B1047" s="10"/>
      <c r="C1047" s="10"/>
      <c r="D1047" s="11"/>
      <c r="E1047" s="10"/>
      <c r="F1047" s="10"/>
      <c r="G1047" s="10"/>
      <c r="H1047" s="12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0"/>
      <c r="T1047" s="10"/>
      <c r="U1047" s="10"/>
      <c r="V1047" s="10"/>
      <c r="W1047" s="10"/>
      <c r="X1047" s="10"/>
      <c r="Y1047" s="10"/>
      <c r="Z1047" s="10"/>
      <c r="AA1047" s="10"/>
    </row>
    <row r="1048" spans="1:27" ht="12.5" x14ac:dyDescent="0.25">
      <c r="A1048" s="10"/>
      <c r="B1048" s="10"/>
      <c r="C1048" s="10"/>
      <c r="D1048" s="11"/>
      <c r="E1048" s="10"/>
      <c r="F1048" s="10"/>
      <c r="G1048" s="10"/>
      <c r="H1048" s="12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0"/>
      <c r="T1048" s="10"/>
      <c r="U1048" s="10"/>
      <c r="V1048" s="10"/>
      <c r="W1048" s="10"/>
      <c r="X1048" s="10"/>
      <c r="Y1048" s="10"/>
      <c r="Z1048" s="10"/>
      <c r="AA1048" s="10"/>
    </row>
    <row r="1049" spans="1:27" ht="12.5" x14ac:dyDescent="0.25">
      <c r="A1049" s="10"/>
      <c r="B1049" s="10"/>
      <c r="C1049" s="10"/>
      <c r="D1049" s="11"/>
      <c r="E1049" s="10"/>
      <c r="F1049" s="10"/>
      <c r="G1049" s="10"/>
      <c r="H1049" s="12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0"/>
      <c r="T1049" s="10"/>
      <c r="U1049" s="10"/>
      <c r="V1049" s="10"/>
      <c r="W1049" s="10"/>
      <c r="X1049" s="10"/>
      <c r="Y1049" s="10"/>
      <c r="Z1049" s="10"/>
      <c r="AA1049" s="10"/>
    </row>
    <row r="1050" spans="1:27" ht="12.5" x14ac:dyDescent="0.25">
      <c r="A1050" s="10"/>
      <c r="B1050" s="10"/>
      <c r="C1050" s="10"/>
      <c r="D1050" s="11"/>
      <c r="E1050" s="10"/>
      <c r="F1050" s="10"/>
      <c r="G1050" s="10"/>
      <c r="H1050" s="12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0"/>
      <c r="T1050" s="10"/>
      <c r="U1050" s="10"/>
      <c r="V1050" s="10"/>
      <c r="W1050" s="10"/>
      <c r="X1050" s="10"/>
      <c r="Y1050" s="10"/>
      <c r="Z1050" s="10"/>
      <c r="AA1050" s="10"/>
    </row>
    <row r="1051" spans="1:27" ht="12.5" x14ac:dyDescent="0.25">
      <c r="A1051" s="10"/>
      <c r="B1051" s="10"/>
      <c r="C1051" s="10"/>
      <c r="D1051" s="11"/>
      <c r="E1051" s="10"/>
      <c r="F1051" s="10"/>
      <c r="G1051" s="10"/>
      <c r="H1051" s="12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0"/>
      <c r="T1051" s="10"/>
      <c r="U1051" s="10"/>
      <c r="V1051" s="10"/>
      <c r="W1051" s="10"/>
      <c r="X1051" s="10"/>
      <c r="Y1051" s="10"/>
      <c r="Z1051" s="10"/>
      <c r="AA1051" s="10"/>
    </row>
    <row r="1052" spans="1:27" ht="12.5" x14ac:dyDescent="0.25">
      <c r="A1052" s="10"/>
      <c r="B1052" s="10"/>
      <c r="C1052" s="10"/>
      <c r="D1052" s="11"/>
      <c r="E1052" s="10"/>
      <c r="F1052" s="10"/>
      <c r="G1052" s="10"/>
      <c r="H1052" s="12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0"/>
      <c r="T1052" s="10"/>
      <c r="U1052" s="10"/>
      <c r="V1052" s="10"/>
      <c r="W1052" s="10"/>
      <c r="X1052" s="10"/>
      <c r="Y1052" s="10"/>
      <c r="Z1052" s="10"/>
      <c r="AA1052" s="10"/>
    </row>
    <row r="1053" spans="1:27" ht="12.5" x14ac:dyDescent="0.25">
      <c r="A1053" s="10"/>
      <c r="B1053" s="10"/>
      <c r="C1053" s="10"/>
      <c r="D1053" s="11"/>
      <c r="E1053" s="10"/>
      <c r="F1053" s="10"/>
      <c r="G1053" s="10"/>
      <c r="H1053" s="12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0"/>
      <c r="T1053" s="10"/>
      <c r="U1053" s="10"/>
      <c r="V1053" s="10"/>
      <c r="W1053" s="10"/>
      <c r="X1053" s="10"/>
      <c r="Y1053" s="10"/>
      <c r="Z1053" s="10"/>
      <c r="AA1053" s="10"/>
    </row>
    <row r="1054" spans="1:27" ht="12.5" x14ac:dyDescent="0.25">
      <c r="A1054" s="10"/>
      <c r="B1054" s="10"/>
      <c r="C1054" s="10"/>
      <c r="D1054" s="11"/>
      <c r="E1054" s="10"/>
      <c r="F1054" s="10"/>
      <c r="G1054" s="10"/>
      <c r="H1054" s="12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0"/>
      <c r="T1054" s="10"/>
      <c r="U1054" s="10"/>
      <c r="V1054" s="10"/>
      <c r="W1054" s="10"/>
      <c r="X1054" s="10"/>
      <c r="Y1054" s="10"/>
      <c r="Z1054" s="10"/>
      <c r="AA1054" s="10"/>
    </row>
    <row r="1055" spans="1:27" ht="12.5" x14ac:dyDescent="0.25">
      <c r="A1055" s="10"/>
      <c r="B1055" s="10"/>
      <c r="C1055" s="10"/>
      <c r="D1055" s="11"/>
      <c r="E1055" s="10"/>
      <c r="F1055" s="10"/>
      <c r="G1055" s="10"/>
      <c r="H1055" s="12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0"/>
      <c r="T1055" s="10"/>
      <c r="U1055" s="10"/>
      <c r="V1055" s="10"/>
      <c r="W1055" s="10"/>
      <c r="X1055" s="10"/>
      <c r="Y1055" s="10"/>
      <c r="Z1055" s="10"/>
      <c r="AA1055" s="10"/>
    </row>
    <row r="1056" spans="1:27" ht="12.5" x14ac:dyDescent="0.25">
      <c r="A1056" s="10"/>
      <c r="B1056" s="10"/>
      <c r="C1056" s="10"/>
      <c r="D1056" s="11"/>
      <c r="E1056" s="10"/>
      <c r="F1056" s="10"/>
      <c r="G1056" s="10"/>
      <c r="H1056" s="12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0"/>
      <c r="T1056" s="10"/>
      <c r="U1056" s="10"/>
      <c r="V1056" s="10"/>
      <c r="W1056" s="10"/>
      <c r="X1056" s="10"/>
      <c r="Y1056" s="10"/>
      <c r="Z1056" s="10"/>
      <c r="AA1056" s="10"/>
    </row>
    <row r="1057" spans="1:27" ht="12.5" x14ac:dyDescent="0.25">
      <c r="A1057" s="10"/>
      <c r="B1057" s="10"/>
      <c r="C1057" s="10"/>
      <c r="D1057" s="11"/>
      <c r="E1057" s="10"/>
      <c r="F1057" s="10"/>
      <c r="G1057" s="10"/>
      <c r="H1057" s="12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0"/>
      <c r="T1057" s="10"/>
      <c r="U1057" s="10"/>
      <c r="V1057" s="10"/>
      <c r="W1057" s="10"/>
      <c r="X1057" s="10"/>
      <c r="Y1057" s="10"/>
      <c r="Z1057" s="10"/>
      <c r="AA1057" s="10"/>
    </row>
    <row r="1058" spans="1:27" ht="12.5" x14ac:dyDescent="0.25">
      <c r="A1058" s="10"/>
      <c r="B1058" s="10"/>
      <c r="C1058" s="10"/>
      <c r="D1058" s="11"/>
      <c r="E1058" s="10"/>
      <c r="F1058" s="10"/>
      <c r="G1058" s="10"/>
      <c r="H1058" s="12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0"/>
      <c r="T1058" s="10"/>
      <c r="U1058" s="10"/>
      <c r="V1058" s="10"/>
      <c r="W1058" s="10"/>
      <c r="X1058" s="10"/>
      <c r="Y1058" s="10"/>
      <c r="Z1058" s="10"/>
      <c r="AA1058" s="10"/>
    </row>
    <row r="1059" spans="1:27" ht="12.5" x14ac:dyDescent="0.25">
      <c r="A1059" s="10"/>
      <c r="B1059" s="10"/>
      <c r="C1059" s="10"/>
      <c r="D1059" s="11"/>
      <c r="E1059" s="10"/>
      <c r="F1059" s="10"/>
      <c r="G1059" s="10"/>
      <c r="H1059" s="12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0"/>
      <c r="T1059" s="10"/>
      <c r="U1059" s="10"/>
      <c r="V1059" s="10"/>
      <c r="W1059" s="10"/>
      <c r="X1059" s="10"/>
      <c r="Y1059" s="10"/>
      <c r="Z1059" s="10"/>
      <c r="AA1059" s="10"/>
    </row>
    <row r="1060" spans="1:27" ht="12.5" x14ac:dyDescent="0.25">
      <c r="A1060" s="10"/>
      <c r="B1060" s="10"/>
      <c r="C1060" s="10"/>
      <c r="D1060" s="11"/>
      <c r="E1060" s="10"/>
      <c r="F1060" s="10"/>
      <c r="G1060" s="10"/>
      <c r="H1060" s="12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0"/>
      <c r="T1060" s="10"/>
      <c r="U1060" s="10"/>
      <c r="V1060" s="10"/>
      <c r="W1060" s="10"/>
      <c r="X1060" s="10"/>
      <c r="Y1060" s="10"/>
      <c r="Z1060" s="10"/>
      <c r="AA1060" s="10"/>
    </row>
    <row r="1061" spans="1:27" ht="12.5" x14ac:dyDescent="0.25">
      <c r="A1061" s="10"/>
      <c r="B1061" s="10"/>
      <c r="C1061" s="10"/>
      <c r="D1061" s="11"/>
      <c r="E1061" s="10"/>
      <c r="F1061" s="10"/>
      <c r="G1061" s="10"/>
      <c r="H1061" s="12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0"/>
      <c r="T1061" s="10"/>
      <c r="U1061" s="10"/>
      <c r="V1061" s="10"/>
      <c r="W1061" s="10"/>
      <c r="X1061" s="10"/>
      <c r="Y1061" s="10"/>
      <c r="Z1061" s="10"/>
      <c r="AA1061" s="10"/>
    </row>
    <row r="1062" spans="1:27" ht="12.5" x14ac:dyDescent="0.25">
      <c r="A1062" s="10"/>
      <c r="B1062" s="10"/>
      <c r="C1062" s="10"/>
      <c r="D1062" s="11"/>
      <c r="E1062" s="10"/>
      <c r="F1062" s="10"/>
      <c r="G1062" s="10"/>
      <c r="H1062" s="12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0"/>
      <c r="T1062" s="10"/>
      <c r="U1062" s="10"/>
      <c r="V1062" s="10"/>
      <c r="W1062" s="10"/>
      <c r="X1062" s="10"/>
      <c r="Y1062" s="10"/>
      <c r="Z1062" s="10"/>
      <c r="AA1062" s="10"/>
    </row>
    <row r="1063" spans="1:27" ht="12.5" x14ac:dyDescent="0.25">
      <c r="A1063" s="10"/>
      <c r="B1063" s="10"/>
      <c r="C1063" s="10"/>
      <c r="D1063" s="11"/>
      <c r="E1063" s="10"/>
      <c r="F1063" s="10"/>
      <c r="G1063" s="10"/>
      <c r="H1063" s="12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0"/>
      <c r="T1063" s="10"/>
      <c r="U1063" s="10"/>
      <c r="V1063" s="10"/>
      <c r="W1063" s="10"/>
      <c r="X1063" s="10"/>
      <c r="Y1063" s="10"/>
      <c r="Z1063" s="10"/>
      <c r="AA1063" s="10"/>
    </row>
    <row r="1064" spans="1:27" ht="12.5" x14ac:dyDescent="0.25">
      <c r="A1064" s="10"/>
      <c r="B1064" s="10"/>
      <c r="C1064" s="10"/>
      <c r="D1064" s="11"/>
      <c r="E1064" s="10"/>
      <c r="F1064" s="10"/>
      <c r="G1064" s="10"/>
      <c r="H1064" s="12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0"/>
      <c r="T1064" s="10"/>
      <c r="U1064" s="10"/>
      <c r="V1064" s="10"/>
      <c r="W1064" s="10"/>
      <c r="X1064" s="10"/>
      <c r="Y1064" s="10"/>
      <c r="Z1064" s="10"/>
      <c r="AA1064" s="10"/>
    </row>
    <row r="1065" spans="1:27" ht="12.5" x14ac:dyDescent="0.25">
      <c r="A1065" s="10"/>
      <c r="B1065" s="10"/>
      <c r="C1065" s="10"/>
      <c r="D1065" s="11"/>
      <c r="E1065" s="10"/>
      <c r="F1065" s="10"/>
      <c r="G1065" s="10"/>
      <c r="H1065" s="12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0"/>
      <c r="T1065" s="10"/>
      <c r="U1065" s="10"/>
      <c r="V1065" s="10"/>
      <c r="W1065" s="10"/>
      <c r="X1065" s="10"/>
      <c r="Y1065" s="10"/>
      <c r="Z1065" s="10"/>
      <c r="AA1065" s="10"/>
    </row>
    <row r="1066" spans="1:27" ht="12.5" x14ac:dyDescent="0.25">
      <c r="A1066" s="10"/>
      <c r="B1066" s="10"/>
      <c r="C1066" s="10"/>
      <c r="D1066" s="11"/>
      <c r="E1066" s="10"/>
      <c r="F1066" s="10"/>
      <c r="G1066" s="10"/>
      <c r="H1066" s="12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0"/>
      <c r="T1066" s="10"/>
      <c r="U1066" s="10"/>
      <c r="V1066" s="10"/>
      <c r="W1066" s="10"/>
      <c r="X1066" s="10"/>
      <c r="Y1066" s="10"/>
      <c r="Z1066" s="10"/>
      <c r="AA1066" s="10"/>
    </row>
    <row r="1067" spans="1:27" ht="12.5" x14ac:dyDescent="0.25">
      <c r="A1067" s="10"/>
      <c r="B1067" s="10"/>
      <c r="C1067" s="10"/>
      <c r="D1067" s="11"/>
      <c r="E1067" s="10"/>
      <c r="F1067" s="10"/>
      <c r="G1067" s="10"/>
      <c r="H1067" s="12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0"/>
      <c r="T1067" s="10"/>
      <c r="U1067" s="10"/>
      <c r="V1067" s="10"/>
      <c r="W1067" s="10"/>
      <c r="X1067" s="10"/>
      <c r="Y1067" s="10"/>
      <c r="Z1067" s="10"/>
      <c r="AA1067" s="10"/>
    </row>
    <row r="1068" spans="1:27" ht="12.5" x14ac:dyDescent="0.25">
      <c r="A1068" s="10"/>
      <c r="B1068" s="10"/>
      <c r="C1068" s="10"/>
      <c r="D1068" s="11"/>
      <c r="E1068" s="10"/>
      <c r="F1068" s="10"/>
      <c r="G1068" s="10"/>
      <c r="H1068" s="12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0"/>
      <c r="T1068" s="10"/>
      <c r="U1068" s="10"/>
      <c r="V1068" s="10"/>
      <c r="W1068" s="10"/>
      <c r="X1068" s="10"/>
      <c r="Y1068" s="10"/>
      <c r="Z1068" s="10"/>
      <c r="AA1068" s="10"/>
    </row>
    <row r="1069" spans="1:27" ht="12.5" x14ac:dyDescent="0.25">
      <c r="A1069" s="10"/>
      <c r="B1069" s="10"/>
      <c r="C1069" s="10"/>
      <c r="D1069" s="11"/>
      <c r="E1069" s="10"/>
      <c r="F1069" s="10"/>
      <c r="G1069" s="10"/>
      <c r="H1069" s="12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0"/>
      <c r="T1069" s="10"/>
      <c r="U1069" s="10"/>
      <c r="V1069" s="10"/>
      <c r="W1069" s="10"/>
      <c r="X1069" s="10"/>
      <c r="Y1069" s="10"/>
      <c r="Z1069" s="10"/>
      <c r="AA1069" s="10"/>
    </row>
    <row r="1070" spans="1:27" ht="12.5" x14ac:dyDescent="0.25">
      <c r="A1070" s="10"/>
      <c r="B1070" s="10"/>
      <c r="C1070" s="10"/>
      <c r="D1070" s="11"/>
      <c r="E1070" s="10"/>
      <c r="F1070" s="10"/>
      <c r="G1070" s="10"/>
      <c r="H1070" s="12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0"/>
      <c r="T1070" s="10"/>
      <c r="U1070" s="10"/>
      <c r="V1070" s="10"/>
      <c r="W1070" s="10"/>
      <c r="X1070" s="10"/>
      <c r="Y1070" s="10"/>
      <c r="Z1070" s="10"/>
      <c r="AA1070" s="10"/>
    </row>
    <row r="1071" spans="1:27" ht="12.5" x14ac:dyDescent="0.25">
      <c r="A1071" s="10"/>
      <c r="B1071" s="10"/>
      <c r="C1071" s="10"/>
      <c r="D1071" s="11"/>
      <c r="E1071" s="10"/>
      <c r="F1071" s="10"/>
      <c r="G1071" s="10"/>
      <c r="H1071" s="12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0"/>
      <c r="T1071" s="10"/>
      <c r="U1071" s="10"/>
      <c r="V1071" s="10"/>
      <c r="W1071" s="10"/>
      <c r="X1071" s="10"/>
      <c r="Y1071" s="10"/>
      <c r="Z1071" s="10"/>
      <c r="AA1071" s="10"/>
    </row>
    <row r="1072" spans="1:27" ht="12.5" x14ac:dyDescent="0.25">
      <c r="A1072" s="10"/>
      <c r="B1072" s="10"/>
      <c r="C1072" s="10"/>
      <c r="D1072" s="11"/>
      <c r="E1072" s="10"/>
      <c r="F1072" s="10"/>
      <c r="G1072" s="10"/>
      <c r="H1072" s="12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0"/>
      <c r="T1072" s="10"/>
      <c r="U1072" s="10"/>
      <c r="V1072" s="10"/>
      <c r="W1072" s="10"/>
      <c r="X1072" s="10"/>
      <c r="Y1072" s="10"/>
      <c r="Z1072" s="10"/>
      <c r="AA1072" s="10"/>
    </row>
    <row r="1073" spans="1:27" ht="12.5" x14ac:dyDescent="0.25">
      <c r="A1073" s="10"/>
      <c r="B1073" s="10"/>
      <c r="C1073" s="10"/>
      <c r="D1073" s="11"/>
      <c r="E1073" s="10"/>
      <c r="F1073" s="10"/>
      <c r="G1073" s="10"/>
      <c r="H1073" s="12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0"/>
      <c r="T1073" s="10"/>
      <c r="U1073" s="10"/>
      <c r="V1073" s="10"/>
      <c r="W1073" s="10"/>
      <c r="X1073" s="10"/>
      <c r="Y1073" s="10"/>
      <c r="Z1073" s="10"/>
      <c r="AA1073" s="10"/>
    </row>
    <row r="1074" spans="1:27" ht="12.5" x14ac:dyDescent="0.25">
      <c r="A1074" s="10"/>
      <c r="B1074" s="10"/>
      <c r="C1074" s="10"/>
      <c r="D1074" s="11"/>
      <c r="E1074" s="10"/>
      <c r="F1074" s="10"/>
      <c r="G1074" s="10"/>
      <c r="H1074" s="12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0"/>
      <c r="T1074" s="10"/>
      <c r="U1074" s="10"/>
      <c r="V1074" s="10"/>
      <c r="W1074" s="10"/>
      <c r="X1074" s="10"/>
      <c r="Y1074" s="10"/>
      <c r="Z1074" s="10"/>
      <c r="AA1074" s="10"/>
    </row>
    <row r="1075" spans="1:27" ht="12.5" x14ac:dyDescent="0.25">
      <c r="A1075" s="10"/>
      <c r="B1075" s="10"/>
      <c r="C1075" s="10"/>
      <c r="D1075" s="11"/>
      <c r="E1075" s="10"/>
      <c r="F1075" s="10"/>
      <c r="G1075" s="10"/>
      <c r="H1075" s="12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0"/>
      <c r="T1075" s="10"/>
      <c r="U1075" s="10"/>
      <c r="V1075" s="10"/>
      <c r="W1075" s="10"/>
      <c r="X1075" s="10"/>
      <c r="Y1075" s="10"/>
      <c r="Z1075" s="10"/>
      <c r="AA1075" s="10"/>
    </row>
    <row r="1076" spans="1:27" ht="12.5" x14ac:dyDescent="0.25">
      <c r="A1076" s="10"/>
      <c r="B1076" s="10"/>
      <c r="C1076" s="10"/>
      <c r="D1076" s="11"/>
      <c r="E1076" s="10"/>
      <c r="F1076" s="10"/>
      <c r="G1076" s="10"/>
      <c r="H1076" s="12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0"/>
      <c r="T1076" s="10"/>
      <c r="U1076" s="10"/>
      <c r="V1076" s="10"/>
      <c r="W1076" s="10"/>
      <c r="X1076" s="10"/>
      <c r="Y1076" s="10"/>
      <c r="Z1076" s="10"/>
      <c r="AA1076" s="10"/>
    </row>
    <row r="1077" spans="1:27" ht="12.5" x14ac:dyDescent="0.25">
      <c r="A1077" s="10"/>
      <c r="B1077" s="10"/>
      <c r="C1077" s="10"/>
      <c r="D1077" s="11"/>
      <c r="E1077" s="10"/>
      <c r="F1077" s="10"/>
      <c r="G1077" s="10"/>
      <c r="H1077" s="12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0"/>
      <c r="T1077" s="10"/>
      <c r="U1077" s="10"/>
      <c r="V1077" s="10"/>
      <c r="W1077" s="10"/>
      <c r="X1077" s="10"/>
      <c r="Y1077" s="10"/>
      <c r="Z1077" s="10"/>
      <c r="AA1077" s="10"/>
    </row>
    <row r="1078" spans="1:27" ht="12.5" x14ac:dyDescent="0.25">
      <c r="A1078" s="10"/>
      <c r="B1078" s="10"/>
      <c r="C1078" s="10"/>
      <c r="D1078" s="11"/>
      <c r="E1078" s="10"/>
      <c r="F1078" s="10"/>
      <c r="G1078" s="10"/>
      <c r="H1078" s="12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0"/>
      <c r="T1078" s="10"/>
      <c r="U1078" s="10"/>
      <c r="V1078" s="10"/>
      <c r="W1078" s="10"/>
      <c r="X1078" s="10"/>
      <c r="Y1078" s="10"/>
      <c r="Z1078" s="10"/>
      <c r="AA1078" s="10"/>
    </row>
    <row r="1079" spans="1:27" ht="12.5" x14ac:dyDescent="0.25">
      <c r="A1079" s="10"/>
      <c r="B1079" s="10"/>
      <c r="C1079" s="10"/>
      <c r="D1079" s="11"/>
      <c r="E1079" s="10"/>
      <c r="F1079" s="10"/>
      <c r="G1079" s="10"/>
      <c r="H1079" s="12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0"/>
      <c r="T1079" s="10"/>
      <c r="U1079" s="10"/>
      <c r="V1079" s="10"/>
      <c r="W1079" s="10"/>
      <c r="X1079" s="10"/>
      <c r="Y1079" s="10"/>
      <c r="Z1079" s="10"/>
      <c r="AA1079" s="10"/>
    </row>
    <row r="1080" spans="1:27" ht="12.5" x14ac:dyDescent="0.25">
      <c r="A1080" s="10"/>
      <c r="B1080" s="10"/>
      <c r="C1080" s="10"/>
      <c r="D1080" s="11"/>
      <c r="E1080" s="10"/>
      <c r="F1080" s="10"/>
      <c r="G1080" s="10"/>
      <c r="H1080" s="12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0"/>
      <c r="T1080" s="10"/>
      <c r="U1080" s="10"/>
      <c r="V1080" s="10"/>
      <c r="W1080" s="10"/>
      <c r="X1080" s="10"/>
      <c r="Y1080" s="10"/>
      <c r="Z1080" s="10"/>
      <c r="AA1080" s="10"/>
    </row>
    <row r="1081" spans="1:27" ht="12.5" x14ac:dyDescent="0.25">
      <c r="A1081" s="10"/>
      <c r="B1081" s="10"/>
      <c r="C1081" s="10"/>
      <c r="D1081" s="11"/>
      <c r="E1081" s="10"/>
      <c r="F1081" s="10"/>
      <c r="G1081" s="10"/>
      <c r="H1081" s="12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0"/>
      <c r="T1081" s="10"/>
      <c r="U1081" s="10"/>
      <c r="V1081" s="10"/>
      <c r="W1081" s="10"/>
      <c r="X1081" s="10"/>
      <c r="Y1081" s="10"/>
      <c r="Z1081" s="10"/>
      <c r="AA1081" s="10"/>
    </row>
    <row r="1082" spans="1:27" ht="12.5" x14ac:dyDescent="0.25">
      <c r="A1082" s="10"/>
      <c r="B1082" s="10"/>
      <c r="C1082" s="10"/>
      <c r="D1082" s="11"/>
      <c r="E1082" s="10"/>
      <c r="F1082" s="10"/>
      <c r="G1082" s="10"/>
      <c r="H1082" s="12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0"/>
      <c r="T1082" s="10"/>
      <c r="U1082" s="10"/>
      <c r="V1082" s="10"/>
      <c r="W1082" s="10"/>
      <c r="X1082" s="10"/>
      <c r="Y1082" s="10"/>
      <c r="Z1082" s="10"/>
      <c r="AA1082" s="10"/>
    </row>
    <row r="1083" spans="1:27" ht="12.5" x14ac:dyDescent="0.25">
      <c r="A1083" s="10"/>
      <c r="B1083" s="10"/>
      <c r="C1083" s="10"/>
      <c r="D1083" s="11"/>
      <c r="E1083" s="10"/>
      <c r="F1083" s="10"/>
      <c r="G1083" s="10"/>
      <c r="H1083" s="12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0"/>
      <c r="T1083" s="10"/>
      <c r="U1083" s="10"/>
      <c r="V1083" s="10"/>
      <c r="W1083" s="10"/>
      <c r="X1083" s="10"/>
      <c r="Y1083" s="10"/>
      <c r="Z1083" s="10"/>
      <c r="AA1083" s="10"/>
    </row>
    <row r="1084" spans="1:27" ht="12.5" x14ac:dyDescent="0.25">
      <c r="A1084" s="10"/>
      <c r="B1084" s="10"/>
      <c r="C1084" s="10"/>
      <c r="D1084" s="11"/>
      <c r="E1084" s="10"/>
      <c r="F1084" s="10"/>
      <c r="G1084" s="10"/>
      <c r="H1084" s="12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0"/>
      <c r="T1084" s="10"/>
      <c r="U1084" s="10"/>
      <c r="V1084" s="10"/>
      <c r="W1084" s="10"/>
      <c r="X1084" s="10"/>
      <c r="Y1084" s="10"/>
      <c r="Z1084" s="10"/>
      <c r="AA1084" s="10"/>
    </row>
    <row r="1085" spans="1:27" ht="12.5" x14ac:dyDescent="0.25">
      <c r="A1085" s="10"/>
      <c r="B1085" s="10"/>
      <c r="C1085" s="10"/>
      <c r="D1085" s="11"/>
      <c r="E1085" s="10"/>
      <c r="F1085" s="10"/>
      <c r="G1085" s="10"/>
      <c r="H1085" s="12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0"/>
      <c r="T1085" s="10"/>
      <c r="U1085" s="10"/>
      <c r="V1085" s="10"/>
      <c r="W1085" s="10"/>
      <c r="X1085" s="10"/>
      <c r="Y1085" s="10"/>
      <c r="Z1085" s="10"/>
      <c r="AA1085" s="10"/>
    </row>
    <row r="1086" spans="1:27" ht="12.5" x14ac:dyDescent="0.25">
      <c r="A1086" s="10"/>
      <c r="B1086" s="10"/>
      <c r="C1086" s="10"/>
      <c r="D1086" s="11"/>
      <c r="E1086" s="10"/>
      <c r="F1086" s="10"/>
      <c r="G1086" s="10"/>
      <c r="H1086" s="12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0"/>
      <c r="T1086" s="10"/>
      <c r="U1086" s="10"/>
      <c r="V1086" s="10"/>
      <c r="W1086" s="10"/>
      <c r="X1086" s="10"/>
      <c r="Y1086" s="10"/>
      <c r="Z1086" s="10"/>
      <c r="AA1086" s="10"/>
    </row>
    <row r="1087" spans="1:27" ht="12.5" x14ac:dyDescent="0.25">
      <c r="A1087" s="10"/>
      <c r="B1087" s="10"/>
      <c r="C1087" s="10"/>
      <c r="D1087" s="11"/>
      <c r="E1087" s="10"/>
      <c r="F1087" s="10"/>
      <c r="G1087" s="10"/>
      <c r="H1087" s="12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0"/>
      <c r="T1087" s="10"/>
      <c r="U1087" s="10"/>
      <c r="V1087" s="10"/>
      <c r="W1087" s="10"/>
      <c r="X1087" s="10"/>
      <c r="Y1087" s="10"/>
      <c r="Z1087" s="10"/>
      <c r="AA1087" s="10"/>
    </row>
    <row r="1088" spans="1:27" ht="12.5" x14ac:dyDescent="0.25">
      <c r="A1088" s="10"/>
      <c r="B1088" s="10"/>
      <c r="C1088" s="10"/>
      <c r="D1088" s="11"/>
      <c r="E1088" s="10"/>
      <c r="F1088" s="10"/>
      <c r="G1088" s="10"/>
      <c r="H1088" s="12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0"/>
      <c r="T1088" s="10"/>
      <c r="U1088" s="10"/>
      <c r="V1088" s="10"/>
      <c r="W1088" s="10"/>
      <c r="X1088" s="10"/>
      <c r="Y1088" s="10"/>
      <c r="Z1088" s="10"/>
      <c r="AA1088" s="10"/>
    </row>
    <row r="1089" spans="1:27" ht="12.5" x14ac:dyDescent="0.25">
      <c r="A1089" s="10"/>
      <c r="B1089" s="10"/>
      <c r="C1089" s="10"/>
      <c r="D1089" s="11"/>
      <c r="E1089" s="10"/>
      <c r="F1089" s="10"/>
      <c r="G1089" s="10"/>
      <c r="H1089" s="12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0"/>
      <c r="T1089" s="10"/>
      <c r="U1089" s="10"/>
      <c r="V1089" s="10"/>
      <c r="W1089" s="10"/>
      <c r="X1089" s="10"/>
      <c r="Y1089" s="10"/>
      <c r="Z1089" s="10"/>
      <c r="AA1089" s="10"/>
    </row>
    <row r="1090" spans="1:27" ht="12.5" x14ac:dyDescent="0.25">
      <c r="A1090" s="10"/>
      <c r="B1090" s="10"/>
      <c r="C1090" s="10"/>
      <c r="D1090" s="11"/>
      <c r="E1090" s="10"/>
      <c r="F1090" s="10"/>
      <c r="G1090" s="10"/>
      <c r="H1090" s="12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0"/>
      <c r="T1090" s="10"/>
      <c r="U1090" s="10"/>
      <c r="V1090" s="10"/>
      <c r="W1090" s="10"/>
      <c r="X1090" s="10"/>
      <c r="Y1090" s="10"/>
      <c r="Z1090" s="10"/>
      <c r="AA1090" s="10"/>
    </row>
    <row r="1091" spans="1:27" ht="12.5" x14ac:dyDescent="0.25">
      <c r="A1091" s="10"/>
      <c r="B1091" s="10"/>
      <c r="C1091" s="10"/>
      <c r="D1091" s="11"/>
      <c r="E1091" s="10"/>
      <c r="F1091" s="10"/>
      <c r="G1091" s="10"/>
      <c r="H1091" s="12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0"/>
      <c r="T1091" s="10"/>
      <c r="U1091" s="10"/>
      <c r="V1091" s="10"/>
      <c r="W1091" s="10"/>
      <c r="X1091" s="10"/>
      <c r="Y1091" s="10"/>
      <c r="Z1091" s="10"/>
      <c r="AA1091" s="10"/>
    </row>
    <row r="1092" spans="1:27" ht="12.5" x14ac:dyDescent="0.25">
      <c r="A1092" s="10"/>
      <c r="B1092" s="10"/>
      <c r="C1092" s="10"/>
      <c r="D1092" s="11"/>
      <c r="E1092" s="10"/>
      <c r="F1092" s="10"/>
      <c r="G1092" s="10"/>
      <c r="H1092" s="12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0"/>
      <c r="T1092" s="10"/>
      <c r="U1092" s="10"/>
      <c r="V1092" s="10"/>
      <c r="W1092" s="10"/>
      <c r="X1092" s="10"/>
      <c r="Y1092" s="10"/>
      <c r="Z1092" s="10"/>
      <c r="AA1092" s="10"/>
    </row>
    <row r="1093" spans="1:27" ht="12.5" x14ac:dyDescent="0.25">
      <c r="A1093" s="10"/>
      <c r="B1093" s="10"/>
      <c r="C1093" s="10"/>
      <c r="D1093" s="11"/>
      <c r="E1093" s="10"/>
      <c r="F1093" s="10"/>
      <c r="G1093" s="10"/>
      <c r="H1093" s="12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0"/>
      <c r="T1093" s="10"/>
      <c r="U1093" s="10"/>
      <c r="V1093" s="10"/>
      <c r="W1093" s="10"/>
      <c r="X1093" s="10"/>
      <c r="Y1093" s="10"/>
      <c r="Z1093" s="10"/>
      <c r="AA1093" s="10"/>
    </row>
    <row r="1094" spans="1:27" ht="12.5" x14ac:dyDescent="0.25">
      <c r="A1094" s="10"/>
      <c r="B1094" s="10"/>
      <c r="C1094" s="10"/>
      <c r="D1094" s="11"/>
      <c r="E1094" s="10"/>
      <c r="F1094" s="10"/>
      <c r="G1094" s="10"/>
      <c r="H1094" s="12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0"/>
      <c r="T1094" s="10"/>
      <c r="U1094" s="10"/>
      <c r="V1094" s="10"/>
      <c r="W1094" s="10"/>
      <c r="X1094" s="10"/>
      <c r="Y1094" s="10"/>
      <c r="Z1094" s="10"/>
      <c r="AA1094" s="10"/>
    </row>
    <row r="1095" spans="1:27" ht="12.5" x14ac:dyDescent="0.25">
      <c r="A1095" s="10"/>
      <c r="B1095" s="10"/>
      <c r="C1095" s="10"/>
      <c r="D1095" s="11"/>
      <c r="E1095" s="10"/>
      <c r="F1095" s="10"/>
      <c r="G1095" s="10"/>
      <c r="H1095" s="12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0"/>
      <c r="T1095" s="10"/>
      <c r="U1095" s="10"/>
      <c r="V1095" s="10"/>
      <c r="W1095" s="10"/>
      <c r="X1095" s="10"/>
      <c r="Y1095" s="10"/>
      <c r="Z1095" s="10"/>
      <c r="AA1095" s="10"/>
    </row>
    <row r="1096" spans="1:27" ht="12.5" x14ac:dyDescent="0.25">
      <c r="A1096" s="10"/>
      <c r="B1096" s="10"/>
      <c r="C1096" s="10"/>
      <c r="D1096" s="11"/>
      <c r="E1096" s="10"/>
      <c r="F1096" s="10"/>
      <c r="G1096" s="10"/>
      <c r="H1096" s="12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0"/>
      <c r="T1096" s="10"/>
      <c r="U1096" s="10"/>
      <c r="V1096" s="10"/>
      <c r="W1096" s="10"/>
      <c r="X1096" s="10"/>
      <c r="Y1096" s="10"/>
      <c r="Z1096" s="10"/>
      <c r="AA1096" s="10"/>
    </row>
    <row r="1097" spans="1:27" ht="12.5" x14ac:dyDescent="0.25">
      <c r="A1097" s="10"/>
      <c r="B1097" s="10"/>
      <c r="C1097" s="10"/>
      <c r="D1097" s="11"/>
      <c r="E1097" s="10"/>
      <c r="F1097" s="10"/>
      <c r="G1097" s="10"/>
      <c r="H1097" s="12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0"/>
      <c r="T1097" s="10"/>
      <c r="U1097" s="10"/>
      <c r="V1097" s="10"/>
      <c r="W1097" s="10"/>
      <c r="X1097" s="10"/>
      <c r="Y1097" s="10"/>
      <c r="Z1097" s="10"/>
      <c r="AA1097" s="10"/>
    </row>
    <row r="1098" spans="1:27" ht="12.5" x14ac:dyDescent="0.25">
      <c r="A1098" s="10"/>
      <c r="B1098" s="10"/>
      <c r="C1098" s="10"/>
      <c r="D1098" s="11"/>
      <c r="E1098" s="10"/>
      <c r="F1098" s="10"/>
      <c r="G1098" s="10"/>
      <c r="H1098" s="12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0"/>
      <c r="T1098" s="10"/>
      <c r="U1098" s="10"/>
      <c r="V1098" s="10"/>
      <c r="W1098" s="10"/>
      <c r="X1098" s="10"/>
      <c r="Y1098" s="10"/>
      <c r="Z1098" s="10"/>
      <c r="AA1098" s="10"/>
    </row>
    <row r="1099" spans="1:27" ht="12.5" x14ac:dyDescent="0.25">
      <c r="A1099" s="10"/>
      <c r="B1099" s="10"/>
      <c r="C1099" s="10"/>
      <c r="D1099" s="11"/>
      <c r="E1099" s="10"/>
      <c r="F1099" s="10"/>
      <c r="G1099" s="10"/>
      <c r="H1099" s="12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0"/>
      <c r="T1099" s="10"/>
      <c r="U1099" s="10"/>
      <c r="V1099" s="10"/>
      <c r="W1099" s="10"/>
      <c r="X1099" s="10"/>
      <c r="Y1099" s="10"/>
      <c r="Z1099" s="10"/>
      <c r="AA1099" s="10"/>
    </row>
    <row r="1100" spans="1:27" ht="12.5" x14ac:dyDescent="0.25">
      <c r="A1100" s="10"/>
      <c r="B1100" s="10"/>
      <c r="C1100" s="10"/>
      <c r="D1100" s="11"/>
      <c r="E1100" s="10"/>
      <c r="F1100" s="10"/>
      <c r="G1100" s="10"/>
      <c r="H1100" s="12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0"/>
      <c r="T1100" s="10"/>
      <c r="U1100" s="10"/>
      <c r="V1100" s="10"/>
      <c r="W1100" s="10"/>
      <c r="X1100" s="10"/>
      <c r="Y1100" s="10"/>
      <c r="Z1100" s="10"/>
      <c r="AA1100" s="10"/>
    </row>
    <row r="1101" spans="1:27" ht="12.5" x14ac:dyDescent="0.25">
      <c r="A1101" s="10"/>
      <c r="B1101" s="10"/>
      <c r="C1101" s="10"/>
      <c r="D1101" s="11"/>
      <c r="E1101" s="10"/>
      <c r="F1101" s="10"/>
      <c r="G1101" s="10"/>
      <c r="H1101" s="12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0"/>
      <c r="T1101" s="10"/>
      <c r="U1101" s="10"/>
      <c r="V1101" s="10"/>
      <c r="W1101" s="10"/>
      <c r="X1101" s="10"/>
      <c r="Y1101" s="10"/>
      <c r="Z1101" s="10"/>
      <c r="AA1101" s="10"/>
    </row>
    <row r="1102" spans="1:27" ht="12.5" x14ac:dyDescent="0.25">
      <c r="A1102" s="10"/>
      <c r="B1102" s="10"/>
      <c r="C1102" s="10"/>
      <c r="D1102" s="11"/>
      <c r="E1102" s="10"/>
      <c r="F1102" s="10"/>
      <c r="G1102" s="10"/>
      <c r="H1102" s="12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0"/>
      <c r="T1102" s="10"/>
      <c r="U1102" s="10"/>
      <c r="V1102" s="10"/>
      <c r="W1102" s="10"/>
      <c r="X1102" s="10"/>
      <c r="Y1102" s="10"/>
      <c r="Z1102" s="10"/>
      <c r="AA1102" s="10"/>
    </row>
    <row r="1103" spans="1:27" ht="12.5" x14ac:dyDescent="0.25">
      <c r="A1103" s="10"/>
      <c r="B1103" s="10"/>
      <c r="C1103" s="10"/>
      <c r="D1103" s="11"/>
      <c r="E1103" s="10"/>
      <c r="F1103" s="10"/>
      <c r="G1103" s="10"/>
      <c r="H1103" s="12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0"/>
      <c r="T1103" s="10"/>
      <c r="U1103" s="10"/>
      <c r="V1103" s="10"/>
      <c r="W1103" s="10"/>
      <c r="X1103" s="10"/>
      <c r="Y1103" s="10"/>
      <c r="Z1103" s="10"/>
      <c r="AA1103" s="10"/>
    </row>
    <row r="1104" spans="1:27" ht="12.5" x14ac:dyDescent="0.25">
      <c r="A1104" s="10"/>
      <c r="B1104" s="10"/>
      <c r="C1104" s="10"/>
      <c r="D1104" s="11"/>
      <c r="E1104" s="10"/>
      <c r="F1104" s="10"/>
      <c r="G1104" s="10"/>
      <c r="H1104" s="12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0"/>
      <c r="T1104" s="10"/>
      <c r="U1104" s="10"/>
      <c r="V1104" s="10"/>
      <c r="W1104" s="10"/>
      <c r="X1104" s="10"/>
      <c r="Y1104" s="10"/>
      <c r="Z1104" s="10"/>
      <c r="AA1104" s="10"/>
    </row>
    <row r="1105" spans="1:27" ht="12.5" x14ac:dyDescent="0.25">
      <c r="A1105" s="10"/>
      <c r="B1105" s="10"/>
      <c r="C1105" s="10"/>
      <c r="D1105" s="11"/>
      <c r="E1105" s="10"/>
      <c r="F1105" s="10"/>
      <c r="G1105" s="10"/>
      <c r="H1105" s="12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0"/>
      <c r="T1105" s="10"/>
      <c r="U1105" s="10"/>
      <c r="V1105" s="10"/>
      <c r="W1105" s="10"/>
      <c r="X1105" s="10"/>
      <c r="Y1105" s="10"/>
      <c r="Z1105" s="10"/>
      <c r="AA1105" s="10"/>
    </row>
    <row r="1106" spans="1:27" ht="12.5" x14ac:dyDescent="0.25">
      <c r="A1106" s="10"/>
      <c r="B1106" s="10"/>
      <c r="C1106" s="10"/>
      <c r="D1106" s="11"/>
      <c r="E1106" s="10"/>
      <c r="F1106" s="10"/>
      <c r="G1106" s="10"/>
      <c r="H1106" s="12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0"/>
      <c r="T1106" s="10"/>
      <c r="U1106" s="10"/>
      <c r="V1106" s="10"/>
      <c r="W1106" s="10"/>
      <c r="X1106" s="10"/>
      <c r="Y1106" s="10"/>
      <c r="Z1106" s="10"/>
      <c r="AA1106" s="10"/>
    </row>
    <row r="1107" spans="1:27" ht="12.5" x14ac:dyDescent="0.25">
      <c r="A1107" s="10"/>
      <c r="B1107" s="10"/>
      <c r="C1107" s="10"/>
      <c r="D1107" s="11"/>
      <c r="E1107" s="10"/>
      <c r="F1107" s="10"/>
      <c r="G1107" s="10"/>
      <c r="H1107" s="12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0"/>
      <c r="T1107" s="10"/>
      <c r="U1107" s="10"/>
      <c r="V1107" s="10"/>
      <c r="W1107" s="10"/>
      <c r="X1107" s="10"/>
      <c r="Y1107" s="10"/>
      <c r="Z1107" s="10"/>
      <c r="AA1107" s="10"/>
    </row>
    <row r="1108" spans="1:27" ht="12.5" x14ac:dyDescent="0.25">
      <c r="A1108" s="10"/>
      <c r="B1108" s="10"/>
      <c r="C1108" s="10"/>
      <c r="D1108" s="11"/>
      <c r="E1108" s="10"/>
      <c r="F1108" s="10"/>
      <c r="G1108" s="10"/>
      <c r="H1108" s="12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0"/>
      <c r="T1108" s="10"/>
      <c r="U1108" s="10"/>
      <c r="V1108" s="10"/>
      <c r="W1108" s="10"/>
      <c r="X1108" s="10"/>
      <c r="Y1108" s="10"/>
      <c r="Z1108" s="10"/>
      <c r="AA1108" s="10"/>
    </row>
    <row r="1109" spans="1:27" ht="12.5" x14ac:dyDescent="0.25">
      <c r="A1109" s="10"/>
      <c r="B1109" s="10"/>
      <c r="C1109" s="10"/>
      <c r="D1109" s="11"/>
      <c r="E1109" s="10"/>
      <c r="F1109" s="10"/>
      <c r="G1109" s="10"/>
      <c r="H1109" s="12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0"/>
      <c r="T1109" s="10"/>
      <c r="U1109" s="10"/>
      <c r="V1109" s="10"/>
      <c r="W1109" s="10"/>
      <c r="X1109" s="10"/>
      <c r="Y1109" s="10"/>
      <c r="Z1109" s="10"/>
      <c r="AA1109" s="10"/>
    </row>
    <row r="1110" spans="1:27" ht="12.5" x14ac:dyDescent="0.25">
      <c r="A1110" s="10"/>
      <c r="B1110" s="10"/>
      <c r="C1110" s="10"/>
      <c r="D1110" s="11"/>
      <c r="E1110" s="10"/>
      <c r="F1110" s="10"/>
      <c r="G1110" s="10"/>
      <c r="H1110" s="12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0"/>
      <c r="T1110" s="10"/>
      <c r="U1110" s="10"/>
      <c r="V1110" s="10"/>
      <c r="W1110" s="10"/>
      <c r="X1110" s="10"/>
      <c r="Y1110" s="10"/>
      <c r="Z1110" s="10"/>
      <c r="AA1110" s="10"/>
    </row>
    <row r="1111" spans="1:27" ht="12.5" x14ac:dyDescent="0.25">
      <c r="A1111" s="10"/>
      <c r="B1111" s="10"/>
      <c r="C1111" s="10"/>
      <c r="D1111" s="11"/>
      <c r="E1111" s="10"/>
      <c r="F1111" s="10"/>
      <c r="G1111" s="10"/>
      <c r="H1111" s="12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0"/>
      <c r="T1111" s="10"/>
      <c r="U1111" s="10"/>
      <c r="V1111" s="10"/>
      <c r="W1111" s="10"/>
      <c r="X1111" s="10"/>
      <c r="Y1111" s="10"/>
      <c r="Z1111" s="10"/>
      <c r="AA1111" s="10"/>
    </row>
    <row r="1112" spans="1:27" ht="12.5" x14ac:dyDescent="0.25">
      <c r="A1112" s="10"/>
      <c r="B1112" s="10"/>
      <c r="C1112" s="10"/>
      <c r="D1112" s="11"/>
      <c r="E1112" s="10"/>
      <c r="F1112" s="10"/>
      <c r="G1112" s="10"/>
      <c r="H1112" s="12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0"/>
      <c r="T1112" s="10"/>
      <c r="U1112" s="10"/>
      <c r="V1112" s="10"/>
      <c r="W1112" s="10"/>
      <c r="X1112" s="10"/>
      <c r="Y1112" s="10"/>
      <c r="Z1112" s="10"/>
      <c r="AA1112" s="10"/>
    </row>
    <row r="1113" spans="1:27" ht="12.5" x14ac:dyDescent="0.25">
      <c r="A1113" s="10"/>
      <c r="B1113" s="10"/>
      <c r="C1113" s="10"/>
      <c r="D1113" s="11"/>
      <c r="E1113" s="10"/>
      <c r="F1113" s="10"/>
      <c r="G1113" s="10"/>
      <c r="H1113" s="12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0"/>
      <c r="T1113" s="10"/>
      <c r="U1113" s="10"/>
      <c r="V1113" s="10"/>
      <c r="W1113" s="10"/>
      <c r="X1113" s="10"/>
      <c r="Y1113" s="10"/>
      <c r="Z1113" s="10"/>
      <c r="AA1113" s="10"/>
    </row>
    <row r="1114" spans="1:27" ht="12.5" x14ac:dyDescent="0.25">
      <c r="A1114" s="10"/>
      <c r="B1114" s="10"/>
      <c r="C1114" s="10"/>
      <c r="D1114" s="11"/>
      <c r="E1114" s="10"/>
      <c r="F1114" s="10"/>
      <c r="G1114" s="10"/>
      <c r="H1114" s="12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0"/>
      <c r="T1114" s="10"/>
      <c r="U1114" s="10"/>
      <c r="V1114" s="10"/>
      <c r="W1114" s="10"/>
      <c r="X1114" s="10"/>
      <c r="Y1114" s="10"/>
      <c r="Z1114" s="10"/>
      <c r="AA1114" s="10"/>
    </row>
    <row r="1115" spans="1:27" ht="12.5" x14ac:dyDescent="0.25">
      <c r="A1115" s="10"/>
      <c r="B1115" s="10"/>
      <c r="C1115" s="10"/>
      <c r="D1115" s="11"/>
      <c r="E1115" s="10"/>
      <c r="F1115" s="10"/>
      <c r="G1115" s="10"/>
      <c r="H1115" s="12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0"/>
      <c r="T1115" s="10"/>
      <c r="U1115" s="10"/>
      <c r="V1115" s="10"/>
      <c r="W1115" s="10"/>
      <c r="X1115" s="10"/>
      <c r="Y1115" s="10"/>
      <c r="Z1115" s="10"/>
      <c r="AA1115" s="10"/>
    </row>
    <row r="1116" spans="1:27" ht="12.5" x14ac:dyDescent="0.25">
      <c r="A1116" s="10"/>
      <c r="B1116" s="10"/>
      <c r="C1116" s="10"/>
      <c r="D1116" s="11"/>
      <c r="E1116" s="10"/>
      <c r="F1116" s="10"/>
      <c r="G1116" s="10"/>
      <c r="H1116" s="12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0"/>
      <c r="T1116" s="10"/>
      <c r="U1116" s="10"/>
      <c r="V1116" s="10"/>
      <c r="W1116" s="10"/>
      <c r="X1116" s="10"/>
      <c r="Y1116" s="10"/>
      <c r="Z1116" s="10"/>
      <c r="AA1116" s="10"/>
    </row>
    <row r="1117" spans="1:27" ht="12.5" x14ac:dyDescent="0.25">
      <c r="A1117" s="10"/>
      <c r="B1117" s="10"/>
      <c r="C1117" s="10"/>
      <c r="D1117" s="11"/>
      <c r="E1117" s="10"/>
      <c r="F1117" s="10"/>
      <c r="G1117" s="10"/>
      <c r="H1117" s="12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0"/>
      <c r="T1117" s="10"/>
      <c r="U1117" s="10"/>
      <c r="V1117" s="10"/>
      <c r="W1117" s="10"/>
      <c r="X1117" s="10"/>
      <c r="Y1117" s="10"/>
      <c r="Z1117" s="10"/>
      <c r="AA1117" s="10"/>
    </row>
    <row r="1118" spans="1:27" ht="12.5" x14ac:dyDescent="0.25">
      <c r="A1118" s="10"/>
      <c r="B1118" s="10"/>
      <c r="C1118" s="10"/>
      <c r="D1118" s="11"/>
      <c r="E1118" s="10"/>
      <c r="F1118" s="10"/>
      <c r="G1118" s="10"/>
      <c r="H1118" s="12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0"/>
      <c r="T1118" s="10"/>
      <c r="U1118" s="10"/>
      <c r="V1118" s="10"/>
      <c r="W1118" s="10"/>
      <c r="X1118" s="10"/>
      <c r="Y1118" s="10"/>
      <c r="Z1118" s="10"/>
      <c r="AA1118" s="10"/>
    </row>
    <row r="1119" spans="1:27" ht="12.5" x14ac:dyDescent="0.25">
      <c r="A1119" s="10"/>
      <c r="B1119" s="10"/>
      <c r="C1119" s="10"/>
      <c r="D1119" s="11"/>
      <c r="E1119" s="10"/>
      <c r="F1119" s="10"/>
      <c r="G1119" s="10"/>
      <c r="H1119" s="12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0"/>
      <c r="T1119" s="10"/>
      <c r="U1119" s="10"/>
      <c r="V1119" s="10"/>
      <c r="W1119" s="10"/>
      <c r="X1119" s="10"/>
      <c r="Y1119" s="10"/>
      <c r="Z1119" s="10"/>
      <c r="AA1119" s="10"/>
    </row>
    <row r="1120" spans="1:27" ht="12.5" x14ac:dyDescent="0.25">
      <c r="A1120" s="10"/>
      <c r="B1120" s="10"/>
      <c r="C1120" s="10"/>
      <c r="D1120" s="11"/>
      <c r="E1120" s="10"/>
      <c r="F1120" s="10"/>
      <c r="G1120" s="10"/>
      <c r="H1120" s="12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0"/>
      <c r="T1120" s="10"/>
      <c r="U1120" s="10"/>
      <c r="V1120" s="10"/>
      <c r="W1120" s="10"/>
      <c r="X1120" s="10"/>
      <c r="Y1120" s="10"/>
      <c r="Z1120" s="10"/>
      <c r="AA1120" s="10"/>
    </row>
    <row r="1121" spans="1:27" ht="12.5" x14ac:dyDescent="0.25">
      <c r="A1121" s="10"/>
      <c r="B1121" s="10"/>
      <c r="C1121" s="10"/>
      <c r="D1121" s="11"/>
      <c r="E1121" s="10"/>
      <c r="F1121" s="10"/>
      <c r="G1121" s="10"/>
      <c r="H1121" s="12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0"/>
      <c r="T1121" s="10"/>
      <c r="U1121" s="10"/>
      <c r="V1121" s="10"/>
      <c r="W1121" s="10"/>
      <c r="X1121" s="10"/>
      <c r="Y1121" s="10"/>
      <c r="Z1121" s="10"/>
      <c r="AA1121" s="10"/>
    </row>
    <row r="1122" spans="1:27" ht="12.5" x14ac:dyDescent="0.25">
      <c r="A1122" s="10"/>
      <c r="B1122" s="10"/>
      <c r="C1122" s="10"/>
      <c r="D1122" s="11"/>
      <c r="E1122" s="10"/>
      <c r="F1122" s="10"/>
      <c r="G1122" s="10"/>
      <c r="H1122" s="12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0"/>
      <c r="T1122" s="10"/>
      <c r="U1122" s="10"/>
      <c r="V1122" s="10"/>
      <c r="W1122" s="10"/>
      <c r="X1122" s="10"/>
      <c r="Y1122" s="10"/>
      <c r="Z1122" s="10"/>
      <c r="AA1122" s="10"/>
    </row>
    <row r="1123" spans="1:27" ht="12.5" x14ac:dyDescent="0.25">
      <c r="A1123" s="10"/>
      <c r="B1123" s="10"/>
      <c r="C1123" s="10"/>
      <c r="D1123" s="11"/>
      <c r="E1123" s="10"/>
      <c r="F1123" s="10"/>
      <c r="G1123" s="10"/>
      <c r="H1123" s="12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0"/>
      <c r="T1123" s="10"/>
      <c r="U1123" s="10"/>
      <c r="V1123" s="10"/>
      <c r="W1123" s="10"/>
      <c r="X1123" s="10"/>
      <c r="Y1123" s="10"/>
      <c r="Z1123" s="10"/>
      <c r="AA1123" s="10"/>
    </row>
    <row r="1124" spans="1:27" ht="12.5" x14ac:dyDescent="0.25">
      <c r="A1124" s="10"/>
      <c r="B1124" s="10"/>
      <c r="C1124" s="10"/>
      <c r="D1124" s="11"/>
      <c r="E1124" s="10"/>
      <c r="F1124" s="10"/>
      <c r="G1124" s="10"/>
      <c r="H1124" s="12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0"/>
      <c r="T1124" s="10"/>
      <c r="U1124" s="10"/>
      <c r="V1124" s="10"/>
      <c r="W1124" s="10"/>
      <c r="X1124" s="10"/>
      <c r="Y1124" s="10"/>
      <c r="Z1124" s="10"/>
      <c r="AA1124" s="10"/>
    </row>
    <row r="1125" spans="1:27" ht="12.5" x14ac:dyDescent="0.25">
      <c r="A1125" s="10"/>
      <c r="B1125" s="10"/>
      <c r="C1125" s="10"/>
      <c r="D1125" s="11"/>
      <c r="E1125" s="10"/>
      <c r="F1125" s="10"/>
      <c r="G1125" s="10"/>
      <c r="H1125" s="12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0"/>
      <c r="T1125" s="10"/>
      <c r="U1125" s="10"/>
      <c r="V1125" s="10"/>
      <c r="W1125" s="10"/>
      <c r="X1125" s="10"/>
      <c r="Y1125" s="10"/>
      <c r="Z1125" s="10"/>
      <c r="AA1125" s="10"/>
    </row>
    <row r="1126" spans="1:27" ht="12.5" x14ac:dyDescent="0.25">
      <c r="A1126" s="10"/>
      <c r="B1126" s="10"/>
      <c r="C1126" s="10"/>
      <c r="D1126" s="11"/>
      <c r="E1126" s="10"/>
      <c r="F1126" s="10"/>
      <c r="G1126" s="10"/>
      <c r="H1126" s="12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0"/>
      <c r="T1126" s="10"/>
      <c r="U1126" s="10"/>
      <c r="V1126" s="10"/>
      <c r="W1126" s="10"/>
      <c r="X1126" s="10"/>
      <c r="Y1126" s="10"/>
      <c r="Z1126" s="10"/>
      <c r="AA1126" s="10"/>
    </row>
    <row r="1127" spans="1:27" ht="12.5" x14ac:dyDescent="0.25">
      <c r="A1127" s="10"/>
      <c r="B1127" s="10"/>
      <c r="C1127" s="10"/>
      <c r="D1127" s="11"/>
      <c r="E1127" s="10"/>
      <c r="F1127" s="10"/>
      <c r="G1127" s="10"/>
      <c r="H1127" s="12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0"/>
      <c r="T1127" s="10"/>
      <c r="U1127" s="10"/>
      <c r="V1127" s="10"/>
      <c r="W1127" s="10"/>
      <c r="X1127" s="10"/>
      <c r="Y1127" s="10"/>
      <c r="Z1127" s="10"/>
      <c r="AA1127" s="10"/>
    </row>
    <row r="1128" spans="1:27" ht="12.5" x14ac:dyDescent="0.25">
      <c r="A1128" s="10"/>
      <c r="B1128" s="10"/>
      <c r="C1128" s="10"/>
      <c r="D1128" s="11"/>
      <c r="E1128" s="10"/>
      <c r="F1128" s="10"/>
      <c r="G1128" s="10"/>
      <c r="H1128" s="12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0"/>
      <c r="T1128" s="10"/>
      <c r="U1128" s="10"/>
      <c r="V1128" s="10"/>
      <c r="W1128" s="10"/>
      <c r="X1128" s="10"/>
      <c r="Y1128" s="10"/>
      <c r="Z1128" s="10"/>
      <c r="AA1128" s="10"/>
    </row>
    <row r="1129" spans="1:27" ht="12.5" x14ac:dyDescent="0.25">
      <c r="A1129" s="10"/>
      <c r="B1129" s="10"/>
      <c r="C1129" s="10"/>
      <c r="D1129" s="11"/>
      <c r="E1129" s="10"/>
      <c r="F1129" s="10"/>
      <c r="G1129" s="10"/>
      <c r="H1129" s="12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0"/>
      <c r="T1129" s="10"/>
      <c r="U1129" s="10"/>
      <c r="V1129" s="10"/>
      <c r="W1129" s="10"/>
      <c r="X1129" s="10"/>
      <c r="Y1129" s="10"/>
      <c r="Z1129" s="10"/>
      <c r="AA1129" s="10"/>
    </row>
    <row r="1130" spans="1:27" ht="12.5" x14ac:dyDescent="0.25">
      <c r="A1130" s="10"/>
      <c r="B1130" s="10"/>
      <c r="C1130" s="10"/>
      <c r="D1130" s="11"/>
      <c r="E1130" s="10"/>
      <c r="F1130" s="10"/>
      <c r="G1130" s="10"/>
      <c r="H1130" s="12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0"/>
      <c r="T1130" s="10"/>
      <c r="U1130" s="10"/>
      <c r="V1130" s="10"/>
      <c r="W1130" s="10"/>
      <c r="X1130" s="10"/>
      <c r="Y1130" s="10"/>
      <c r="Z1130" s="10"/>
      <c r="AA1130" s="10"/>
    </row>
    <row r="1131" spans="1:27" ht="12.5" x14ac:dyDescent="0.25">
      <c r="A1131" s="10"/>
      <c r="B1131" s="10"/>
      <c r="C1131" s="10"/>
      <c r="D1131" s="11"/>
      <c r="E1131" s="10"/>
      <c r="F1131" s="10"/>
      <c r="G1131" s="10"/>
      <c r="H1131" s="12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0"/>
      <c r="T1131" s="10"/>
      <c r="U1131" s="10"/>
      <c r="V1131" s="10"/>
      <c r="W1131" s="10"/>
      <c r="X1131" s="10"/>
      <c r="Y1131" s="10"/>
      <c r="Z1131" s="10"/>
      <c r="AA1131" s="10"/>
    </row>
    <row r="1132" spans="1:27" ht="12.5" x14ac:dyDescent="0.25">
      <c r="A1132" s="10"/>
      <c r="B1132" s="10"/>
      <c r="C1132" s="10"/>
      <c r="D1132" s="11"/>
      <c r="E1132" s="10"/>
      <c r="F1132" s="10"/>
      <c r="G1132" s="10"/>
      <c r="H1132" s="12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0"/>
      <c r="T1132" s="10"/>
      <c r="U1132" s="10"/>
      <c r="V1132" s="10"/>
      <c r="W1132" s="10"/>
      <c r="X1132" s="10"/>
      <c r="Y1132" s="10"/>
      <c r="Z1132" s="10"/>
      <c r="AA1132" s="10"/>
    </row>
    <row r="1133" spans="1:27" ht="12.5" x14ac:dyDescent="0.25">
      <c r="A1133" s="10"/>
      <c r="B1133" s="10"/>
      <c r="C1133" s="10"/>
      <c r="D1133" s="11"/>
      <c r="E1133" s="10"/>
      <c r="F1133" s="10"/>
      <c r="G1133" s="10"/>
      <c r="H1133" s="12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0"/>
      <c r="T1133" s="10"/>
      <c r="U1133" s="10"/>
      <c r="V1133" s="10"/>
      <c r="W1133" s="10"/>
      <c r="X1133" s="10"/>
      <c r="Y1133" s="10"/>
      <c r="Z1133" s="10"/>
      <c r="AA1133" s="10"/>
    </row>
    <row r="1134" spans="1:27" ht="12.5" x14ac:dyDescent="0.25">
      <c r="A1134" s="10"/>
      <c r="B1134" s="10"/>
      <c r="C1134" s="10"/>
      <c r="D1134" s="11"/>
      <c r="E1134" s="10"/>
      <c r="F1134" s="10"/>
      <c r="G1134" s="10"/>
      <c r="H1134" s="12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0"/>
      <c r="T1134" s="10"/>
      <c r="U1134" s="10"/>
      <c r="V1134" s="10"/>
      <c r="W1134" s="10"/>
      <c r="X1134" s="10"/>
      <c r="Y1134" s="10"/>
      <c r="Z1134" s="10"/>
      <c r="AA1134" s="10"/>
    </row>
    <row r="1135" spans="1:27" ht="12.5" x14ac:dyDescent="0.25">
      <c r="A1135" s="10"/>
      <c r="B1135" s="10"/>
      <c r="C1135" s="10"/>
      <c r="D1135" s="11"/>
      <c r="E1135" s="10"/>
      <c r="F1135" s="10"/>
      <c r="G1135" s="10"/>
      <c r="H1135" s="12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0"/>
      <c r="T1135" s="10"/>
      <c r="U1135" s="10"/>
      <c r="V1135" s="10"/>
      <c r="W1135" s="10"/>
      <c r="X1135" s="10"/>
      <c r="Y1135" s="10"/>
      <c r="Z1135" s="10"/>
      <c r="AA1135" s="10"/>
    </row>
    <row r="1136" spans="1:27" ht="12.5" x14ac:dyDescent="0.25">
      <c r="A1136" s="10"/>
      <c r="B1136" s="10"/>
      <c r="C1136" s="10"/>
      <c r="D1136" s="11"/>
      <c r="E1136" s="10"/>
      <c r="F1136" s="10"/>
      <c r="G1136" s="10"/>
      <c r="H1136" s="12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0"/>
      <c r="T1136" s="10"/>
      <c r="U1136" s="10"/>
      <c r="V1136" s="10"/>
      <c r="W1136" s="10"/>
      <c r="X1136" s="10"/>
      <c r="Y1136" s="10"/>
      <c r="Z1136" s="10"/>
      <c r="AA1136" s="10"/>
    </row>
    <row r="1137" spans="1:27" ht="12.5" x14ac:dyDescent="0.25">
      <c r="A1137" s="10"/>
      <c r="B1137" s="10"/>
      <c r="C1137" s="10"/>
      <c r="D1137" s="11"/>
      <c r="E1137" s="10"/>
      <c r="F1137" s="10"/>
      <c r="G1137" s="10"/>
      <c r="H1137" s="12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0"/>
      <c r="T1137" s="10"/>
      <c r="U1137" s="10"/>
      <c r="V1137" s="10"/>
      <c r="W1137" s="10"/>
      <c r="X1137" s="10"/>
      <c r="Y1137" s="10"/>
      <c r="Z1137" s="10"/>
      <c r="AA1137" s="10"/>
    </row>
    <row r="1138" spans="1:27" ht="12.5" x14ac:dyDescent="0.25">
      <c r="A1138" s="10"/>
      <c r="B1138" s="10"/>
      <c r="C1138" s="10"/>
      <c r="D1138" s="11"/>
      <c r="E1138" s="10"/>
      <c r="F1138" s="10"/>
      <c r="G1138" s="10"/>
      <c r="H1138" s="12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0"/>
      <c r="T1138" s="10"/>
      <c r="U1138" s="10"/>
      <c r="V1138" s="10"/>
      <c r="W1138" s="10"/>
      <c r="X1138" s="10"/>
      <c r="Y1138" s="10"/>
      <c r="Z1138" s="10"/>
      <c r="AA1138" s="10"/>
    </row>
    <row r="1139" spans="1:27" ht="12.5" x14ac:dyDescent="0.25">
      <c r="A1139" s="10"/>
      <c r="B1139" s="10"/>
      <c r="C1139" s="10"/>
      <c r="D1139" s="11"/>
      <c r="E1139" s="10"/>
      <c r="F1139" s="10"/>
      <c r="G1139" s="10"/>
      <c r="H1139" s="12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0"/>
      <c r="T1139" s="10"/>
      <c r="U1139" s="10"/>
      <c r="V1139" s="10"/>
      <c r="W1139" s="10"/>
      <c r="X1139" s="10"/>
      <c r="Y1139" s="10"/>
      <c r="Z1139" s="10"/>
      <c r="AA1139" s="10"/>
    </row>
    <row r="1140" spans="1:27" ht="12.5" x14ac:dyDescent="0.25">
      <c r="A1140" s="10"/>
      <c r="B1140" s="10"/>
      <c r="C1140" s="10"/>
      <c r="D1140" s="11"/>
      <c r="E1140" s="10"/>
      <c r="F1140" s="10"/>
      <c r="G1140" s="10"/>
      <c r="H1140" s="12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0"/>
      <c r="T1140" s="10"/>
      <c r="U1140" s="10"/>
      <c r="V1140" s="10"/>
      <c r="W1140" s="10"/>
      <c r="X1140" s="10"/>
      <c r="Y1140" s="10"/>
      <c r="Z1140" s="10"/>
      <c r="AA1140" s="10"/>
    </row>
    <row r="1141" spans="1:27" ht="12.5" x14ac:dyDescent="0.25">
      <c r="A1141" s="10"/>
      <c r="B1141" s="10"/>
      <c r="C1141" s="10"/>
      <c r="D1141" s="11"/>
      <c r="E1141" s="10"/>
      <c r="F1141" s="10"/>
      <c r="G1141" s="10"/>
      <c r="H1141" s="12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0"/>
      <c r="T1141" s="10"/>
      <c r="U1141" s="10"/>
      <c r="V1141" s="10"/>
      <c r="W1141" s="10"/>
      <c r="X1141" s="10"/>
      <c r="Y1141" s="10"/>
      <c r="Z1141" s="10"/>
      <c r="AA1141" s="10"/>
    </row>
    <row r="1142" spans="1:27" ht="12.5" x14ac:dyDescent="0.25">
      <c r="A1142" s="10"/>
      <c r="B1142" s="10"/>
      <c r="C1142" s="10"/>
      <c r="D1142" s="11"/>
      <c r="E1142" s="10"/>
      <c r="F1142" s="10"/>
      <c r="G1142" s="10"/>
      <c r="H1142" s="12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0"/>
      <c r="T1142" s="10"/>
      <c r="U1142" s="10"/>
      <c r="V1142" s="10"/>
      <c r="W1142" s="10"/>
      <c r="X1142" s="10"/>
      <c r="Y1142" s="10"/>
      <c r="Z1142" s="10"/>
      <c r="AA1142" s="10"/>
    </row>
    <row r="1143" spans="1:27" ht="12.5" x14ac:dyDescent="0.25">
      <c r="A1143" s="10"/>
      <c r="B1143" s="10"/>
      <c r="C1143" s="10"/>
      <c r="D1143" s="11"/>
      <c r="E1143" s="10"/>
      <c r="F1143" s="10"/>
      <c r="G1143" s="10"/>
      <c r="H1143" s="12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0"/>
      <c r="T1143" s="10"/>
      <c r="U1143" s="10"/>
      <c r="V1143" s="10"/>
      <c r="W1143" s="10"/>
      <c r="X1143" s="10"/>
      <c r="Y1143" s="10"/>
      <c r="Z1143" s="10"/>
      <c r="AA1143" s="10"/>
    </row>
    <row r="1144" spans="1:27" ht="12.5" x14ac:dyDescent="0.25">
      <c r="A1144" s="10"/>
      <c r="B1144" s="10"/>
      <c r="C1144" s="10"/>
      <c r="D1144" s="11"/>
      <c r="E1144" s="10"/>
      <c r="F1144" s="10"/>
      <c r="G1144" s="10"/>
      <c r="H1144" s="12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0"/>
      <c r="T1144" s="10"/>
      <c r="U1144" s="10"/>
      <c r="V1144" s="10"/>
      <c r="W1144" s="10"/>
      <c r="X1144" s="10"/>
      <c r="Y1144" s="10"/>
      <c r="Z1144" s="10"/>
      <c r="AA1144" s="10"/>
    </row>
    <row r="1145" spans="1:27" ht="12.5" x14ac:dyDescent="0.25">
      <c r="A1145" s="10"/>
      <c r="B1145" s="10"/>
      <c r="C1145" s="10"/>
      <c r="D1145" s="11"/>
      <c r="E1145" s="10"/>
      <c r="F1145" s="10"/>
      <c r="G1145" s="10"/>
      <c r="H1145" s="12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0"/>
      <c r="T1145" s="10"/>
      <c r="U1145" s="10"/>
      <c r="V1145" s="10"/>
      <c r="W1145" s="10"/>
      <c r="X1145" s="10"/>
      <c r="Y1145" s="10"/>
      <c r="Z1145" s="10"/>
      <c r="AA1145" s="10"/>
    </row>
    <row r="1146" spans="1:27" ht="12.5" x14ac:dyDescent="0.25">
      <c r="A1146" s="10"/>
      <c r="B1146" s="10"/>
      <c r="C1146" s="10"/>
      <c r="D1146" s="11"/>
      <c r="E1146" s="10"/>
      <c r="F1146" s="10"/>
      <c r="G1146" s="10"/>
      <c r="H1146" s="12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0"/>
      <c r="T1146" s="10"/>
      <c r="U1146" s="10"/>
      <c r="V1146" s="10"/>
      <c r="W1146" s="10"/>
      <c r="X1146" s="10"/>
      <c r="Y1146" s="10"/>
      <c r="Z1146" s="10"/>
      <c r="AA1146" s="10"/>
    </row>
    <row r="1147" spans="1:27" ht="12.5" x14ac:dyDescent="0.25">
      <c r="A1147" s="10"/>
      <c r="B1147" s="10"/>
      <c r="C1147" s="10"/>
      <c r="D1147" s="11"/>
      <c r="E1147" s="10"/>
      <c r="F1147" s="10"/>
      <c r="G1147" s="10"/>
      <c r="H1147" s="12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0"/>
      <c r="T1147" s="10"/>
      <c r="U1147" s="10"/>
      <c r="V1147" s="10"/>
      <c r="W1147" s="10"/>
      <c r="X1147" s="10"/>
      <c r="Y1147" s="10"/>
      <c r="Z1147" s="10"/>
      <c r="AA1147" s="10"/>
    </row>
    <row r="1148" spans="1:27" ht="12.5" x14ac:dyDescent="0.25">
      <c r="A1148" s="10"/>
      <c r="B1148" s="10"/>
      <c r="C1148" s="10"/>
      <c r="D1148" s="11"/>
      <c r="E1148" s="10"/>
      <c r="F1148" s="10"/>
      <c r="G1148" s="10"/>
      <c r="H1148" s="12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0"/>
      <c r="T1148" s="10"/>
      <c r="U1148" s="10"/>
      <c r="V1148" s="10"/>
      <c r="W1148" s="10"/>
      <c r="X1148" s="10"/>
      <c r="Y1148" s="10"/>
      <c r="Z1148" s="10"/>
      <c r="AA1148" s="10"/>
    </row>
    <row r="1149" spans="1:27" ht="12.5" x14ac:dyDescent="0.25">
      <c r="A1149" s="10"/>
      <c r="B1149" s="10"/>
      <c r="C1149" s="10"/>
      <c r="D1149" s="11"/>
      <c r="E1149" s="10"/>
      <c r="F1149" s="10"/>
      <c r="G1149" s="10"/>
      <c r="H1149" s="12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0"/>
      <c r="T1149" s="10"/>
      <c r="U1149" s="10"/>
      <c r="V1149" s="10"/>
      <c r="W1149" s="10"/>
      <c r="X1149" s="10"/>
      <c r="Y1149" s="10"/>
      <c r="Z1149" s="10"/>
      <c r="AA1149" s="10"/>
    </row>
    <row r="1150" spans="1:27" ht="12.5" x14ac:dyDescent="0.25">
      <c r="A1150" s="10"/>
      <c r="B1150" s="10"/>
      <c r="C1150" s="10"/>
      <c r="D1150" s="11"/>
      <c r="E1150" s="10"/>
      <c r="F1150" s="10"/>
      <c r="G1150" s="10"/>
      <c r="H1150" s="12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0"/>
      <c r="T1150" s="10"/>
      <c r="U1150" s="10"/>
      <c r="V1150" s="10"/>
      <c r="W1150" s="10"/>
      <c r="X1150" s="10"/>
      <c r="Y1150" s="10"/>
      <c r="Z1150" s="10"/>
      <c r="AA1150" s="10"/>
    </row>
    <row r="1151" spans="1:27" ht="12.5" x14ac:dyDescent="0.25">
      <c r="A1151" s="10"/>
      <c r="B1151" s="10"/>
      <c r="C1151" s="10"/>
      <c r="D1151" s="11"/>
      <c r="E1151" s="10"/>
      <c r="F1151" s="10"/>
      <c r="G1151" s="10"/>
      <c r="H1151" s="12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0"/>
      <c r="T1151" s="10"/>
      <c r="U1151" s="10"/>
      <c r="V1151" s="10"/>
      <c r="W1151" s="10"/>
      <c r="X1151" s="10"/>
      <c r="Y1151" s="10"/>
      <c r="Z1151" s="10"/>
      <c r="AA1151" s="10"/>
    </row>
    <row r="1152" spans="1:27" ht="12.5" x14ac:dyDescent="0.25">
      <c r="A1152" s="10"/>
      <c r="B1152" s="10"/>
      <c r="C1152" s="10"/>
      <c r="D1152" s="11"/>
      <c r="E1152" s="10"/>
      <c r="F1152" s="10"/>
      <c r="G1152" s="10"/>
      <c r="H1152" s="12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0"/>
      <c r="T1152" s="10"/>
      <c r="U1152" s="10"/>
      <c r="V1152" s="10"/>
      <c r="W1152" s="10"/>
      <c r="X1152" s="10"/>
      <c r="Y1152" s="10"/>
      <c r="Z1152" s="10"/>
      <c r="AA1152" s="10"/>
    </row>
    <row r="1153" spans="1:27" ht="12.5" x14ac:dyDescent="0.25">
      <c r="A1153" s="10"/>
      <c r="B1153" s="10"/>
      <c r="C1153" s="10"/>
      <c r="D1153" s="11"/>
      <c r="E1153" s="10"/>
      <c r="F1153" s="10"/>
      <c r="G1153" s="10"/>
      <c r="H1153" s="12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0"/>
      <c r="T1153" s="10"/>
      <c r="U1153" s="10"/>
      <c r="V1153" s="10"/>
      <c r="W1153" s="10"/>
      <c r="X1153" s="10"/>
      <c r="Y1153" s="10"/>
      <c r="Z1153" s="10"/>
      <c r="AA1153" s="10"/>
    </row>
    <row r="1154" spans="1:27" ht="12.5" x14ac:dyDescent="0.25">
      <c r="A1154" s="10"/>
      <c r="B1154" s="10"/>
      <c r="C1154" s="10"/>
      <c r="D1154" s="11"/>
      <c r="E1154" s="10"/>
      <c r="F1154" s="10"/>
      <c r="G1154" s="10"/>
      <c r="H1154" s="12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0"/>
      <c r="T1154" s="10"/>
      <c r="U1154" s="10"/>
      <c r="V1154" s="10"/>
      <c r="W1154" s="10"/>
      <c r="X1154" s="10"/>
      <c r="Y1154" s="10"/>
      <c r="Z1154" s="10"/>
      <c r="AA1154" s="10"/>
    </row>
    <row r="1155" spans="1:27" ht="12.5" x14ac:dyDescent="0.25">
      <c r="A1155" s="10"/>
      <c r="B1155" s="10"/>
      <c r="C1155" s="10"/>
      <c r="D1155" s="11"/>
      <c r="E1155" s="10"/>
      <c r="F1155" s="10"/>
      <c r="G1155" s="10"/>
      <c r="H1155" s="12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0"/>
      <c r="T1155" s="10"/>
      <c r="U1155" s="10"/>
      <c r="V1155" s="10"/>
      <c r="W1155" s="10"/>
      <c r="X1155" s="10"/>
      <c r="Y1155" s="10"/>
      <c r="Z1155" s="10"/>
      <c r="AA1155" s="10"/>
    </row>
    <row r="1156" spans="1:27" ht="12.5" x14ac:dyDescent="0.25">
      <c r="A1156" s="10"/>
      <c r="B1156" s="10"/>
      <c r="C1156" s="10"/>
      <c r="D1156" s="11"/>
      <c r="E1156" s="10"/>
      <c r="F1156" s="10"/>
      <c r="G1156" s="10"/>
      <c r="H1156" s="12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0"/>
      <c r="T1156" s="10"/>
      <c r="U1156" s="10"/>
      <c r="V1156" s="10"/>
      <c r="W1156" s="10"/>
      <c r="X1156" s="10"/>
      <c r="Y1156" s="10"/>
      <c r="Z1156" s="10"/>
      <c r="AA1156" s="10"/>
    </row>
    <row r="1157" spans="1:27" ht="12.5" x14ac:dyDescent="0.25">
      <c r="A1157" s="10"/>
      <c r="B1157" s="10"/>
      <c r="C1157" s="10"/>
      <c r="D1157" s="11"/>
      <c r="E1157" s="10"/>
      <c r="F1157" s="10"/>
      <c r="G1157" s="10"/>
      <c r="H1157" s="12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0"/>
      <c r="T1157" s="10"/>
      <c r="U1157" s="10"/>
      <c r="V1157" s="10"/>
      <c r="W1157" s="10"/>
      <c r="X1157" s="10"/>
      <c r="Y1157" s="10"/>
      <c r="Z1157" s="10"/>
      <c r="AA1157" s="10"/>
    </row>
    <row r="1158" spans="1:27" ht="12.5" x14ac:dyDescent="0.25">
      <c r="A1158" s="10"/>
      <c r="B1158" s="10"/>
      <c r="C1158" s="10"/>
      <c r="D1158" s="11"/>
      <c r="E1158" s="10"/>
      <c r="F1158" s="10"/>
      <c r="G1158" s="10"/>
      <c r="H1158" s="12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0"/>
      <c r="T1158" s="10"/>
      <c r="U1158" s="10"/>
      <c r="V1158" s="10"/>
      <c r="W1158" s="10"/>
      <c r="X1158" s="10"/>
      <c r="Y1158" s="10"/>
      <c r="Z1158" s="10"/>
      <c r="AA1158" s="10"/>
    </row>
    <row r="1159" spans="1:27" ht="12.5" x14ac:dyDescent="0.25">
      <c r="A1159" s="10"/>
      <c r="B1159" s="10"/>
      <c r="C1159" s="10"/>
      <c r="D1159" s="11"/>
      <c r="E1159" s="10"/>
      <c r="F1159" s="10"/>
      <c r="G1159" s="10"/>
      <c r="H1159" s="12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0"/>
      <c r="T1159" s="10"/>
      <c r="U1159" s="10"/>
      <c r="V1159" s="10"/>
      <c r="W1159" s="10"/>
      <c r="X1159" s="10"/>
      <c r="Y1159" s="10"/>
      <c r="Z1159" s="10"/>
      <c r="AA1159" s="10"/>
    </row>
    <row r="1160" spans="1:27" ht="12.5" x14ac:dyDescent="0.25">
      <c r="A1160" s="10"/>
      <c r="B1160" s="10"/>
      <c r="C1160" s="10"/>
      <c r="D1160" s="11"/>
      <c r="E1160" s="10"/>
      <c r="F1160" s="10"/>
      <c r="G1160" s="10"/>
      <c r="H1160" s="12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0"/>
      <c r="T1160" s="10"/>
      <c r="U1160" s="10"/>
      <c r="V1160" s="10"/>
      <c r="W1160" s="10"/>
      <c r="X1160" s="10"/>
      <c r="Y1160" s="10"/>
      <c r="Z1160" s="10"/>
      <c r="AA1160" s="10"/>
    </row>
    <row r="1161" spans="1:27" ht="12.5" x14ac:dyDescent="0.25">
      <c r="A1161" s="10"/>
      <c r="B1161" s="10"/>
      <c r="C1161" s="10"/>
      <c r="D1161" s="11"/>
      <c r="E1161" s="10"/>
      <c r="F1161" s="10"/>
      <c r="G1161" s="10"/>
      <c r="H1161" s="12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0"/>
      <c r="T1161" s="10"/>
      <c r="U1161" s="10"/>
      <c r="V1161" s="10"/>
      <c r="W1161" s="10"/>
      <c r="X1161" s="10"/>
      <c r="Y1161" s="10"/>
      <c r="Z1161" s="10"/>
      <c r="AA1161" s="10"/>
    </row>
    <row r="1162" spans="1:27" ht="12.5" x14ac:dyDescent="0.25">
      <c r="A1162" s="10"/>
      <c r="B1162" s="10"/>
      <c r="C1162" s="10"/>
      <c r="D1162" s="11"/>
      <c r="E1162" s="10"/>
      <c r="F1162" s="10"/>
      <c r="G1162" s="10"/>
      <c r="H1162" s="12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0"/>
      <c r="T1162" s="10"/>
      <c r="U1162" s="10"/>
      <c r="V1162" s="10"/>
      <c r="W1162" s="10"/>
      <c r="X1162" s="10"/>
      <c r="Y1162" s="10"/>
      <c r="Z1162" s="10"/>
      <c r="AA1162" s="10"/>
    </row>
    <row r="1163" spans="1:27" ht="12.5" x14ac:dyDescent="0.25">
      <c r="A1163" s="10"/>
      <c r="B1163" s="10"/>
      <c r="C1163" s="10"/>
      <c r="D1163" s="11"/>
      <c r="E1163" s="10"/>
      <c r="F1163" s="10"/>
      <c r="G1163" s="10"/>
      <c r="H1163" s="12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0"/>
      <c r="T1163" s="10"/>
      <c r="U1163" s="10"/>
      <c r="V1163" s="10"/>
      <c r="W1163" s="10"/>
      <c r="X1163" s="10"/>
      <c r="Y1163" s="10"/>
      <c r="Z1163" s="10"/>
      <c r="AA1163" s="10"/>
    </row>
    <row r="1164" spans="1:27" ht="12.5" x14ac:dyDescent="0.25">
      <c r="A1164" s="10"/>
      <c r="B1164" s="10"/>
      <c r="C1164" s="10"/>
      <c r="D1164" s="11"/>
      <c r="E1164" s="10"/>
      <c r="F1164" s="10"/>
      <c r="G1164" s="10"/>
      <c r="H1164" s="12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0"/>
      <c r="T1164" s="10"/>
      <c r="U1164" s="10"/>
      <c r="V1164" s="10"/>
      <c r="W1164" s="10"/>
      <c r="X1164" s="10"/>
      <c r="Y1164" s="10"/>
      <c r="Z1164" s="10"/>
      <c r="AA1164" s="10"/>
    </row>
    <row r="1165" spans="1:27" ht="12.5" x14ac:dyDescent="0.25">
      <c r="A1165" s="10"/>
      <c r="B1165" s="10"/>
      <c r="C1165" s="10"/>
      <c r="D1165" s="11"/>
      <c r="E1165" s="10"/>
      <c r="F1165" s="10"/>
      <c r="G1165" s="10"/>
      <c r="H1165" s="12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0"/>
      <c r="T1165" s="10"/>
      <c r="U1165" s="10"/>
      <c r="V1165" s="10"/>
      <c r="W1165" s="10"/>
      <c r="X1165" s="10"/>
      <c r="Y1165" s="10"/>
      <c r="Z1165" s="10"/>
      <c r="AA1165" s="10"/>
    </row>
    <row r="1166" spans="1:27" ht="12.5" x14ac:dyDescent="0.25">
      <c r="A1166" s="10"/>
      <c r="B1166" s="10"/>
      <c r="C1166" s="10"/>
      <c r="D1166" s="11"/>
      <c r="E1166" s="10"/>
      <c r="F1166" s="10"/>
      <c r="G1166" s="10"/>
      <c r="H1166" s="12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0"/>
      <c r="T1166" s="10"/>
      <c r="U1166" s="10"/>
      <c r="V1166" s="10"/>
      <c r="W1166" s="10"/>
      <c r="X1166" s="10"/>
      <c r="Y1166" s="10"/>
      <c r="Z1166" s="10"/>
      <c r="AA1166" s="10"/>
    </row>
    <row r="1167" spans="1:27" ht="12.5" x14ac:dyDescent="0.25">
      <c r="A1167" s="10"/>
      <c r="B1167" s="10"/>
      <c r="C1167" s="10"/>
      <c r="D1167" s="11"/>
      <c r="E1167" s="10"/>
      <c r="F1167" s="10"/>
      <c r="G1167" s="10"/>
      <c r="H1167" s="12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0"/>
      <c r="T1167" s="10"/>
      <c r="U1167" s="10"/>
      <c r="V1167" s="10"/>
      <c r="W1167" s="10"/>
      <c r="X1167" s="10"/>
      <c r="Y1167" s="10"/>
      <c r="Z1167" s="10"/>
      <c r="AA1167" s="10"/>
    </row>
    <row r="1168" spans="1:27" ht="12.5" x14ac:dyDescent="0.25">
      <c r="A1168" s="10"/>
      <c r="B1168" s="10"/>
      <c r="C1168" s="10"/>
      <c r="D1168" s="11"/>
      <c r="E1168" s="10"/>
      <c r="F1168" s="10"/>
      <c r="G1168" s="10"/>
      <c r="H1168" s="12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0"/>
      <c r="T1168" s="10"/>
      <c r="U1168" s="10"/>
      <c r="V1168" s="10"/>
      <c r="W1168" s="10"/>
      <c r="X1168" s="10"/>
      <c r="Y1168" s="10"/>
      <c r="Z1168" s="10"/>
      <c r="AA1168" s="10"/>
    </row>
    <row r="1169" spans="1:27" ht="12.5" x14ac:dyDescent="0.25">
      <c r="A1169" s="10"/>
      <c r="B1169" s="10"/>
      <c r="C1169" s="10"/>
      <c r="D1169" s="11"/>
      <c r="E1169" s="10"/>
      <c r="F1169" s="10"/>
      <c r="G1169" s="10"/>
      <c r="H1169" s="12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0"/>
      <c r="T1169" s="10"/>
      <c r="U1169" s="10"/>
      <c r="V1169" s="10"/>
      <c r="W1169" s="10"/>
      <c r="X1169" s="10"/>
      <c r="Y1169" s="10"/>
      <c r="Z1169" s="10"/>
      <c r="AA1169" s="10"/>
    </row>
    <row r="1170" spans="1:27" ht="12.5" x14ac:dyDescent="0.25">
      <c r="A1170" s="10"/>
      <c r="B1170" s="10"/>
      <c r="C1170" s="10"/>
      <c r="D1170" s="11"/>
      <c r="E1170" s="10"/>
      <c r="F1170" s="10"/>
      <c r="G1170" s="10"/>
      <c r="H1170" s="12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0"/>
      <c r="T1170" s="10"/>
      <c r="U1170" s="10"/>
      <c r="V1170" s="10"/>
      <c r="W1170" s="10"/>
      <c r="X1170" s="10"/>
      <c r="Y1170" s="10"/>
      <c r="Z1170" s="10"/>
      <c r="AA1170" s="10"/>
    </row>
    <row r="1171" spans="1:27" ht="12.5" x14ac:dyDescent="0.25">
      <c r="A1171" s="10"/>
      <c r="B1171" s="10"/>
      <c r="C1171" s="10"/>
      <c r="D1171" s="11"/>
      <c r="E1171" s="10"/>
      <c r="F1171" s="10"/>
      <c r="G1171" s="10"/>
      <c r="H1171" s="12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0"/>
      <c r="T1171" s="10"/>
      <c r="U1171" s="10"/>
      <c r="V1171" s="10"/>
      <c r="W1171" s="10"/>
      <c r="X1171" s="10"/>
      <c r="Y1171" s="10"/>
      <c r="Z1171" s="10"/>
      <c r="AA1171" s="10"/>
    </row>
    <row r="1172" spans="1:27" ht="12.5" x14ac:dyDescent="0.25">
      <c r="A1172" s="10"/>
      <c r="B1172" s="10"/>
      <c r="C1172" s="10"/>
      <c r="D1172" s="11"/>
      <c r="E1172" s="10"/>
      <c r="F1172" s="10"/>
      <c r="G1172" s="10"/>
      <c r="H1172" s="12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0"/>
      <c r="T1172" s="10"/>
      <c r="U1172" s="10"/>
      <c r="V1172" s="10"/>
      <c r="W1172" s="10"/>
      <c r="X1172" s="10"/>
      <c r="Y1172" s="10"/>
      <c r="Z1172" s="10"/>
      <c r="AA1172" s="10"/>
    </row>
    <row r="1173" spans="1:27" ht="12.5" x14ac:dyDescent="0.25">
      <c r="A1173" s="10"/>
      <c r="B1173" s="10"/>
      <c r="C1173" s="10"/>
      <c r="D1173" s="11"/>
      <c r="E1173" s="10"/>
      <c r="F1173" s="10"/>
      <c r="G1173" s="10"/>
      <c r="H1173" s="12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0"/>
      <c r="T1173" s="10"/>
      <c r="U1173" s="10"/>
      <c r="V1173" s="10"/>
      <c r="W1173" s="10"/>
      <c r="X1173" s="10"/>
      <c r="Y1173" s="10"/>
      <c r="Z1173" s="10"/>
      <c r="AA1173" s="10"/>
    </row>
    <row r="1174" spans="1:27" ht="12.5" x14ac:dyDescent="0.25">
      <c r="A1174" s="10"/>
      <c r="B1174" s="10"/>
      <c r="C1174" s="10"/>
      <c r="D1174" s="11"/>
      <c r="E1174" s="10"/>
      <c r="F1174" s="10"/>
      <c r="G1174" s="10"/>
      <c r="H1174" s="12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0"/>
      <c r="T1174" s="10"/>
      <c r="U1174" s="10"/>
      <c r="V1174" s="10"/>
      <c r="W1174" s="10"/>
      <c r="X1174" s="10"/>
      <c r="Y1174" s="10"/>
      <c r="Z1174" s="10"/>
      <c r="AA1174" s="10"/>
    </row>
    <row r="1175" spans="1:27" ht="12.5" x14ac:dyDescent="0.25">
      <c r="A1175" s="10"/>
      <c r="B1175" s="10"/>
      <c r="C1175" s="10"/>
      <c r="D1175" s="11"/>
      <c r="E1175" s="10"/>
      <c r="F1175" s="10"/>
      <c r="G1175" s="10"/>
      <c r="H1175" s="12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0"/>
      <c r="T1175" s="10"/>
      <c r="U1175" s="10"/>
      <c r="V1175" s="10"/>
      <c r="W1175" s="10"/>
      <c r="X1175" s="10"/>
      <c r="Y1175" s="10"/>
      <c r="Z1175" s="10"/>
      <c r="AA1175" s="10"/>
    </row>
    <row r="1176" spans="1:27" ht="12.5" x14ac:dyDescent="0.25">
      <c r="A1176" s="10"/>
      <c r="B1176" s="10"/>
      <c r="C1176" s="10"/>
      <c r="D1176" s="11"/>
      <c r="E1176" s="10"/>
      <c r="F1176" s="10"/>
      <c r="G1176" s="10"/>
      <c r="H1176" s="12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0"/>
      <c r="T1176" s="10"/>
      <c r="U1176" s="10"/>
      <c r="V1176" s="10"/>
      <c r="W1176" s="10"/>
      <c r="X1176" s="10"/>
      <c r="Y1176" s="10"/>
      <c r="Z1176" s="10"/>
      <c r="AA1176" s="10"/>
    </row>
    <row r="1177" spans="1:27" ht="12.5" x14ac:dyDescent="0.25">
      <c r="A1177" s="10"/>
      <c r="B1177" s="10"/>
      <c r="C1177" s="10"/>
      <c r="D1177" s="11"/>
      <c r="E1177" s="10"/>
      <c r="F1177" s="10"/>
      <c r="G1177" s="10"/>
      <c r="H1177" s="12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0"/>
      <c r="T1177" s="10"/>
      <c r="U1177" s="10"/>
      <c r="V1177" s="10"/>
      <c r="W1177" s="10"/>
      <c r="X1177" s="10"/>
      <c r="Y1177" s="10"/>
      <c r="Z1177" s="10"/>
      <c r="AA1177" s="10"/>
    </row>
    <row r="1178" spans="1:27" ht="12.5" x14ac:dyDescent="0.25">
      <c r="A1178" s="10"/>
      <c r="B1178" s="10"/>
      <c r="C1178" s="10"/>
      <c r="D1178" s="11"/>
      <c r="E1178" s="10"/>
      <c r="F1178" s="10"/>
      <c r="G1178" s="10"/>
      <c r="H1178" s="12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0"/>
      <c r="T1178" s="10"/>
      <c r="U1178" s="10"/>
      <c r="V1178" s="10"/>
      <c r="W1178" s="10"/>
      <c r="X1178" s="10"/>
      <c r="Y1178" s="10"/>
      <c r="Z1178" s="10"/>
      <c r="AA1178" s="10"/>
    </row>
    <row r="1179" spans="1:27" ht="12.5" x14ac:dyDescent="0.25">
      <c r="A1179" s="10"/>
      <c r="B1179" s="10"/>
      <c r="C1179" s="10"/>
      <c r="D1179" s="11"/>
      <c r="E1179" s="10"/>
      <c r="F1179" s="10"/>
      <c r="G1179" s="10"/>
      <c r="H1179" s="12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0"/>
      <c r="T1179" s="10"/>
      <c r="U1179" s="10"/>
      <c r="V1179" s="10"/>
      <c r="W1179" s="10"/>
      <c r="X1179" s="10"/>
      <c r="Y1179" s="10"/>
      <c r="Z1179" s="10"/>
      <c r="AA1179" s="10"/>
    </row>
    <row r="1180" spans="1:27" ht="12.5" x14ac:dyDescent="0.25">
      <c r="A1180" s="10"/>
      <c r="B1180" s="10"/>
      <c r="C1180" s="10"/>
      <c r="D1180" s="11"/>
      <c r="E1180" s="10"/>
      <c r="F1180" s="10"/>
      <c r="G1180" s="10"/>
      <c r="H1180" s="12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0"/>
      <c r="T1180" s="10"/>
      <c r="U1180" s="10"/>
      <c r="V1180" s="10"/>
      <c r="W1180" s="10"/>
      <c r="X1180" s="10"/>
      <c r="Y1180" s="10"/>
      <c r="Z1180" s="10"/>
      <c r="AA1180" s="10"/>
    </row>
    <row r="1181" spans="1:27" ht="12.5" x14ac:dyDescent="0.25">
      <c r="A1181" s="10"/>
      <c r="B1181" s="10"/>
      <c r="C1181" s="10"/>
      <c r="D1181" s="11"/>
      <c r="E1181" s="10"/>
      <c r="F1181" s="10"/>
      <c r="G1181" s="10"/>
      <c r="H1181" s="12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0"/>
      <c r="T1181" s="10"/>
      <c r="U1181" s="10"/>
      <c r="V1181" s="10"/>
      <c r="W1181" s="10"/>
      <c r="X1181" s="10"/>
      <c r="Y1181" s="10"/>
      <c r="Z1181" s="10"/>
      <c r="AA1181" s="10"/>
    </row>
    <row r="1182" spans="1:27" ht="12.5" x14ac:dyDescent="0.25">
      <c r="A1182" s="10"/>
      <c r="B1182" s="10"/>
      <c r="C1182" s="10"/>
      <c r="D1182" s="11"/>
      <c r="E1182" s="10"/>
      <c r="F1182" s="10"/>
      <c r="G1182" s="10"/>
      <c r="H1182" s="12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0"/>
      <c r="T1182" s="10"/>
      <c r="U1182" s="10"/>
      <c r="V1182" s="10"/>
      <c r="W1182" s="10"/>
      <c r="X1182" s="10"/>
      <c r="Y1182" s="10"/>
      <c r="Z1182" s="10"/>
      <c r="AA1182" s="10"/>
    </row>
    <row r="1183" spans="1:27" ht="12.5" x14ac:dyDescent="0.25">
      <c r="A1183" s="10"/>
      <c r="B1183" s="10"/>
      <c r="C1183" s="10"/>
      <c r="D1183" s="11"/>
      <c r="E1183" s="10"/>
      <c r="F1183" s="10"/>
      <c r="G1183" s="10"/>
      <c r="H1183" s="12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0"/>
      <c r="T1183" s="10"/>
      <c r="U1183" s="10"/>
      <c r="V1183" s="10"/>
      <c r="W1183" s="10"/>
      <c r="X1183" s="10"/>
      <c r="Y1183" s="10"/>
      <c r="Z1183" s="10"/>
      <c r="AA1183" s="10"/>
    </row>
    <row r="1184" spans="1:27" ht="12.5" x14ac:dyDescent="0.25">
      <c r="A1184" s="10"/>
      <c r="B1184" s="10"/>
      <c r="C1184" s="10"/>
      <c r="D1184" s="11"/>
      <c r="E1184" s="10"/>
      <c r="F1184" s="10"/>
      <c r="G1184" s="10"/>
      <c r="H1184" s="12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0"/>
      <c r="T1184" s="10"/>
      <c r="U1184" s="10"/>
      <c r="V1184" s="10"/>
      <c r="W1184" s="10"/>
      <c r="X1184" s="10"/>
      <c r="Y1184" s="10"/>
      <c r="Z1184" s="10"/>
      <c r="AA1184" s="10"/>
    </row>
    <row r="1185" spans="1:27" ht="12.5" x14ac:dyDescent="0.25">
      <c r="A1185" s="10"/>
      <c r="B1185" s="10"/>
      <c r="C1185" s="10"/>
      <c r="D1185" s="11"/>
      <c r="E1185" s="10"/>
      <c r="F1185" s="10"/>
      <c r="G1185" s="10"/>
      <c r="H1185" s="12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0"/>
      <c r="T1185" s="10"/>
      <c r="U1185" s="10"/>
      <c r="V1185" s="10"/>
      <c r="W1185" s="10"/>
      <c r="X1185" s="10"/>
      <c r="Y1185" s="10"/>
      <c r="Z1185" s="10"/>
      <c r="AA1185" s="10"/>
    </row>
    <row r="1186" spans="1:27" ht="12.5" x14ac:dyDescent="0.25">
      <c r="A1186" s="10"/>
      <c r="B1186" s="10"/>
      <c r="C1186" s="10"/>
      <c r="D1186" s="11"/>
      <c r="E1186" s="10"/>
      <c r="F1186" s="10"/>
      <c r="G1186" s="10"/>
      <c r="H1186" s="12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0"/>
      <c r="T1186" s="10"/>
      <c r="U1186" s="10"/>
      <c r="V1186" s="10"/>
      <c r="W1186" s="10"/>
      <c r="X1186" s="10"/>
      <c r="Y1186" s="10"/>
      <c r="Z1186" s="10"/>
      <c r="AA1186" s="10"/>
    </row>
    <row r="1187" spans="1:27" ht="12.5" x14ac:dyDescent="0.25">
      <c r="A1187" s="10"/>
      <c r="B1187" s="10"/>
      <c r="C1187" s="10"/>
      <c r="D1187" s="11"/>
      <c r="E1187" s="10"/>
      <c r="F1187" s="10"/>
      <c r="G1187" s="10"/>
      <c r="H1187" s="12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0"/>
      <c r="T1187" s="10"/>
      <c r="U1187" s="10"/>
      <c r="V1187" s="10"/>
      <c r="W1187" s="10"/>
      <c r="X1187" s="10"/>
      <c r="Y1187" s="10"/>
      <c r="Z1187" s="10"/>
      <c r="AA1187" s="10"/>
    </row>
    <row r="1188" spans="1:27" ht="12.5" x14ac:dyDescent="0.25">
      <c r="A1188" s="10"/>
      <c r="B1188" s="10"/>
      <c r="C1188" s="10"/>
      <c r="D1188" s="11"/>
      <c r="E1188" s="10"/>
      <c r="F1188" s="10"/>
      <c r="G1188" s="10"/>
      <c r="H1188" s="12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0"/>
      <c r="T1188" s="10"/>
      <c r="U1188" s="10"/>
      <c r="V1188" s="10"/>
      <c r="W1188" s="10"/>
      <c r="X1188" s="10"/>
      <c r="Y1188" s="10"/>
      <c r="Z1188" s="10"/>
      <c r="AA1188" s="10"/>
    </row>
    <row r="1189" spans="1:27" ht="12.5" x14ac:dyDescent="0.25">
      <c r="A1189" s="10"/>
      <c r="B1189" s="10"/>
      <c r="C1189" s="10"/>
      <c r="D1189" s="11"/>
      <c r="E1189" s="10"/>
      <c r="F1189" s="10"/>
      <c r="G1189" s="10"/>
      <c r="H1189" s="12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0"/>
      <c r="T1189" s="10"/>
      <c r="U1189" s="10"/>
      <c r="V1189" s="10"/>
      <c r="W1189" s="10"/>
      <c r="X1189" s="10"/>
      <c r="Y1189" s="10"/>
      <c r="Z1189" s="10"/>
      <c r="AA1189" s="10"/>
    </row>
    <row r="1190" spans="1:27" ht="12.5" x14ac:dyDescent="0.25">
      <c r="A1190" s="10"/>
      <c r="B1190" s="10"/>
      <c r="C1190" s="10"/>
      <c r="D1190" s="11"/>
      <c r="E1190" s="10"/>
      <c r="F1190" s="10"/>
      <c r="G1190" s="10"/>
      <c r="H1190" s="12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0"/>
      <c r="T1190" s="10"/>
      <c r="U1190" s="10"/>
      <c r="V1190" s="10"/>
      <c r="W1190" s="10"/>
      <c r="X1190" s="10"/>
      <c r="Y1190" s="10"/>
      <c r="Z1190" s="10"/>
      <c r="AA1190" s="10"/>
    </row>
    <row r="1191" spans="1:27" ht="12.5" x14ac:dyDescent="0.25">
      <c r="A1191" s="10"/>
      <c r="B1191" s="10"/>
      <c r="C1191" s="10"/>
      <c r="D1191" s="11"/>
      <c r="E1191" s="10"/>
      <c r="F1191" s="10"/>
      <c r="G1191" s="10"/>
      <c r="H1191" s="12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0"/>
      <c r="T1191" s="10"/>
      <c r="U1191" s="10"/>
      <c r="V1191" s="10"/>
      <c r="W1191" s="10"/>
      <c r="X1191" s="10"/>
      <c r="Y1191" s="10"/>
      <c r="Z1191" s="10"/>
      <c r="AA1191" s="10"/>
    </row>
    <row r="1192" spans="1:27" ht="12.5" x14ac:dyDescent="0.25">
      <c r="A1192" s="10"/>
      <c r="B1192" s="10"/>
      <c r="C1192" s="10"/>
      <c r="D1192" s="11"/>
      <c r="E1192" s="10"/>
      <c r="F1192" s="10"/>
      <c r="G1192" s="10"/>
      <c r="H1192" s="12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0"/>
      <c r="T1192" s="10"/>
      <c r="U1192" s="10"/>
      <c r="V1192" s="10"/>
      <c r="W1192" s="10"/>
      <c r="X1192" s="10"/>
      <c r="Y1192" s="10"/>
      <c r="Z1192" s="10"/>
      <c r="AA1192" s="10"/>
    </row>
    <row r="1193" spans="1:27" ht="12.5" x14ac:dyDescent="0.25">
      <c r="A1193" s="10"/>
      <c r="B1193" s="10"/>
      <c r="C1193" s="10"/>
      <c r="D1193" s="11"/>
      <c r="E1193" s="10"/>
      <c r="F1193" s="10"/>
      <c r="G1193" s="10"/>
      <c r="H1193" s="12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0"/>
      <c r="T1193" s="10"/>
      <c r="U1193" s="10"/>
      <c r="V1193" s="10"/>
      <c r="W1193" s="10"/>
      <c r="X1193" s="10"/>
      <c r="Y1193" s="10"/>
      <c r="Z1193" s="10"/>
      <c r="AA1193" s="10"/>
    </row>
    <row r="1194" spans="1:27" ht="12.5" x14ac:dyDescent="0.25">
      <c r="A1194" s="10"/>
      <c r="B1194" s="10"/>
      <c r="C1194" s="10"/>
      <c r="D1194" s="11"/>
      <c r="E1194" s="10"/>
      <c r="F1194" s="10"/>
      <c r="G1194" s="10"/>
      <c r="H1194" s="12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0"/>
      <c r="T1194" s="10"/>
      <c r="U1194" s="10"/>
      <c r="V1194" s="10"/>
      <c r="W1194" s="10"/>
      <c r="X1194" s="10"/>
      <c r="Y1194" s="10"/>
      <c r="Z1194" s="10"/>
      <c r="AA1194" s="10"/>
    </row>
    <row r="1195" spans="1:27" ht="12.5" x14ac:dyDescent="0.25">
      <c r="A1195" s="10"/>
      <c r="B1195" s="10"/>
      <c r="C1195" s="10"/>
      <c r="D1195" s="11"/>
      <c r="E1195" s="10"/>
      <c r="F1195" s="10"/>
      <c r="G1195" s="10"/>
      <c r="H1195" s="12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0"/>
      <c r="T1195" s="10"/>
      <c r="U1195" s="10"/>
      <c r="V1195" s="10"/>
      <c r="W1195" s="10"/>
      <c r="X1195" s="10"/>
      <c r="Y1195" s="10"/>
      <c r="Z1195" s="10"/>
      <c r="AA1195" s="10"/>
    </row>
    <row r="1196" spans="1:27" ht="12.5" x14ac:dyDescent="0.25">
      <c r="A1196" s="10"/>
      <c r="B1196" s="10"/>
      <c r="C1196" s="10"/>
      <c r="D1196" s="11"/>
      <c r="E1196" s="10"/>
      <c r="F1196" s="10"/>
      <c r="G1196" s="10"/>
      <c r="H1196" s="12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0"/>
      <c r="T1196" s="10"/>
      <c r="U1196" s="10"/>
      <c r="V1196" s="10"/>
      <c r="W1196" s="10"/>
      <c r="X1196" s="10"/>
      <c r="Y1196" s="10"/>
      <c r="Z1196" s="10"/>
      <c r="AA1196" s="10"/>
    </row>
    <row r="1197" spans="1:27" ht="12.5" x14ac:dyDescent="0.25">
      <c r="A1197" s="10"/>
      <c r="B1197" s="10"/>
      <c r="C1197" s="10"/>
      <c r="D1197" s="11"/>
      <c r="E1197" s="10"/>
      <c r="F1197" s="10"/>
      <c r="G1197" s="10"/>
      <c r="H1197" s="12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0"/>
      <c r="T1197" s="10"/>
      <c r="U1197" s="10"/>
      <c r="V1197" s="10"/>
      <c r="W1197" s="10"/>
      <c r="X1197" s="10"/>
      <c r="Y1197" s="10"/>
      <c r="Z1197" s="10"/>
      <c r="AA1197" s="10"/>
    </row>
    <row r="1198" spans="1:27" ht="12.5" x14ac:dyDescent="0.25">
      <c r="A1198" s="10"/>
      <c r="B1198" s="10"/>
      <c r="C1198" s="10"/>
      <c r="D1198" s="11"/>
      <c r="E1198" s="10"/>
      <c r="F1198" s="10"/>
      <c r="G1198" s="10"/>
      <c r="H1198" s="12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0"/>
      <c r="T1198" s="10"/>
      <c r="U1198" s="10"/>
      <c r="V1198" s="10"/>
      <c r="W1198" s="10"/>
      <c r="X1198" s="10"/>
      <c r="Y1198" s="10"/>
      <c r="Z1198" s="10"/>
      <c r="AA1198" s="10"/>
    </row>
    <row r="1199" spans="1:27" ht="12.5" x14ac:dyDescent="0.25">
      <c r="A1199" s="10"/>
      <c r="B1199" s="10"/>
      <c r="C1199" s="10"/>
      <c r="D1199" s="11"/>
      <c r="E1199" s="10"/>
      <c r="F1199" s="10"/>
      <c r="G1199" s="10"/>
      <c r="H1199" s="12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0"/>
      <c r="T1199" s="10"/>
      <c r="U1199" s="10"/>
      <c r="V1199" s="10"/>
      <c r="W1199" s="10"/>
      <c r="X1199" s="10"/>
      <c r="Y1199" s="10"/>
      <c r="Z1199" s="10"/>
      <c r="AA1199" s="10"/>
    </row>
    <row r="1200" spans="1:27" ht="12.5" x14ac:dyDescent="0.25">
      <c r="A1200" s="10"/>
      <c r="B1200" s="10"/>
      <c r="C1200" s="10"/>
      <c r="D1200" s="11"/>
      <c r="E1200" s="10"/>
      <c r="F1200" s="10"/>
      <c r="G1200" s="10"/>
      <c r="H1200" s="12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0"/>
      <c r="T1200" s="10"/>
      <c r="U1200" s="10"/>
      <c r="V1200" s="10"/>
      <c r="W1200" s="10"/>
      <c r="X1200" s="10"/>
      <c r="Y1200" s="10"/>
      <c r="Z1200" s="10"/>
      <c r="AA1200" s="10"/>
    </row>
    <row r="1201" spans="1:27" ht="12.5" x14ac:dyDescent="0.25">
      <c r="A1201" s="10"/>
      <c r="B1201" s="10"/>
      <c r="C1201" s="10"/>
      <c r="D1201" s="11"/>
      <c r="E1201" s="10"/>
      <c r="F1201" s="10"/>
      <c r="G1201" s="10"/>
      <c r="H1201" s="12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0"/>
      <c r="T1201" s="10"/>
      <c r="U1201" s="10"/>
      <c r="V1201" s="10"/>
      <c r="W1201" s="10"/>
      <c r="X1201" s="10"/>
      <c r="Y1201" s="10"/>
      <c r="Z1201" s="10"/>
      <c r="AA1201" s="10"/>
    </row>
    <row r="1202" spans="1:27" ht="12.5" x14ac:dyDescent="0.25">
      <c r="A1202" s="10"/>
      <c r="B1202" s="10"/>
      <c r="C1202" s="10"/>
      <c r="D1202" s="11"/>
      <c r="E1202" s="10"/>
      <c r="F1202" s="10"/>
      <c r="G1202" s="10"/>
      <c r="H1202" s="12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0"/>
      <c r="T1202" s="10"/>
      <c r="U1202" s="10"/>
      <c r="V1202" s="10"/>
      <c r="W1202" s="10"/>
      <c r="X1202" s="10"/>
      <c r="Y1202" s="10"/>
      <c r="Z1202" s="10"/>
      <c r="AA1202" s="10"/>
    </row>
    <row r="1203" spans="1:27" ht="12.5" x14ac:dyDescent="0.25">
      <c r="A1203" s="10"/>
      <c r="B1203" s="10"/>
      <c r="C1203" s="10"/>
      <c r="D1203" s="11"/>
      <c r="E1203" s="10"/>
      <c r="F1203" s="10"/>
      <c r="G1203" s="10"/>
      <c r="H1203" s="12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0"/>
      <c r="T1203" s="10"/>
      <c r="U1203" s="10"/>
      <c r="V1203" s="10"/>
      <c r="W1203" s="10"/>
      <c r="X1203" s="10"/>
      <c r="Y1203" s="10"/>
      <c r="Z1203" s="10"/>
      <c r="AA1203" s="10"/>
    </row>
    <row r="1204" spans="1:27" ht="12.5" x14ac:dyDescent="0.25">
      <c r="A1204" s="10"/>
      <c r="B1204" s="10"/>
      <c r="C1204" s="10"/>
      <c r="D1204" s="11"/>
      <c r="E1204" s="10"/>
      <c r="F1204" s="10"/>
      <c r="G1204" s="10"/>
      <c r="H1204" s="12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0"/>
      <c r="T1204" s="10"/>
      <c r="U1204" s="10"/>
      <c r="V1204" s="10"/>
      <c r="W1204" s="10"/>
      <c r="X1204" s="10"/>
      <c r="Y1204" s="10"/>
      <c r="Z1204" s="10"/>
      <c r="AA1204" s="10"/>
    </row>
    <row r="1205" spans="1:27" ht="12.5" x14ac:dyDescent="0.25">
      <c r="A1205" s="10"/>
      <c r="B1205" s="10"/>
      <c r="C1205" s="10"/>
      <c r="D1205" s="11"/>
      <c r="E1205" s="10"/>
      <c r="F1205" s="10"/>
      <c r="G1205" s="10"/>
      <c r="H1205" s="12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0"/>
      <c r="T1205" s="10"/>
      <c r="U1205" s="10"/>
      <c r="V1205" s="10"/>
      <c r="W1205" s="10"/>
      <c r="X1205" s="10"/>
      <c r="Y1205" s="10"/>
      <c r="Z1205" s="10"/>
      <c r="AA1205" s="10"/>
    </row>
    <row r="1206" spans="1:27" ht="12.5" x14ac:dyDescent="0.25">
      <c r="A1206" s="10"/>
      <c r="B1206" s="10"/>
      <c r="C1206" s="10"/>
      <c r="D1206" s="11"/>
      <c r="E1206" s="10"/>
      <c r="F1206" s="10"/>
      <c r="G1206" s="10"/>
      <c r="H1206" s="12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0"/>
      <c r="T1206" s="10"/>
      <c r="U1206" s="10"/>
      <c r="V1206" s="10"/>
      <c r="W1206" s="10"/>
      <c r="X1206" s="10"/>
      <c r="Y1206" s="10"/>
      <c r="Z1206" s="10"/>
      <c r="AA1206" s="10"/>
    </row>
    <row r="1207" spans="1:27" ht="12.5" x14ac:dyDescent="0.25">
      <c r="A1207" s="10"/>
      <c r="B1207" s="10"/>
      <c r="C1207" s="10"/>
      <c r="D1207" s="11"/>
      <c r="E1207" s="10"/>
      <c r="F1207" s="10"/>
      <c r="G1207" s="10"/>
      <c r="H1207" s="12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0"/>
      <c r="T1207" s="10"/>
      <c r="U1207" s="10"/>
      <c r="V1207" s="10"/>
      <c r="W1207" s="10"/>
      <c r="X1207" s="10"/>
      <c r="Y1207" s="10"/>
      <c r="Z1207" s="10"/>
      <c r="AA1207" s="10"/>
    </row>
    <row r="1208" spans="1:27" ht="12.5" x14ac:dyDescent="0.25">
      <c r="A1208" s="10"/>
      <c r="B1208" s="10"/>
      <c r="C1208" s="10"/>
      <c r="D1208" s="11"/>
      <c r="E1208" s="10"/>
      <c r="F1208" s="10"/>
      <c r="G1208" s="10"/>
      <c r="H1208" s="12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0"/>
      <c r="T1208" s="10"/>
      <c r="U1208" s="10"/>
      <c r="V1208" s="10"/>
      <c r="W1208" s="10"/>
      <c r="X1208" s="10"/>
      <c r="Y1208" s="10"/>
      <c r="Z1208" s="10"/>
      <c r="AA1208" s="10"/>
    </row>
    <row r="1209" spans="1:27" ht="12.5" x14ac:dyDescent="0.25">
      <c r="A1209" s="10"/>
      <c r="B1209" s="10"/>
      <c r="C1209" s="10"/>
      <c r="D1209" s="11"/>
      <c r="E1209" s="10"/>
      <c r="F1209" s="10"/>
      <c r="G1209" s="10"/>
      <c r="H1209" s="12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0"/>
      <c r="T1209" s="10"/>
      <c r="U1209" s="10"/>
      <c r="V1209" s="10"/>
      <c r="W1209" s="10"/>
      <c r="X1209" s="10"/>
      <c r="Y1209" s="10"/>
      <c r="Z1209" s="10"/>
      <c r="AA1209" s="10"/>
    </row>
    <row r="1210" spans="1:27" ht="12.5" x14ac:dyDescent="0.25">
      <c r="A1210" s="10"/>
      <c r="B1210" s="10"/>
      <c r="C1210" s="10"/>
      <c r="D1210" s="11"/>
      <c r="E1210" s="10"/>
      <c r="F1210" s="10"/>
      <c r="G1210" s="10"/>
      <c r="H1210" s="12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0"/>
      <c r="T1210" s="10"/>
      <c r="U1210" s="10"/>
      <c r="V1210" s="10"/>
      <c r="W1210" s="10"/>
      <c r="X1210" s="10"/>
      <c r="Y1210" s="10"/>
      <c r="Z1210" s="10"/>
      <c r="AA1210" s="10"/>
    </row>
    <row r="1211" spans="1:27" ht="12.5" x14ac:dyDescent="0.25">
      <c r="A1211" s="10"/>
      <c r="B1211" s="10"/>
      <c r="C1211" s="10"/>
      <c r="D1211" s="11"/>
      <c r="E1211" s="10"/>
      <c r="F1211" s="10"/>
      <c r="G1211" s="10"/>
      <c r="H1211" s="12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0"/>
      <c r="T1211" s="10"/>
      <c r="U1211" s="10"/>
      <c r="V1211" s="10"/>
      <c r="W1211" s="10"/>
      <c r="X1211" s="10"/>
      <c r="Y1211" s="10"/>
      <c r="Z1211" s="10"/>
      <c r="AA1211" s="10"/>
    </row>
    <row r="1212" spans="1:27" ht="12.5" x14ac:dyDescent="0.25">
      <c r="A1212" s="10"/>
      <c r="B1212" s="10"/>
      <c r="C1212" s="10"/>
      <c r="D1212" s="11"/>
      <c r="E1212" s="10"/>
      <c r="F1212" s="10"/>
      <c r="G1212" s="10"/>
      <c r="H1212" s="12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0"/>
      <c r="T1212" s="10"/>
      <c r="U1212" s="10"/>
      <c r="V1212" s="10"/>
      <c r="W1212" s="10"/>
      <c r="X1212" s="10"/>
      <c r="Y1212" s="10"/>
      <c r="Z1212" s="10"/>
      <c r="AA1212" s="10"/>
    </row>
    <row r="1213" spans="1:27" ht="12.5" x14ac:dyDescent="0.25">
      <c r="A1213" s="10"/>
      <c r="B1213" s="10"/>
      <c r="C1213" s="10"/>
      <c r="D1213" s="11"/>
      <c r="E1213" s="10"/>
      <c r="F1213" s="10"/>
      <c r="G1213" s="10"/>
      <c r="H1213" s="12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0"/>
      <c r="T1213" s="10"/>
      <c r="U1213" s="10"/>
      <c r="V1213" s="10"/>
      <c r="W1213" s="10"/>
      <c r="X1213" s="10"/>
      <c r="Y1213" s="10"/>
      <c r="Z1213" s="10"/>
      <c r="AA1213" s="10"/>
    </row>
    <row r="1214" spans="1:27" ht="12.5" x14ac:dyDescent="0.25">
      <c r="A1214" s="10"/>
      <c r="B1214" s="10"/>
      <c r="C1214" s="10"/>
      <c r="D1214" s="11"/>
      <c r="E1214" s="10"/>
      <c r="F1214" s="10"/>
      <c r="G1214" s="10"/>
      <c r="H1214" s="12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0"/>
      <c r="T1214" s="10"/>
      <c r="U1214" s="10"/>
      <c r="V1214" s="10"/>
      <c r="W1214" s="10"/>
      <c r="X1214" s="10"/>
      <c r="Y1214" s="10"/>
      <c r="Z1214" s="10"/>
      <c r="AA1214" s="10"/>
    </row>
    <row r="1215" spans="1:27" ht="12.5" x14ac:dyDescent="0.25">
      <c r="A1215" s="10"/>
      <c r="B1215" s="10"/>
      <c r="C1215" s="10"/>
      <c r="D1215" s="11"/>
      <c r="E1215" s="10"/>
      <c r="F1215" s="10"/>
      <c r="G1215" s="10"/>
      <c r="H1215" s="12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0"/>
      <c r="T1215" s="10"/>
      <c r="U1215" s="10"/>
      <c r="V1215" s="10"/>
      <c r="W1215" s="10"/>
      <c r="X1215" s="10"/>
      <c r="Y1215" s="10"/>
      <c r="Z1215" s="10"/>
      <c r="AA1215" s="10"/>
    </row>
    <row r="1216" spans="1:27" ht="12.5" x14ac:dyDescent="0.25">
      <c r="A1216" s="10"/>
      <c r="B1216" s="10"/>
      <c r="C1216" s="10"/>
      <c r="D1216" s="11"/>
      <c r="E1216" s="10"/>
      <c r="F1216" s="10"/>
      <c r="G1216" s="10"/>
      <c r="H1216" s="12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0"/>
      <c r="T1216" s="10"/>
      <c r="U1216" s="10"/>
      <c r="V1216" s="10"/>
      <c r="W1216" s="10"/>
      <c r="X1216" s="10"/>
      <c r="Y1216" s="10"/>
      <c r="Z1216" s="10"/>
      <c r="AA1216" s="10"/>
    </row>
    <row r="1217" spans="1:27" ht="12.5" x14ac:dyDescent="0.25">
      <c r="A1217" s="10"/>
      <c r="B1217" s="10"/>
      <c r="C1217" s="10"/>
      <c r="D1217" s="11"/>
      <c r="E1217" s="10"/>
      <c r="F1217" s="10"/>
      <c r="G1217" s="10"/>
      <c r="H1217" s="12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0"/>
      <c r="T1217" s="10"/>
      <c r="U1217" s="10"/>
      <c r="V1217" s="10"/>
      <c r="W1217" s="10"/>
      <c r="X1217" s="10"/>
      <c r="Y1217" s="10"/>
      <c r="Z1217" s="10"/>
      <c r="AA1217" s="10"/>
    </row>
    <row r="1218" spans="1:27" ht="12.5" x14ac:dyDescent="0.25">
      <c r="A1218" s="10"/>
      <c r="B1218" s="10"/>
      <c r="C1218" s="10"/>
      <c r="D1218" s="11"/>
      <c r="E1218" s="10"/>
      <c r="F1218" s="10"/>
      <c r="G1218" s="10"/>
      <c r="H1218" s="12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0"/>
      <c r="T1218" s="10"/>
      <c r="U1218" s="10"/>
      <c r="V1218" s="10"/>
      <c r="W1218" s="10"/>
      <c r="X1218" s="10"/>
      <c r="Y1218" s="10"/>
      <c r="Z1218" s="10"/>
      <c r="AA1218" s="10"/>
    </row>
    <row r="1219" spans="1:27" ht="12.5" x14ac:dyDescent="0.25">
      <c r="A1219" s="10"/>
      <c r="B1219" s="10"/>
      <c r="C1219" s="10"/>
      <c r="D1219" s="11"/>
      <c r="E1219" s="10"/>
      <c r="F1219" s="10"/>
      <c r="G1219" s="10"/>
      <c r="H1219" s="12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0"/>
      <c r="T1219" s="10"/>
      <c r="U1219" s="10"/>
      <c r="V1219" s="10"/>
      <c r="W1219" s="10"/>
      <c r="X1219" s="10"/>
      <c r="Y1219" s="10"/>
      <c r="Z1219" s="10"/>
      <c r="AA1219" s="10"/>
    </row>
    <row r="1220" spans="1:27" ht="12.5" x14ac:dyDescent="0.25">
      <c r="A1220" s="10"/>
      <c r="B1220" s="10"/>
      <c r="C1220" s="10"/>
      <c r="D1220" s="11"/>
      <c r="E1220" s="10"/>
      <c r="F1220" s="10"/>
      <c r="G1220" s="10"/>
      <c r="H1220" s="12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0"/>
      <c r="T1220" s="10"/>
      <c r="U1220" s="10"/>
      <c r="V1220" s="10"/>
      <c r="W1220" s="10"/>
      <c r="X1220" s="10"/>
      <c r="Y1220" s="10"/>
      <c r="Z1220" s="10"/>
      <c r="AA1220" s="10"/>
    </row>
    <row r="1221" spans="1:27" ht="12.5" x14ac:dyDescent="0.25">
      <c r="A1221" s="10"/>
      <c r="B1221" s="10"/>
      <c r="C1221" s="10"/>
      <c r="D1221" s="11"/>
      <c r="E1221" s="10"/>
      <c r="F1221" s="10"/>
      <c r="G1221" s="10"/>
      <c r="H1221" s="12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0"/>
      <c r="T1221" s="10"/>
      <c r="U1221" s="10"/>
      <c r="V1221" s="10"/>
      <c r="W1221" s="10"/>
      <c r="X1221" s="10"/>
      <c r="Y1221" s="10"/>
      <c r="Z1221" s="10"/>
      <c r="AA1221" s="10"/>
    </row>
    <row r="1222" spans="1:27" ht="12.5" x14ac:dyDescent="0.25">
      <c r="A1222" s="10"/>
      <c r="B1222" s="10"/>
      <c r="C1222" s="10"/>
      <c r="D1222" s="11"/>
      <c r="E1222" s="10"/>
      <c r="F1222" s="10"/>
      <c r="G1222" s="10"/>
      <c r="H1222" s="12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0"/>
      <c r="T1222" s="10"/>
      <c r="U1222" s="10"/>
      <c r="V1222" s="10"/>
      <c r="W1222" s="10"/>
      <c r="X1222" s="10"/>
      <c r="Y1222" s="10"/>
      <c r="Z1222" s="10"/>
      <c r="AA1222" s="10"/>
    </row>
    <row r="1223" spans="1:27" ht="12.5" x14ac:dyDescent="0.25">
      <c r="A1223" s="10"/>
      <c r="B1223" s="10"/>
      <c r="C1223" s="10"/>
      <c r="D1223" s="11"/>
      <c r="E1223" s="10"/>
      <c r="F1223" s="10"/>
      <c r="G1223" s="10"/>
      <c r="H1223" s="12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0"/>
      <c r="T1223" s="10"/>
      <c r="U1223" s="10"/>
      <c r="V1223" s="10"/>
      <c r="W1223" s="10"/>
      <c r="X1223" s="10"/>
      <c r="Y1223" s="10"/>
      <c r="Z1223" s="10"/>
      <c r="AA1223" s="10"/>
    </row>
    <row r="1224" spans="1:27" ht="12.5" x14ac:dyDescent="0.25">
      <c r="A1224" s="10"/>
      <c r="B1224" s="10"/>
      <c r="C1224" s="10"/>
      <c r="D1224" s="11"/>
      <c r="E1224" s="10"/>
      <c r="F1224" s="10"/>
      <c r="G1224" s="10"/>
      <c r="H1224" s="12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0"/>
      <c r="T1224" s="10"/>
      <c r="U1224" s="10"/>
      <c r="V1224" s="10"/>
      <c r="W1224" s="10"/>
      <c r="X1224" s="10"/>
      <c r="Y1224" s="10"/>
      <c r="Z1224" s="10"/>
      <c r="AA1224" s="10"/>
    </row>
    <row r="1225" spans="1:27" ht="12.5" x14ac:dyDescent="0.25">
      <c r="A1225" s="10"/>
      <c r="B1225" s="10"/>
      <c r="C1225" s="10"/>
      <c r="D1225" s="11"/>
      <c r="E1225" s="10"/>
      <c r="F1225" s="10"/>
      <c r="G1225" s="10"/>
      <c r="H1225" s="12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0"/>
      <c r="T1225" s="10"/>
      <c r="U1225" s="10"/>
      <c r="V1225" s="10"/>
      <c r="W1225" s="10"/>
      <c r="X1225" s="10"/>
      <c r="Y1225" s="10"/>
      <c r="Z1225" s="10"/>
      <c r="AA1225" s="10"/>
    </row>
    <row r="1226" spans="1:27" ht="12.5" x14ac:dyDescent="0.25">
      <c r="A1226" s="10"/>
      <c r="B1226" s="10"/>
      <c r="C1226" s="10"/>
      <c r="D1226" s="11"/>
      <c r="E1226" s="10"/>
      <c r="F1226" s="10"/>
      <c r="G1226" s="10"/>
      <c r="H1226" s="12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0"/>
      <c r="T1226" s="10"/>
      <c r="U1226" s="10"/>
      <c r="V1226" s="10"/>
      <c r="W1226" s="10"/>
      <c r="X1226" s="10"/>
      <c r="Y1226" s="10"/>
      <c r="Z1226" s="10"/>
      <c r="AA1226" s="10"/>
    </row>
    <row r="1227" spans="1:27" ht="12.5" x14ac:dyDescent="0.25">
      <c r="A1227" s="10"/>
      <c r="B1227" s="10"/>
      <c r="C1227" s="10"/>
      <c r="D1227" s="11"/>
      <c r="E1227" s="10"/>
      <c r="F1227" s="10"/>
      <c r="G1227" s="10"/>
      <c r="H1227" s="12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0"/>
      <c r="T1227" s="10"/>
      <c r="U1227" s="10"/>
      <c r="V1227" s="10"/>
      <c r="W1227" s="10"/>
      <c r="X1227" s="10"/>
      <c r="Y1227" s="10"/>
      <c r="Z1227" s="10"/>
      <c r="AA1227" s="10"/>
    </row>
    <row r="1228" spans="1:27" ht="12.5" x14ac:dyDescent="0.25">
      <c r="A1228" s="10"/>
      <c r="B1228" s="10"/>
      <c r="C1228" s="10"/>
      <c r="D1228" s="11"/>
      <c r="E1228" s="10"/>
      <c r="F1228" s="10"/>
      <c r="G1228" s="10"/>
      <c r="H1228" s="12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0"/>
      <c r="T1228" s="10"/>
      <c r="U1228" s="10"/>
      <c r="V1228" s="10"/>
      <c r="W1228" s="10"/>
      <c r="X1228" s="10"/>
      <c r="Y1228" s="10"/>
      <c r="Z1228" s="10"/>
      <c r="AA1228" s="10"/>
    </row>
    <row r="1229" spans="1:27" ht="12.5" x14ac:dyDescent="0.25">
      <c r="A1229" s="10"/>
      <c r="B1229" s="10"/>
      <c r="C1229" s="10"/>
      <c r="D1229" s="11"/>
      <c r="E1229" s="10"/>
      <c r="F1229" s="10"/>
      <c r="G1229" s="10"/>
      <c r="H1229" s="12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0"/>
      <c r="T1229" s="10"/>
      <c r="U1229" s="10"/>
      <c r="V1229" s="10"/>
      <c r="W1229" s="10"/>
      <c r="X1229" s="10"/>
      <c r="Y1229" s="10"/>
      <c r="Z1229" s="10"/>
      <c r="AA1229" s="10"/>
    </row>
    <row r="1230" spans="1:27" ht="12.5" x14ac:dyDescent="0.25">
      <c r="A1230" s="10"/>
      <c r="B1230" s="10"/>
      <c r="C1230" s="10"/>
      <c r="D1230" s="11"/>
      <c r="E1230" s="10"/>
      <c r="F1230" s="10"/>
      <c r="G1230" s="10"/>
      <c r="H1230" s="12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0"/>
      <c r="T1230" s="10"/>
      <c r="U1230" s="10"/>
      <c r="V1230" s="10"/>
      <c r="W1230" s="10"/>
      <c r="X1230" s="10"/>
      <c r="Y1230" s="10"/>
      <c r="Z1230" s="10"/>
      <c r="AA1230" s="10"/>
    </row>
    <row r="1231" spans="1:27" ht="12.5" x14ac:dyDescent="0.25">
      <c r="A1231" s="10"/>
      <c r="B1231" s="10"/>
      <c r="C1231" s="10"/>
      <c r="D1231" s="11"/>
      <c r="E1231" s="10"/>
      <c r="F1231" s="10"/>
      <c r="G1231" s="10"/>
      <c r="H1231" s="12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0"/>
      <c r="T1231" s="10"/>
      <c r="U1231" s="10"/>
      <c r="V1231" s="10"/>
      <c r="W1231" s="10"/>
      <c r="X1231" s="10"/>
      <c r="Y1231" s="10"/>
      <c r="Z1231" s="10"/>
      <c r="AA1231" s="10"/>
    </row>
    <row r="1232" spans="1:27" ht="12.5" x14ac:dyDescent="0.25">
      <c r="A1232" s="10"/>
      <c r="B1232" s="10"/>
      <c r="C1232" s="10"/>
      <c r="D1232" s="11"/>
      <c r="E1232" s="10"/>
      <c r="F1232" s="10"/>
      <c r="G1232" s="10"/>
      <c r="H1232" s="12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0"/>
      <c r="T1232" s="10"/>
      <c r="U1232" s="10"/>
      <c r="V1232" s="10"/>
      <c r="W1232" s="10"/>
      <c r="X1232" s="10"/>
      <c r="Y1232" s="10"/>
      <c r="Z1232" s="10"/>
      <c r="AA1232" s="10"/>
    </row>
    <row r="1233" spans="1:27" ht="12.5" x14ac:dyDescent="0.25">
      <c r="A1233" s="10"/>
      <c r="B1233" s="10"/>
      <c r="C1233" s="10"/>
      <c r="D1233" s="11"/>
      <c r="E1233" s="10"/>
      <c r="F1233" s="10"/>
      <c r="G1233" s="10"/>
      <c r="H1233" s="12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0"/>
      <c r="T1233" s="10"/>
      <c r="U1233" s="10"/>
      <c r="V1233" s="10"/>
      <c r="W1233" s="10"/>
      <c r="X1233" s="10"/>
      <c r="Y1233" s="10"/>
      <c r="Z1233" s="10"/>
      <c r="AA1233" s="10"/>
    </row>
    <row r="1234" spans="1:27" ht="12.5" x14ac:dyDescent="0.25">
      <c r="A1234" s="10"/>
      <c r="B1234" s="10"/>
      <c r="C1234" s="10"/>
      <c r="D1234" s="11"/>
      <c r="E1234" s="10"/>
      <c r="F1234" s="10"/>
      <c r="G1234" s="10"/>
      <c r="H1234" s="12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0"/>
      <c r="T1234" s="10"/>
      <c r="U1234" s="10"/>
      <c r="V1234" s="10"/>
      <c r="W1234" s="10"/>
      <c r="X1234" s="10"/>
      <c r="Y1234" s="10"/>
      <c r="Z1234" s="10"/>
      <c r="AA1234" s="10"/>
    </row>
    <row r="1235" spans="1:27" ht="12.5" x14ac:dyDescent="0.25">
      <c r="A1235" s="10"/>
      <c r="B1235" s="10"/>
      <c r="C1235" s="10"/>
      <c r="D1235" s="11"/>
      <c r="E1235" s="10"/>
      <c r="F1235" s="10"/>
      <c r="G1235" s="10"/>
      <c r="H1235" s="12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0"/>
      <c r="T1235" s="10"/>
      <c r="U1235" s="10"/>
      <c r="V1235" s="10"/>
      <c r="W1235" s="10"/>
      <c r="X1235" s="10"/>
      <c r="Y1235" s="10"/>
      <c r="Z1235" s="10"/>
      <c r="AA1235" s="10"/>
    </row>
    <row r="1236" spans="1:27" ht="12.5" x14ac:dyDescent="0.25">
      <c r="A1236" s="10"/>
      <c r="B1236" s="10"/>
      <c r="C1236" s="10"/>
      <c r="D1236" s="11"/>
      <c r="E1236" s="10"/>
      <c r="F1236" s="10"/>
      <c r="G1236" s="10"/>
      <c r="H1236" s="12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0"/>
      <c r="T1236" s="10"/>
      <c r="U1236" s="10"/>
      <c r="V1236" s="10"/>
      <c r="W1236" s="10"/>
      <c r="X1236" s="10"/>
      <c r="Y1236" s="10"/>
      <c r="Z1236" s="10"/>
      <c r="AA1236" s="10"/>
    </row>
    <row r="1237" spans="1:27" ht="12.5" x14ac:dyDescent="0.25">
      <c r="A1237" s="10"/>
      <c r="B1237" s="10"/>
      <c r="C1237" s="10"/>
      <c r="D1237" s="11"/>
      <c r="E1237" s="10"/>
      <c r="F1237" s="10"/>
      <c r="G1237" s="10"/>
      <c r="H1237" s="12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0"/>
      <c r="T1237" s="10"/>
      <c r="U1237" s="10"/>
      <c r="V1237" s="10"/>
      <c r="W1237" s="10"/>
      <c r="X1237" s="10"/>
      <c r="Y1237" s="10"/>
      <c r="Z1237" s="10"/>
      <c r="AA1237" s="10"/>
    </row>
    <row r="1238" spans="1:27" ht="12.5" x14ac:dyDescent="0.25">
      <c r="A1238" s="10"/>
      <c r="B1238" s="10"/>
      <c r="C1238" s="10"/>
      <c r="D1238" s="11"/>
      <c r="E1238" s="10"/>
      <c r="F1238" s="10"/>
      <c r="G1238" s="10"/>
      <c r="H1238" s="12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0"/>
      <c r="T1238" s="10"/>
      <c r="U1238" s="10"/>
      <c r="V1238" s="10"/>
      <c r="W1238" s="10"/>
      <c r="X1238" s="10"/>
      <c r="Y1238" s="10"/>
      <c r="Z1238" s="10"/>
      <c r="AA1238" s="10"/>
    </row>
    <row r="1239" spans="1:27" ht="12.5" x14ac:dyDescent="0.25">
      <c r="A1239" s="10"/>
      <c r="B1239" s="10"/>
      <c r="C1239" s="10"/>
      <c r="D1239" s="11"/>
      <c r="E1239" s="10"/>
      <c r="F1239" s="10"/>
      <c r="G1239" s="10"/>
      <c r="H1239" s="12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0"/>
      <c r="T1239" s="10"/>
      <c r="U1239" s="10"/>
      <c r="V1239" s="10"/>
      <c r="W1239" s="10"/>
      <c r="X1239" s="10"/>
      <c r="Y1239" s="10"/>
      <c r="Z1239" s="10"/>
      <c r="AA1239" s="10"/>
    </row>
    <row r="1240" spans="1:27" ht="12.5" x14ac:dyDescent="0.25">
      <c r="A1240" s="10"/>
      <c r="B1240" s="10"/>
      <c r="C1240" s="10"/>
      <c r="D1240" s="11"/>
      <c r="E1240" s="10"/>
      <c r="F1240" s="10"/>
      <c r="G1240" s="10"/>
      <c r="H1240" s="12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0"/>
      <c r="T1240" s="10"/>
      <c r="U1240" s="10"/>
      <c r="V1240" s="10"/>
      <c r="W1240" s="10"/>
      <c r="X1240" s="10"/>
      <c r="Y1240" s="10"/>
      <c r="Z1240" s="10"/>
      <c r="AA1240" s="10"/>
    </row>
    <row r="1241" spans="1:27" ht="12.5" x14ac:dyDescent="0.25">
      <c r="A1241" s="10"/>
      <c r="B1241" s="10"/>
      <c r="C1241" s="10"/>
      <c r="D1241" s="11"/>
      <c r="E1241" s="10"/>
      <c r="F1241" s="10"/>
      <c r="G1241" s="10"/>
      <c r="H1241" s="12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0"/>
      <c r="T1241" s="10"/>
      <c r="U1241" s="10"/>
      <c r="V1241" s="10"/>
      <c r="W1241" s="10"/>
      <c r="X1241" s="10"/>
      <c r="Y1241" s="10"/>
      <c r="Z1241" s="10"/>
      <c r="AA1241" s="10"/>
    </row>
    <row r="1242" spans="1:27" ht="12.5" x14ac:dyDescent="0.25">
      <c r="A1242" s="10"/>
      <c r="B1242" s="10"/>
      <c r="C1242" s="10"/>
      <c r="D1242" s="11"/>
      <c r="E1242" s="10"/>
      <c r="F1242" s="10"/>
      <c r="G1242" s="10"/>
      <c r="H1242" s="12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0"/>
      <c r="T1242" s="10"/>
      <c r="U1242" s="10"/>
      <c r="V1242" s="10"/>
      <c r="W1242" s="10"/>
      <c r="X1242" s="10"/>
      <c r="Y1242" s="10"/>
      <c r="Z1242" s="10"/>
      <c r="AA1242" s="10"/>
    </row>
    <row r="1243" spans="1:27" ht="12.5" x14ac:dyDescent="0.25">
      <c r="A1243" s="10"/>
      <c r="B1243" s="10"/>
      <c r="C1243" s="10"/>
      <c r="D1243" s="11"/>
      <c r="E1243" s="10"/>
      <c r="F1243" s="10"/>
      <c r="G1243" s="10"/>
      <c r="H1243" s="12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0"/>
      <c r="T1243" s="10"/>
      <c r="U1243" s="10"/>
      <c r="V1243" s="10"/>
      <c r="W1243" s="10"/>
      <c r="X1243" s="10"/>
      <c r="Y1243" s="10"/>
      <c r="Z1243" s="10"/>
      <c r="AA1243" s="10"/>
    </row>
    <row r="1244" spans="1:27" ht="12.5" x14ac:dyDescent="0.25">
      <c r="A1244" s="10"/>
      <c r="B1244" s="10"/>
      <c r="C1244" s="10"/>
      <c r="D1244" s="11"/>
      <c r="E1244" s="10"/>
      <c r="F1244" s="10"/>
      <c r="G1244" s="10"/>
      <c r="H1244" s="12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0"/>
      <c r="T1244" s="10"/>
      <c r="U1244" s="10"/>
      <c r="V1244" s="10"/>
      <c r="W1244" s="10"/>
      <c r="X1244" s="10"/>
      <c r="Y1244" s="10"/>
      <c r="Z1244" s="10"/>
      <c r="AA1244" s="10"/>
    </row>
    <row r="1245" spans="1:27" ht="12.5" x14ac:dyDescent="0.25">
      <c r="A1245" s="10"/>
      <c r="B1245" s="10"/>
      <c r="C1245" s="10"/>
      <c r="D1245" s="11"/>
      <c r="E1245" s="10"/>
      <c r="F1245" s="10"/>
      <c r="G1245" s="10"/>
      <c r="H1245" s="12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0"/>
      <c r="T1245" s="10"/>
      <c r="U1245" s="10"/>
      <c r="V1245" s="10"/>
      <c r="W1245" s="10"/>
      <c r="X1245" s="10"/>
      <c r="Y1245" s="10"/>
      <c r="Z1245" s="10"/>
      <c r="AA1245" s="10"/>
    </row>
    <row r="1246" spans="1:27" ht="12.5" x14ac:dyDescent="0.25">
      <c r="A1246" s="10"/>
      <c r="B1246" s="10"/>
      <c r="C1246" s="10"/>
      <c r="D1246" s="11"/>
      <c r="E1246" s="10"/>
      <c r="F1246" s="10"/>
      <c r="G1246" s="10"/>
      <c r="H1246" s="12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0"/>
      <c r="T1246" s="10"/>
      <c r="U1246" s="10"/>
      <c r="V1246" s="10"/>
      <c r="W1246" s="10"/>
      <c r="X1246" s="10"/>
      <c r="Y1246" s="10"/>
      <c r="Z1246" s="10"/>
      <c r="AA1246" s="10"/>
    </row>
    <row r="1247" spans="1:27" ht="12.5" x14ac:dyDescent="0.25">
      <c r="A1247" s="10"/>
      <c r="B1247" s="10"/>
      <c r="C1247" s="10"/>
      <c r="D1247" s="11"/>
      <c r="E1247" s="10"/>
      <c r="F1247" s="10"/>
      <c r="G1247" s="10"/>
      <c r="H1247" s="12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0"/>
      <c r="T1247" s="10"/>
      <c r="U1247" s="10"/>
      <c r="V1247" s="10"/>
      <c r="W1247" s="10"/>
      <c r="X1247" s="10"/>
      <c r="Y1247" s="10"/>
      <c r="Z1247" s="10"/>
      <c r="AA1247" s="10"/>
    </row>
    <row r="1248" spans="1:27" ht="12.5" x14ac:dyDescent="0.25">
      <c r="A1248" s="10"/>
      <c r="B1248" s="10"/>
      <c r="C1248" s="10"/>
      <c r="D1248" s="11"/>
      <c r="E1248" s="10"/>
      <c r="F1248" s="10"/>
      <c r="G1248" s="10"/>
      <c r="H1248" s="12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0"/>
      <c r="T1248" s="10"/>
      <c r="U1248" s="10"/>
      <c r="V1248" s="10"/>
      <c r="W1248" s="10"/>
      <c r="X1248" s="10"/>
      <c r="Y1248" s="10"/>
      <c r="Z1248" s="10"/>
      <c r="AA1248" s="10"/>
    </row>
    <row r="1249" spans="1:27" ht="12.5" x14ac:dyDescent="0.25">
      <c r="A1249" s="10"/>
      <c r="B1249" s="10"/>
      <c r="C1249" s="10"/>
      <c r="D1249" s="11"/>
      <c r="E1249" s="10"/>
      <c r="F1249" s="10"/>
      <c r="G1249" s="10"/>
      <c r="H1249" s="12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0"/>
      <c r="T1249" s="10"/>
      <c r="U1249" s="10"/>
      <c r="V1249" s="10"/>
      <c r="W1249" s="10"/>
      <c r="X1249" s="10"/>
      <c r="Y1249" s="10"/>
      <c r="Z1249" s="10"/>
      <c r="AA1249" s="10"/>
    </row>
    <row r="1250" spans="1:27" ht="12.5" x14ac:dyDescent="0.25">
      <c r="A1250" s="10"/>
      <c r="B1250" s="10"/>
      <c r="C1250" s="10"/>
      <c r="D1250" s="11"/>
      <c r="E1250" s="10"/>
      <c r="F1250" s="10"/>
      <c r="G1250" s="10"/>
      <c r="H1250" s="12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0"/>
      <c r="T1250" s="10"/>
      <c r="U1250" s="10"/>
      <c r="V1250" s="10"/>
      <c r="W1250" s="10"/>
      <c r="X1250" s="10"/>
      <c r="Y1250" s="10"/>
      <c r="Z1250" s="10"/>
      <c r="AA1250" s="10"/>
    </row>
    <row r="1251" spans="1:27" ht="12.5" x14ac:dyDescent="0.25">
      <c r="A1251" s="10"/>
      <c r="B1251" s="10"/>
      <c r="C1251" s="10"/>
      <c r="D1251" s="11"/>
      <c r="E1251" s="10"/>
      <c r="F1251" s="10"/>
      <c r="G1251" s="10"/>
      <c r="H1251" s="12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0"/>
      <c r="T1251" s="10"/>
      <c r="U1251" s="10"/>
      <c r="V1251" s="10"/>
      <c r="W1251" s="10"/>
      <c r="X1251" s="10"/>
      <c r="Y1251" s="10"/>
      <c r="Z1251" s="10"/>
      <c r="AA1251" s="10"/>
    </row>
    <row r="1252" spans="1:27" ht="12.5" x14ac:dyDescent="0.25">
      <c r="A1252" s="10"/>
      <c r="B1252" s="10"/>
      <c r="C1252" s="10"/>
      <c r="D1252" s="11"/>
      <c r="E1252" s="10"/>
      <c r="F1252" s="10"/>
      <c r="G1252" s="10"/>
      <c r="H1252" s="12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0"/>
      <c r="T1252" s="10"/>
      <c r="U1252" s="10"/>
      <c r="V1252" s="10"/>
      <c r="W1252" s="10"/>
      <c r="X1252" s="10"/>
      <c r="Y1252" s="10"/>
      <c r="Z1252" s="10"/>
      <c r="AA1252" s="10"/>
    </row>
    <row r="1253" spans="1:27" ht="12.5" x14ac:dyDescent="0.25">
      <c r="A1253" s="10"/>
      <c r="B1253" s="10"/>
      <c r="C1253" s="10"/>
      <c r="D1253" s="11"/>
      <c r="E1253" s="10"/>
      <c r="F1253" s="10"/>
      <c r="G1253" s="10"/>
      <c r="H1253" s="12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0"/>
      <c r="T1253" s="10"/>
      <c r="U1253" s="10"/>
      <c r="V1253" s="10"/>
      <c r="W1253" s="10"/>
      <c r="X1253" s="10"/>
      <c r="Y1253" s="10"/>
      <c r="Z1253" s="10"/>
      <c r="AA1253" s="10"/>
    </row>
    <row r="1254" spans="1:27" ht="12.5" x14ac:dyDescent="0.25">
      <c r="A1254" s="10"/>
      <c r="B1254" s="10"/>
      <c r="C1254" s="10"/>
      <c r="D1254" s="11"/>
      <c r="E1254" s="10"/>
      <c r="F1254" s="10"/>
      <c r="G1254" s="10"/>
      <c r="H1254" s="12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0"/>
      <c r="T1254" s="10"/>
      <c r="U1254" s="10"/>
      <c r="V1254" s="10"/>
      <c r="W1254" s="10"/>
      <c r="X1254" s="10"/>
      <c r="Y1254" s="10"/>
      <c r="Z1254" s="10"/>
      <c r="AA1254" s="10"/>
    </row>
    <row r="1255" spans="1:27" ht="12.5" x14ac:dyDescent="0.25">
      <c r="A1255" s="10"/>
      <c r="B1255" s="10"/>
      <c r="C1255" s="10"/>
      <c r="D1255" s="11"/>
      <c r="E1255" s="10"/>
      <c r="F1255" s="10"/>
      <c r="G1255" s="10"/>
      <c r="H1255" s="12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0"/>
      <c r="T1255" s="10"/>
      <c r="U1255" s="10"/>
      <c r="V1255" s="10"/>
      <c r="W1255" s="10"/>
      <c r="X1255" s="10"/>
      <c r="Y1255" s="10"/>
      <c r="Z1255" s="10"/>
      <c r="AA1255" s="10"/>
    </row>
    <row r="1256" spans="1:27" ht="12.5" x14ac:dyDescent="0.25">
      <c r="A1256" s="10"/>
      <c r="B1256" s="10"/>
      <c r="C1256" s="10"/>
      <c r="D1256" s="11"/>
      <c r="E1256" s="10"/>
      <c r="F1256" s="10"/>
      <c r="G1256" s="10"/>
      <c r="H1256" s="12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0"/>
      <c r="T1256" s="10"/>
      <c r="U1256" s="10"/>
      <c r="V1256" s="10"/>
      <c r="W1256" s="10"/>
      <c r="X1256" s="10"/>
      <c r="Y1256" s="10"/>
      <c r="Z1256" s="10"/>
      <c r="AA1256" s="10"/>
    </row>
    <row r="1257" spans="1:27" ht="12.5" x14ac:dyDescent="0.25">
      <c r="A1257" s="10"/>
      <c r="B1257" s="10"/>
      <c r="C1257" s="10"/>
      <c r="D1257" s="11"/>
      <c r="E1257" s="10"/>
      <c r="F1257" s="10"/>
      <c r="G1257" s="10"/>
      <c r="H1257" s="12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0"/>
      <c r="T1257" s="10"/>
      <c r="U1257" s="10"/>
      <c r="V1257" s="10"/>
      <c r="W1257" s="10"/>
      <c r="X1257" s="10"/>
      <c r="Y1257" s="10"/>
      <c r="Z1257" s="10"/>
      <c r="AA1257" s="10"/>
    </row>
    <row r="1258" spans="1:27" ht="12.5" x14ac:dyDescent="0.25">
      <c r="A1258" s="10"/>
      <c r="B1258" s="10"/>
      <c r="C1258" s="10"/>
      <c r="D1258" s="11"/>
      <c r="E1258" s="10"/>
      <c r="F1258" s="10"/>
      <c r="G1258" s="10"/>
      <c r="H1258" s="12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0"/>
      <c r="T1258" s="10"/>
      <c r="U1258" s="10"/>
      <c r="V1258" s="10"/>
      <c r="W1258" s="10"/>
      <c r="X1258" s="10"/>
      <c r="Y1258" s="10"/>
      <c r="Z1258" s="10"/>
      <c r="AA1258" s="10"/>
    </row>
    <row r="1259" spans="1:27" ht="12.5" x14ac:dyDescent="0.25">
      <c r="A1259" s="10"/>
      <c r="B1259" s="10"/>
      <c r="C1259" s="10"/>
      <c r="D1259" s="11"/>
      <c r="E1259" s="10"/>
      <c r="F1259" s="10"/>
      <c r="G1259" s="10"/>
      <c r="H1259" s="12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0"/>
      <c r="T1259" s="10"/>
      <c r="U1259" s="10"/>
      <c r="V1259" s="10"/>
      <c r="W1259" s="10"/>
      <c r="X1259" s="10"/>
      <c r="Y1259" s="10"/>
      <c r="Z1259" s="10"/>
      <c r="AA1259" s="10"/>
    </row>
    <row r="1260" spans="1:27" ht="12.5" x14ac:dyDescent="0.25">
      <c r="A1260" s="10"/>
      <c r="B1260" s="10"/>
      <c r="C1260" s="10"/>
      <c r="D1260" s="11"/>
      <c r="E1260" s="10"/>
      <c r="F1260" s="10"/>
      <c r="G1260" s="10"/>
      <c r="H1260" s="12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0"/>
      <c r="T1260" s="10"/>
      <c r="U1260" s="10"/>
      <c r="V1260" s="10"/>
      <c r="W1260" s="10"/>
      <c r="X1260" s="10"/>
      <c r="Y1260" s="10"/>
      <c r="Z1260" s="10"/>
      <c r="AA1260" s="10"/>
    </row>
    <row r="1261" spans="1:27" ht="12.5" x14ac:dyDescent="0.25">
      <c r="A1261" s="10"/>
      <c r="B1261" s="10"/>
      <c r="C1261" s="10"/>
      <c r="D1261" s="11"/>
      <c r="E1261" s="10"/>
      <c r="F1261" s="10"/>
      <c r="G1261" s="10"/>
      <c r="H1261" s="12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0"/>
      <c r="T1261" s="10"/>
      <c r="U1261" s="10"/>
      <c r="V1261" s="10"/>
      <c r="W1261" s="10"/>
      <c r="X1261" s="10"/>
      <c r="Y1261" s="10"/>
      <c r="Z1261" s="10"/>
      <c r="AA1261" s="10"/>
    </row>
    <row r="1262" spans="1:27" ht="12.5" x14ac:dyDescent="0.25">
      <c r="A1262" s="10"/>
      <c r="B1262" s="10"/>
      <c r="C1262" s="10"/>
      <c r="D1262" s="11"/>
      <c r="E1262" s="10"/>
      <c r="F1262" s="10"/>
      <c r="G1262" s="10"/>
      <c r="H1262" s="12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0"/>
      <c r="T1262" s="10"/>
      <c r="U1262" s="10"/>
      <c r="V1262" s="10"/>
      <c r="W1262" s="10"/>
      <c r="X1262" s="10"/>
      <c r="Y1262" s="10"/>
      <c r="Z1262" s="10"/>
      <c r="AA1262" s="10"/>
    </row>
    <row r="1263" spans="1:27" ht="12.5" x14ac:dyDescent="0.25">
      <c r="A1263" s="10"/>
      <c r="B1263" s="10"/>
      <c r="C1263" s="10"/>
      <c r="D1263" s="11"/>
      <c r="E1263" s="10"/>
      <c r="F1263" s="10"/>
      <c r="G1263" s="10"/>
      <c r="H1263" s="12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0"/>
      <c r="T1263" s="10"/>
      <c r="U1263" s="10"/>
      <c r="V1263" s="10"/>
      <c r="W1263" s="10"/>
      <c r="X1263" s="10"/>
      <c r="Y1263" s="10"/>
      <c r="Z1263" s="10"/>
      <c r="AA1263" s="10"/>
    </row>
    <row r="1264" spans="1:27" ht="12.5" x14ac:dyDescent="0.25">
      <c r="A1264" s="10"/>
      <c r="B1264" s="10"/>
      <c r="C1264" s="10"/>
      <c r="D1264" s="11"/>
      <c r="E1264" s="10"/>
      <c r="F1264" s="10"/>
      <c r="G1264" s="10"/>
      <c r="H1264" s="12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0"/>
      <c r="T1264" s="10"/>
      <c r="U1264" s="10"/>
      <c r="V1264" s="10"/>
      <c r="W1264" s="10"/>
      <c r="X1264" s="10"/>
      <c r="Y1264" s="10"/>
      <c r="Z1264" s="10"/>
      <c r="AA1264" s="10"/>
    </row>
    <row r="1265" spans="1:27" ht="12.5" x14ac:dyDescent="0.25">
      <c r="A1265" s="10"/>
      <c r="B1265" s="10"/>
      <c r="C1265" s="10"/>
      <c r="D1265" s="11"/>
      <c r="E1265" s="10"/>
      <c r="F1265" s="10"/>
      <c r="G1265" s="10"/>
      <c r="H1265" s="12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0"/>
      <c r="T1265" s="10"/>
      <c r="U1265" s="10"/>
      <c r="V1265" s="10"/>
      <c r="W1265" s="10"/>
      <c r="X1265" s="10"/>
      <c r="Y1265" s="10"/>
      <c r="Z1265" s="10"/>
      <c r="AA1265" s="10"/>
    </row>
    <row r="1266" spans="1:27" ht="12.5" x14ac:dyDescent="0.25">
      <c r="A1266" s="10"/>
      <c r="B1266" s="10"/>
      <c r="C1266" s="10"/>
      <c r="D1266" s="11"/>
      <c r="E1266" s="10"/>
      <c r="F1266" s="10"/>
      <c r="G1266" s="10"/>
      <c r="H1266" s="12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0"/>
      <c r="T1266" s="10"/>
      <c r="U1266" s="10"/>
      <c r="V1266" s="10"/>
      <c r="W1266" s="10"/>
      <c r="X1266" s="10"/>
      <c r="Y1266" s="10"/>
      <c r="Z1266" s="10"/>
      <c r="AA1266" s="10"/>
    </row>
    <row r="1267" spans="1:27" ht="12.5" x14ac:dyDescent="0.25">
      <c r="A1267" s="10"/>
      <c r="B1267" s="10"/>
      <c r="C1267" s="10"/>
      <c r="D1267" s="11"/>
      <c r="E1267" s="10"/>
      <c r="F1267" s="10"/>
      <c r="G1267" s="10"/>
      <c r="H1267" s="12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0"/>
      <c r="T1267" s="10"/>
      <c r="U1267" s="10"/>
      <c r="V1267" s="10"/>
      <c r="W1267" s="10"/>
      <c r="X1267" s="10"/>
      <c r="Y1267" s="10"/>
      <c r="Z1267" s="10"/>
      <c r="AA1267" s="10"/>
    </row>
    <row r="1268" spans="1:27" ht="12.5" x14ac:dyDescent="0.25">
      <c r="A1268" s="10"/>
      <c r="B1268" s="10"/>
      <c r="C1268" s="10"/>
      <c r="D1268" s="11"/>
      <c r="E1268" s="10"/>
      <c r="F1268" s="10"/>
      <c r="G1268" s="10"/>
      <c r="H1268" s="12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0"/>
      <c r="T1268" s="10"/>
      <c r="U1268" s="10"/>
      <c r="V1268" s="10"/>
      <c r="W1268" s="10"/>
      <c r="X1268" s="10"/>
      <c r="Y1268" s="10"/>
      <c r="Z1268" s="10"/>
      <c r="AA1268" s="10"/>
    </row>
    <row r="1269" spans="1:27" ht="12.5" x14ac:dyDescent="0.25">
      <c r="A1269" s="10"/>
      <c r="B1269" s="10"/>
      <c r="C1269" s="10"/>
      <c r="D1269" s="11"/>
      <c r="E1269" s="10"/>
      <c r="F1269" s="10"/>
      <c r="G1269" s="10"/>
      <c r="H1269" s="12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0"/>
      <c r="T1269" s="10"/>
      <c r="U1269" s="10"/>
      <c r="V1269" s="10"/>
      <c r="W1269" s="10"/>
      <c r="X1269" s="10"/>
      <c r="Y1269" s="10"/>
      <c r="Z1269" s="10"/>
      <c r="AA1269" s="10"/>
    </row>
    <row r="1270" spans="1:27" ht="12.5" x14ac:dyDescent="0.25">
      <c r="A1270" s="10"/>
      <c r="B1270" s="10"/>
      <c r="C1270" s="10"/>
      <c r="D1270" s="11"/>
      <c r="E1270" s="10"/>
      <c r="F1270" s="10"/>
      <c r="G1270" s="10"/>
      <c r="H1270" s="12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0"/>
      <c r="T1270" s="10"/>
      <c r="U1270" s="10"/>
      <c r="V1270" s="10"/>
      <c r="W1270" s="10"/>
      <c r="X1270" s="10"/>
      <c r="Y1270" s="10"/>
      <c r="Z1270" s="10"/>
      <c r="AA1270" s="10"/>
    </row>
    <row r="1271" spans="1:27" ht="12.5" x14ac:dyDescent="0.25">
      <c r="A1271" s="10"/>
      <c r="B1271" s="10"/>
      <c r="C1271" s="10"/>
      <c r="D1271" s="11"/>
      <c r="E1271" s="10"/>
      <c r="F1271" s="10"/>
      <c r="G1271" s="10"/>
      <c r="H1271" s="12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0"/>
      <c r="T1271" s="10"/>
      <c r="U1271" s="10"/>
      <c r="V1271" s="10"/>
      <c r="W1271" s="10"/>
      <c r="X1271" s="10"/>
      <c r="Y1271" s="10"/>
      <c r="Z1271" s="10"/>
      <c r="AA1271" s="10"/>
    </row>
    <row r="1272" spans="1:27" ht="12.5" x14ac:dyDescent="0.25">
      <c r="A1272" s="10"/>
      <c r="B1272" s="10"/>
      <c r="C1272" s="10"/>
      <c r="D1272" s="11"/>
      <c r="E1272" s="10"/>
      <c r="F1272" s="10"/>
      <c r="G1272" s="10"/>
      <c r="H1272" s="12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0"/>
      <c r="T1272" s="10"/>
      <c r="U1272" s="10"/>
      <c r="V1272" s="10"/>
      <c r="W1272" s="10"/>
      <c r="X1272" s="10"/>
      <c r="Y1272" s="10"/>
      <c r="Z1272" s="10"/>
      <c r="AA1272" s="10"/>
    </row>
    <row r="1273" spans="1:27" ht="12.5" x14ac:dyDescent="0.25">
      <c r="A1273" s="10"/>
      <c r="B1273" s="10"/>
      <c r="C1273" s="10"/>
      <c r="D1273" s="11"/>
      <c r="E1273" s="10"/>
      <c r="F1273" s="10"/>
      <c r="G1273" s="10"/>
      <c r="H1273" s="12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0"/>
      <c r="T1273" s="10"/>
      <c r="U1273" s="10"/>
      <c r="V1273" s="10"/>
      <c r="W1273" s="10"/>
      <c r="X1273" s="10"/>
      <c r="Y1273" s="10"/>
      <c r="Z1273" s="10"/>
      <c r="AA1273" s="10"/>
    </row>
    <row r="1274" spans="1:27" ht="12.5" x14ac:dyDescent="0.25">
      <c r="A1274" s="10"/>
      <c r="B1274" s="10"/>
      <c r="C1274" s="10"/>
      <c r="D1274" s="11"/>
      <c r="E1274" s="10"/>
      <c r="F1274" s="10"/>
      <c r="G1274" s="10"/>
      <c r="H1274" s="12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0"/>
      <c r="T1274" s="10"/>
      <c r="U1274" s="10"/>
      <c r="V1274" s="10"/>
      <c r="W1274" s="10"/>
      <c r="X1274" s="10"/>
      <c r="Y1274" s="10"/>
      <c r="Z1274" s="10"/>
      <c r="AA1274" s="10"/>
    </row>
    <row r="1275" spans="1:27" ht="12.5" x14ac:dyDescent="0.25">
      <c r="A1275" s="10"/>
      <c r="B1275" s="10"/>
      <c r="C1275" s="10"/>
      <c r="D1275" s="11"/>
      <c r="E1275" s="10"/>
      <c r="F1275" s="10"/>
      <c r="G1275" s="10"/>
      <c r="H1275" s="12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0"/>
      <c r="T1275" s="10"/>
      <c r="U1275" s="10"/>
      <c r="V1275" s="10"/>
      <c r="W1275" s="10"/>
      <c r="X1275" s="10"/>
      <c r="Y1275" s="10"/>
      <c r="Z1275" s="10"/>
      <c r="AA1275" s="10"/>
    </row>
    <row r="1276" spans="1:27" ht="12.5" x14ac:dyDescent="0.25">
      <c r="A1276" s="10"/>
      <c r="B1276" s="10"/>
      <c r="C1276" s="10"/>
      <c r="D1276" s="11"/>
      <c r="E1276" s="10"/>
      <c r="F1276" s="10"/>
      <c r="G1276" s="10"/>
      <c r="H1276" s="12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0"/>
      <c r="T1276" s="10"/>
      <c r="U1276" s="10"/>
      <c r="V1276" s="10"/>
      <c r="W1276" s="10"/>
      <c r="X1276" s="10"/>
      <c r="Y1276" s="10"/>
      <c r="Z1276" s="10"/>
      <c r="AA1276" s="10"/>
    </row>
    <row r="1277" spans="1:27" ht="12.5" x14ac:dyDescent="0.25">
      <c r="A1277" s="10"/>
      <c r="B1277" s="10"/>
      <c r="C1277" s="10"/>
      <c r="D1277" s="11"/>
      <c r="E1277" s="10"/>
      <c r="F1277" s="10"/>
      <c r="G1277" s="10"/>
      <c r="H1277" s="12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0"/>
      <c r="T1277" s="10"/>
      <c r="U1277" s="10"/>
      <c r="V1277" s="10"/>
      <c r="W1277" s="10"/>
      <c r="X1277" s="10"/>
      <c r="Y1277" s="10"/>
      <c r="Z1277" s="10"/>
      <c r="AA1277" s="10"/>
    </row>
    <row r="1278" spans="1:27" ht="12.5" x14ac:dyDescent="0.25">
      <c r="A1278" s="10"/>
      <c r="B1278" s="10"/>
      <c r="C1278" s="10"/>
      <c r="D1278" s="11"/>
      <c r="E1278" s="10"/>
      <c r="F1278" s="10"/>
      <c r="G1278" s="10"/>
      <c r="H1278" s="12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0"/>
      <c r="T1278" s="10"/>
      <c r="U1278" s="10"/>
      <c r="V1278" s="10"/>
      <c r="W1278" s="10"/>
      <c r="X1278" s="10"/>
      <c r="Y1278" s="10"/>
      <c r="Z1278" s="10"/>
      <c r="AA1278" s="10"/>
    </row>
    <row r="1279" spans="1:27" ht="12.5" x14ac:dyDescent="0.25">
      <c r="A1279" s="10"/>
      <c r="B1279" s="10"/>
      <c r="C1279" s="10"/>
      <c r="D1279" s="11"/>
      <c r="E1279" s="10"/>
      <c r="F1279" s="10"/>
      <c r="G1279" s="10"/>
      <c r="H1279" s="12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0"/>
      <c r="T1279" s="10"/>
      <c r="U1279" s="10"/>
      <c r="V1279" s="10"/>
      <c r="W1279" s="10"/>
      <c r="X1279" s="10"/>
      <c r="Y1279" s="10"/>
      <c r="Z1279" s="10"/>
      <c r="AA1279" s="10"/>
    </row>
    <row r="1280" spans="1:27" ht="12.5" x14ac:dyDescent="0.25">
      <c r="A1280" s="10"/>
      <c r="B1280" s="10"/>
      <c r="C1280" s="10"/>
      <c r="D1280" s="11"/>
      <c r="E1280" s="10"/>
      <c r="F1280" s="10"/>
      <c r="G1280" s="10"/>
      <c r="H1280" s="12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0"/>
      <c r="T1280" s="10"/>
      <c r="U1280" s="10"/>
      <c r="V1280" s="10"/>
      <c r="W1280" s="10"/>
      <c r="X1280" s="10"/>
      <c r="Y1280" s="10"/>
      <c r="Z1280" s="10"/>
      <c r="AA1280" s="10"/>
    </row>
    <row r="1281" spans="1:27" ht="12.5" x14ac:dyDescent="0.25">
      <c r="A1281" s="10"/>
      <c r="B1281" s="10"/>
      <c r="C1281" s="10"/>
      <c r="D1281" s="11"/>
      <c r="E1281" s="10"/>
      <c r="F1281" s="10"/>
      <c r="G1281" s="10"/>
      <c r="H1281" s="12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0"/>
      <c r="T1281" s="10"/>
      <c r="U1281" s="10"/>
      <c r="V1281" s="10"/>
      <c r="W1281" s="10"/>
      <c r="X1281" s="10"/>
      <c r="Y1281" s="10"/>
      <c r="Z1281" s="10"/>
      <c r="AA1281" s="10"/>
    </row>
    <row r="1282" spans="1:27" ht="12.5" x14ac:dyDescent="0.25">
      <c r="A1282" s="10"/>
      <c r="B1282" s="10"/>
      <c r="C1282" s="10"/>
      <c r="D1282" s="11"/>
      <c r="E1282" s="10"/>
      <c r="F1282" s="10"/>
      <c r="G1282" s="10"/>
      <c r="H1282" s="12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0"/>
      <c r="T1282" s="10"/>
      <c r="U1282" s="10"/>
      <c r="V1282" s="10"/>
      <c r="W1282" s="10"/>
      <c r="X1282" s="10"/>
      <c r="Y1282" s="10"/>
      <c r="Z1282" s="10"/>
      <c r="AA1282" s="10"/>
    </row>
    <row r="1283" spans="1:27" ht="12.5" x14ac:dyDescent="0.25">
      <c r="A1283" s="10"/>
      <c r="B1283" s="10"/>
      <c r="C1283" s="10"/>
      <c r="D1283" s="11"/>
      <c r="E1283" s="10"/>
      <c r="F1283" s="10"/>
      <c r="G1283" s="10"/>
      <c r="H1283" s="12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0"/>
      <c r="T1283" s="10"/>
      <c r="U1283" s="10"/>
      <c r="V1283" s="10"/>
      <c r="W1283" s="10"/>
      <c r="X1283" s="10"/>
      <c r="Y1283" s="10"/>
      <c r="Z1283" s="10"/>
      <c r="AA1283" s="10"/>
    </row>
    <row r="1284" spans="1:27" ht="12.5" x14ac:dyDescent="0.25">
      <c r="A1284" s="10"/>
      <c r="B1284" s="10"/>
      <c r="C1284" s="10"/>
      <c r="D1284" s="11"/>
      <c r="E1284" s="10"/>
      <c r="F1284" s="10"/>
      <c r="G1284" s="10"/>
      <c r="H1284" s="12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0"/>
      <c r="T1284" s="10"/>
      <c r="U1284" s="10"/>
      <c r="V1284" s="10"/>
      <c r="W1284" s="10"/>
      <c r="X1284" s="10"/>
      <c r="Y1284" s="10"/>
      <c r="Z1284" s="10"/>
      <c r="AA1284" s="10"/>
    </row>
    <row r="1285" spans="1:27" ht="12.5" x14ac:dyDescent="0.25">
      <c r="A1285" s="10"/>
      <c r="B1285" s="10"/>
      <c r="C1285" s="10"/>
      <c r="D1285" s="11"/>
      <c r="E1285" s="10"/>
      <c r="F1285" s="10"/>
      <c r="G1285" s="10"/>
      <c r="H1285" s="12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0"/>
      <c r="T1285" s="10"/>
      <c r="U1285" s="10"/>
      <c r="V1285" s="10"/>
      <c r="W1285" s="10"/>
      <c r="X1285" s="10"/>
      <c r="Y1285" s="10"/>
      <c r="Z1285" s="10"/>
      <c r="AA1285" s="10"/>
    </row>
    <row r="1286" spans="1:27" ht="12.5" x14ac:dyDescent="0.25">
      <c r="A1286" s="10"/>
      <c r="B1286" s="10"/>
      <c r="C1286" s="10"/>
      <c r="D1286" s="11"/>
      <c r="E1286" s="10"/>
      <c r="F1286" s="10"/>
      <c r="G1286" s="10"/>
      <c r="H1286" s="12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0"/>
      <c r="T1286" s="10"/>
      <c r="U1286" s="10"/>
      <c r="V1286" s="10"/>
      <c r="W1286" s="10"/>
      <c r="X1286" s="10"/>
      <c r="Y1286" s="10"/>
      <c r="Z1286" s="10"/>
      <c r="AA1286" s="10"/>
    </row>
    <row r="1287" spans="1:27" ht="12.5" x14ac:dyDescent="0.25">
      <c r="A1287" s="10"/>
      <c r="B1287" s="10"/>
      <c r="C1287" s="10"/>
      <c r="D1287" s="11"/>
      <c r="E1287" s="10"/>
      <c r="F1287" s="10"/>
      <c r="G1287" s="10"/>
      <c r="H1287" s="12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0"/>
      <c r="T1287" s="10"/>
      <c r="U1287" s="10"/>
      <c r="V1287" s="10"/>
      <c r="W1287" s="10"/>
      <c r="X1287" s="10"/>
      <c r="Y1287" s="10"/>
      <c r="Z1287" s="10"/>
      <c r="AA1287" s="10"/>
    </row>
    <row r="1288" spans="1:27" ht="12.5" x14ac:dyDescent="0.25">
      <c r="A1288" s="10"/>
      <c r="B1288" s="10"/>
      <c r="C1288" s="10"/>
      <c r="D1288" s="11"/>
      <c r="E1288" s="10"/>
      <c r="F1288" s="10"/>
      <c r="G1288" s="10"/>
      <c r="H1288" s="12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0"/>
      <c r="T1288" s="10"/>
      <c r="U1288" s="10"/>
      <c r="V1288" s="10"/>
      <c r="W1288" s="10"/>
      <c r="X1288" s="10"/>
      <c r="Y1288" s="10"/>
      <c r="Z1288" s="10"/>
      <c r="AA1288" s="10"/>
    </row>
    <row r="1289" spans="1:27" ht="12.5" x14ac:dyDescent="0.25">
      <c r="A1289" s="10"/>
      <c r="B1289" s="10"/>
      <c r="C1289" s="10"/>
      <c r="D1289" s="11"/>
      <c r="E1289" s="10"/>
      <c r="F1289" s="10"/>
      <c r="G1289" s="10"/>
      <c r="H1289" s="12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0"/>
      <c r="T1289" s="10"/>
      <c r="U1289" s="10"/>
      <c r="V1289" s="10"/>
      <c r="W1289" s="10"/>
      <c r="X1289" s="10"/>
      <c r="Y1289" s="10"/>
      <c r="Z1289" s="10"/>
      <c r="AA1289" s="10"/>
    </row>
    <row r="1290" spans="1:27" ht="12.5" x14ac:dyDescent="0.25">
      <c r="A1290" s="10"/>
      <c r="B1290" s="10"/>
      <c r="C1290" s="10"/>
      <c r="D1290" s="11"/>
      <c r="E1290" s="10"/>
      <c r="F1290" s="10"/>
      <c r="G1290" s="10"/>
      <c r="H1290" s="12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0"/>
      <c r="T1290" s="10"/>
      <c r="U1290" s="10"/>
      <c r="V1290" s="10"/>
      <c r="W1290" s="10"/>
      <c r="X1290" s="10"/>
      <c r="Y1290" s="10"/>
      <c r="Z1290" s="10"/>
      <c r="AA1290" s="10"/>
    </row>
    <row r="1291" spans="1:27" ht="12.5" x14ac:dyDescent="0.25">
      <c r="A1291" s="10"/>
      <c r="B1291" s="10"/>
      <c r="C1291" s="10"/>
      <c r="D1291" s="11"/>
      <c r="E1291" s="10"/>
      <c r="F1291" s="10"/>
      <c r="G1291" s="10"/>
      <c r="H1291" s="12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0"/>
      <c r="T1291" s="10"/>
      <c r="U1291" s="10"/>
      <c r="V1291" s="10"/>
      <c r="W1291" s="10"/>
      <c r="X1291" s="10"/>
      <c r="Y1291" s="10"/>
      <c r="Z1291" s="10"/>
      <c r="AA1291" s="10"/>
    </row>
    <row r="1292" spans="1:27" ht="12.5" x14ac:dyDescent="0.25">
      <c r="A1292" s="10"/>
      <c r="B1292" s="10"/>
      <c r="C1292" s="10"/>
      <c r="D1292" s="11"/>
      <c r="E1292" s="10"/>
      <c r="F1292" s="10"/>
      <c r="G1292" s="10"/>
      <c r="H1292" s="12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0"/>
      <c r="T1292" s="10"/>
      <c r="U1292" s="10"/>
      <c r="V1292" s="10"/>
      <c r="W1292" s="10"/>
      <c r="X1292" s="10"/>
      <c r="Y1292" s="10"/>
      <c r="Z1292" s="10"/>
      <c r="AA1292" s="10"/>
    </row>
    <row r="1293" spans="1:27" ht="12.5" x14ac:dyDescent="0.25">
      <c r="A1293" s="10"/>
      <c r="B1293" s="10"/>
      <c r="C1293" s="10"/>
      <c r="D1293" s="11"/>
      <c r="E1293" s="10"/>
      <c r="F1293" s="10"/>
      <c r="G1293" s="10"/>
      <c r="H1293" s="12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0"/>
      <c r="T1293" s="10"/>
      <c r="U1293" s="10"/>
      <c r="V1293" s="10"/>
      <c r="W1293" s="10"/>
      <c r="X1293" s="10"/>
      <c r="Y1293" s="10"/>
      <c r="Z1293" s="10"/>
      <c r="AA1293" s="10"/>
    </row>
    <row r="1294" spans="1:27" ht="12.5" x14ac:dyDescent="0.25">
      <c r="A1294" s="10"/>
      <c r="B1294" s="10"/>
      <c r="C1294" s="10"/>
      <c r="D1294" s="11"/>
      <c r="E1294" s="10"/>
      <c r="F1294" s="10"/>
      <c r="G1294" s="10"/>
      <c r="H1294" s="12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0"/>
      <c r="T1294" s="10"/>
      <c r="U1294" s="10"/>
      <c r="V1294" s="10"/>
      <c r="W1294" s="10"/>
      <c r="X1294" s="10"/>
      <c r="Y1294" s="10"/>
      <c r="Z1294" s="10"/>
      <c r="AA1294" s="10"/>
    </row>
    <row r="1295" spans="1:27" ht="12.5" x14ac:dyDescent="0.25">
      <c r="A1295" s="10"/>
      <c r="B1295" s="10"/>
      <c r="C1295" s="10"/>
      <c r="D1295" s="11"/>
      <c r="E1295" s="10"/>
      <c r="F1295" s="10"/>
      <c r="G1295" s="10"/>
      <c r="H1295" s="12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0"/>
      <c r="T1295" s="10"/>
      <c r="U1295" s="10"/>
      <c r="V1295" s="10"/>
      <c r="W1295" s="10"/>
      <c r="X1295" s="10"/>
      <c r="Y1295" s="10"/>
      <c r="Z1295" s="10"/>
      <c r="AA1295" s="10"/>
    </row>
    <row r="1296" spans="1:27" ht="12.5" x14ac:dyDescent="0.25">
      <c r="A1296" s="10"/>
      <c r="B1296" s="10"/>
      <c r="C1296" s="10"/>
      <c r="D1296" s="11"/>
      <c r="E1296" s="10"/>
      <c r="F1296" s="10"/>
      <c r="G1296" s="10"/>
      <c r="H1296" s="12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0"/>
      <c r="T1296" s="10"/>
      <c r="U1296" s="10"/>
      <c r="V1296" s="10"/>
      <c r="W1296" s="10"/>
      <c r="X1296" s="10"/>
      <c r="Y1296" s="10"/>
      <c r="Z1296" s="10"/>
      <c r="AA1296" s="10"/>
    </row>
    <row r="1297" spans="1:27" ht="12.5" x14ac:dyDescent="0.25">
      <c r="A1297" s="10"/>
      <c r="B1297" s="10"/>
      <c r="C1297" s="10"/>
      <c r="D1297" s="11"/>
      <c r="E1297" s="10"/>
      <c r="F1297" s="10"/>
      <c r="G1297" s="10"/>
      <c r="H1297" s="12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0"/>
      <c r="T1297" s="10"/>
      <c r="U1297" s="10"/>
      <c r="V1297" s="10"/>
      <c r="W1297" s="10"/>
      <c r="X1297" s="10"/>
      <c r="Y1297" s="10"/>
      <c r="Z1297" s="10"/>
      <c r="AA1297" s="10"/>
    </row>
    <row r="1298" spans="1:27" ht="12.5" x14ac:dyDescent="0.25">
      <c r="A1298" s="10"/>
      <c r="B1298" s="10"/>
      <c r="C1298" s="10"/>
      <c r="D1298" s="11"/>
      <c r="E1298" s="10"/>
      <c r="F1298" s="10"/>
      <c r="G1298" s="10"/>
      <c r="H1298" s="12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0"/>
      <c r="T1298" s="10"/>
      <c r="U1298" s="10"/>
      <c r="V1298" s="10"/>
      <c r="W1298" s="10"/>
      <c r="X1298" s="10"/>
      <c r="Y1298" s="10"/>
      <c r="Z1298" s="10"/>
      <c r="AA1298" s="10"/>
    </row>
    <row r="1299" spans="1:27" ht="12.5" x14ac:dyDescent="0.25">
      <c r="A1299" s="10"/>
      <c r="B1299" s="10"/>
      <c r="C1299" s="10"/>
      <c r="D1299" s="11"/>
      <c r="E1299" s="10"/>
      <c r="F1299" s="10"/>
      <c r="G1299" s="10"/>
      <c r="H1299" s="12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0"/>
      <c r="T1299" s="10"/>
      <c r="U1299" s="10"/>
      <c r="V1299" s="10"/>
      <c r="W1299" s="10"/>
      <c r="X1299" s="10"/>
      <c r="Y1299" s="10"/>
      <c r="Z1299" s="10"/>
      <c r="AA1299" s="10"/>
    </row>
    <row r="1300" spans="1:27" ht="12.5" x14ac:dyDescent="0.25">
      <c r="A1300" s="10"/>
      <c r="B1300" s="10"/>
      <c r="C1300" s="10"/>
      <c r="D1300" s="11"/>
      <c r="E1300" s="10"/>
      <c r="F1300" s="10"/>
      <c r="G1300" s="10"/>
      <c r="H1300" s="12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0"/>
      <c r="T1300" s="10"/>
      <c r="U1300" s="10"/>
      <c r="V1300" s="10"/>
      <c r="W1300" s="10"/>
      <c r="X1300" s="10"/>
      <c r="Y1300" s="10"/>
      <c r="Z1300" s="10"/>
      <c r="AA1300" s="10"/>
    </row>
    <row r="1301" spans="1:27" ht="12.5" x14ac:dyDescent="0.25">
      <c r="A1301" s="10"/>
      <c r="B1301" s="10"/>
      <c r="C1301" s="10"/>
      <c r="D1301" s="11"/>
      <c r="E1301" s="10"/>
      <c r="F1301" s="10"/>
      <c r="G1301" s="10"/>
      <c r="H1301" s="12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0"/>
      <c r="T1301" s="10"/>
      <c r="U1301" s="10"/>
      <c r="V1301" s="10"/>
      <c r="W1301" s="10"/>
      <c r="X1301" s="10"/>
      <c r="Y1301" s="10"/>
      <c r="Z1301" s="10"/>
      <c r="AA1301" s="10"/>
    </row>
    <row r="1302" spans="1:27" ht="12.5" x14ac:dyDescent="0.25">
      <c r="A1302" s="10"/>
      <c r="B1302" s="10"/>
      <c r="C1302" s="10"/>
      <c r="D1302" s="11"/>
      <c r="E1302" s="10"/>
      <c r="F1302" s="10"/>
      <c r="G1302" s="10"/>
      <c r="H1302" s="12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0"/>
      <c r="T1302" s="10"/>
      <c r="U1302" s="10"/>
      <c r="V1302" s="10"/>
      <c r="W1302" s="10"/>
      <c r="X1302" s="10"/>
      <c r="Y1302" s="10"/>
      <c r="Z1302" s="10"/>
      <c r="AA1302" s="10"/>
    </row>
    <row r="1303" spans="1:27" ht="12.5" x14ac:dyDescent="0.25">
      <c r="A1303" s="10"/>
      <c r="B1303" s="10"/>
      <c r="C1303" s="10"/>
      <c r="D1303" s="11"/>
      <c r="E1303" s="10"/>
      <c r="F1303" s="10"/>
      <c r="G1303" s="10"/>
      <c r="H1303" s="12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0"/>
      <c r="T1303" s="10"/>
      <c r="U1303" s="10"/>
      <c r="V1303" s="10"/>
      <c r="W1303" s="10"/>
      <c r="X1303" s="10"/>
      <c r="Y1303" s="10"/>
      <c r="Z1303" s="10"/>
      <c r="AA1303" s="10"/>
    </row>
    <row r="1304" spans="1:27" ht="12.5" x14ac:dyDescent="0.25">
      <c r="A1304" s="10"/>
      <c r="B1304" s="10"/>
      <c r="C1304" s="10"/>
      <c r="D1304" s="11"/>
      <c r="E1304" s="10"/>
      <c r="F1304" s="10"/>
      <c r="G1304" s="10"/>
      <c r="H1304" s="12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0"/>
      <c r="T1304" s="10"/>
      <c r="U1304" s="10"/>
      <c r="V1304" s="10"/>
      <c r="W1304" s="10"/>
      <c r="X1304" s="10"/>
      <c r="Y1304" s="10"/>
      <c r="Z1304" s="10"/>
      <c r="AA1304" s="10"/>
    </row>
    <row r="1305" spans="1:27" ht="12.5" x14ac:dyDescent="0.25">
      <c r="A1305" s="10"/>
      <c r="B1305" s="10"/>
      <c r="C1305" s="10"/>
      <c r="D1305" s="11"/>
      <c r="E1305" s="10"/>
      <c r="F1305" s="10"/>
      <c r="G1305" s="10"/>
      <c r="H1305" s="12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0"/>
      <c r="T1305" s="10"/>
      <c r="U1305" s="10"/>
      <c r="V1305" s="10"/>
      <c r="W1305" s="10"/>
      <c r="X1305" s="10"/>
      <c r="Y1305" s="10"/>
      <c r="Z1305" s="10"/>
      <c r="AA1305" s="10"/>
    </row>
    <row r="1306" spans="1:27" ht="12.5" x14ac:dyDescent="0.25">
      <c r="A1306" s="10"/>
      <c r="B1306" s="10"/>
      <c r="C1306" s="10"/>
      <c r="D1306" s="11"/>
      <c r="E1306" s="10"/>
      <c r="F1306" s="10"/>
      <c r="G1306" s="10"/>
      <c r="H1306" s="12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0"/>
      <c r="T1306" s="10"/>
      <c r="U1306" s="10"/>
      <c r="V1306" s="10"/>
      <c r="W1306" s="10"/>
      <c r="X1306" s="10"/>
      <c r="Y1306" s="10"/>
      <c r="Z1306" s="10"/>
      <c r="AA1306" s="10"/>
    </row>
    <row r="1307" spans="1:27" ht="12.5" x14ac:dyDescent="0.25">
      <c r="A1307" s="10"/>
      <c r="B1307" s="10"/>
      <c r="C1307" s="10"/>
      <c r="D1307" s="11"/>
      <c r="E1307" s="10"/>
      <c r="F1307" s="10"/>
      <c r="G1307" s="10"/>
      <c r="H1307" s="12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0"/>
      <c r="T1307" s="10"/>
      <c r="U1307" s="10"/>
      <c r="V1307" s="10"/>
      <c r="W1307" s="10"/>
      <c r="X1307" s="10"/>
      <c r="Y1307" s="10"/>
      <c r="Z1307" s="10"/>
      <c r="AA1307" s="10"/>
    </row>
    <row r="1308" spans="1:27" ht="12.5" x14ac:dyDescent="0.25">
      <c r="A1308" s="10"/>
      <c r="B1308" s="10"/>
      <c r="C1308" s="10"/>
      <c r="D1308" s="11"/>
      <c r="E1308" s="10"/>
      <c r="F1308" s="10"/>
      <c r="G1308" s="10"/>
      <c r="H1308" s="12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0"/>
      <c r="T1308" s="10"/>
      <c r="U1308" s="10"/>
      <c r="V1308" s="10"/>
      <c r="W1308" s="10"/>
      <c r="X1308" s="10"/>
      <c r="Y1308" s="10"/>
      <c r="Z1308" s="10"/>
      <c r="AA1308" s="10"/>
    </row>
    <row r="1309" spans="1:27" ht="12.5" x14ac:dyDescent="0.25">
      <c r="A1309" s="10"/>
      <c r="B1309" s="10"/>
      <c r="C1309" s="10"/>
      <c r="D1309" s="11"/>
      <c r="E1309" s="10"/>
      <c r="F1309" s="10"/>
      <c r="G1309" s="10"/>
      <c r="H1309" s="12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0"/>
      <c r="T1309" s="10"/>
      <c r="U1309" s="10"/>
      <c r="V1309" s="10"/>
      <c r="W1309" s="10"/>
      <c r="X1309" s="10"/>
      <c r="Y1309" s="10"/>
      <c r="Z1309" s="10"/>
      <c r="AA1309" s="10"/>
    </row>
    <row r="1310" spans="1:27" ht="12.5" x14ac:dyDescent="0.25">
      <c r="A1310" s="10"/>
      <c r="B1310" s="10"/>
      <c r="C1310" s="10"/>
      <c r="D1310" s="11"/>
      <c r="E1310" s="10"/>
      <c r="F1310" s="10"/>
      <c r="G1310" s="10"/>
      <c r="H1310" s="12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0"/>
      <c r="T1310" s="10"/>
      <c r="U1310" s="10"/>
      <c r="V1310" s="10"/>
      <c r="W1310" s="10"/>
      <c r="X1310" s="10"/>
      <c r="Y1310" s="10"/>
      <c r="Z1310" s="10"/>
      <c r="AA1310" s="10"/>
    </row>
    <row r="1311" spans="1:27" ht="12.5" x14ac:dyDescent="0.25">
      <c r="A1311" s="10"/>
      <c r="B1311" s="10"/>
      <c r="C1311" s="10"/>
      <c r="D1311" s="11"/>
      <c r="E1311" s="10"/>
      <c r="F1311" s="10"/>
      <c r="G1311" s="10"/>
      <c r="H1311" s="12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0"/>
      <c r="T1311" s="10"/>
      <c r="U1311" s="10"/>
      <c r="V1311" s="10"/>
      <c r="W1311" s="10"/>
      <c r="X1311" s="10"/>
      <c r="Y1311" s="10"/>
      <c r="Z1311" s="10"/>
      <c r="AA1311" s="10"/>
    </row>
    <row r="1312" spans="1:27" ht="12.5" x14ac:dyDescent="0.25">
      <c r="A1312" s="10"/>
      <c r="B1312" s="10"/>
      <c r="C1312" s="10"/>
      <c r="D1312" s="11"/>
      <c r="E1312" s="10"/>
      <c r="F1312" s="10"/>
      <c r="G1312" s="10"/>
      <c r="H1312" s="12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0"/>
      <c r="T1312" s="10"/>
      <c r="U1312" s="10"/>
      <c r="V1312" s="10"/>
      <c r="W1312" s="10"/>
      <c r="X1312" s="10"/>
      <c r="Y1312" s="10"/>
      <c r="Z1312" s="10"/>
      <c r="AA1312" s="10"/>
    </row>
    <row r="1313" spans="1:27" ht="12.5" x14ac:dyDescent="0.25">
      <c r="A1313" s="10"/>
      <c r="B1313" s="10"/>
      <c r="C1313" s="10"/>
      <c r="D1313" s="11"/>
      <c r="E1313" s="10"/>
      <c r="F1313" s="10"/>
      <c r="G1313" s="10"/>
      <c r="H1313" s="12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0"/>
      <c r="T1313" s="10"/>
      <c r="U1313" s="10"/>
      <c r="V1313" s="10"/>
      <c r="W1313" s="10"/>
      <c r="X1313" s="10"/>
      <c r="Y1313" s="10"/>
      <c r="Z1313" s="10"/>
      <c r="AA1313" s="10"/>
    </row>
    <row r="1314" spans="1:27" ht="12.5" x14ac:dyDescent="0.25">
      <c r="A1314" s="10"/>
      <c r="B1314" s="10"/>
      <c r="C1314" s="10"/>
      <c r="D1314" s="11"/>
      <c r="E1314" s="10"/>
      <c r="F1314" s="10"/>
      <c r="G1314" s="10"/>
      <c r="H1314" s="12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0"/>
      <c r="T1314" s="10"/>
      <c r="U1314" s="10"/>
      <c r="V1314" s="10"/>
      <c r="W1314" s="10"/>
      <c r="X1314" s="10"/>
      <c r="Y1314" s="10"/>
      <c r="Z1314" s="10"/>
      <c r="AA1314" s="10"/>
    </row>
    <row r="1315" spans="1:27" ht="12.5" x14ac:dyDescent="0.25">
      <c r="A1315" s="10"/>
      <c r="B1315" s="10"/>
      <c r="C1315" s="10"/>
      <c r="D1315" s="11"/>
      <c r="E1315" s="10"/>
      <c r="F1315" s="10"/>
      <c r="G1315" s="10"/>
      <c r="H1315" s="12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0"/>
      <c r="T1315" s="10"/>
      <c r="U1315" s="10"/>
      <c r="V1315" s="10"/>
      <c r="W1315" s="10"/>
      <c r="X1315" s="10"/>
      <c r="Y1315" s="10"/>
      <c r="Z1315" s="10"/>
      <c r="AA1315" s="10"/>
    </row>
    <row r="1316" spans="1:27" ht="12.5" x14ac:dyDescent="0.25">
      <c r="A1316" s="10"/>
      <c r="B1316" s="10"/>
      <c r="C1316" s="10"/>
      <c r="D1316" s="11"/>
      <c r="E1316" s="10"/>
      <c r="F1316" s="10"/>
      <c r="G1316" s="10"/>
      <c r="H1316" s="12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0"/>
      <c r="T1316" s="10"/>
      <c r="U1316" s="10"/>
      <c r="V1316" s="10"/>
      <c r="W1316" s="10"/>
      <c r="X1316" s="10"/>
      <c r="Y1316" s="10"/>
      <c r="Z1316" s="10"/>
      <c r="AA1316" s="10"/>
    </row>
    <row r="1317" spans="1:27" ht="12.5" x14ac:dyDescent="0.25">
      <c r="A1317" s="10"/>
      <c r="B1317" s="10"/>
      <c r="C1317" s="10"/>
      <c r="D1317" s="11"/>
      <c r="E1317" s="10"/>
      <c r="F1317" s="10"/>
      <c r="G1317" s="10"/>
      <c r="H1317" s="12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0"/>
      <c r="T1317" s="10"/>
      <c r="U1317" s="10"/>
      <c r="V1317" s="10"/>
      <c r="W1317" s="10"/>
      <c r="X1317" s="10"/>
      <c r="Y1317" s="10"/>
      <c r="Z1317" s="10"/>
      <c r="AA1317" s="10"/>
    </row>
    <row r="1318" spans="1:27" ht="12.5" x14ac:dyDescent="0.25">
      <c r="A1318" s="10"/>
      <c r="B1318" s="10"/>
      <c r="C1318" s="10"/>
      <c r="D1318" s="11"/>
      <c r="E1318" s="10"/>
      <c r="F1318" s="10"/>
      <c r="G1318" s="10"/>
      <c r="H1318" s="12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0"/>
      <c r="T1318" s="10"/>
      <c r="U1318" s="10"/>
      <c r="V1318" s="10"/>
      <c r="W1318" s="10"/>
      <c r="X1318" s="10"/>
      <c r="Y1318" s="10"/>
      <c r="Z1318" s="10"/>
      <c r="AA1318" s="10"/>
    </row>
    <row r="1319" spans="1:27" ht="12.5" x14ac:dyDescent="0.25">
      <c r="A1319" s="10"/>
      <c r="B1319" s="10"/>
      <c r="C1319" s="10"/>
      <c r="D1319" s="11"/>
      <c r="E1319" s="10"/>
      <c r="F1319" s="10"/>
      <c r="G1319" s="10"/>
      <c r="H1319" s="12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0"/>
      <c r="T1319" s="10"/>
      <c r="U1319" s="10"/>
      <c r="V1319" s="10"/>
      <c r="W1319" s="10"/>
      <c r="X1319" s="10"/>
      <c r="Y1319" s="10"/>
      <c r="Z1319" s="10"/>
      <c r="AA1319" s="10"/>
    </row>
    <row r="1320" spans="1:27" ht="12.5" x14ac:dyDescent="0.25">
      <c r="A1320" s="10"/>
      <c r="B1320" s="10"/>
      <c r="C1320" s="10"/>
      <c r="D1320" s="11"/>
      <c r="E1320" s="10"/>
      <c r="F1320" s="10"/>
      <c r="G1320" s="10"/>
      <c r="H1320" s="12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0"/>
      <c r="T1320" s="10"/>
      <c r="U1320" s="10"/>
      <c r="V1320" s="10"/>
      <c r="W1320" s="10"/>
      <c r="X1320" s="10"/>
      <c r="Y1320" s="10"/>
      <c r="Z1320" s="10"/>
      <c r="AA1320" s="10"/>
    </row>
    <row r="1321" spans="1:27" ht="12.5" x14ac:dyDescent="0.25">
      <c r="A1321" s="10"/>
      <c r="B1321" s="10"/>
      <c r="C1321" s="10"/>
      <c r="D1321" s="11"/>
      <c r="E1321" s="10"/>
      <c r="F1321" s="10"/>
      <c r="G1321" s="10"/>
      <c r="H1321" s="12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0"/>
      <c r="T1321" s="10"/>
      <c r="U1321" s="10"/>
      <c r="V1321" s="10"/>
      <c r="W1321" s="10"/>
      <c r="X1321" s="10"/>
      <c r="Y1321" s="10"/>
      <c r="Z1321" s="10"/>
      <c r="AA1321" s="10"/>
    </row>
    <row r="1322" spans="1:27" ht="12.5" x14ac:dyDescent="0.25">
      <c r="A1322" s="10"/>
      <c r="B1322" s="10"/>
      <c r="C1322" s="10"/>
      <c r="D1322" s="11"/>
      <c r="E1322" s="10"/>
      <c r="F1322" s="10"/>
      <c r="G1322" s="10"/>
      <c r="H1322" s="12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0"/>
      <c r="T1322" s="10"/>
      <c r="U1322" s="10"/>
      <c r="V1322" s="10"/>
      <c r="W1322" s="10"/>
      <c r="X1322" s="10"/>
      <c r="Y1322" s="10"/>
      <c r="Z1322" s="10"/>
      <c r="AA1322" s="10"/>
    </row>
    <row r="1323" spans="1:27" ht="12.5" x14ac:dyDescent="0.25">
      <c r="A1323" s="10"/>
      <c r="B1323" s="10"/>
      <c r="C1323" s="10"/>
      <c r="D1323" s="11"/>
      <c r="E1323" s="10"/>
      <c r="F1323" s="10"/>
      <c r="G1323" s="10"/>
      <c r="H1323" s="12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0"/>
      <c r="T1323" s="10"/>
      <c r="U1323" s="10"/>
      <c r="V1323" s="10"/>
      <c r="W1323" s="10"/>
      <c r="X1323" s="10"/>
      <c r="Y1323" s="10"/>
      <c r="Z1323" s="10"/>
      <c r="AA1323" s="10"/>
    </row>
    <row r="1324" spans="1:27" ht="12.5" x14ac:dyDescent="0.25">
      <c r="A1324" s="10"/>
      <c r="B1324" s="10"/>
      <c r="C1324" s="10"/>
      <c r="D1324" s="11"/>
      <c r="E1324" s="10"/>
      <c r="F1324" s="10"/>
      <c r="G1324" s="10"/>
      <c r="H1324" s="12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0"/>
      <c r="T1324" s="10"/>
      <c r="U1324" s="10"/>
      <c r="V1324" s="10"/>
      <c r="W1324" s="10"/>
      <c r="X1324" s="10"/>
      <c r="Y1324" s="10"/>
      <c r="Z1324" s="10"/>
      <c r="AA1324" s="10"/>
    </row>
    <row r="1325" spans="1:27" ht="12.5" x14ac:dyDescent="0.25">
      <c r="A1325" s="10"/>
      <c r="B1325" s="10"/>
      <c r="C1325" s="10"/>
      <c r="D1325" s="11"/>
      <c r="E1325" s="10"/>
      <c r="F1325" s="10"/>
      <c r="G1325" s="10"/>
      <c r="H1325" s="12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0"/>
      <c r="T1325" s="10"/>
      <c r="U1325" s="10"/>
      <c r="V1325" s="10"/>
      <c r="W1325" s="10"/>
      <c r="X1325" s="10"/>
      <c r="Y1325" s="10"/>
      <c r="Z1325" s="10"/>
      <c r="AA1325" s="10"/>
    </row>
    <row r="1326" spans="1:27" ht="12.5" x14ac:dyDescent="0.25">
      <c r="A1326" s="10"/>
      <c r="B1326" s="10"/>
      <c r="C1326" s="10"/>
      <c r="D1326" s="11"/>
      <c r="E1326" s="10"/>
      <c r="F1326" s="10"/>
      <c r="G1326" s="10"/>
      <c r="H1326" s="12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0"/>
      <c r="T1326" s="10"/>
      <c r="U1326" s="10"/>
      <c r="V1326" s="10"/>
      <c r="W1326" s="10"/>
      <c r="X1326" s="10"/>
      <c r="Y1326" s="10"/>
      <c r="Z1326" s="10"/>
      <c r="AA1326" s="10"/>
    </row>
    <row r="1327" spans="1:27" ht="12.5" x14ac:dyDescent="0.25">
      <c r="A1327" s="10"/>
      <c r="B1327" s="10"/>
      <c r="C1327" s="10"/>
      <c r="D1327" s="11"/>
      <c r="E1327" s="10"/>
      <c r="F1327" s="10"/>
      <c r="G1327" s="10"/>
      <c r="H1327" s="12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0"/>
      <c r="T1327" s="10"/>
      <c r="U1327" s="10"/>
      <c r="V1327" s="10"/>
      <c r="W1327" s="10"/>
      <c r="X1327" s="10"/>
      <c r="Y1327" s="10"/>
      <c r="Z1327" s="10"/>
      <c r="AA1327" s="10"/>
    </row>
    <row r="1328" spans="1:27" ht="12.5" x14ac:dyDescent="0.25">
      <c r="A1328" s="10"/>
      <c r="B1328" s="10"/>
      <c r="C1328" s="10"/>
      <c r="D1328" s="11"/>
      <c r="E1328" s="10"/>
      <c r="F1328" s="10"/>
      <c r="G1328" s="10"/>
      <c r="H1328" s="12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0"/>
      <c r="T1328" s="10"/>
      <c r="U1328" s="10"/>
      <c r="V1328" s="10"/>
      <c r="W1328" s="10"/>
      <c r="X1328" s="10"/>
      <c r="Y1328" s="10"/>
      <c r="Z1328" s="10"/>
      <c r="AA1328" s="10"/>
    </row>
    <row r="1329" spans="1:27" ht="12.5" x14ac:dyDescent="0.25">
      <c r="A1329" s="10"/>
      <c r="B1329" s="10"/>
      <c r="C1329" s="10"/>
      <c r="D1329" s="11"/>
      <c r="E1329" s="10"/>
      <c r="F1329" s="10"/>
      <c r="G1329" s="10"/>
      <c r="H1329" s="12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0"/>
      <c r="T1329" s="10"/>
      <c r="U1329" s="10"/>
      <c r="V1329" s="10"/>
      <c r="W1329" s="10"/>
      <c r="X1329" s="10"/>
      <c r="Y1329" s="10"/>
      <c r="Z1329" s="10"/>
      <c r="AA1329" s="10"/>
    </row>
    <row r="1330" spans="1:27" ht="12.5" x14ac:dyDescent="0.25">
      <c r="A1330" s="10"/>
      <c r="B1330" s="10"/>
      <c r="C1330" s="10"/>
      <c r="D1330" s="11"/>
      <c r="E1330" s="10"/>
      <c r="F1330" s="10"/>
      <c r="G1330" s="10"/>
      <c r="H1330" s="12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0"/>
      <c r="T1330" s="10"/>
      <c r="U1330" s="10"/>
      <c r="V1330" s="10"/>
      <c r="W1330" s="10"/>
      <c r="X1330" s="10"/>
      <c r="Y1330" s="10"/>
      <c r="Z1330" s="10"/>
      <c r="AA1330" s="10"/>
    </row>
    <row r="1331" spans="1:27" ht="12.5" x14ac:dyDescent="0.25">
      <c r="A1331" s="10"/>
      <c r="B1331" s="10"/>
      <c r="C1331" s="10"/>
      <c r="D1331" s="11"/>
      <c r="E1331" s="10"/>
      <c r="F1331" s="10"/>
      <c r="G1331" s="10"/>
      <c r="H1331" s="12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0"/>
      <c r="T1331" s="10"/>
      <c r="U1331" s="10"/>
      <c r="V1331" s="10"/>
      <c r="W1331" s="10"/>
      <c r="X1331" s="10"/>
      <c r="Y1331" s="10"/>
      <c r="Z1331" s="10"/>
      <c r="AA1331" s="10"/>
    </row>
    <row r="1332" spans="1:27" ht="12.5" x14ac:dyDescent="0.25">
      <c r="A1332" s="10"/>
      <c r="B1332" s="10"/>
      <c r="C1332" s="10"/>
      <c r="D1332" s="11"/>
      <c r="E1332" s="10"/>
      <c r="F1332" s="10"/>
      <c r="G1332" s="10"/>
      <c r="H1332" s="12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0"/>
      <c r="T1332" s="10"/>
      <c r="U1332" s="10"/>
      <c r="V1332" s="10"/>
      <c r="W1332" s="10"/>
      <c r="X1332" s="10"/>
      <c r="Y1332" s="10"/>
      <c r="Z1332" s="10"/>
      <c r="AA1332" s="10"/>
    </row>
    <row r="1333" spans="1:27" ht="12.5" x14ac:dyDescent="0.25">
      <c r="A1333" s="10"/>
      <c r="B1333" s="10"/>
      <c r="C1333" s="10"/>
      <c r="D1333" s="11"/>
      <c r="E1333" s="10"/>
      <c r="F1333" s="10"/>
      <c r="G1333" s="10"/>
      <c r="H1333" s="12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0"/>
      <c r="T1333" s="10"/>
      <c r="U1333" s="10"/>
      <c r="V1333" s="10"/>
      <c r="W1333" s="10"/>
      <c r="X1333" s="10"/>
      <c r="Y1333" s="10"/>
      <c r="Z1333" s="10"/>
      <c r="AA1333" s="10"/>
    </row>
    <row r="1334" spans="1:27" ht="12.5" x14ac:dyDescent="0.25">
      <c r="A1334" s="10"/>
      <c r="B1334" s="10"/>
      <c r="C1334" s="10"/>
      <c r="D1334" s="11"/>
      <c r="E1334" s="10"/>
      <c r="F1334" s="10"/>
      <c r="G1334" s="10"/>
      <c r="H1334" s="12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0"/>
      <c r="T1334" s="10"/>
      <c r="U1334" s="10"/>
      <c r="V1334" s="10"/>
      <c r="W1334" s="10"/>
      <c r="X1334" s="10"/>
      <c r="Y1334" s="10"/>
      <c r="Z1334" s="10"/>
      <c r="AA1334" s="10"/>
    </row>
    <row r="1335" spans="1:27" ht="12.5" x14ac:dyDescent="0.25">
      <c r="A1335" s="10"/>
      <c r="B1335" s="10"/>
      <c r="C1335" s="10"/>
      <c r="D1335" s="11"/>
      <c r="E1335" s="10"/>
      <c r="F1335" s="10"/>
      <c r="G1335" s="10"/>
      <c r="H1335" s="12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0"/>
      <c r="T1335" s="10"/>
      <c r="U1335" s="10"/>
      <c r="V1335" s="10"/>
      <c r="W1335" s="10"/>
      <c r="X1335" s="10"/>
      <c r="Y1335" s="10"/>
      <c r="Z1335" s="10"/>
      <c r="AA1335" s="10"/>
    </row>
    <row r="1336" spans="1:27" ht="12.5" x14ac:dyDescent="0.25">
      <c r="A1336" s="10"/>
      <c r="B1336" s="10"/>
      <c r="C1336" s="10"/>
      <c r="D1336" s="11"/>
      <c r="E1336" s="10"/>
      <c r="F1336" s="10"/>
      <c r="G1336" s="10"/>
      <c r="H1336" s="12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0"/>
      <c r="T1336" s="10"/>
      <c r="U1336" s="10"/>
      <c r="V1336" s="10"/>
      <c r="W1336" s="10"/>
      <c r="X1336" s="10"/>
      <c r="Y1336" s="10"/>
      <c r="Z1336" s="10"/>
      <c r="AA1336" s="10"/>
    </row>
    <row r="1337" spans="1:27" ht="12.5" x14ac:dyDescent="0.25">
      <c r="A1337" s="10"/>
      <c r="B1337" s="10"/>
      <c r="C1337" s="10"/>
      <c r="D1337" s="11"/>
      <c r="E1337" s="10"/>
      <c r="F1337" s="10"/>
      <c r="G1337" s="10"/>
      <c r="H1337" s="12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0"/>
      <c r="T1337" s="10"/>
      <c r="U1337" s="10"/>
      <c r="V1337" s="10"/>
      <c r="W1337" s="10"/>
      <c r="X1337" s="10"/>
      <c r="Y1337" s="10"/>
      <c r="Z1337" s="10"/>
      <c r="AA1337" s="10"/>
    </row>
    <row r="1338" spans="1:27" ht="12.5" x14ac:dyDescent="0.25">
      <c r="A1338" s="10"/>
      <c r="B1338" s="10"/>
      <c r="C1338" s="10"/>
      <c r="D1338" s="11"/>
      <c r="E1338" s="10"/>
      <c r="F1338" s="10"/>
      <c r="G1338" s="10"/>
      <c r="H1338" s="12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0"/>
      <c r="T1338" s="10"/>
      <c r="U1338" s="10"/>
      <c r="V1338" s="10"/>
      <c r="W1338" s="10"/>
      <c r="X1338" s="10"/>
      <c r="Y1338" s="10"/>
      <c r="Z1338" s="10"/>
      <c r="AA1338" s="10"/>
    </row>
    <row r="1339" spans="1:27" ht="12.5" x14ac:dyDescent="0.25">
      <c r="A1339" s="10"/>
      <c r="B1339" s="10"/>
      <c r="C1339" s="10"/>
      <c r="D1339" s="11"/>
      <c r="E1339" s="10"/>
      <c r="F1339" s="10"/>
      <c r="G1339" s="10"/>
      <c r="H1339" s="12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0"/>
      <c r="T1339" s="10"/>
      <c r="U1339" s="10"/>
      <c r="V1339" s="10"/>
      <c r="W1339" s="10"/>
      <c r="X1339" s="10"/>
      <c r="Y1339" s="10"/>
      <c r="Z1339" s="10"/>
      <c r="AA1339" s="10"/>
    </row>
    <row r="1340" spans="1:27" ht="12.5" x14ac:dyDescent="0.25">
      <c r="A1340" s="10"/>
      <c r="B1340" s="10"/>
      <c r="C1340" s="10"/>
      <c r="D1340" s="11"/>
      <c r="E1340" s="10"/>
      <c r="F1340" s="10"/>
      <c r="G1340" s="10"/>
      <c r="H1340" s="12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0"/>
      <c r="T1340" s="10"/>
      <c r="U1340" s="10"/>
      <c r="V1340" s="10"/>
      <c r="W1340" s="10"/>
      <c r="X1340" s="10"/>
      <c r="Y1340" s="10"/>
      <c r="Z1340" s="10"/>
      <c r="AA1340" s="10"/>
    </row>
    <row r="1341" spans="1:27" ht="12.5" x14ac:dyDescent="0.25">
      <c r="A1341" s="10"/>
      <c r="B1341" s="10"/>
      <c r="C1341" s="10"/>
      <c r="D1341" s="11"/>
      <c r="E1341" s="10"/>
      <c r="F1341" s="10"/>
      <c r="G1341" s="10"/>
      <c r="H1341" s="12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0"/>
      <c r="T1341" s="10"/>
      <c r="U1341" s="10"/>
      <c r="V1341" s="10"/>
      <c r="W1341" s="10"/>
      <c r="X1341" s="10"/>
      <c r="Y1341" s="10"/>
      <c r="Z1341" s="10"/>
      <c r="AA1341" s="10"/>
    </row>
    <row r="1342" spans="1:27" ht="12.5" x14ac:dyDescent="0.25">
      <c r="A1342" s="10"/>
      <c r="B1342" s="10"/>
      <c r="C1342" s="10"/>
      <c r="D1342" s="11"/>
      <c r="E1342" s="10"/>
      <c r="F1342" s="10"/>
      <c r="G1342" s="10"/>
      <c r="H1342" s="12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0"/>
      <c r="T1342" s="10"/>
      <c r="U1342" s="10"/>
      <c r="V1342" s="10"/>
      <c r="W1342" s="10"/>
      <c r="X1342" s="10"/>
      <c r="Y1342" s="10"/>
      <c r="Z1342" s="10"/>
      <c r="AA1342" s="10"/>
    </row>
    <row r="1343" spans="1:27" ht="12.5" x14ac:dyDescent="0.25">
      <c r="A1343" s="10"/>
      <c r="B1343" s="10"/>
      <c r="C1343" s="10"/>
      <c r="D1343" s="11"/>
      <c r="E1343" s="10"/>
      <c r="F1343" s="10"/>
      <c r="G1343" s="10"/>
      <c r="H1343" s="12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0"/>
      <c r="T1343" s="10"/>
      <c r="U1343" s="10"/>
      <c r="V1343" s="10"/>
      <c r="W1343" s="10"/>
      <c r="X1343" s="10"/>
      <c r="Y1343" s="10"/>
      <c r="Z1343" s="10"/>
      <c r="AA1343" s="10"/>
    </row>
    <row r="1344" spans="1:27" ht="12.5" x14ac:dyDescent="0.25">
      <c r="A1344" s="10"/>
      <c r="B1344" s="10"/>
      <c r="C1344" s="10"/>
      <c r="D1344" s="11"/>
      <c r="E1344" s="10"/>
      <c r="F1344" s="10"/>
      <c r="G1344" s="10"/>
      <c r="H1344" s="12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0"/>
      <c r="T1344" s="10"/>
      <c r="U1344" s="10"/>
      <c r="V1344" s="10"/>
      <c r="W1344" s="10"/>
      <c r="X1344" s="10"/>
      <c r="Y1344" s="10"/>
      <c r="Z1344" s="10"/>
      <c r="AA1344" s="10"/>
    </row>
    <row r="1345" spans="1:27" ht="12.5" x14ac:dyDescent="0.25">
      <c r="A1345" s="10"/>
      <c r="B1345" s="10"/>
      <c r="C1345" s="10"/>
      <c r="D1345" s="11"/>
      <c r="E1345" s="10"/>
      <c r="F1345" s="10"/>
      <c r="G1345" s="10"/>
      <c r="H1345" s="12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0"/>
      <c r="T1345" s="10"/>
      <c r="U1345" s="10"/>
      <c r="V1345" s="10"/>
      <c r="W1345" s="10"/>
      <c r="X1345" s="10"/>
      <c r="Y1345" s="10"/>
      <c r="Z1345" s="10"/>
      <c r="AA1345" s="10"/>
    </row>
    <row r="1346" spans="1:27" ht="12.5" x14ac:dyDescent="0.25">
      <c r="A1346" s="10"/>
      <c r="B1346" s="10"/>
      <c r="C1346" s="10"/>
      <c r="D1346" s="11"/>
      <c r="E1346" s="10"/>
      <c r="F1346" s="10"/>
      <c r="G1346" s="10"/>
      <c r="H1346" s="12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0"/>
      <c r="T1346" s="10"/>
      <c r="U1346" s="10"/>
      <c r="V1346" s="10"/>
      <c r="W1346" s="10"/>
      <c r="X1346" s="10"/>
      <c r="Y1346" s="10"/>
      <c r="Z1346" s="10"/>
      <c r="AA1346" s="10"/>
    </row>
    <row r="1347" spans="1:27" ht="12.5" x14ac:dyDescent="0.25">
      <c r="A1347" s="10"/>
      <c r="B1347" s="10"/>
      <c r="C1347" s="10"/>
      <c r="D1347" s="11"/>
      <c r="E1347" s="10"/>
      <c r="F1347" s="10"/>
      <c r="G1347" s="10"/>
      <c r="H1347" s="12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0"/>
      <c r="T1347" s="10"/>
      <c r="U1347" s="10"/>
      <c r="V1347" s="10"/>
      <c r="W1347" s="10"/>
      <c r="X1347" s="10"/>
      <c r="Y1347" s="10"/>
      <c r="Z1347" s="10"/>
      <c r="AA1347" s="10"/>
    </row>
    <row r="1348" spans="1:27" ht="12.5" x14ac:dyDescent="0.25">
      <c r="A1348" s="10"/>
      <c r="B1348" s="10"/>
      <c r="C1348" s="10"/>
      <c r="D1348" s="11"/>
      <c r="E1348" s="10"/>
      <c r="F1348" s="10"/>
      <c r="G1348" s="10"/>
      <c r="H1348" s="12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0"/>
      <c r="T1348" s="10"/>
      <c r="U1348" s="10"/>
      <c r="V1348" s="10"/>
      <c r="W1348" s="10"/>
      <c r="X1348" s="10"/>
      <c r="Y1348" s="10"/>
      <c r="Z1348" s="10"/>
      <c r="AA1348" s="10"/>
    </row>
    <row r="1349" spans="1:27" ht="12.5" x14ac:dyDescent="0.25">
      <c r="A1349" s="10"/>
      <c r="B1349" s="10"/>
      <c r="C1349" s="10"/>
      <c r="D1349" s="11"/>
      <c r="E1349" s="10"/>
      <c r="F1349" s="10"/>
      <c r="G1349" s="10"/>
      <c r="H1349" s="12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0"/>
      <c r="T1349" s="10"/>
      <c r="U1349" s="10"/>
      <c r="V1349" s="10"/>
      <c r="W1349" s="10"/>
      <c r="X1349" s="10"/>
      <c r="Y1349" s="10"/>
      <c r="Z1349" s="10"/>
      <c r="AA1349" s="10"/>
    </row>
    <row r="1350" spans="1:27" ht="12.5" x14ac:dyDescent="0.25">
      <c r="A1350" s="10"/>
      <c r="B1350" s="10"/>
      <c r="C1350" s="10"/>
      <c r="D1350" s="11"/>
      <c r="E1350" s="10"/>
      <c r="F1350" s="10"/>
      <c r="G1350" s="10"/>
      <c r="H1350" s="12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0"/>
      <c r="T1350" s="10"/>
      <c r="U1350" s="10"/>
      <c r="V1350" s="10"/>
      <c r="W1350" s="10"/>
      <c r="X1350" s="10"/>
      <c r="Y1350" s="10"/>
      <c r="Z1350" s="10"/>
      <c r="AA1350" s="10"/>
    </row>
    <row r="1351" spans="1:27" ht="12.5" x14ac:dyDescent="0.25">
      <c r="A1351" s="10"/>
      <c r="B1351" s="10"/>
      <c r="C1351" s="10"/>
      <c r="D1351" s="11"/>
      <c r="E1351" s="10"/>
      <c r="F1351" s="10"/>
      <c r="G1351" s="10"/>
      <c r="H1351" s="12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0"/>
      <c r="T1351" s="10"/>
      <c r="U1351" s="10"/>
      <c r="V1351" s="10"/>
      <c r="W1351" s="10"/>
      <c r="X1351" s="10"/>
      <c r="Y1351" s="10"/>
      <c r="Z1351" s="10"/>
      <c r="AA1351" s="10"/>
    </row>
    <row r="1352" spans="1:27" ht="12.5" x14ac:dyDescent="0.25">
      <c r="A1352" s="10"/>
      <c r="B1352" s="10"/>
      <c r="C1352" s="10"/>
      <c r="D1352" s="11"/>
      <c r="E1352" s="10"/>
      <c r="F1352" s="10"/>
      <c r="G1352" s="10"/>
      <c r="H1352" s="12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0"/>
      <c r="T1352" s="10"/>
      <c r="U1352" s="10"/>
      <c r="V1352" s="10"/>
      <c r="W1352" s="10"/>
      <c r="X1352" s="10"/>
      <c r="Y1352" s="10"/>
      <c r="Z1352" s="10"/>
      <c r="AA1352" s="10"/>
    </row>
    <row r="1353" spans="1:27" ht="12.5" x14ac:dyDescent="0.25">
      <c r="A1353" s="10"/>
      <c r="B1353" s="10"/>
      <c r="C1353" s="10"/>
      <c r="D1353" s="11"/>
      <c r="E1353" s="10"/>
      <c r="F1353" s="10"/>
      <c r="G1353" s="10"/>
      <c r="H1353" s="12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0"/>
      <c r="T1353" s="10"/>
      <c r="U1353" s="10"/>
      <c r="V1353" s="10"/>
      <c r="W1353" s="10"/>
      <c r="X1353" s="10"/>
      <c r="Y1353" s="10"/>
      <c r="Z1353" s="10"/>
      <c r="AA1353" s="10"/>
    </row>
    <row r="1354" spans="1:27" ht="12.5" x14ac:dyDescent="0.25">
      <c r="A1354" s="10"/>
      <c r="B1354" s="10"/>
      <c r="C1354" s="10"/>
      <c r="D1354" s="11"/>
      <c r="E1354" s="10"/>
      <c r="F1354" s="10"/>
      <c r="G1354" s="10"/>
      <c r="H1354" s="12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0"/>
      <c r="T1354" s="10"/>
      <c r="U1354" s="10"/>
      <c r="V1354" s="10"/>
      <c r="W1354" s="10"/>
      <c r="X1354" s="10"/>
      <c r="Y1354" s="10"/>
      <c r="Z1354" s="10"/>
      <c r="AA1354" s="10"/>
    </row>
    <row r="1355" spans="1:27" ht="12.5" x14ac:dyDescent="0.25">
      <c r="A1355" s="10"/>
      <c r="B1355" s="10"/>
      <c r="C1355" s="10"/>
      <c r="D1355" s="11"/>
      <c r="E1355" s="10"/>
      <c r="F1355" s="10"/>
      <c r="G1355" s="10"/>
      <c r="H1355" s="12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0"/>
      <c r="T1355" s="10"/>
      <c r="U1355" s="10"/>
      <c r="V1355" s="10"/>
      <c r="W1355" s="10"/>
      <c r="X1355" s="10"/>
      <c r="Y1355" s="10"/>
      <c r="Z1355" s="10"/>
      <c r="AA1355" s="10"/>
    </row>
    <row r="1356" spans="1:27" ht="12.5" x14ac:dyDescent="0.25">
      <c r="A1356" s="10"/>
      <c r="B1356" s="10"/>
      <c r="C1356" s="10"/>
      <c r="D1356" s="11"/>
      <c r="E1356" s="10"/>
      <c r="F1356" s="10"/>
      <c r="G1356" s="10"/>
      <c r="H1356" s="12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0"/>
      <c r="T1356" s="10"/>
      <c r="U1356" s="10"/>
      <c r="V1356" s="10"/>
      <c r="W1356" s="10"/>
      <c r="X1356" s="10"/>
      <c r="Y1356" s="10"/>
      <c r="Z1356" s="10"/>
      <c r="AA1356" s="10"/>
    </row>
    <row r="1357" spans="1:27" ht="12.5" x14ac:dyDescent="0.25">
      <c r="A1357" s="10"/>
      <c r="B1357" s="10"/>
      <c r="C1357" s="10"/>
      <c r="D1357" s="11"/>
      <c r="E1357" s="10"/>
      <c r="F1357" s="10"/>
      <c r="G1357" s="10"/>
      <c r="H1357" s="12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0"/>
      <c r="T1357" s="10"/>
      <c r="U1357" s="10"/>
      <c r="V1357" s="10"/>
      <c r="W1357" s="10"/>
      <c r="X1357" s="10"/>
      <c r="Y1357" s="10"/>
      <c r="Z1357" s="10"/>
      <c r="AA1357" s="10"/>
    </row>
    <row r="1358" spans="1:27" ht="12.5" x14ac:dyDescent="0.25">
      <c r="A1358" s="10"/>
      <c r="B1358" s="10"/>
      <c r="C1358" s="10"/>
      <c r="D1358" s="11"/>
      <c r="E1358" s="10"/>
      <c r="F1358" s="10"/>
      <c r="G1358" s="10"/>
      <c r="H1358" s="12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0"/>
      <c r="T1358" s="10"/>
      <c r="U1358" s="10"/>
      <c r="V1358" s="10"/>
      <c r="W1358" s="10"/>
      <c r="X1358" s="10"/>
      <c r="Y1358" s="10"/>
      <c r="Z1358" s="10"/>
      <c r="AA1358" s="10"/>
    </row>
    <row r="1359" spans="1:27" ht="12.5" x14ac:dyDescent="0.25">
      <c r="A1359" s="10"/>
      <c r="B1359" s="10"/>
      <c r="C1359" s="10"/>
      <c r="D1359" s="11"/>
      <c r="E1359" s="10"/>
      <c r="F1359" s="10"/>
      <c r="G1359" s="10"/>
      <c r="H1359" s="12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0"/>
      <c r="T1359" s="10"/>
      <c r="U1359" s="10"/>
      <c r="V1359" s="10"/>
      <c r="W1359" s="10"/>
      <c r="X1359" s="10"/>
      <c r="Y1359" s="10"/>
      <c r="Z1359" s="10"/>
      <c r="AA1359" s="10"/>
    </row>
    <row r="1360" spans="1:27" ht="12.5" x14ac:dyDescent="0.25">
      <c r="A1360" s="10"/>
      <c r="B1360" s="10"/>
      <c r="C1360" s="10"/>
      <c r="D1360" s="11"/>
      <c r="E1360" s="10"/>
      <c r="F1360" s="10"/>
      <c r="G1360" s="10"/>
      <c r="H1360" s="12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0"/>
      <c r="T1360" s="10"/>
      <c r="U1360" s="10"/>
      <c r="V1360" s="10"/>
      <c r="W1360" s="10"/>
      <c r="X1360" s="10"/>
      <c r="Y1360" s="10"/>
      <c r="Z1360" s="10"/>
      <c r="AA1360" s="10"/>
    </row>
    <row r="1361" spans="1:27" ht="12.5" x14ac:dyDescent="0.25">
      <c r="A1361" s="10"/>
      <c r="B1361" s="10"/>
      <c r="C1361" s="10"/>
      <c r="D1361" s="11"/>
      <c r="E1361" s="10"/>
      <c r="F1361" s="10"/>
      <c r="G1361" s="10"/>
      <c r="H1361" s="12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0"/>
      <c r="T1361" s="10"/>
      <c r="U1361" s="10"/>
      <c r="V1361" s="10"/>
      <c r="W1361" s="10"/>
      <c r="X1361" s="10"/>
      <c r="Y1361" s="10"/>
      <c r="Z1361" s="10"/>
      <c r="AA1361" s="10"/>
    </row>
    <row r="1362" spans="1:27" ht="12.5" x14ac:dyDescent="0.25">
      <c r="A1362" s="10"/>
      <c r="B1362" s="10"/>
      <c r="C1362" s="10"/>
      <c r="D1362" s="11"/>
      <c r="E1362" s="10"/>
      <c r="F1362" s="10"/>
      <c r="G1362" s="10"/>
      <c r="H1362" s="12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0"/>
      <c r="T1362" s="10"/>
      <c r="U1362" s="10"/>
      <c r="V1362" s="10"/>
      <c r="W1362" s="10"/>
      <c r="X1362" s="10"/>
      <c r="Y1362" s="10"/>
      <c r="Z1362" s="10"/>
      <c r="AA1362" s="10"/>
    </row>
    <row r="1363" spans="1:27" ht="12.5" x14ac:dyDescent="0.25">
      <c r="A1363" s="10"/>
      <c r="B1363" s="10"/>
      <c r="C1363" s="10"/>
      <c r="D1363" s="11"/>
      <c r="E1363" s="10"/>
      <c r="F1363" s="10"/>
      <c r="G1363" s="10"/>
      <c r="H1363" s="12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0"/>
      <c r="T1363" s="10"/>
      <c r="U1363" s="10"/>
      <c r="V1363" s="10"/>
      <c r="W1363" s="10"/>
      <c r="X1363" s="10"/>
      <c r="Y1363" s="10"/>
      <c r="Z1363" s="10"/>
      <c r="AA1363" s="10"/>
    </row>
    <row r="1364" spans="1:27" ht="12.5" x14ac:dyDescent="0.25">
      <c r="A1364" s="10"/>
      <c r="B1364" s="10"/>
      <c r="C1364" s="10"/>
      <c r="D1364" s="11"/>
      <c r="E1364" s="10"/>
      <c r="F1364" s="10"/>
      <c r="G1364" s="10"/>
      <c r="H1364" s="12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0"/>
      <c r="T1364" s="10"/>
      <c r="U1364" s="10"/>
      <c r="V1364" s="10"/>
      <c r="W1364" s="10"/>
      <c r="X1364" s="10"/>
      <c r="Y1364" s="10"/>
      <c r="Z1364" s="10"/>
      <c r="AA1364" s="10"/>
    </row>
    <row r="1365" spans="1:27" ht="12.5" x14ac:dyDescent="0.25">
      <c r="A1365" s="10"/>
      <c r="B1365" s="10"/>
      <c r="C1365" s="10"/>
      <c r="D1365" s="11"/>
      <c r="E1365" s="10"/>
      <c r="F1365" s="10"/>
      <c r="G1365" s="10"/>
      <c r="H1365" s="12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0"/>
      <c r="T1365" s="10"/>
      <c r="U1365" s="10"/>
      <c r="V1365" s="10"/>
      <c r="W1365" s="10"/>
      <c r="X1365" s="10"/>
      <c r="Y1365" s="10"/>
      <c r="Z1365" s="10"/>
      <c r="AA1365" s="10"/>
    </row>
    <row r="1366" spans="1:27" ht="12.5" x14ac:dyDescent="0.25">
      <c r="A1366" s="10"/>
      <c r="B1366" s="10"/>
      <c r="C1366" s="10"/>
      <c r="D1366" s="11"/>
      <c r="E1366" s="10"/>
      <c r="F1366" s="10"/>
      <c r="G1366" s="10"/>
      <c r="H1366" s="12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0"/>
      <c r="T1366" s="10"/>
      <c r="U1366" s="10"/>
      <c r="V1366" s="10"/>
      <c r="W1366" s="10"/>
      <c r="X1366" s="10"/>
      <c r="Y1366" s="10"/>
      <c r="Z1366" s="10"/>
      <c r="AA1366" s="10"/>
    </row>
    <row r="1367" spans="1:27" ht="12.5" x14ac:dyDescent="0.25">
      <c r="A1367" s="10"/>
      <c r="B1367" s="10"/>
      <c r="C1367" s="10"/>
      <c r="D1367" s="11"/>
      <c r="E1367" s="10"/>
      <c r="F1367" s="10"/>
      <c r="G1367" s="10"/>
      <c r="H1367" s="12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0"/>
      <c r="T1367" s="10"/>
      <c r="U1367" s="10"/>
      <c r="V1367" s="10"/>
      <c r="W1367" s="10"/>
      <c r="X1367" s="10"/>
      <c r="Y1367" s="10"/>
      <c r="Z1367" s="10"/>
      <c r="AA1367" s="10"/>
    </row>
    <row r="1368" spans="1:27" ht="12.5" x14ac:dyDescent="0.25">
      <c r="A1368" s="10"/>
      <c r="B1368" s="10"/>
      <c r="C1368" s="10"/>
      <c r="D1368" s="11"/>
      <c r="E1368" s="10"/>
      <c r="F1368" s="10"/>
      <c r="G1368" s="10"/>
      <c r="H1368" s="12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0"/>
      <c r="T1368" s="10"/>
      <c r="U1368" s="10"/>
      <c r="V1368" s="10"/>
      <c r="W1368" s="10"/>
      <c r="X1368" s="10"/>
      <c r="Y1368" s="10"/>
      <c r="Z1368" s="10"/>
      <c r="AA1368" s="10"/>
    </row>
    <row r="1369" spans="1:27" ht="12.5" x14ac:dyDescent="0.25">
      <c r="A1369" s="10"/>
      <c r="B1369" s="10"/>
      <c r="C1369" s="10"/>
      <c r="D1369" s="11"/>
      <c r="E1369" s="10"/>
      <c r="F1369" s="10"/>
      <c r="G1369" s="10"/>
      <c r="H1369" s="12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0"/>
      <c r="T1369" s="10"/>
      <c r="U1369" s="10"/>
      <c r="V1369" s="10"/>
      <c r="W1369" s="10"/>
      <c r="X1369" s="10"/>
      <c r="Y1369" s="10"/>
      <c r="Z1369" s="10"/>
      <c r="AA1369" s="10"/>
    </row>
    <row r="1370" spans="1:27" ht="12.5" x14ac:dyDescent="0.25">
      <c r="A1370" s="10"/>
      <c r="B1370" s="10"/>
      <c r="C1370" s="10"/>
      <c r="D1370" s="11"/>
      <c r="E1370" s="10"/>
      <c r="F1370" s="10"/>
      <c r="G1370" s="10"/>
      <c r="H1370" s="12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0"/>
      <c r="T1370" s="10"/>
      <c r="U1370" s="10"/>
      <c r="V1370" s="10"/>
      <c r="W1370" s="10"/>
      <c r="X1370" s="10"/>
      <c r="Y1370" s="10"/>
      <c r="Z1370" s="10"/>
      <c r="AA1370" s="10"/>
    </row>
    <row r="1371" spans="1:27" ht="12.5" x14ac:dyDescent="0.25">
      <c r="A1371" s="10"/>
      <c r="B1371" s="10"/>
      <c r="C1371" s="10"/>
      <c r="D1371" s="11"/>
      <c r="E1371" s="10"/>
      <c r="F1371" s="10"/>
      <c r="G1371" s="10"/>
      <c r="H1371" s="12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0"/>
      <c r="T1371" s="10"/>
      <c r="U1371" s="10"/>
      <c r="V1371" s="10"/>
      <c r="W1371" s="10"/>
      <c r="X1371" s="10"/>
      <c r="Y1371" s="10"/>
      <c r="Z1371" s="10"/>
      <c r="AA1371" s="10"/>
    </row>
    <row r="1372" spans="1:27" ht="12.5" x14ac:dyDescent="0.25">
      <c r="A1372" s="10"/>
      <c r="B1372" s="10"/>
      <c r="C1372" s="10"/>
      <c r="D1372" s="11"/>
      <c r="E1372" s="10"/>
      <c r="F1372" s="10"/>
      <c r="G1372" s="10"/>
      <c r="H1372" s="12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0"/>
      <c r="T1372" s="10"/>
      <c r="U1372" s="10"/>
      <c r="V1372" s="10"/>
      <c r="W1372" s="10"/>
      <c r="X1372" s="10"/>
      <c r="Y1372" s="10"/>
      <c r="Z1372" s="10"/>
      <c r="AA1372" s="10"/>
    </row>
    <row r="1373" spans="1:27" ht="12.5" x14ac:dyDescent="0.25">
      <c r="A1373" s="10"/>
      <c r="B1373" s="10"/>
      <c r="C1373" s="10"/>
      <c r="D1373" s="11"/>
      <c r="E1373" s="10"/>
      <c r="F1373" s="10"/>
      <c r="G1373" s="10"/>
      <c r="H1373" s="12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0"/>
      <c r="T1373" s="10"/>
      <c r="U1373" s="10"/>
      <c r="V1373" s="10"/>
      <c r="W1373" s="10"/>
      <c r="X1373" s="10"/>
      <c r="Y1373" s="10"/>
      <c r="Z1373" s="10"/>
      <c r="AA1373" s="10"/>
    </row>
    <row r="1374" spans="1:27" ht="12.5" x14ac:dyDescent="0.25">
      <c r="A1374" s="10"/>
      <c r="B1374" s="10"/>
      <c r="C1374" s="10"/>
      <c r="D1374" s="11"/>
      <c r="E1374" s="10"/>
      <c r="F1374" s="10"/>
      <c r="G1374" s="10"/>
      <c r="H1374" s="12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0"/>
      <c r="T1374" s="10"/>
      <c r="U1374" s="10"/>
      <c r="V1374" s="10"/>
      <c r="W1374" s="10"/>
      <c r="X1374" s="10"/>
      <c r="Y1374" s="10"/>
      <c r="Z1374" s="10"/>
      <c r="AA1374" s="10"/>
    </row>
    <row r="1375" spans="1:27" ht="12.5" x14ac:dyDescent="0.25">
      <c r="A1375" s="10"/>
      <c r="B1375" s="10"/>
      <c r="C1375" s="10"/>
      <c r="D1375" s="11"/>
      <c r="E1375" s="10"/>
      <c r="F1375" s="10"/>
      <c r="G1375" s="10"/>
      <c r="H1375" s="12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0"/>
      <c r="T1375" s="10"/>
      <c r="U1375" s="10"/>
      <c r="V1375" s="10"/>
      <c r="W1375" s="10"/>
      <c r="X1375" s="10"/>
      <c r="Y1375" s="10"/>
      <c r="Z1375" s="10"/>
      <c r="AA1375" s="10"/>
    </row>
    <row r="1376" spans="1:27" ht="12.5" x14ac:dyDescent="0.25">
      <c r="A1376" s="10"/>
      <c r="B1376" s="10"/>
      <c r="C1376" s="10"/>
      <c r="D1376" s="11"/>
      <c r="E1376" s="10"/>
      <c r="F1376" s="10"/>
      <c r="G1376" s="10"/>
      <c r="H1376" s="12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0"/>
      <c r="T1376" s="10"/>
      <c r="U1376" s="10"/>
      <c r="V1376" s="10"/>
      <c r="W1376" s="10"/>
      <c r="X1376" s="10"/>
      <c r="Y1376" s="10"/>
      <c r="Z1376" s="10"/>
      <c r="AA1376" s="10"/>
    </row>
    <row r="1377" spans="1:27" ht="12.5" x14ac:dyDescent="0.25">
      <c r="A1377" s="10"/>
      <c r="B1377" s="10"/>
      <c r="C1377" s="10"/>
      <c r="D1377" s="11"/>
      <c r="E1377" s="10"/>
      <c r="F1377" s="10"/>
      <c r="G1377" s="10"/>
      <c r="H1377" s="12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0"/>
      <c r="T1377" s="10"/>
      <c r="U1377" s="10"/>
      <c r="V1377" s="10"/>
      <c r="W1377" s="10"/>
      <c r="X1377" s="10"/>
      <c r="Y1377" s="10"/>
      <c r="Z1377" s="10"/>
      <c r="AA1377" s="10"/>
    </row>
    <row r="1378" spans="1:27" ht="12.5" x14ac:dyDescent="0.25">
      <c r="A1378" s="10"/>
      <c r="B1378" s="10"/>
      <c r="C1378" s="10"/>
      <c r="D1378" s="11"/>
      <c r="E1378" s="10"/>
      <c r="F1378" s="10"/>
      <c r="G1378" s="10"/>
      <c r="H1378" s="12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0"/>
      <c r="T1378" s="10"/>
      <c r="U1378" s="10"/>
      <c r="V1378" s="10"/>
      <c r="W1378" s="10"/>
      <c r="X1378" s="10"/>
      <c r="Y1378" s="10"/>
      <c r="Z1378" s="10"/>
      <c r="AA1378" s="10"/>
    </row>
    <row r="1379" spans="1:27" ht="12.5" x14ac:dyDescent="0.25">
      <c r="A1379" s="10"/>
      <c r="B1379" s="10"/>
      <c r="C1379" s="10"/>
      <c r="D1379" s="11"/>
      <c r="E1379" s="10"/>
      <c r="F1379" s="10"/>
      <c r="G1379" s="10"/>
      <c r="H1379" s="12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0"/>
      <c r="T1379" s="10"/>
      <c r="U1379" s="10"/>
      <c r="V1379" s="10"/>
      <c r="W1379" s="10"/>
      <c r="X1379" s="10"/>
      <c r="Y1379" s="10"/>
      <c r="Z1379" s="10"/>
      <c r="AA1379" s="10"/>
    </row>
    <row r="1380" spans="1:27" ht="12.5" x14ac:dyDescent="0.25">
      <c r="A1380" s="10"/>
      <c r="B1380" s="10"/>
      <c r="C1380" s="10"/>
      <c r="D1380" s="11"/>
      <c r="E1380" s="10"/>
      <c r="F1380" s="10"/>
      <c r="G1380" s="10"/>
      <c r="H1380" s="12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0"/>
      <c r="T1380" s="10"/>
      <c r="U1380" s="10"/>
      <c r="V1380" s="10"/>
      <c r="W1380" s="10"/>
      <c r="X1380" s="10"/>
      <c r="Y1380" s="10"/>
      <c r="Z1380" s="10"/>
      <c r="AA1380" s="10"/>
    </row>
    <row r="1381" spans="1:27" ht="12.5" x14ac:dyDescent="0.25">
      <c r="A1381" s="10"/>
      <c r="B1381" s="10"/>
      <c r="C1381" s="10"/>
      <c r="D1381" s="11"/>
      <c r="E1381" s="10"/>
      <c r="F1381" s="10"/>
      <c r="G1381" s="10"/>
      <c r="H1381" s="12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0"/>
      <c r="T1381" s="10"/>
      <c r="U1381" s="10"/>
      <c r="V1381" s="10"/>
      <c r="W1381" s="10"/>
      <c r="X1381" s="10"/>
      <c r="Y1381" s="10"/>
      <c r="Z1381" s="10"/>
      <c r="AA1381" s="10"/>
    </row>
    <row r="1382" spans="1:27" ht="12.5" x14ac:dyDescent="0.25">
      <c r="A1382" s="10"/>
      <c r="B1382" s="10"/>
      <c r="C1382" s="10"/>
      <c r="D1382" s="11"/>
      <c r="E1382" s="10"/>
      <c r="F1382" s="10"/>
      <c r="G1382" s="10"/>
      <c r="H1382" s="12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0"/>
      <c r="T1382" s="10"/>
      <c r="U1382" s="10"/>
      <c r="V1382" s="10"/>
      <c r="W1382" s="10"/>
      <c r="X1382" s="10"/>
      <c r="Y1382" s="10"/>
      <c r="Z1382" s="10"/>
      <c r="AA1382" s="10"/>
    </row>
    <row r="1383" spans="1:27" ht="12.5" x14ac:dyDescent="0.25">
      <c r="A1383" s="10"/>
      <c r="B1383" s="10"/>
      <c r="C1383" s="10"/>
      <c r="D1383" s="11"/>
      <c r="E1383" s="10"/>
      <c r="F1383" s="10"/>
      <c r="G1383" s="10"/>
      <c r="H1383" s="12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0"/>
      <c r="T1383" s="10"/>
      <c r="U1383" s="10"/>
      <c r="V1383" s="10"/>
      <c r="W1383" s="10"/>
      <c r="X1383" s="10"/>
      <c r="Y1383" s="10"/>
      <c r="Z1383" s="10"/>
      <c r="AA1383" s="10"/>
    </row>
    <row r="1384" spans="1:27" ht="12.5" x14ac:dyDescent="0.25">
      <c r="A1384" s="10"/>
      <c r="B1384" s="10"/>
      <c r="C1384" s="10"/>
      <c r="D1384" s="11"/>
      <c r="E1384" s="10"/>
      <c r="F1384" s="10"/>
      <c r="G1384" s="10"/>
      <c r="H1384" s="12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0"/>
      <c r="T1384" s="10"/>
      <c r="U1384" s="10"/>
      <c r="V1384" s="10"/>
      <c r="W1384" s="10"/>
      <c r="X1384" s="10"/>
      <c r="Y1384" s="10"/>
      <c r="Z1384" s="10"/>
      <c r="AA1384" s="10"/>
    </row>
    <row r="1385" spans="1:27" ht="12.5" x14ac:dyDescent="0.25">
      <c r="A1385" s="10"/>
      <c r="B1385" s="10"/>
      <c r="C1385" s="10"/>
      <c r="D1385" s="11"/>
      <c r="E1385" s="10"/>
      <c r="F1385" s="10"/>
      <c r="G1385" s="10"/>
      <c r="H1385" s="12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0"/>
      <c r="T1385" s="10"/>
      <c r="U1385" s="10"/>
      <c r="V1385" s="10"/>
      <c r="W1385" s="10"/>
      <c r="X1385" s="10"/>
      <c r="Y1385" s="10"/>
      <c r="Z1385" s="10"/>
      <c r="AA1385" s="10"/>
    </row>
    <row r="1386" spans="1:27" ht="12.5" x14ac:dyDescent="0.25">
      <c r="A1386" s="10"/>
      <c r="B1386" s="10"/>
      <c r="C1386" s="10"/>
      <c r="D1386" s="11"/>
      <c r="E1386" s="10"/>
      <c r="F1386" s="10"/>
      <c r="G1386" s="10"/>
      <c r="H1386" s="12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0"/>
      <c r="T1386" s="10"/>
      <c r="U1386" s="10"/>
      <c r="V1386" s="10"/>
      <c r="W1386" s="10"/>
      <c r="X1386" s="10"/>
      <c r="Y1386" s="10"/>
      <c r="Z1386" s="10"/>
      <c r="AA1386" s="10"/>
    </row>
    <row r="1387" spans="1:27" ht="12.5" x14ac:dyDescent="0.25">
      <c r="A1387" s="10"/>
      <c r="B1387" s="10"/>
      <c r="C1387" s="10"/>
      <c r="D1387" s="11"/>
      <c r="E1387" s="10"/>
      <c r="F1387" s="10"/>
      <c r="G1387" s="10"/>
      <c r="H1387" s="12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0"/>
      <c r="T1387" s="10"/>
      <c r="U1387" s="10"/>
      <c r="V1387" s="10"/>
      <c r="W1387" s="10"/>
      <c r="X1387" s="10"/>
      <c r="Y1387" s="10"/>
      <c r="Z1387" s="10"/>
      <c r="AA1387" s="10"/>
    </row>
    <row r="1388" spans="1:27" ht="12.5" x14ac:dyDescent="0.25">
      <c r="A1388" s="10"/>
      <c r="B1388" s="10"/>
      <c r="C1388" s="10"/>
      <c r="D1388" s="11"/>
      <c r="E1388" s="10"/>
      <c r="F1388" s="10"/>
      <c r="G1388" s="10"/>
      <c r="H1388" s="12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0"/>
      <c r="T1388" s="10"/>
      <c r="U1388" s="10"/>
      <c r="V1388" s="10"/>
      <c r="W1388" s="10"/>
      <c r="X1388" s="10"/>
      <c r="Y1388" s="10"/>
      <c r="Z1388" s="10"/>
      <c r="AA1388" s="10"/>
    </row>
    <row r="1389" spans="1:27" ht="12.5" x14ac:dyDescent="0.25">
      <c r="A1389" s="10"/>
      <c r="B1389" s="10"/>
      <c r="C1389" s="10"/>
      <c r="D1389" s="11"/>
      <c r="E1389" s="10"/>
      <c r="F1389" s="10"/>
      <c r="G1389" s="10"/>
      <c r="H1389" s="12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0"/>
      <c r="T1389" s="10"/>
      <c r="U1389" s="10"/>
      <c r="V1389" s="10"/>
      <c r="W1389" s="10"/>
      <c r="X1389" s="10"/>
      <c r="Y1389" s="10"/>
      <c r="Z1389" s="10"/>
      <c r="AA1389" s="10"/>
    </row>
    <row r="1390" spans="1:27" ht="12.5" x14ac:dyDescent="0.25">
      <c r="A1390" s="10"/>
      <c r="B1390" s="10"/>
      <c r="C1390" s="10"/>
      <c r="D1390" s="11"/>
      <c r="E1390" s="10"/>
      <c r="F1390" s="10"/>
      <c r="G1390" s="10"/>
      <c r="H1390" s="12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0"/>
      <c r="T1390" s="10"/>
      <c r="U1390" s="10"/>
      <c r="V1390" s="10"/>
      <c r="W1390" s="10"/>
      <c r="X1390" s="10"/>
      <c r="Y1390" s="10"/>
      <c r="Z1390" s="10"/>
      <c r="AA1390" s="10"/>
    </row>
    <row r="1391" spans="1:27" ht="12.5" x14ac:dyDescent="0.25">
      <c r="A1391" s="10"/>
      <c r="B1391" s="10"/>
      <c r="C1391" s="10"/>
      <c r="D1391" s="11"/>
      <c r="E1391" s="10"/>
      <c r="F1391" s="10"/>
      <c r="G1391" s="10"/>
      <c r="H1391" s="12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0"/>
      <c r="T1391" s="10"/>
      <c r="U1391" s="10"/>
      <c r="V1391" s="10"/>
      <c r="W1391" s="10"/>
      <c r="X1391" s="10"/>
      <c r="Y1391" s="10"/>
      <c r="Z1391" s="10"/>
      <c r="AA1391" s="10"/>
    </row>
    <row r="1392" spans="1:27" ht="12.5" x14ac:dyDescent="0.25">
      <c r="A1392" s="10"/>
      <c r="B1392" s="10"/>
      <c r="C1392" s="10"/>
      <c r="D1392" s="11"/>
      <c r="E1392" s="10"/>
      <c r="F1392" s="10"/>
      <c r="G1392" s="10"/>
      <c r="H1392" s="12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0"/>
      <c r="T1392" s="10"/>
      <c r="U1392" s="10"/>
      <c r="V1392" s="10"/>
      <c r="W1392" s="10"/>
      <c r="X1392" s="10"/>
      <c r="Y1392" s="10"/>
      <c r="Z1392" s="10"/>
      <c r="AA1392" s="10"/>
    </row>
    <row r="1393" spans="1:27" ht="12.5" x14ac:dyDescent="0.25">
      <c r="A1393" s="10"/>
      <c r="B1393" s="10"/>
      <c r="C1393" s="10"/>
      <c r="D1393" s="11"/>
      <c r="E1393" s="10"/>
      <c r="F1393" s="10"/>
      <c r="G1393" s="10"/>
      <c r="H1393" s="12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0"/>
      <c r="T1393" s="10"/>
      <c r="U1393" s="10"/>
      <c r="V1393" s="10"/>
      <c r="W1393" s="10"/>
      <c r="X1393" s="10"/>
      <c r="Y1393" s="10"/>
      <c r="Z1393" s="10"/>
      <c r="AA1393" s="10"/>
    </row>
    <row r="1394" spans="1:27" ht="12.5" x14ac:dyDescent="0.25">
      <c r="A1394" s="10"/>
      <c r="B1394" s="10"/>
      <c r="C1394" s="10"/>
      <c r="D1394" s="11"/>
      <c r="E1394" s="10"/>
      <c r="F1394" s="10"/>
      <c r="G1394" s="10"/>
      <c r="H1394" s="12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0"/>
      <c r="T1394" s="10"/>
      <c r="U1394" s="10"/>
      <c r="V1394" s="10"/>
      <c r="W1394" s="10"/>
      <c r="X1394" s="10"/>
      <c r="Y1394" s="10"/>
      <c r="Z1394" s="10"/>
      <c r="AA1394" s="10"/>
    </row>
    <row r="1395" spans="1:27" ht="12.5" x14ac:dyDescent="0.25">
      <c r="A1395" s="10"/>
      <c r="B1395" s="10"/>
      <c r="C1395" s="10"/>
      <c r="D1395" s="11"/>
      <c r="E1395" s="10"/>
      <c r="F1395" s="10"/>
      <c r="G1395" s="10"/>
      <c r="H1395" s="12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0"/>
      <c r="T1395" s="10"/>
      <c r="U1395" s="10"/>
      <c r="V1395" s="10"/>
      <c r="W1395" s="10"/>
      <c r="X1395" s="10"/>
      <c r="Y1395" s="10"/>
      <c r="Z1395" s="10"/>
      <c r="AA1395" s="10"/>
    </row>
    <row r="1396" spans="1:27" ht="12.5" x14ac:dyDescent="0.25">
      <c r="A1396" s="10"/>
      <c r="B1396" s="10"/>
      <c r="C1396" s="10"/>
      <c r="D1396" s="11"/>
      <c r="E1396" s="10"/>
      <c r="F1396" s="10"/>
      <c r="G1396" s="10"/>
      <c r="H1396" s="12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0"/>
      <c r="T1396" s="10"/>
      <c r="U1396" s="10"/>
      <c r="V1396" s="10"/>
      <c r="W1396" s="10"/>
      <c r="X1396" s="10"/>
      <c r="Y1396" s="10"/>
      <c r="Z1396" s="10"/>
      <c r="AA1396" s="10"/>
    </row>
    <row r="1397" spans="1:27" ht="12.5" x14ac:dyDescent="0.25">
      <c r="A1397" s="10"/>
      <c r="B1397" s="10"/>
      <c r="C1397" s="10"/>
      <c r="D1397" s="11"/>
      <c r="E1397" s="10"/>
      <c r="F1397" s="10"/>
      <c r="G1397" s="10"/>
      <c r="H1397" s="12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0"/>
      <c r="T1397" s="10"/>
      <c r="U1397" s="10"/>
      <c r="V1397" s="10"/>
      <c r="W1397" s="10"/>
      <c r="X1397" s="10"/>
      <c r="Y1397" s="10"/>
      <c r="Z1397" s="10"/>
      <c r="AA1397" s="10"/>
    </row>
    <row r="1398" spans="1:27" ht="12.5" x14ac:dyDescent="0.25">
      <c r="A1398" s="10"/>
      <c r="B1398" s="10"/>
      <c r="C1398" s="10"/>
      <c r="D1398" s="11"/>
      <c r="E1398" s="10"/>
      <c r="F1398" s="10"/>
      <c r="G1398" s="10"/>
      <c r="H1398" s="12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0"/>
      <c r="T1398" s="10"/>
      <c r="U1398" s="10"/>
      <c r="V1398" s="10"/>
      <c r="W1398" s="10"/>
      <c r="X1398" s="10"/>
      <c r="Y1398" s="10"/>
      <c r="Z1398" s="10"/>
      <c r="AA1398" s="10"/>
    </row>
    <row r="1399" spans="1:27" ht="12.5" x14ac:dyDescent="0.25">
      <c r="A1399" s="10"/>
      <c r="B1399" s="10"/>
      <c r="C1399" s="10"/>
      <c r="D1399" s="11"/>
      <c r="E1399" s="10"/>
      <c r="F1399" s="10"/>
      <c r="G1399" s="10"/>
      <c r="H1399" s="12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0"/>
      <c r="T1399" s="10"/>
      <c r="U1399" s="10"/>
      <c r="V1399" s="10"/>
      <c r="W1399" s="10"/>
      <c r="X1399" s="10"/>
      <c r="Y1399" s="10"/>
      <c r="Z1399" s="10"/>
      <c r="AA1399" s="10"/>
    </row>
    <row r="1400" spans="1:27" ht="12.5" x14ac:dyDescent="0.25">
      <c r="A1400" s="10"/>
      <c r="B1400" s="10"/>
      <c r="C1400" s="10"/>
      <c r="D1400" s="11"/>
      <c r="E1400" s="10"/>
      <c r="F1400" s="10"/>
      <c r="G1400" s="10"/>
      <c r="H1400" s="12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0"/>
      <c r="T1400" s="10"/>
      <c r="U1400" s="10"/>
      <c r="V1400" s="10"/>
      <c r="W1400" s="10"/>
      <c r="X1400" s="10"/>
      <c r="Y1400" s="10"/>
      <c r="Z1400" s="10"/>
      <c r="AA1400" s="10"/>
    </row>
    <row r="1401" spans="1:27" ht="12.5" x14ac:dyDescent="0.25">
      <c r="A1401" s="10"/>
      <c r="B1401" s="10"/>
      <c r="C1401" s="10"/>
      <c r="D1401" s="11"/>
      <c r="E1401" s="10"/>
      <c r="F1401" s="10"/>
      <c r="G1401" s="10"/>
      <c r="H1401" s="12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0"/>
      <c r="T1401" s="10"/>
      <c r="U1401" s="10"/>
      <c r="V1401" s="10"/>
      <c r="W1401" s="10"/>
      <c r="X1401" s="10"/>
      <c r="Y1401" s="10"/>
      <c r="Z1401" s="10"/>
      <c r="AA1401" s="10"/>
    </row>
    <row r="1402" spans="1:27" ht="12.5" x14ac:dyDescent="0.25">
      <c r="A1402" s="10"/>
      <c r="B1402" s="10"/>
      <c r="C1402" s="10"/>
      <c r="D1402" s="11"/>
      <c r="E1402" s="10"/>
      <c r="F1402" s="10"/>
      <c r="G1402" s="10"/>
      <c r="H1402" s="12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0"/>
      <c r="T1402" s="10"/>
      <c r="U1402" s="10"/>
      <c r="V1402" s="10"/>
      <c r="W1402" s="10"/>
      <c r="X1402" s="10"/>
      <c r="Y1402" s="10"/>
      <c r="Z1402" s="10"/>
      <c r="AA1402" s="10"/>
    </row>
    <row r="1403" spans="1:27" ht="12.5" x14ac:dyDescent="0.25">
      <c r="A1403" s="10"/>
      <c r="B1403" s="10"/>
      <c r="C1403" s="10"/>
      <c r="D1403" s="11"/>
      <c r="E1403" s="10"/>
      <c r="F1403" s="10"/>
      <c r="G1403" s="10"/>
      <c r="H1403" s="12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0"/>
      <c r="T1403" s="10"/>
      <c r="U1403" s="10"/>
      <c r="V1403" s="10"/>
      <c r="W1403" s="10"/>
      <c r="X1403" s="10"/>
      <c r="Y1403" s="10"/>
      <c r="Z1403" s="10"/>
      <c r="AA1403" s="10"/>
    </row>
    <row r="1404" spans="1:27" ht="12.5" x14ac:dyDescent="0.25">
      <c r="A1404" s="10"/>
      <c r="B1404" s="10"/>
      <c r="C1404" s="10"/>
      <c r="D1404" s="11"/>
      <c r="E1404" s="10"/>
      <c r="F1404" s="10"/>
      <c r="G1404" s="10"/>
      <c r="H1404" s="12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0"/>
      <c r="T1404" s="10"/>
      <c r="U1404" s="10"/>
      <c r="V1404" s="10"/>
      <c r="W1404" s="10"/>
      <c r="X1404" s="10"/>
      <c r="Y1404" s="10"/>
      <c r="Z1404" s="10"/>
      <c r="AA1404" s="10"/>
    </row>
    <row r="1405" spans="1:27" ht="12.5" x14ac:dyDescent="0.25">
      <c r="A1405" s="10"/>
      <c r="B1405" s="10"/>
      <c r="C1405" s="10"/>
      <c r="D1405" s="11"/>
      <c r="E1405" s="10"/>
      <c r="F1405" s="10"/>
      <c r="G1405" s="10"/>
      <c r="H1405" s="12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0"/>
      <c r="T1405" s="10"/>
      <c r="U1405" s="10"/>
      <c r="V1405" s="10"/>
      <c r="W1405" s="10"/>
      <c r="X1405" s="10"/>
      <c r="Y1405" s="10"/>
      <c r="Z1405" s="10"/>
      <c r="AA1405" s="10"/>
    </row>
    <row r="1406" spans="1:27" ht="12.5" x14ac:dyDescent="0.25">
      <c r="A1406" s="10"/>
      <c r="B1406" s="10"/>
      <c r="C1406" s="10"/>
      <c r="D1406" s="11"/>
      <c r="E1406" s="10"/>
      <c r="F1406" s="10"/>
      <c r="G1406" s="10"/>
      <c r="H1406" s="12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0"/>
      <c r="T1406" s="10"/>
      <c r="U1406" s="10"/>
      <c r="V1406" s="10"/>
      <c r="W1406" s="10"/>
      <c r="X1406" s="10"/>
      <c r="Y1406" s="10"/>
      <c r="Z1406" s="10"/>
      <c r="AA1406" s="10"/>
    </row>
    <row r="1407" spans="1:27" ht="12.5" x14ac:dyDescent="0.25">
      <c r="A1407" s="10"/>
      <c r="B1407" s="10"/>
      <c r="C1407" s="10"/>
      <c r="D1407" s="11"/>
      <c r="E1407" s="10"/>
      <c r="F1407" s="10"/>
      <c r="G1407" s="10"/>
      <c r="H1407" s="12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0"/>
      <c r="T1407" s="10"/>
      <c r="U1407" s="10"/>
      <c r="V1407" s="10"/>
      <c r="W1407" s="10"/>
      <c r="X1407" s="10"/>
      <c r="Y1407" s="10"/>
      <c r="Z1407" s="10"/>
      <c r="AA1407" s="10"/>
    </row>
    <row r="1408" spans="1:27" ht="12.5" x14ac:dyDescent="0.25">
      <c r="A1408" s="10"/>
      <c r="B1408" s="10"/>
      <c r="C1408" s="10"/>
      <c r="D1408" s="11"/>
      <c r="E1408" s="10"/>
      <c r="F1408" s="10"/>
      <c r="G1408" s="10"/>
      <c r="H1408" s="12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0"/>
      <c r="T1408" s="10"/>
      <c r="U1408" s="10"/>
      <c r="V1408" s="10"/>
      <c r="W1408" s="10"/>
      <c r="X1408" s="10"/>
      <c r="Y1408" s="10"/>
      <c r="Z1408" s="10"/>
      <c r="AA1408" s="10"/>
    </row>
    <row r="1409" spans="1:27" ht="12.5" x14ac:dyDescent="0.25">
      <c r="A1409" s="10"/>
      <c r="B1409" s="10"/>
      <c r="C1409" s="10"/>
      <c r="D1409" s="11"/>
      <c r="E1409" s="10"/>
      <c r="F1409" s="10"/>
      <c r="G1409" s="10"/>
      <c r="H1409" s="12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0"/>
      <c r="T1409" s="10"/>
      <c r="U1409" s="10"/>
      <c r="V1409" s="10"/>
      <c r="W1409" s="10"/>
      <c r="X1409" s="10"/>
      <c r="Y1409" s="10"/>
      <c r="Z1409" s="10"/>
      <c r="AA1409" s="10"/>
    </row>
    <row r="1410" spans="1:27" ht="12.5" x14ac:dyDescent="0.25">
      <c r="A1410" s="10"/>
      <c r="B1410" s="10"/>
      <c r="C1410" s="10"/>
      <c r="D1410" s="11"/>
      <c r="E1410" s="10"/>
      <c r="F1410" s="10"/>
      <c r="G1410" s="10"/>
      <c r="H1410" s="12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0"/>
      <c r="T1410" s="10"/>
      <c r="U1410" s="10"/>
      <c r="V1410" s="10"/>
      <c r="W1410" s="10"/>
      <c r="X1410" s="10"/>
      <c r="Y1410" s="10"/>
      <c r="Z1410" s="10"/>
      <c r="AA1410" s="10"/>
    </row>
    <row r="1411" spans="1:27" ht="12.5" x14ac:dyDescent="0.25">
      <c r="A1411" s="10"/>
      <c r="B1411" s="10"/>
      <c r="C1411" s="10"/>
      <c r="D1411" s="11"/>
      <c r="E1411" s="10"/>
      <c r="F1411" s="10"/>
      <c r="G1411" s="10"/>
      <c r="H1411" s="12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0"/>
      <c r="T1411" s="10"/>
      <c r="U1411" s="10"/>
      <c r="V1411" s="10"/>
      <c r="W1411" s="10"/>
      <c r="X1411" s="10"/>
      <c r="Y1411" s="10"/>
      <c r="Z1411" s="10"/>
      <c r="AA1411" s="10"/>
    </row>
    <row r="1412" spans="1:27" ht="12.5" x14ac:dyDescent="0.25">
      <c r="A1412" s="10"/>
      <c r="B1412" s="10"/>
      <c r="C1412" s="10"/>
      <c r="D1412" s="11"/>
      <c r="E1412" s="10"/>
      <c r="F1412" s="10"/>
      <c r="G1412" s="10"/>
      <c r="H1412" s="12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0"/>
      <c r="T1412" s="10"/>
      <c r="U1412" s="10"/>
      <c r="V1412" s="10"/>
      <c r="W1412" s="10"/>
      <c r="X1412" s="10"/>
      <c r="Y1412" s="10"/>
      <c r="Z1412" s="10"/>
      <c r="AA1412" s="10"/>
    </row>
    <row r="1413" spans="1:27" ht="12.5" x14ac:dyDescent="0.25">
      <c r="A1413" s="10"/>
      <c r="B1413" s="10"/>
      <c r="C1413" s="10"/>
      <c r="D1413" s="11"/>
      <c r="E1413" s="10"/>
      <c r="F1413" s="10"/>
      <c r="G1413" s="10"/>
      <c r="H1413" s="12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0"/>
      <c r="T1413" s="10"/>
      <c r="U1413" s="10"/>
      <c r="V1413" s="10"/>
      <c r="W1413" s="10"/>
      <c r="X1413" s="10"/>
      <c r="Y1413" s="10"/>
      <c r="Z1413" s="10"/>
      <c r="AA1413" s="10"/>
    </row>
    <row r="1414" spans="1:27" ht="12.5" x14ac:dyDescent="0.25">
      <c r="A1414" s="10"/>
      <c r="B1414" s="10"/>
      <c r="C1414" s="10"/>
      <c r="D1414" s="11"/>
      <c r="E1414" s="10"/>
      <c r="F1414" s="10"/>
      <c r="G1414" s="10"/>
      <c r="H1414" s="12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0"/>
      <c r="T1414" s="10"/>
      <c r="U1414" s="10"/>
      <c r="V1414" s="10"/>
      <c r="W1414" s="10"/>
      <c r="X1414" s="10"/>
      <c r="Y1414" s="10"/>
      <c r="Z1414" s="10"/>
      <c r="AA1414" s="10"/>
    </row>
    <row r="1415" spans="1:27" ht="12.5" x14ac:dyDescent="0.25">
      <c r="A1415" s="10"/>
      <c r="B1415" s="10"/>
      <c r="C1415" s="10"/>
      <c r="D1415" s="11"/>
      <c r="E1415" s="10"/>
      <c r="F1415" s="10"/>
      <c r="G1415" s="10"/>
      <c r="H1415" s="12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0"/>
      <c r="T1415" s="10"/>
      <c r="U1415" s="10"/>
      <c r="V1415" s="10"/>
      <c r="W1415" s="10"/>
      <c r="X1415" s="10"/>
      <c r="Y1415" s="10"/>
      <c r="Z1415" s="10"/>
      <c r="AA1415" s="10"/>
    </row>
    <row r="1416" spans="1:27" ht="12.5" x14ac:dyDescent="0.25">
      <c r="A1416" s="10"/>
      <c r="B1416" s="10"/>
      <c r="C1416" s="10"/>
      <c r="D1416" s="11"/>
      <c r="E1416" s="10"/>
      <c r="F1416" s="10"/>
      <c r="G1416" s="10"/>
      <c r="H1416" s="12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0"/>
      <c r="T1416" s="10"/>
      <c r="U1416" s="10"/>
      <c r="V1416" s="10"/>
      <c r="W1416" s="10"/>
      <c r="X1416" s="10"/>
      <c r="Y1416" s="10"/>
      <c r="Z1416" s="10"/>
      <c r="AA1416" s="10"/>
    </row>
    <row r="1417" spans="1:27" ht="12.5" x14ac:dyDescent="0.25">
      <c r="A1417" s="10"/>
      <c r="B1417" s="10"/>
      <c r="C1417" s="10"/>
      <c r="D1417" s="11"/>
      <c r="E1417" s="10"/>
      <c r="F1417" s="10"/>
      <c r="G1417" s="10"/>
      <c r="H1417" s="12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0"/>
      <c r="T1417" s="10"/>
      <c r="U1417" s="10"/>
      <c r="V1417" s="10"/>
      <c r="W1417" s="10"/>
      <c r="X1417" s="10"/>
      <c r="Y1417" s="10"/>
      <c r="Z1417" s="10"/>
      <c r="AA1417" s="10"/>
    </row>
    <row r="1418" spans="1:27" ht="12.5" x14ac:dyDescent="0.25">
      <c r="A1418" s="10"/>
      <c r="B1418" s="10"/>
      <c r="C1418" s="10"/>
      <c r="D1418" s="11"/>
      <c r="E1418" s="10"/>
      <c r="F1418" s="10"/>
      <c r="G1418" s="10"/>
      <c r="H1418" s="12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0"/>
      <c r="T1418" s="10"/>
      <c r="U1418" s="10"/>
      <c r="V1418" s="10"/>
      <c r="W1418" s="10"/>
      <c r="X1418" s="10"/>
      <c r="Y1418" s="10"/>
      <c r="Z1418" s="10"/>
      <c r="AA1418" s="10"/>
    </row>
    <row r="1419" spans="1:27" ht="12.5" x14ac:dyDescent="0.25">
      <c r="A1419" s="10"/>
      <c r="B1419" s="10"/>
      <c r="C1419" s="10"/>
      <c r="D1419" s="11"/>
      <c r="E1419" s="10"/>
      <c r="F1419" s="10"/>
      <c r="G1419" s="10"/>
      <c r="H1419" s="12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0"/>
      <c r="T1419" s="10"/>
      <c r="U1419" s="10"/>
      <c r="V1419" s="10"/>
      <c r="W1419" s="10"/>
      <c r="X1419" s="10"/>
      <c r="Y1419" s="10"/>
      <c r="Z1419" s="10"/>
      <c r="AA1419" s="10"/>
    </row>
    <row r="1420" spans="1:27" ht="12.5" x14ac:dyDescent="0.25">
      <c r="A1420" s="10"/>
      <c r="B1420" s="10"/>
      <c r="C1420" s="10"/>
      <c r="D1420" s="11"/>
      <c r="E1420" s="10"/>
      <c r="F1420" s="10"/>
      <c r="G1420" s="10"/>
      <c r="H1420" s="12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0"/>
      <c r="T1420" s="10"/>
      <c r="U1420" s="10"/>
      <c r="V1420" s="10"/>
      <c r="W1420" s="10"/>
      <c r="X1420" s="10"/>
      <c r="Y1420" s="10"/>
      <c r="Z1420" s="10"/>
      <c r="AA1420" s="10"/>
    </row>
    <row r="1421" spans="1:27" ht="12.5" x14ac:dyDescent="0.25">
      <c r="A1421" s="10"/>
      <c r="B1421" s="10"/>
      <c r="C1421" s="10"/>
      <c r="D1421" s="11"/>
      <c r="E1421" s="10"/>
      <c r="F1421" s="10"/>
      <c r="G1421" s="10"/>
      <c r="H1421" s="12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0"/>
      <c r="T1421" s="10"/>
      <c r="U1421" s="10"/>
      <c r="V1421" s="10"/>
      <c r="W1421" s="10"/>
      <c r="X1421" s="10"/>
      <c r="Y1421" s="10"/>
      <c r="Z1421" s="10"/>
      <c r="AA1421" s="10"/>
    </row>
    <row r="1422" spans="1:27" ht="12.5" x14ac:dyDescent="0.25">
      <c r="A1422" s="10"/>
      <c r="B1422" s="10"/>
      <c r="C1422" s="10"/>
      <c r="D1422" s="11"/>
      <c r="E1422" s="10"/>
      <c r="F1422" s="10"/>
      <c r="G1422" s="10"/>
      <c r="H1422" s="12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0"/>
      <c r="T1422" s="10"/>
      <c r="U1422" s="10"/>
      <c r="V1422" s="10"/>
      <c r="W1422" s="10"/>
      <c r="X1422" s="10"/>
      <c r="Y1422" s="10"/>
      <c r="Z1422" s="10"/>
      <c r="AA1422" s="10"/>
    </row>
    <row r="1423" spans="1:27" ht="12.5" x14ac:dyDescent="0.25">
      <c r="A1423" s="10"/>
      <c r="B1423" s="10"/>
      <c r="C1423" s="10"/>
      <c r="D1423" s="11"/>
      <c r="E1423" s="10"/>
      <c r="F1423" s="10"/>
      <c r="G1423" s="10"/>
      <c r="H1423" s="12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0"/>
      <c r="T1423" s="10"/>
      <c r="U1423" s="10"/>
      <c r="V1423" s="10"/>
      <c r="W1423" s="10"/>
      <c r="X1423" s="10"/>
      <c r="Y1423" s="10"/>
      <c r="Z1423" s="10"/>
      <c r="AA1423" s="10"/>
    </row>
    <row r="1424" spans="1:27" ht="12.5" x14ac:dyDescent="0.25">
      <c r="A1424" s="10"/>
      <c r="B1424" s="10"/>
      <c r="C1424" s="10"/>
      <c r="D1424" s="11"/>
      <c r="E1424" s="10"/>
      <c r="F1424" s="10"/>
      <c r="G1424" s="10"/>
      <c r="H1424" s="12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0"/>
      <c r="T1424" s="10"/>
      <c r="U1424" s="10"/>
      <c r="V1424" s="10"/>
      <c r="W1424" s="10"/>
      <c r="X1424" s="10"/>
      <c r="Y1424" s="10"/>
      <c r="Z1424" s="10"/>
      <c r="AA1424" s="10"/>
    </row>
    <row r="1425" spans="1:27" ht="12.5" x14ac:dyDescent="0.25">
      <c r="A1425" s="10"/>
      <c r="B1425" s="10"/>
      <c r="C1425" s="10"/>
      <c r="D1425" s="11"/>
      <c r="E1425" s="10"/>
      <c r="F1425" s="10"/>
      <c r="G1425" s="10"/>
      <c r="H1425" s="12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0"/>
      <c r="T1425" s="10"/>
      <c r="U1425" s="10"/>
      <c r="V1425" s="10"/>
      <c r="W1425" s="10"/>
      <c r="X1425" s="10"/>
      <c r="Y1425" s="10"/>
      <c r="Z1425" s="10"/>
      <c r="AA1425" s="10"/>
    </row>
    <row r="1426" spans="1:27" ht="12.5" x14ac:dyDescent="0.25">
      <c r="A1426" s="10"/>
      <c r="B1426" s="10"/>
      <c r="C1426" s="10"/>
      <c r="D1426" s="11"/>
      <c r="E1426" s="10"/>
      <c r="F1426" s="10"/>
      <c r="G1426" s="10"/>
      <c r="H1426" s="12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0"/>
      <c r="T1426" s="10"/>
      <c r="U1426" s="10"/>
      <c r="V1426" s="10"/>
      <c r="W1426" s="10"/>
      <c r="X1426" s="10"/>
      <c r="Y1426" s="10"/>
      <c r="Z1426" s="10"/>
      <c r="AA1426" s="10"/>
    </row>
    <row r="1427" spans="1:27" ht="12.5" x14ac:dyDescent="0.25">
      <c r="A1427" s="10"/>
      <c r="B1427" s="10"/>
      <c r="C1427" s="10"/>
      <c r="D1427" s="11"/>
      <c r="E1427" s="10"/>
      <c r="F1427" s="10"/>
      <c r="G1427" s="10"/>
      <c r="H1427" s="12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0"/>
      <c r="T1427" s="10"/>
      <c r="U1427" s="10"/>
      <c r="V1427" s="10"/>
      <c r="W1427" s="10"/>
      <c r="X1427" s="10"/>
      <c r="Y1427" s="10"/>
      <c r="Z1427" s="10"/>
      <c r="AA1427" s="10"/>
    </row>
    <row r="1428" spans="1:27" ht="12.5" x14ac:dyDescent="0.25">
      <c r="A1428" s="10"/>
      <c r="B1428" s="10"/>
      <c r="C1428" s="10"/>
      <c r="D1428" s="11"/>
      <c r="E1428" s="10"/>
      <c r="F1428" s="10"/>
      <c r="G1428" s="10"/>
      <c r="H1428" s="12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0"/>
      <c r="T1428" s="10"/>
      <c r="U1428" s="10"/>
      <c r="V1428" s="10"/>
      <c r="W1428" s="10"/>
      <c r="X1428" s="10"/>
      <c r="Y1428" s="10"/>
      <c r="Z1428" s="10"/>
      <c r="AA1428" s="10"/>
    </row>
    <row r="1429" spans="1:27" ht="12.5" x14ac:dyDescent="0.25">
      <c r="A1429" s="10"/>
      <c r="B1429" s="10"/>
      <c r="C1429" s="10"/>
      <c r="D1429" s="11"/>
      <c r="E1429" s="10"/>
      <c r="F1429" s="10"/>
      <c r="G1429" s="10"/>
      <c r="H1429" s="12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0"/>
      <c r="T1429" s="10"/>
      <c r="U1429" s="10"/>
      <c r="V1429" s="10"/>
      <c r="W1429" s="10"/>
      <c r="X1429" s="10"/>
      <c r="Y1429" s="10"/>
      <c r="Z1429" s="10"/>
      <c r="AA1429" s="10"/>
    </row>
    <row r="1430" spans="1:27" ht="12.5" x14ac:dyDescent="0.25">
      <c r="A1430" s="10"/>
      <c r="B1430" s="10"/>
      <c r="C1430" s="10"/>
      <c r="D1430" s="11"/>
      <c r="E1430" s="10"/>
      <c r="F1430" s="10"/>
      <c r="G1430" s="10"/>
      <c r="H1430" s="12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0"/>
      <c r="T1430" s="10"/>
      <c r="U1430" s="10"/>
      <c r="V1430" s="10"/>
      <c r="W1430" s="10"/>
      <c r="X1430" s="10"/>
      <c r="Y1430" s="10"/>
      <c r="Z1430" s="10"/>
      <c r="AA1430" s="10"/>
    </row>
    <row r="1431" spans="1:27" ht="12.5" x14ac:dyDescent="0.25">
      <c r="A1431" s="10"/>
      <c r="B1431" s="10"/>
      <c r="C1431" s="10"/>
      <c r="D1431" s="11"/>
      <c r="E1431" s="10"/>
      <c r="F1431" s="10"/>
      <c r="G1431" s="10"/>
      <c r="H1431" s="12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0"/>
      <c r="T1431" s="10"/>
      <c r="U1431" s="10"/>
      <c r="V1431" s="10"/>
      <c r="W1431" s="10"/>
      <c r="X1431" s="10"/>
      <c r="Y1431" s="10"/>
      <c r="Z1431" s="10"/>
      <c r="AA1431" s="10"/>
    </row>
    <row r="1432" spans="1:27" ht="12.5" x14ac:dyDescent="0.25">
      <c r="A1432" s="10"/>
      <c r="B1432" s="10"/>
      <c r="C1432" s="10"/>
      <c r="D1432" s="11"/>
      <c r="E1432" s="10"/>
      <c r="F1432" s="10"/>
      <c r="G1432" s="10"/>
      <c r="H1432" s="12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0"/>
      <c r="T1432" s="10"/>
      <c r="U1432" s="10"/>
      <c r="V1432" s="10"/>
      <c r="W1432" s="10"/>
      <c r="X1432" s="10"/>
      <c r="Y1432" s="10"/>
      <c r="Z1432" s="10"/>
      <c r="AA1432" s="10"/>
    </row>
    <row r="1433" spans="1:27" ht="12.5" x14ac:dyDescent="0.25">
      <c r="A1433" s="10"/>
      <c r="B1433" s="10"/>
      <c r="C1433" s="10"/>
      <c r="D1433" s="11"/>
      <c r="E1433" s="10"/>
      <c r="F1433" s="10"/>
      <c r="G1433" s="10"/>
      <c r="H1433" s="12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0"/>
      <c r="T1433" s="10"/>
      <c r="U1433" s="10"/>
      <c r="V1433" s="10"/>
      <c r="W1433" s="10"/>
      <c r="X1433" s="10"/>
      <c r="Y1433" s="10"/>
      <c r="Z1433" s="10"/>
      <c r="AA1433" s="10"/>
    </row>
    <row r="1434" spans="1:27" ht="12.5" x14ac:dyDescent="0.25">
      <c r="A1434" s="10"/>
      <c r="B1434" s="10"/>
      <c r="C1434" s="10"/>
      <c r="D1434" s="11"/>
      <c r="E1434" s="10"/>
      <c r="F1434" s="10"/>
      <c r="G1434" s="10"/>
      <c r="H1434" s="12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0"/>
      <c r="T1434" s="10"/>
      <c r="U1434" s="10"/>
      <c r="V1434" s="10"/>
      <c r="W1434" s="10"/>
      <c r="X1434" s="10"/>
      <c r="Y1434" s="10"/>
      <c r="Z1434" s="10"/>
      <c r="AA1434" s="10"/>
    </row>
    <row r="1435" spans="1:27" ht="12.5" x14ac:dyDescent="0.25">
      <c r="A1435" s="10"/>
      <c r="B1435" s="10"/>
      <c r="C1435" s="10"/>
      <c r="D1435" s="11"/>
      <c r="E1435" s="10"/>
      <c r="F1435" s="10"/>
      <c r="G1435" s="10"/>
      <c r="H1435" s="12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0"/>
      <c r="T1435" s="10"/>
      <c r="U1435" s="10"/>
      <c r="V1435" s="10"/>
      <c r="W1435" s="10"/>
      <c r="X1435" s="10"/>
      <c r="Y1435" s="10"/>
      <c r="Z1435" s="10"/>
      <c r="AA1435" s="10"/>
    </row>
    <row r="1436" spans="1:27" ht="12.5" x14ac:dyDescent="0.25">
      <c r="A1436" s="10"/>
      <c r="B1436" s="10"/>
      <c r="C1436" s="10"/>
      <c r="D1436" s="11"/>
      <c r="E1436" s="10"/>
      <c r="F1436" s="10"/>
      <c r="G1436" s="10"/>
      <c r="H1436" s="12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0"/>
      <c r="T1436" s="10"/>
      <c r="U1436" s="10"/>
      <c r="V1436" s="10"/>
      <c r="W1436" s="10"/>
      <c r="X1436" s="10"/>
      <c r="Y1436" s="10"/>
      <c r="Z1436" s="10"/>
      <c r="AA1436" s="10"/>
    </row>
    <row r="1437" spans="1:27" ht="12.5" x14ac:dyDescent="0.25">
      <c r="A1437" s="10"/>
      <c r="B1437" s="10"/>
      <c r="C1437" s="10"/>
      <c r="D1437" s="11"/>
      <c r="E1437" s="10"/>
      <c r="F1437" s="10"/>
      <c r="G1437" s="10"/>
      <c r="H1437" s="12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0"/>
      <c r="T1437" s="10"/>
      <c r="U1437" s="10"/>
      <c r="V1437" s="10"/>
      <c r="W1437" s="10"/>
      <c r="X1437" s="10"/>
      <c r="Y1437" s="10"/>
      <c r="Z1437" s="10"/>
      <c r="AA1437" s="10"/>
    </row>
    <row r="1438" spans="1:27" ht="12.5" x14ac:dyDescent="0.25">
      <c r="A1438" s="10"/>
      <c r="B1438" s="10"/>
      <c r="C1438" s="10"/>
      <c r="D1438" s="11"/>
      <c r="E1438" s="10"/>
      <c r="F1438" s="10"/>
      <c r="G1438" s="10"/>
      <c r="H1438" s="12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0"/>
      <c r="T1438" s="10"/>
      <c r="U1438" s="10"/>
      <c r="V1438" s="10"/>
      <c r="W1438" s="10"/>
      <c r="X1438" s="10"/>
      <c r="Y1438" s="10"/>
      <c r="Z1438" s="10"/>
      <c r="AA1438" s="10"/>
    </row>
    <row r="1439" spans="1:27" ht="12.5" x14ac:dyDescent="0.25">
      <c r="A1439" s="10"/>
      <c r="B1439" s="10"/>
      <c r="C1439" s="10"/>
      <c r="D1439" s="11"/>
      <c r="E1439" s="10"/>
      <c r="F1439" s="10"/>
      <c r="G1439" s="10"/>
      <c r="H1439" s="12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0"/>
      <c r="T1439" s="10"/>
      <c r="U1439" s="10"/>
      <c r="V1439" s="10"/>
      <c r="W1439" s="10"/>
      <c r="X1439" s="10"/>
      <c r="Y1439" s="10"/>
      <c r="Z1439" s="10"/>
      <c r="AA1439" s="10"/>
    </row>
    <row r="1440" spans="1:27" ht="12.5" x14ac:dyDescent="0.25">
      <c r="A1440" s="10"/>
      <c r="B1440" s="10"/>
      <c r="C1440" s="10"/>
      <c r="D1440" s="11"/>
      <c r="E1440" s="10"/>
      <c r="F1440" s="10"/>
      <c r="G1440" s="10"/>
      <c r="H1440" s="12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0"/>
      <c r="T1440" s="10"/>
      <c r="U1440" s="10"/>
      <c r="V1440" s="10"/>
      <c r="W1440" s="10"/>
      <c r="X1440" s="10"/>
      <c r="Y1440" s="10"/>
      <c r="Z1440" s="10"/>
      <c r="AA1440" s="10"/>
    </row>
    <row r="1441" spans="1:27" ht="12.5" x14ac:dyDescent="0.25">
      <c r="A1441" s="10"/>
      <c r="B1441" s="10"/>
      <c r="C1441" s="10"/>
      <c r="D1441" s="11"/>
      <c r="E1441" s="10"/>
      <c r="F1441" s="10"/>
      <c r="G1441" s="10"/>
      <c r="H1441" s="12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0"/>
      <c r="T1441" s="10"/>
      <c r="U1441" s="10"/>
      <c r="V1441" s="10"/>
      <c r="W1441" s="10"/>
      <c r="X1441" s="10"/>
      <c r="Y1441" s="10"/>
      <c r="Z1441" s="10"/>
      <c r="AA1441" s="10"/>
    </row>
    <row r="1442" spans="1:27" ht="12.5" x14ac:dyDescent="0.25">
      <c r="A1442" s="10"/>
      <c r="B1442" s="10"/>
      <c r="C1442" s="10"/>
      <c r="D1442" s="11"/>
      <c r="E1442" s="10"/>
      <c r="F1442" s="10"/>
      <c r="G1442" s="10"/>
      <c r="H1442" s="12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0"/>
      <c r="T1442" s="10"/>
      <c r="U1442" s="10"/>
      <c r="V1442" s="10"/>
      <c r="W1442" s="10"/>
      <c r="X1442" s="10"/>
      <c r="Y1442" s="10"/>
      <c r="Z1442" s="10"/>
      <c r="AA1442" s="10"/>
    </row>
    <row r="1443" spans="1:27" ht="12.5" x14ac:dyDescent="0.25">
      <c r="A1443" s="10"/>
      <c r="B1443" s="10"/>
      <c r="C1443" s="10"/>
      <c r="D1443" s="11"/>
      <c r="E1443" s="10"/>
      <c r="F1443" s="10"/>
      <c r="G1443" s="10"/>
      <c r="H1443" s="12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0"/>
      <c r="T1443" s="10"/>
      <c r="U1443" s="10"/>
      <c r="V1443" s="10"/>
      <c r="W1443" s="10"/>
      <c r="X1443" s="10"/>
      <c r="Y1443" s="10"/>
      <c r="Z1443" s="10"/>
      <c r="AA1443" s="10"/>
    </row>
    <row r="1444" spans="1:27" ht="12.5" x14ac:dyDescent="0.25">
      <c r="A1444" s="10"/>
      <c r="B1444" s="10"/>
      <c r="C1444" s="10"/>
      <c r="D1444" s="11"/>
      <c r="E1444" s="10"/>
      <c r="F1444" s="10"/>
      <c r="G1444" s="10"/>
      <c r="H1444" s="12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0"/>
      <c r="T1444" s="10"/>
      <c r="U1444" s="10"/>
      <c r="V1444" s="10"/>
      <c r="W1444" s="10"/>
      <c r="X1444" s="10"/>
      <c r="Y1444" s="10"/>
      <c r="Z1444" s="10"/>
      <c r="AA1444" s="10"/>
    </row>
    <row r="1445" spans="1:27" ht="12.5" x14ac:dyDescent="0.25">
      <c r="A1445" s="10"/>
      <c r="B1445" s="10"/>
      <c r="C1445" s="10"/>
      <c r="D1445" s="11"/>
      <c r="E1445" s="10"/>
      <c r="F1445" s="10"/>
      <c r="G1445" s="10"/>
      <c r="H1445" s="12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0"/>
      <c r="T1445" s="10"/>
      <c r="U1445" s="10"/>
      <c r="V1445" s="10"/>
      <c r="W1445" s="10"/>
      <c r="X1445" s="10"/>
      <c r="Y1445" s="10"/>
      <c r="Z1445" s="10"/>
      <c r="AA1445" s="10"/>
    </row>
    <row r="1446" spans="1:27" ht="12.5" x14ac:dyDescent="0.25">
      <c r="A1446" s="10"/>
      <c r="B1446" s="10"/>
      <c r="C1446" s="10"/>
      <c r="D1446" s="11"/>
      <c r="E1446" s="10"/>
      <c r="F1446" s="10"/>
      <c r="G1446" s="10"/>
      <c r="H1446" s="12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0"/>
      <c r="T1446" s="10"/>
      <c r="U1446" s="10"/>
      <c r="V1446" s="10"/>
      <c r="W1446" s="10"/>
      <c r="X1446" s="10"/>
      <c r="Y1446" s="10"/>
      <c r="Z1446" s="10"/>
      <c r="AA1446" s="10"/>
    </row>
    <row r="1447" spans="1:27" ht="12.5" x14ac:dyDescent="0.25">
      <c r="A1447" s="10"/>
      <c r="B1447" s="10"/>
      <c r="C1447" s="10"/>
      <c r="D1447" s="11"/>
      <c r="E1447" s="10"/>
      <c r="F1447" s="10"/>
      <c r="G1447" s="10"/>
      <c r="H1447" s="12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0"/>
      <c r="T1447" s="10"/>
      <c r="U1447" s="10"/>
      <c r="V1447" s="10"/>
      <c r="W1447" s="10"/>
      <c r="X1447" s="10"/>
      <c r="Y1447" s="10"/>
      <c r="Z1447" s="10"/>
      <c r="AA1447" s="10"/>
    </row>
    <row r="1448" spans="1:27" ht="12.5" x14ac:dyDescent="0.25">
      <c r="A1448" s="10"/>
      <c r="B1448" s="10"/>
      <c r="C1448" s="10"/>
      <c r="D1448" s="11"/>
      <c r="E1448" s="10"/>
      <c r="F1448" s="10"/>
      <c r="G1448" s="10"/>
      <c r="H1448" s="12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0"/>
      <c r="T1448" s="10"/>
      <c r="U1448" s="10"/>
      <c r="V1448" s="10"/>
      <c r="W1448" s="10"/>
      <c r="X1448" s="10"/>
      <c r="Y1448" s="10"/>
      <c r="Z1448" s="10"/>
      <c r="AA1448" s="10"/>
    </row>
    <row r="1449" spans="1:27" ht="12.5" x14ac:dyDescent="0.25">
      <c r="A1449" s="10"/>
      <c r="B1449" s="10"/>
      <c r="C1449" s="10"/>
      <c r="D1449" s="11"/>
      <c r="E1449" s="10"/>
      <c r="F1449" s="10"/>
      <c r="G1449" s="10"/>
      <c r="H1449" s="12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0"/>
      <c r="T1449" s="10"/>
      <c r="U1449" s="10"/>
      <c r="V1449" s="10"/>
      <c r="W1449" s="10"/>
      <c r="X1449" s="10"/>
      <c r="Y1449" s="10"/>
      <c r="Z1449" s="10"/>
      <c r="AA1449" s="10"/>
    </row>
    <row r="1450" spans="1:27" ht="12.5" x14ac:dyDescent="0.25">
      <c r="A1450" s="10"/>
      <c r="B1450" s="10"/>
      <c r="C1450" s="10"/>
      <c r="D1450" s="11"/>
      <c r="E1450" s="10"/>
      <c r="F1450" s="10"/>
      <c r="G1450" s="10"/>
      <c r="H1450" s="12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0"/>
      <c r="T1450" s="10"/>
      <c r="U1450" s="10"/>
      <c r="V1450" s="10"/>
      <c r="W1450" s="10"/>
      <c r="X1450" s="10"/>
      <c r="Y1450" s="10"/>
      <c r="Z1450" s="10"/>
      <c r="AA1450" s="10"/>
    </row>
    <row r="1451" spans="1:27" ht="12.5" x14ac:dyDescent="0.25">
      <c r="A1451" s="10"/>
      <c r="B1451" s="10"/>
      <c r="C1451" s="10"/>
      <c r="D1451" s="11"/>
      <c r="E1451" s="10"/>
      <c r="F1451" s="10"/>
      <c r="G1451" s="10"/>
      <c r="H1451" s="12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0"/>
      <c r="T1451" s="10"/>
      <c r="U1451" s="10"/>
      <c r="V1451" s="10"/>
      <c r="W1451" s="10"/>
      <c r="X1451" s="10"/>
      <c r="Y1451" s="10"/>
      <c r="Z1451" s="10"/>
      <c r="AA1451" s="10"/>
    </row>
    <row r="1452" spans="1:27" ht="12.5" x14ac:dyDescent="0.25">
      <c r="A1452" s="10"/>
      <c r="B1452" s="10"/>
      <c r="C1452" s="10"/>
      <c r="D1452" s="11"/>
      <c r="E1452" s="10"/>
      <c r="F1452" s="10"/>
      <c r="G1452" s="10"/>
      <c r="H1452" s="12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0"/>
      <c r="T1452" s="10"/>
      <c r="U1452" s="10"/>
      <c r="V1452" s="10"/>
      <c r="W1452" s="10"/>
      <c r="X1452" s="10"/>
      <c r="Y1452" s="10"/>
      <c r="Z1452" s="10"/>
      <c r="AA1452" s="10"/>
    </row>
    <row r="1453" spans="1:27" ht="12.5" x14ac:dyDescent="0.25">
      <c r="A1453" s="10"/>
      <c r="B1453" s="10"/>
      <c r="C1453" s="10"/>
      <c r="D1453" s="11"/>
      <c r="E1453" s="10"/>
      <c r="F1453" s="10"/>
      <c r="G1453" s="10"/>
      <c r="H1453" s="12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0"/>
      <c r="T1453" s="10"/>
      <c r="U1453" s="10"/>
      <c r="V1453" s="10"/>
      <c r="W1453" s="10"/>
      <c r="X1453" s="10"/>
      <c r="Y1453" s="10"/>
      <c r="Z1453" s="10"/>
      <c r="AA1453" s="10"/>
    </row>
    <row r="1454" spans="1:27" ht="12.5" x14ac:dyDescent="0.25">
      <c r="A1454" s="10"/>
      <c r="B1454" s="10"/>
      <c r="C1454" s="10"/>
      <c r="D1454" s="11"/>
      <c r="E1454" s="10"/>
      <c r="F1454" s="10"/>
      <c r="G1454" s="10"/>
      <c r="H1454" s="12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0"/>
      <c r="T1454" s="10"/>
      <c r="U1454" s="10"/>
      <c r="V1454" s="10"/>
      <c r="W1454" s="10"/>
      <c r="X1454" s="10"/>
      <c r="Y1454" s="10"/>
      <c r="Z1454" s="10"/>
      <c r="AA1454" s="10"/>
    </row>
    <row r="1455" spans="1:27" ht="12.5" x14ac:dyDescent="0.25">
      <c r="A1455" s="10"/>
      <c r="B1455" s="10"/>
      <c r="C1455" s="10"/>
      <c r="D1455" s="11"/>
      <c r="E1455" s="10"/>
      <c r="F1455" s="10"/>
      <c r="G1455" s="10"/>
      <c r="H1455" s="12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0"/>
      <c r="T1455" s="10"/>
      <c r="U1455" s="10"/>
      <c r="V1455" s="10"/>
      <c r="W1455" s="10"/>
      <c r="X1455" s="10"/>
      <c r="Y1455" s="10"/>
      <c r="Z1455" s="10"/>
      <c r="AA1455" s="10"/>
    </row>
    <row r="1456" spans="1:27" ht="12.5" x14ac:dyDescent="0.25">
      <c r="A1456" s="10"/>
      <c r="B1456" s="10"/>
      <c r="C1456" s="10"/>
      <c r="D1456" s="11"/>
      <c r="E1456" s="10"/>
      <c r="F1456" s="10"/>
      <c r="G1456" s="10"/>
      <c r="H1456" s="12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0"/>
      <c r="T1456" s="10"/>
      <c r="U1456" s="10"/>
      <c r="V1456" s="10"/>
      <c r="W1456" s="10"/>
      <c r="X1456" s="10"/>
      <c r="Y1456" s="10"/>
      <c r="Z1456" s="10"/>
      <c r="AA1456" s="10"/>
    </row>
    <row r="1457" spans="1:27" ht="12.5" x14ac:dyDescent="0.25">
      <c r="A1457" s="10"/>
      <c r="B1457" s="10"/>
      <c r="C1457" s="10"/>
      <c r="D1457" s="11"/>
      <c r="E1457" s="10"/>
      <c r="F1457" s="10"/>
      <c r="G1457" s="10"/>
      <c r="H1457" s="12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0"/>
      <c r="T1457" s="10"/>
      <c r="U1457" s="10"/>
      <c r="V1457" s="10"/>
      <c r="W1457" s="10"/>
      <c r="X1457" s="10"/>
      <c r="Y1457" s="10"/>
      <c r="Z1457" s="10"/>
      <c r="AA1457" s="10"/>
    </row>
    <row r="1458" spans="1:27" ht="12.5" x14ac:dyDescent="0.25">
      <c r="A1458" s="10"/>
      <c r="B1458" s="10"/>
      <c r="C1458" s="10"/>
      <c r="D1458" s="11"/>
      <c r="E1458" s="10"/>
      <c r="F1458" s="10"/>
      <c r="G1458" s="10"/>
      <c r="H1458" s="12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0"/>
      <c r="T1458" s="10"/>
      <c r="U1458" s="10"/>
      <c r="V1458" s="10"/>
      <c r="W1458" s="10"/>
      <c r="X1458" s="10"/>
      <c r="Y1458" s="10"/>
      <c r="Z1458" s="10"/>
      <c r="AA1458" s="10"/>
    </row>
    <row r="1459" spans="1:27" ht="12.5" x14ac:dyDescent="0.25">
      <c r="A1459" s="10"/>
      <c r="B1459" s="10"/>
      <c r="C1459" s="10"/>
      <c r="D1459" s="11"/>
      <c r="E1459" s="10"/>
      <c r="F1459" s="10"/>
      <c r="G1459" s="10"/>
      <c r="H1459" s="12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0"/>
      <c r="T1459" s="10"/>
      <c r="U1459" s="10"/>
      <c r="V1459" s="10"/>
      <c r="W1459" s="10"/>
      <c r="X1459" s="10"/>
      <c r="Y1459" s="10"/>
      <c r="Z1459" s="10"/>
      <c r="AA1459" s="10"/>
    </row>
    <row r="1460" spans="1:27" ht="12.5" x14ac:dyDescent="0.25">
      <c r="A1460" s="10"/>
      <c r="B1460" s="10"/>
      <c r="C1460" s="10"/>
      <c r="D1460" s="11"/>
      <c r="E1460" s="10"/>
      <c r="F1460" s="10"/>
      <c r="G1460" s="10"/>
      <c r="H1460" s="12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0"/>
      <c r="T1460" s="10"/>
      <c r="U1460" s="10"/>
      <c r="V1460" s="10"/>
      <c r="W1460" s="10"/>
      <c r="X1460" s="10"/>
      <c r="Y1460" s="10"/>
      <c r="Z1460" s="10"/>
      <c r="AA1460" s="10"/>
    </row>
    <row r="1461" spans="1:27" ht="12.5" x14ac:dyDescent="0.25">
      <c r="A1461" s="10"/>
      <c r="B1461" s="10"/>
      <c r="C1461" s="10"/>
      <c r="D1461" s="11"/>
      <c r="E1461" s="10"/>
      <c r="F1461" s="10"/>
      <c r="G1461" s="10"/>
      <c r="H1461" s="12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0"/>
      <c r="T1461" s="10"/>
      <c r="U1461" s="10"/>
      <c r="V1461" s="10"/>
      <c r="W1461" s="10"/>
      <c r="X1461" s="10"/>
      <c r="Y1461" s="10"/>
      <c r="Z1461" s="10"/>
      <c r="AA1461" s="10"/>
    </row>
    <row r="1462" spans="1:27" ht="12.5" x14ac:dyDescent="0.25">
      <c r="A1462" s="10"/>
      <c r="B1462" s="10"/>
      <c r="C1462" s="10"/>
      <c r="D1462" s="11"/>
      <c r="E1462" s="10"/>
      <c r="F1462" s="10"/>
      <c r="G1462" s="10"/>
      <c r="H1462" s="12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0"/>
      <c r="T1462" s="10"/>
      <c r="U1462" s="10"/>
      <c r="V1462" s="10"/>
      <c r="W1462" s="10"/>
      <c r="X1462" s="10"/>
      <c r="Y1462" s="10"/>
      <c r="Z1462" s="10"/>
      <c r="AA1462" s="10"/>
    </row>
    <row r="1463" spans="1:27" ht="12.5" x14ac:dyDescent="0.25">
      <c r="A1463" s="10"/>
      <c r="B1463" s="10"/>
      <c r="C1463" s="10"/>
      <c r="D1463" s="11"/>
      <c r="E1463" s="10"/>
      <c r="F1463" s="10"/>
      <c r="G1463" s="10"/>
      <c r="H1463" s="12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0"/>
      <c r="T1463" s="10"/>
      <c r="U1463" s="10"/>
      <c r="V1463" s="10"/>
      <c r="W1463" s="10"/>
      <c r="X1463" s="10"/>
      <c r="Y1463" s="10"/>
      <c r="Z1463" s="10"/>
      <c r="AA1463" s="10"/>
    </row>
    <row r="1464" spans="1:27" ht="12.5" x14ac:dyDescent="0.25">
      <c r="A1464" s="10"/>
      <c r="B1464" s="10"/>
      <c r="C1464" s="10"/>
      <c r="D1464" s="11"/>
      <c r="E1464" s="10"/>
      <c r="F1464" s="10"/>
      <c r="G1464" s="10"/>
      <c r="H1464" s="12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0"/>
      <c r="T1464" s="10"/>
      <c r="U1464" s="10"/>
      <c r="V1464" s="10"/>
      <c r="W1464" s="10"/>
      <c r="X1464" s="10"/>
      <c r="Y1464" s="10"/>
      <c r="Z1464" s="10"/>
      <c r="AA1464" s="10"/>
    </row>
    <row r="1465" spans="1:27" ht="12.5" x14ac:dyDescent="0.25">
      <c r="A1465" s="10"/>
      <c r="B1465" s="10"/>
      <c r="C1465" s="10"/>
      <c r="D1465" s="11"/>
      <c r="E1465" s="10"/>
      <c r="F1465" s="10"/>
      <c r="G1465" s="10"/>
      <c r="H1465" s="12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0"/>
      <c r="T1465" s="10"/>
      <c r="U1465" s="10"/>
      <c r="V1465" s="10"/>
      <c r="W1465" s="10"/>
      <c r="X1465" s="10"/>
      <c r="Y1465" s="10"/>
      <c r="Z1465" s="10"/>
      <c r="AA1465" s="10"/>
    </row>
    <row r="1466" spans="1:27" ht="12.5" x14ac:dyDescent="0.25">
      <c r="A1466" s="10"/>
      <c r="B1466" s="10"/>
      <c r="C1466" s="10"/>
      <c r="D1466" s="11"/>
      <c r="E1466" s="10"/>
      <c r="F1466" s="10"/>
      <c r="G1466" s="10"/>
      <c r="H1466" s="12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0"/>
      <c r="T1466" s="10"/>
      <c r="U1466" s="10"/>
      <c r="V1466" s="10"/>
      <c r="W1466" s="10"/>
      <c r="X1466" s="10"/>
      <c r="Y1466" s="10"/>
      <c r="Z1466" s="10"/>
      <c r="AA1466" s="10"/>
    </row>
    <row r="1467" spans="1:27" ht="12.5" x14ac:dyDescent="0.25">
      <c r="A1467" s="10"/>
      <c r="B1467" s="10"/>
      <c r="C1467" s="10"/>
      <c r="D1467" s="11"/>
      <c r="E1467" s="10"/>
      <c r="F1467" s="10"/>
      <c r="G1467" s="10"/>
      <c r="H1467" s="12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0"/>
      <c r="T1467" s="10"/>
      <c r="U1467" s="10"/>
      <c r="V1467" s="10"/>
      <c r="W1467" s="10"/>
      <c r="X1467" s="10"/>
      <c r="Y1467" s="10"/>
      <c r="Z1467" s="10"/>
      <c r="AA1467" s="10"/>
    </row>
    <row r="1468" spans="1:27" ht="12.5" x14ac:dyDescent="0.25">
      <c r="A1468" s="10"/>
      <c r="B1468" s="10"/>
      <c r="C1468" s="10"/>
      <c r="D1468" s="11"/>
      <c r="E1468" s="10"/>
      <c r="F1468" s="10"/>
      <c r="G1468" s="10"/>
      <c r="H1468" s="12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0"/>
      <c r="T1468" s="10"/>
      <c r="U1468" s="10"/>
      <c r="V1468" s="10"/>
      <c r="W1468" s="10"/>
      <c r="X1468" s="10"/>
      <c r="Y1468" s="10"/>
      <c r="Z1468" s="10"/>
      <c r="AA1468" s="10"/>
    </row>
    <row r="1469" spans="1:27" ht="12.5" x14ac:dyDescent="0.25">
      <c r="A1469" s="10"/>
      <c r="B1469" s="10"/>
      <c r="C1469" s="10"/>
      <c r="D1469" s="11"/>
      <c r="E1469" s="10"/>
      <c r="F1469" s="10"/>
      <c r="G1469" s="10"/>
      <c r="H1469" s="12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0"/>
      <c r="T1469" s="10"/>
      <c r="U1469" s="10"/>
      <c r="V1469" s="10"/>
      <c r="W1469" s="10"/>
      <c r="X1469" s="10"/>
      <c r="Y1469" s="10"/>
      <c r="Z1469" s="10"/>
      <c r="AA1469" s="10"/>
    </row>
    <row r="1470" spans="1:27" ht="12.5" x14ac:dyDescent="0.25">
      <c r="A1470" s="10"/>
      <c r="B1470" s="10"/>
      <c r="C1470" s="10"/>
      <c r="D1470" s="11"/>
      <c r="E1470" s="10"/>
      <c r="F1470" s="10"/>
      <c r="G1470" s="10"/>
      <c r="H1470" s="12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0"/>
      <c r="T1470" s="10"/>
      <c r="U1470" s="10"/>
      <c r="V1470" s="10"/>
      <c r="W1470" s="10"/>
      <c r="X1470" s="10"/>
      <c r="Y1470" s="10"/>
      <c r="Z1470" s="10"/>
      <c r="AA1470" s="10"/>
    </row>
    <row r="1471" spans="1:27" ht="12.5" x14ac:dyDescent="0.25">
      <c r="A1471" s="10"/>
      <c r="B1471" s="10"/>
      <c r="C1471" s="10"/>
      <c r="D1471" s="11"/>
      <c r="E1471" s="10"/>
      <c r="F1471" s="10"/>
      <c r="G1471" s="10"/>
      <c r="H1471" s="12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0"/>
      <c r="T1471" s="10"/>
      <c r="U1471" s="10"/>
      <c r="V1471" s="10"/>
      <c r="W1471" s="10"/>
      <c r="X1471" s="10"/>
      <c r="Y1471" s="10"/>
      <c r="Z1471" s="10"/>
      <c r="AA1471" s="10"/>
    </row>
    <row r="1472" spans="1:27" ht="12.5" x14ac:dyDescent="0.25">
      <c r="A1472" s="10"/>
      <c r="B1472" s="10"/>
      <c r="C1472" s="10"/>
      <c r="D1472" s="11"/>
      <c r="E1472" s="10"/>
      <c r="F1472" s="10"/>
      <c r="G1472" s="10"/>
      <c r="H1472" s="12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0"/>
      <c r="T1472" s="10"/>
      <c r="U1472" s="10"/>
      <c r="V1472" s="10"/>
      <c r="W1472" s="10"/>
      <c r="X1472" s="10"/>
      <c r="Y1472" s="10"/>
      <c r="Z1472" s="10"/>
      <c r="AA1472" s="10"/>
    </row>
    <row r="1473" spans="1:27" ht="12.5" x14ac:dyDescent="0.25">
      <c r="A1473" s="10"/>
      <c r="B1473" s="10"/>
      <c r="C1473" s="10"/>
      <c r="D1473" s="11"/>
      <c r="E1473" s="10"/>
      <c r="F1473" s="10"/>
      <c r="G1473" s="10"/>
      <c r="H1473" s="12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0"/>
      <c r="T1473" s="10"/>
      <c r="U1473" s="10"/>
      <c r="V1473" s="10"/>
      <c r="W1473" s="10"/>
      <c r="X1473" s="10"/>
      <c r="Y1473" s="10"/>
      <c r="Z1473" s="10"/>
      <c r="AA1473" s="10"/>
    </row>
    <row r="1474" spans="1:27" ht="12.5" x14ac:dyDescent="0.25">
      <c r="A1474" s="10"/>
      <c r="B1474" s="10"/>
      <c r="C1474" s="10"/>
      <c r="D1474" s="11"/>
      <c r="E1474" s="10"/>
      <c r="F1474" s="10"/>
      <c r="G1474" s="10"/>
      <c r="H1474" s="12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0"/>
      <c r="T1474" s="10"/>
      <c r="U1474" s="10"/>
      <c r="V1474" s="10"/>
      <c r="W1474" s="10"/>
      <c r="X1474" s="10"/>
      <c r="Y1474" s="10"/>
      <c r="Z1474" s="10"/>
      <c r="AA1474" s="10"/>
    </row>
    <row r="1475" spans="1:27" ht="12.5" x14ac:dyDescent="0.25">
      <c r="A1475" s="10"/>
      <c r="B1475" s="10"/>
      <c r="C1475" s="10"/>
      <c r="D1475" s="11"/>
      <c r="E1475" s="10"/>
      <c r="F1475" s="10"/>
      <c r="G1475" s="10"/>
      <c r="H1475" s="12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0"/>
      <c r="T1475" s="10"/>
      <c r="U1475" s="10"/>
      <c r="V1475" s="10"/>
      <c r="W1475" s="10"/>
      <c r="X1475" s="10"/>
      <c r="Y1475" s="10"/>
      <c r="Z1475" s="10"/>
      <c r="AA1475" s="10"/>
    </row>
    <row r="1476" spans="1:27" ht="12.5" x14ac:dyDescent="0.25">
      <c r="A1476" s="10"/>
      <c r="B1476" s="10"/>
      <c r="C1476" s="10"/>
      <c r="D1476" s="11"/>
      <c r="E1476" s="10"/>
      <c r="F1476" s="10"/>
      <c r="G1476" s="10"/>
      <c r="H1476" s="12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0"/>
      <c r="T1476" s="10"/>
      <c r="U1476" s="10"/>
      <c r="V1476" s="10"/>
      <c r="W1476" s="10"/>
      <c r="X1476" s="10"/>
      <c r="Y1476" s="10"/>
      <c r="Z1476" s="10"/>
      <c r="AA1476" s="10"/>
    </row>
    <row r="1477" spans="1:27" ht="12.5" x14ac:dyDescent="0.25">
      <c r="A1477" s="10"/>
      <c r="B1477" s="10"/>
      <c r="C1477" s="10"/>
      <c r="D1477" s="11"/>
      <c r="E1477" s="10"/>
      <c r="F1477" s="10"/>
      <c r="G1477" s="10"/>
      <c r="H1477" s="12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0"/>
      <c r="T1477" s="10"/>
      <c r="U1477" s="10"/>
      <c r="V1477" s="10"/>
      <c r="W1477" s="10"/>
      <c r="X1477" s="10"/>
      <c r="Y1477" s="10"/>
      <c r="Z1477" s="10"/>
      <c r="AA1477" s="10"/>
    </row>
    <row r="1478" spans="1:27" ht="12.5" x14ac:dyDescent="0.25">
      <c r="A1478" s="10"/>
      <c r="B1478" s="10"/>
      <c r="C1478" s="10"/>
      <c r="D1478" s="11"/>
      <c r="E1478" s="10"/>
      <c r="F1478" s="10"/>
      <c r="G1478" s="10"/>
      <c r="H1478" s="12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0"/>
      <c r="T1478" s="10"/>
      <c r="U1478" s="10"/>
      <c r="V1478" s="10"/>
      <c r="W1478" s="10"/>
      <c r="X1478" s="10"/>
      <c r="Y1478" s="10"/>
      <c r="Z1478" s="10"/>
      <c r="AA1478" s="10"/>
    </row>
    <row r="1479" spans="1:27" ht="12.5" x14ac:dyDescent="0.25">
      <c r="A1479" s="10"/>
      <c r="B1479" s="10"/>
      <c r="C1479" s="10"/>
      <c r="D1479" s="11"/>
      <c r="E1479" s="10"/>
      <c r="F1479" s="10"/>
      <c r="G1479" s="10"/>
      <c r="H1479" s="12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0"/>
      <c r="T1479" s="10"/>
      <c r="U1479" s="10"/>
      <c r="V1479" s="10"/>
      <c r="W1479" s="10"/>
      <c r="X1479" s="10"/>
      <c r="Y1479" s="10"/>
      <c r="Z1479" s="10"/>
      <c r="AA1479" s="10"/>
    </row>
    <row r="1480" spans="1:27" ht="12.5" x14ac:dyDescent="0.25">
      <c r="A1480" s="10"/>
      <c r="B1480" s="10"/>
      <c r="C1480" s="10"/>
      <c r="D1480" s="11"/>
      <c r="E1480" s="10"/>
      <c r="F1480" s="10"/>
      <c r="G1480" s="10"/>
      <c r="H1480" s="12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0"/>
      <c r="T1480" s="10"/>
      <c r="U1480" s="10"/>
      <c r="V1480" s="10"/>
      <c r="W1480" s="10"/>
      <c r="X1480" s="10"/>
      <c r="Y1480" s="10"/>
      <c r="Z1480" s="10"/>
      <c r="AA1480" s="10"/>
    </row>
    <row r="1481" spans="1:27" ht="12.5" x14ac:dyDescent="0.25">
      <c r="A1481" s="10"/>
      <c r="B1481" s="10"/>
      <c r="C1481" s="10"/>
      <c r="D1481" s="11"/>
      <c r="E1481" s="10"/>
      <c r="F1481" s="10"/>
      <c r="G1481" s="10"/>
      <c r="H1481" s="12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0"/>
      <c r="T1481" s="10"/>
      <c r="U1481" s="10"/>
      <c r="V1481" s="10"/>
      <c r="W1481" s="10"/>
      <c r="X1481" s="10"/>
      <c r="Y1481" s="10"/>
      <c r="Z1481" s="10"/>
      <c r="AA1481" s="10"/>
    </row>
    <row r="1482" spans="1:27" ht="12.5" x14ac:dyDescent="0.25">
      <c r="A1482" s="10"/>
      <c r="B1482" s="10"/>
      <c r="C1482" s="10"/>
      <c r="D1482" s="11"/>
      <c r="E1482" s="10"/>
      <c r="F1482" s="10"/>
      <c r="G1482" s="10"/>
      <c r="H1482" s="12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0"/>
      <c r="T1482" s="10"/>
      <c r="U1482" s="10"/>
      <c r="V1482" s="10"/>
      <c r="W1482" s="10"/>
      <c r="X1482" s="10"/>
      <c r="Y1482" s="10"/>
      <c r="Z1482" s="10"/>
      <c r="AA1482" s="10"/>
    </row>
    <row r="1483" spans="1:27" ht="12.5" x14ac:dyDescent="0.25">
      <c r="A1483" s="10"/>
      <c r="B1483" s="10"/>
      <c r="C1483" s="10"/>
      <c r="D1483" s="11"/>
      <c r="E1483" s="10"/>
      <c r="F1483" s="10"/>
      <c r="G1483" s="10"/>
      <c r="H1483" s="12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0"/>
      <c r="T1483" s="10"/>
      <c r="U1483" s="10"/>
      <c r="V1483" s="10"/>
      <c r="W1483" s="10"/>
      <c r="X1483" s="10"/>
      <c r="Y1483" s="10"/>
      <c r="Z1483" s="10"/>
      <c r="AA1483" s="10"/>
    </row>
    <row r="1484" spans="1:27" ht="12.5" x14ac:dyDescent="0.25">
      <c r="A1484" s="10"/>
      <c r="B1484" s="10"/>
      <c r="C1484" s="10"/>
      <c r="D1484" s="11"/>
      <c r="E1484" s="10"/>
      <c r="F1484" s="10"/>
      <c r="G1484" s="10"/>
      <c r="H1484" s="12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0"/>
      <c r="T1484" s="10"/>
      <c r="U1484" s="10"/>
      <c r="V1484" s="10"/>
      <c r="W1484" s="10"/>
      <c r="X1484" s="10"/>
      <c r="Y1484" s="10"/>
      <c r="Z1484" s="10"/>
      <c r="AA1484" s="10"/>
    </row>
    <row r="1485" spans="1:27" ht="12.5" x14ac:dyDescent="0.25">
      <c r="A1485" s="10"/>
      <c r="B1485" s="10"/>
      <c r="C1485" s="10"/>
      <c r="D1485" s="11"/>
      <c r="E1485" s="10"/>
      <c r="F1485" s="10"/>
      <c r="G1485" s="10"/>
      <c r="H1485" s="12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0"/>
      <c r="T1485" s="10"/>
      <c r="U1485" s="10"/>
      <c r="V1485" s="10"/>
      <c r="W1485" s="10"/>
      <c r="X1485" s="10"/>
      <c r="Y1485" s="10"/>
      <c r="Z1485" s="10"/>
      <c r="AA1485" s="10"/>
    </row>
    <row r="1486" spans="1:27" ht="12.5" x14ac:dyDescent="0.25">
      <c r="A1486" s="10"/>
      <c r="B1486" s="10"/>
      <c r="C1486" s="10"/>
      <c r="D1486" s="11"/>
      <c r="E1486" s="10"/>
      <c r="F1486" s="10"/>
      <c r="G1486" s="10"/>
      <c r="H1486" s="12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0"/>
      <c r="T1486" s="10"/>
      <c r="U1486" s="10"/>
      <c r="V1486" s="10"/>
      <c r="W1486" s="10"/>
      <c r="X1486" s="10"/>
      <c r="Y1486" s="10"/>
      <c r="Z1486" s="10"/>
      <c r="AA1486" s="10"/>
    </row>
    <row r="1487" spans="1:27" ht="12.5" x14ac:dyDescent="0.25">
      <c r="A1487" s="10"/>
      <c r="B1487" s="10"/>
      <c r="C1487" s="10"/>
      <c r="D1487" s="11"/>
      <c r="E1487" s="10"/>
      <c r="F1487" s="10"/>
      <c r="G1487" s="10"/>
      <c r="H1487" s="12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0"/>
      <c r="T1487" s="10"/>
      <c r="U1487" s="10"/>
      <c r="V1487" s="10"/>
      <c r="W1487" s="10"/>
      <c r="X1487" s="10"/>
      <c r="Y1487" s="10"/>
      <c r="Z1487" s="10"/>
      <c r="AA1487" s="10"/>
    </row>
    <row r="1488" spans="1:27" ht="12.5" x14ac:dyDescent="0.25">
      <c r="A1488" s="10"/>
      <c r="B1488" s="10"/>
      <c r="C1488" s="10"/>
      <c r="D1488" s="11"/>
      <c r="E1488" s="10"/>
      <c r="F1488" s="10"/>
      <c r="G1488" s="10"/>
      <c r="H1488" s="12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0"/>
      <c r="T1488" s="10"/>
      <c r="U1488" s="10"/>
      <c r="V1488" s="10"/>
      <c r="W1488" s="10"/>
      <c r="X1488" s="10"/>
      <c r="Y1488" s="10"/>
      <c r="Z1488" s="10"/>
      <c r="AA1488" s="10"/>
    </row>
    <row r="1489" spans="1:27" ht="12.5" x14ac:dyDescent="0.25">
      <c r="A1489" s="10"/>
      <c r="B1489" s="10"/>
      <c r="C1489" s="10"/>
      <c r="D1489" s="11"/>
      <c r="E1489" s="10"/>
      <c r="F1489" s="10"/>
      <c r="G1489" s="10"/>
      <c r="H1489" s="12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0"/>
      <c r="T1489" s="10"/>
      <c r="U1489" s="10"/>
      <c r="V1489" s="10"/>
      <c r="W1489" s="10"/>
      <c r="X1489" s="10"/>
      <c r="Y1489" s="10"/>
      <c r="Z1489" s="10"/>
      <c r="AA1489" s="10"/>
    </row>
    <row r="1490" spans="1:27" ht="12.5" x14ac:dyDescent="0.25">
      <c r="A1490" s="10"/>
      <c r="B1490" s="10"/>
      <c r="C1490" s="10"/>
      <c r="D1490" s="11"/>
      <c r="E1490" s="10"/>
      <c r="F1490" s="10"/>
      <c r="G1490" s="10"/>
      <c r="H1490" s="12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0"/>
      <c r="T1490" s="10"/>
      <c r="U1490" s="10"/>
      <c r="V1490" s="10"/>
      <c r="W1490" s="10"/>
      <c r="X1490" s="10"/>
      <c r="Y1490" s="10"/>
      <c r="Z1490" s="10"/>
      <c r="AA1490" s="10"/>
    </row>
    <row r="1491" spans="1:27" ht="12.5" x14ac:dyDescent="0.25">
      <c r="A1491" s="10"/>
      <c r="B1491" s="10"/>
      <c r="C1491" s="10"/>
      <c r="D1491" s="11"/>
      <c r="E1491" s="10"/>
      <c r="F1491" s="10"/>
      <c r="G1491" s="10"/>
      <c r="H1491" s="12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0"/>
      <c r="T1491" s="10"/>
      <c r="U1491" s="10"/>
      <c r="V1491" s="10"/>
      <c r="W1491" s="10"/>
      <c r="X1491" s="10"/>
      <c r="Y1491" s="10"/>
      <c r="Z1491" s="10"/>
      <c r="AA1491" s="10"/>
    </row>
    <row r="1492" spans="1:27" ht="12.5" x14ac:dyDescent="0.25">
      <c r="A1492" s="10"/>
      <c r="B1492" s="10"/>
      <c r="C1492" s="10"/>
      <c r="D1492" s="11"/>
      <c r="E1492" s="10"/>
      <c r="F1492" s="10"/>
      <c r="G1492" s="10"/>
      <c r="H1492" s="12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0"/>
      <c r="T1492" s="10"/>
      <c r="U1492" s="10"/>
      <c r="V1492" s="10"/>
      <c r="W1492" s="10"/>
      <c r="X1492" s="10"/>
      <c r="Y1492" s="10"/>
      <c r="Z1492" s="10"/>
      <c r="AA1492" s="10"/>
    </row>
    <row r="1493" spans="1:27" ht="12.5" x14ac:dyDescent="0.25">
      <c r="A1493" s="10"/>
      <c r="B1493" s="10"/>
      <c r="C1493" s="10"/>
      <c r="D1493" s="11"/>
      <c r="E1493" s="10"/>
      <c r="F1493" s="10"/>
      <c r="G1493" s="10"/>
      <c r="H1493" s="12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0"/>
      <c r="T1493" s="10"/>
      <c r="U1493" s="10"/>
      <c r="V1493" s="10"/>
      <c r="W1493" s="10"/>
      <c r="X1493" s="10"/>
      <c r="Y1493" s="10"/>
      <c r="Z1493" s="10"/>
      <c r="AA1493" s="10"/>
    </row>
    <row r="1494" spans="1:27" ht="12.5" x14ac:dyDescent="0.25">
      <c r="A1494" s="10"/>
      <c r="B1494" s="10"/>
      <c r="C1494" s="10"/>
      <c r="D1494" s="11"/>
      <c r="E1494" s="10"/>
      <c r="F1494" s="10"/>
      <c r="G1494" s="10"/>
      <c r="H1494" s="12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0"/>
      <c r="T1494" s="10"/>
      <c r="U1494" s="10"/>
      <c r="V1494" s="10"/>
      <c r="W1494" s="10"/>
      <c r="X1494" s="10"/>
      <c r="Y1494" s="10"/>
      <c r="Z1494" s="10"/>
      <c r="AA1494" s="10"/>
    </row>
    <row r="1495" spans="1:27" ht="12.5" x14ac:dyDescent="0.25">
      <c r="A1495" s="10"/>
      <c r="B1495" s="10"/>
      <c r="C1495" s="10"/>
      <c r="D1495" s="11"/>
      <c r="E1495" s="10"/>
      <c r="F1495" s="10"/>
      <c r="G1495" s="10"/>
      <c r="H1495" s="12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0"/>
      <c r="T1495" s="10"/>
      <c r="U1495" s="10"/>
      <c r="V1495" s="10"/>
      <c r="W1495" s="10"/>
      <c r="X1495" s="10"/>
      <c r="Y1495" s="10"/>
      <c r="Z1495" s="10"/>
      <c r="AA1495" s="10"/>
    </row>
    <row r="1496" spans="1:27" ht="12.5" x14ac:dyDescent="0.25">
      <c r="A1496" s="10"/>
      <c r="B1496" s="10"/>
      <c r="C1496" s="10"/>
      <c r="D1496" s="11"/>
      <c r="E1496" s="10"/>
      <c r="F1496" s="10"/>
      <c r="G1496" s="10"/>
      <c r="H1496" s="12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0"/>
      <c r="T1496" s="10"/>
      <c r="U1496" s="10"/>
      <c r="V1496" s="10"/>
      <c r="W1496" s="10"/>
      <c r="X1496" s="10"/>
      <c r="Y1496" s="10"/>
      <c r="Z1496" s="10"/>
      <c r="AA1496" s="10"/>
    </row>
    <row r="1497" spans="1:27" ht="12.5" x14ac:dyDescent="0.25">
      <c r="A1497" s="10"/>
      <c r="B1497" s="10"/>
      <c r="C1497" s="10"/>
      <c r="D1497" s="11"/>
      <c r="E1497" s="10"/>
      <c r="F1497" s="10"/>
      <c r="G1497" s="10"/>
      <c r="H1497" s="12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0"/>
      <c r="T1497" s="10"/>
      <c r="U1497" s="10"/>
      <c r="V1497" s="10"/>
      <c r="W1497" s="10"/>
      <c r="X1497" s="10"/>
      <c r="Y1497" s="10"/>
      <c r="Z1497" s="10"/>
      <c r="AA1497" s="10"/>
    </row>
    <row r="1498" spans="1:27" ht="12.5" x14ac:dyDescent="0.25">
      <c r="A1498" s="10"/>
      <c r="B1498" s="10"/>
      <c r="C1498" s="10"/>
      <c r="D1498" s="11"/>
      <c r="E1498" s="10"/>
      <c r="F1498" s="10"/>
      <c r="G1498" s="10"/>
      <c r="H1498" s="12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0"/>
      <c r="T1498" s="10"/>
      <c r="U1498" s="10"/>
      <c r="V1498" s="10"/>
      <c r="W1498" s="10"/>
      <c r="X1498" s="10"/>
      <c r="Y1498" s="10"/>
      <c r="Z1498" s="10"/>
      <c r="AA1498" s="10"/>
    </row>
    <row r="1499" spans="1:27" ht="12.5" x14ac:dyDescent="0.25">
      <c r="A1499" s="10"/>
      <c r="B1499" s="10"/>
      <c r="C1499" s="10"/>
      <c r="D1499" s="11"/>
      <c r="E1499" s="10"/>
      <c r="F1499" s="10"/>
      <c r="G1499" s="10"/>
      <c r="H1499" s="12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0"/>
      <c r="T1499" s="10"/>
      <c r="U1499" s="10"/>
      <c r="V1499" s="10"/>
      <c r="W1499" s="10"/>
      <c r="X1499" s="10"/>
      <c r="Y1499" s="10"/>
      <c r="Z1499" s="10"/>
      <c r="AA1499" s="10"/>
    </row>
    <row r="1500" spans="1:27" ht="12.5" x14ac:dyDescent="0.25">
      <c r="A1500" s="10"/>
      <c r="B1500" s="10"/>
      <c r="C1500" s="10"/>
      <c r="D1500" s="11"/>
      <c r="E1500" s="10"/>
      <c r="F1500" s="10"/>
      <c r="G1500" s="10"/>
      <c r="H1500" s="12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0"/>
      <c r="T1500" s="10"/>
      <c r="U1500" s="10"/>
      <c r="V1500" s="10"/>
      <c r="W1500" s="10"/>
      <c r="X1500" s="10"/>
      <c r="Y1500" s="10"/>
      <c r="Z1500" s="10"/>
      <c r="AA1500" s="10"/>
    </row>
    <row r="1501" spans="1:27" ht="12.5" x14ac:dyDescent="0.25">
      <c r="A1501" s="10"/>
      <c r="B1501" s="10"/>
      <c r="C1501" s="10"/>
      <c r="D1501" s="11"/>
      <c r="E1501" s="10"/>
      <c r="F1501" s="10"/>
      <c r="G1501" s="10"/>
      <c r="H1501" s="12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0"/>
      <c r="T1501" s="10"/>
      <c r="U1501" s="10"/>
      <c r="V1501" s="10"/>
      <c r="W1501" s="10"/>
      <c r="X1501" s="10"/>
      <c r="Y1501" s="10"/>
      <c r="Z1501" s="10"/>
      <c r="AA1501" s="10"/>
    </row>
    <row r="1502" spans="1:27" ht="12.5" x14ac:dyDescent="0.25">
      <c r="A1502" s="10"/>
      <c r="B1502" s="10"/>
      <c r="C1502" s="10"/>
      <c r="D1502" s="11"/>
      <c r="E1502" s="10"/>
      <c r="F1502" s="10"/>
      <c r="G1502" s="10"/>
      <c r="H1502" s="12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0"/>
      <c r="T1502" s="10"/>
      <c r="U1502" s="10"/>
      <c r="V1502" s="10"/>
      <c r="W1502" s="10"/>
      <c r="X1502" s="10"/>
      <c r="Y1502" s="10"/>
      <c r="Z1502" s="10"/>
      <c r="AA1502" s="10"/>
    </row>
    <row r="1503" spans="1:27" ht="12.5" x14ac:dyDescent="0.25">
      <c r="A1503" s="10"/>
      <c r="B1503" s="10"/>
      <c r="C1503" s="10"/>
      <c r="D1503" s="11"/>
      <c r="E1503" s="10"/>
      <c r="F1503" s="10"/>
      <c r="G1503" s="10"/>
      <c r="H1503" s="12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0"/>
      <c r="T1503" s="10"/>
      <c r="U1503" s="10"/>
      <c r="V1503" s="10"/>
      <c r="W1503" s="10"/>
      <c r="X1503" s="10"/>
      <c r="Y1503" s="10"/>
      <c r="Z1503" s="10"/>
      <c r="AA1503" s="10"/>
    </row>
    <row r="1504" spans="1:27" ht="12.5" x14ac:dyDescent="0.25">
      <c r="A1504" s="10"/>
      <c r="B1504" s="10"/>
      <c r="C1504" s="10"/>
      <c r="D1504" s="11"/>
      <c r="E1504" s="10"/>
      <c r="F1504" s="10"/>
      <c r="G1504" s="10"/>
      <c r="H1504" s="12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0"/>
      <c r="T1504" s="10"/>
      <c r="U1504" s="10"/>
      <c r="V1504" s="10"/>
      <c r="W1504" s="10"/>
      <c r="X1504" s="10"/>
      <c r="Y1504" s="10"/>
      <c r="Z1504" s="10"/>
      <c r="AA1504" s="10"/>
    </row>
    <row r="1505" spans="1:27" ht="12.5" x14ac:dyDescent="0.25">
      <c r="A1505" s="10"/>
      <c r="B1505" s="10"/>
      <c r="C1505" s="10"/>
      <c r="D1505" s="11"/>
      <c r="E1505" s="10"/>
      <c r="F1505" s="10"/>
      <c r="G1505" s="10"/>
      <c r="H1505" s="12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0"/>
      <c r="T1505" s="10"/>
      <c r="U1505" s="10"/>
      <c r="V1505" s="10"/>
      <c r="W1505" s="10"/>
      <c r="X1505" s="10"/>
      <c r="Y1505" s="10"/>
      <c r="Z1505" s="10"/>
      <c r="AA1505" s="10"/>
    </row>
    <row r="1506" spans="1:27" ht="12.5" x14ac:dyDescent="0.25">
      <c r="A1506" s="10"/>
      <c r="B1506" s="10"/>
      <c r="C1506" s="10"/>
      <c r="D1506" s="11"/>
      <c r="E1506" s="10"/>
      <c r="F1506" s="10"/>
      <c r="G1506" s="10"/>
      <c r="H1506" s="12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0"/>
      <c r="T1506" s="10"/>
      <c r="U1506" s="10"/>
      <c r="V1506" s="10"/>
      <c r="W1506" s="10"/>
      <c r="X1506" s="10"/>
      <c r="Y1506" s="10"/>
      <c r="Z1506" s="10"/>
      <c r="AA1506" s="10"/>
    </row>
    <row r="1507" spans="1:27" ht="12.5" x14ac:dyDescent="0.25">
      <c r="A1507" s="10"/>
      <c r="B1507" s="10"/>
      <c r="C1507" s="10"/>
      <c r="D1507" s="11"/>
      <c r="E1507" s="10"/>
      <c r="F1507" s="10"/>
      <c r="G1507" s="10"/>
      <c r="H1507" s="12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0"/>
      <c r="T1507" s="10"/>
      <c r="U1507" s="10"/>
      <c r="V1507" s="10"/>
      <c r="W1507" s="10"/>
      <c r="X1507" s="10"/>
      <c r="Y1507" s="10"/>
      <c r="Z1507" s="10"/>
      <c r="AA1507" s="10"/>
    </row>
    <row r="1508" spans="1:27" ht="12.5" x14ac:dyDescent="0.25">
      <c r="A1508" s="10"/>
      <c r="B1508" s="10"/>
      <c r="C1508" s="10"/>
      <c r="D1508" s="11"/>
      <c r="E1508" s="10"/>
      <c r="F1508" s="10"/>
      <c r="G1508" s="10"/>
      <c r="H1508" s="12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0"/>
      <c r="T1508" s="10"/>
      <c r="U1508" s="10"/>
      <c r="V1508" s="10"/>
      <c r="W1508" s="10"/>
      <c r="X1508" s="10"/>
      <c r="Y1508" s="10"/>
      <c r="Z1508" s="10"/>
      <c r="AA1508" s="10"/>
    </row>
    <row r="1509" spans="1:27" ht="12.5" x14ac:dyDescent="0.25">
      <c r="A1509" s="10"/>
      <c r="B1509" s="10"/>
      <c r="C1509" s="10"/>
      <c r="D1509" s="11"/>
      <c r="E1509" s="10"/>
      <c r="F1509" s="10"/>
      <c r="G1509" s="10"/>
      <c r="H1509" s="12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0"/>
      <c r="T1509" s="10"/>
      <c r="U1509" s="10"/>
      <c r="V1509" s="10"/>
      <c r="W1509" s="10"/>
      <c r="X1509" s="10"/>
      <c r="Y1509" s="10"/>
      <c r="Z1509" s="10"/>
      <c r="AA1509" s="10"/>
    </row>
    <row r="1510" spans="1:27" ht="12.5" x14ac:dyDescent="0.25">
      <c r="A1510" s="10"/>
      <c r="B1510" s="10"/>
      <c r="C1510" s="10"/>
      <c r="D1510" s="11"/>
      <c r="E1510" s="10"/>
      <c r="F1510" s="10"/>
      <c r="G1510" s="10"/>
      <c r="H1510" s="12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0"/>
      <c r="T1510" s="10"/>
      <c r="U1510" s="10"/>
      <c r="V1510" s="10"/>
      <c r="W1510" s="10"/>
      <c r="X1510" s="10"/>
      <c r="Y1510" s="10"/>
      <c r="Z1510" s="10"/>
      <c r="AA1510" s="10"/>
    </row>
    <row r="1511" spans="1:27" ht="12.5" x14ac:dyDescent="0.25">
      <c r="A1511" s="10"/>
      <c r="B1511" s="10"/>
      <c r="C1511" s="10"/>
      <c r="D1511" s="11"/>
      <c r="E1511" s="10"/>
      <c r="F1511" s="10"/>
      <c r="G1511" s="10"/>
      <c r="H1511" s="12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0"/>
      <c r="T1511" s="10"/>
      <c r="U1511" s="10"/>
      <c r="V1511" s="10"/>
      <c r="W1511" s="10"/>
      <c r="X1511" s="10"/>
      <c r="Y1511" s="10"/>
      <c r="Z1511" s="10"/>
      <c r="AA1511" s="10"/>
    </row>
    <row r="1512" spans="1:27" ht="12.5" x14ac:dyDescent="0.25">
      <c r="A1512" s="10"/>
      <c r="B1512" s="10"/>
      <c r="C1512" s="10"/>
      <c r="D1512" s="11"/>
      <c r="E1512" s="10"/>
      <c r="F1512" s="10"/>
      <c r="G1512" s="10"/>
      <c r="H1512" s="12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0"/>
      <c r="T1512" s="10"/>
      <c r="U1512" s="10"/>
      <c r="V1512" s="10"/>
      <c r="W1512" s="10"/>
      <c r="X1512" s="10"/>
      <c r="Y1512" s="10"/>
      <c r="Z1512" s="10"/>
      <c r="AA1512" s="10"/>
    </row>
    <row r="1513" spans="1:27" ht="12.5" x14ac:dyDescent="0.25">
      <c r="A1513" s="10"/>
      <c r="B1513" s="10"/>
      <c r="C1513" s="10"/>
      <c r="D1513" s="11"/>
      <c r="E1513" s="10"/>
      <c r="F1513" s="10"/>
      <c r="G1513" s="10"/>
      <c r="H1513" s="12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0"/>
      <c r="T1513" s="10"/>
      <c r="U1513" s="10"/>
      <c r="V1513" s="10"/>
      <c r="W1513" s="10"/>
      <c r="X1513" s="10"/>
      <c r="Y1513" s="10"/>
      <c r="Z1513" s="10"/>
      <c r="AA1513" s="10"/>
    </row>
    <row r="1514" spans="1:27" ht="12.5" x14ac:dyDescent="0.25">
      <c r="A1514" s="10"/>
      <c r="B1514" s="10"/>
      <c r="C1514" s="10"/>
      <c r="D1514" s="11"/>
      <c r="E1514" s="10"/>
      <c r="F1514" s="10"/>
      <c r="G1514" s="10"/>
      <c r="H1514" s="12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0"/>
      <c r="T1514" s="10"/>
      <c r="U1514" s="10"/>
      <c r="V1514" s="10"/>
      <c r="W1514" s="10"/>
      <c r="X1514" s="10"/>
      <c r="Y1514" s="10"/>
      <c r="Z1514" s="10"/>
      <c r="AA1514" s="10"/>
    </row>
    <row r="1515" spans="1:27" ht="12.5" x14ac:dyDescent="0.25">
      <c r="A1515" s="10"/>
      <c r="B1515" s="10"/>
      <c r="C1515" s="10"/>
      <c r="D1515" s="11"/>
      <c r="E1515" s="10"/>
      <c r="F1515" s="10"/>
      <c r="G1515" s="10"/>
      <c r="H1515" s="12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0"/>
      <c r="T1515" s="10"/>
      <c r="U1515" s="10"/>
      <c r="V1515" s="10"/>
      <c r="W1515" s="10"/>
      <c r="X1515" s="10"/>
      <c r="Y1515" s="10"/>
      <c r="Z1515" s="10"/>
      <c r="AA1515" s="10"/>
    </row>
    <row r="1516" spans="1:27" ht="12.5" x14ac:dyDescent="0.25">
      <c r="A1516" s="10"/>
      <c r="B1516" s="10"/>
      <c r="C1516" s="10"/>
      <c r="D1516" s="11"/>
      <c r="E1516" s="10"/>
      <c r="F1516" s="10"/>
      <c r="G1516" s="10"/>
      <c r="H1516" s="12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0"/>
      <c r="T1516" s="10"/>
      <c r="U1516" s="10"/>
      <c r="V1516" s="10"/>
      <c r="W1516" s="10"/>
      <c r="X1516" s="10"/>
      <c r="Y1516" s="10"/>
      <c r="Z1516" s="10"/>
      <c r="AA1516" s="10"/>
    </row>
    <row r="1517" spans="1:27" ht="12.5" x14ac:dyDescent="0.25">
      <c r="A1517" s="10"/>
      <c r="B1517" s="10"/>
      <c r="C1517" s="10"/>
      <c r="D1517" s="11"/>
      <c r="E1517" s="10"/>
      <c r="F1517" s="10"/>
      <c r="G1517" s="10"/>
      <c r="H1517" s="12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0"/>
      <c r="T1517" s="10"/>
      <c r="U1517" s="10"/>
      <c r="V1517" s="10"/>
      <c r="W1517" s="10"/>
      <c r="X1517" s="10"/>
      <c r="Y1517" s="10"/>
      <c r="Z1517" s="10"/>
      <c r="AA1517" s="10"/>
    </row>
    <row r="1518" spans="1:27" ht="12.5" x14ac:dyDescent="0.25">
      <c r="A1518" s="10"/>
      <c r="B1518" s="10"/>
      <c r="C1518" s="10"/>
      <c r="D1518" s="11"/>
      <c r="E1518" s="10"/>
      <c r="F1518" s="10"/>
      <c r="G1518" s="10"/>
      <c r="H1518" s="12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0"/>
      <c r="T1518" s="10"/>
      <c r="U1518" s="10"/>
      <c r="V1518" s="10"/>
      <c r="W1518" s="10"/>
      <c r="X1518" s="10"/>
      <c r="Y1518" s="10"/>
      <c r="Z1518" s="10"/>
      <c r="AA1518" s="10"/>
    </row>
    <row r="1519" spans="1:27" ht="12.5" x14ac:dyDescent="0.25">
      <c r="A1519" s="10"/>
      <c r="B1519" s="10"/>
      <c r="C1519" s="10"/>
      <c r="D1519" s="11"/>
      <c r="E1519" s="10"/>
      <c r="F1519" s="10"/>
      <c r="G1519" s="10"/>
      <c r="H1519" s="12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0"/>
      <c r="T1519" s="10"/>
      <c r="U1519" s="10"/>
      <c r="V1519" s="10"/>
      <c r="W1519" s="10"/>
      <c r="X1519" s="10"/>
      <c r="Y1519" s="10"/>
      <c r="Z1519" s="10"/>
      <c r="AA1519" s="10"/>
    </row>
    <row r="1520" spans="1:27" ht="12.5" x14ac:dyDescent="0.25">
      <c r="A1520" s="10"/>
      <c r="B1520" s="10"/>
      <c r="C1520" s="10"/>
      <c r="D1520" s="11"/>
      <c r="E1520" s="10"/>
      <c r="F1520" s="10"/>
      <c r="G1520" s="10"/>
      <c r="H1520" s="12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0"/>
      <c r="T1520" s="10"/>
      <c r="U1520" s="10"/>
      <c r="V1520" s="10"/>
      <c r="W1520" s="10"/>
      <c r="X1520" s="10"/>
      <c r="Y1520" s="10"/>
      <c r="Z1520" s="10"/>
      <c r="AA1520" s="10"/>
    </row>
    <row r="1521" spans="1:27" ht="12.5" x14ac:dyDescent="0.25">
      <c r="A1521" s="10"/>
      <c r="B1521" s="10"/>
      <c r="C1521" s="10"/>
      <c r="D1521" s="11"/>
      <c r="E1521" s="10"/>
      <c r="F1521" s="10"/>
      <c r="G1521" s="10"/>
      <c r="H1521" s="12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0"/>
      <c r="T1521" s="10"/>
      <c r="U1521" s="10"/>
      <c r="V1521" s="10"/>
      <c r="W1521" s="10"/>
      <c r="X1521" s="10"/>
      <c r="Y1521" s="10"/>
      <c r="Z1521" s="10"/>
      <c r="AA1521" s="10"/>
    </row>
    <row r="1522" spans="1:27" ht="12.5" x14ac:dyDescent="0.25">
      <c r="A1522" s="10"/>
      <c r="B1522" s="10"/>
      <c r="C1522" s="10"/>
      <c r="D1522" s="11"/>
      <c r="E1522" s="10"/>
      <c r="F1522" s="10"/>
      <c r="G1522" s="10"/>
      <c r="H1522" s="12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0"/>
      <c r="T1522" s="10"/>
      <c r="U1522" s="10"/>
      <c r="V1522" s="10"/>
      <c r="W1522" s="10"/>
      <c r="X1522" s="10"/>
      <c r="Y1522" s="10"/>
      <c r="Z1522" s="10"/>
      <c r="AA1522" s="10"/>
    </row>
    <row r="1523" spans="1:27" ht="12.5" x14ac:dyDescent="0.25">
      <c r="A1523" s="10"/>
      <c r="B1523" s="10"/>
      <c r="C1523" s="10"/>
      <c r="D1523" s="11"/>
      <c r="E1523" s="10"/>
      <c r="F1523" s="10"/>
      <c r="G1523" s="10"/>
      <c r="H1523" s="12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0"/>
      <c r="T1523" s="10"/>
      <c r="U1523" s="10"/>
      <c r="V1523" s="10"/>
      <c r="W1523" s="10"/>
      <c r="X1523" s="10"/>
      <c r="Y1523" s="10"/>
      <c r="Z1523" s="10"/>
      <c r="AA1523" s="10"/>
    </row>
    <row r="1524" spans="1:27" ht="12.5" x14ac:dyDescent="0.25">
      <c r="A1524" s="10"/>
      <c r="B1524" s="10"/>
      <c r="C1524" s="10"/>
      <c r="D1524" s="11"/>
      <c r="E1524" s="10"/>
      <c r="F1524" s="10"/>
      <c r="G1524" s="10"/>
      <c r="H1524" s="12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0"/>
      <c r="T1524" s="10"/>
      <c r="U1524" s="10"/>
      <c r="V1524" s="10"/>
      <c r="W1524" s="10"/>
      <c r="X1524" s="10"/>
      <c r="Y1524" s="10"/>
      <c r="Z1524" s="10"/>
      <c r="AA1524" s="10"/>
    </row>
    <row r="1525" spans="1:27" ht="12.5" x14ac:dyDescent="0.25">
      <c r="A1525" s="10"/>
      <c r="B1525" s="10"/>
      <c r="C1525" s="10"/>
      <c r="D1525" s="11"/>
      <c r="E1525" s="10"/>
      <c r="F1525" s="10"/>
      <c r="G1525" s="10"/>
      <c r="H1525" s="12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0"/>
      <c r="T1525" s="10"/>
      <c r="U1525" s="10"/>
      <c r="V1525" s="10"/>
      <c r="W1525" s="10"/>
      <c r="X1525" s="10"/>
      <c r="Y1525" s="10"/>
      <c r="Z1525" s="10"/>
      <c r="AA1525" s="10"/>
    </row>
    <row r="1526" spans="1:27" ht="12.5" x14ac:dyDescent="0.25">
      <c r="A1526" s="10"/>
      <c r="B1526" s="10"/>
      <c r="C1526" s="10"/>
      <c r="D1526" s="11"/>
      <c r="E1526" s="10"/>
      <c r="F1526" s="10"/>
      <c r="G1526" s="10"/>
      <c r="H1526" s="12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0"/>
      <c r="T1526" s="10"/>
      <c r="U1526" s="10"/>
      <c r="V1526" s="10"/>
      <c r="W1526" s="10"/>
      <c r="X1526" s="10"/>
      <c r="Y1526" s="10"/>
      <c r="Z1526" s="10"/>
      <c r="AA1526" s="10"/>
    </row>
    <row r="1527" spans="1:27" ht="12.5" x14ac:dyDescent="0.25">
      <c r="A1527" s="10"/>
      <c r="B1527" s="10"/>
      <c r="C1527" s="10"/>
      <c r="D1527" s="11"/>
      <c r="E1527" s="10"/>
      <c r="F1527" s="10"/>
      <c r="G1527" s="10"/>
      <c r="H1527" s="12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0"/>
      <c r="T1527" s="10"/>
      <c r="U1527" s="10"/>
      <c r="V1527" s="10"/>
      <c r="W1527" s="10"/>
      <c r="X1527" s="10"/>
      <c r="Y1527" s="10"/>
      <c r="Z1527" s="10"/>
      <c r="AA1527" s="10"/>
    </row>
    <row r="1528" spans="1:27" ht="12.5" x14ac:dyDescent="0.25">
      <c r="A1528" s="10"/>
      <c r="B1528" s="10"/>
      <c r="C1528" s="10"/>
      <c r="D1528" s="11"/>
      <c r="E1528" s="10"/>
      <c r="F1528" s="10"/>
      <c r="G1528" s="10"/>
      <c r="H1528" s="12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0"/>
      <c r="T1528" s="10"/>
      <c r="U1528" s="10"/>
      <c r="V1528" s="10"/>
      <c r="W1528" s="10"/>
      <c r="X1528" s="10"/>
      <c r="Y1528" s="10"/>
      <c r="Z1528" s="10"/>
      <c r="AA1528" s="10"/>
    </row>
    <row r="1529" spans="1:27" ht="12.5" x14ac:dyDescent="0.25">
      <c r="A1529" s="10"/>
      <c r="B1529" s="10"/>
      <c r="C1529" s="10"/>
      <c r="D1529" s="11"/>
      <c r="E1529" s="10"/>
      <c r="F1529" s="10"/>
      <c r="G1529" s="10"/>
      <c r="H1529" s="12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0"/>
      <c r="T1529" s="10"/>
      <c r="U1529" s="10"/>
      <c r="V1529" s="10"/>
      <c r="W1529" s="10"/>
      <c r="X1529" s="10"/>
      <c r="Y1529" s="10"/>
      <c r="Z1529" s="10"/>
      <c r="AA1529" s="10"/>
    </row>
    <row r="1530" spans="1:27" ht="12.5" x14ac:dyDescent="0.25">
      <c r="A1530" s="10"/>
      <c r="B1530" s="10"/>
      <c r="C1530" s="10"/>
      <c r="D1530" s="11"/>
      <c r="E1530" s="10"/>
      <c r="F1530" s="10"/>
      <c r="G1530" s="10"/>
      <c r="H1530" s="12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0"/>
      <c r="T1530" s="10"/>
      <c r="U1530" s="10"/>
      <c r="V1530" s="10"/>
      <c r="W1530" s="10"/>
      <c r="X1530" s="10"/>
      <c r="Y1530" s="10"/>
      <c r="Z1530" s="10"/>
      <c r="AA1530" s="10"/>
    </row>
    <row r="1531" spans="1:27" ht="12.5" x14ac:dyDescent="0.25">
      <c r="A1531" s="10"/>
      <c r="B1531" s="10"/>
      <c r="C1531" s="10"/>
      <c r="D1531" s="11"/>
      <c r="E1531" s="10"/>
      <c r="F1531" s="10"/>
      <c r="G1531" s="10"/>
      <c r="H1531" s="12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0"/>
      <c r="T1531" s="10"/>
      <c r="U1531" s="10"/>
      <c r="V1531" s="10"/>
      <c r="W1531" s="10"/>
      <c r="X1531" s="10"/>
      <c r="Y1531" s="10"/>
      <c r="Z1531" s="10"/>
      <c r="AA1531" s="10"/>
    </row>
    <row r="1532" spans="1:27" ht="12.5" x14ac:dyDescent="0.25">
      <c r="A1532" s="10"/>
      <c r="B1532" s="10"/>
      <c r="C1532" s="10"/>
      <c r="D1532" s="11"/>
      <c r="E1532" s="10"/>
      <c r="F1532" s="10"/>
      <c r="G1532" s="10"/>
      <c r="H1532" s="12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0"/>
      <c r="T1532" s="10"/>
      <c r="U1532" s="10"/>
      <c r="V1532" s="10"/>
      <c r="W1532" s="10"/>
      <c r="X1532" s="10"/>
      <c r="Y1532" s="10"/>
      <c r="Z1532" s="10"/>
      <c r="AA1532" s="10"/>
    </row>
    <row r="1533" spans="1:27" ht="12.5" x14ac:dyDescent="0.25">
      <c r="A1533" s="10"/>
      <c r="B1533" s="10"/>
      <c r="C1533" s="10"/>
      <c r="D1533" s="11"/>
      <c r="E1533" s="10"/>
      <c r="F1533" s="10"/>
      <c r="G1533" s="10"/>
      <c r="H1533" s="12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0"/>
      <c r="T1533" s="10"/>
      <c r="U1533" s="10"/>
      <c r="V1533" s="10"/>
      <c r="W1533" s="10"/>
      <c r="X1533" s="10"/>
      <c r="Y1533" s="10"/>
      <c r="Z1533" s="10"/>
      <c r="AA1533" s="10"/>
    </row>
    <row r="1534" spans="1:27" ht="12.5" x14ac:dyDescent="0.25">
      <c r="A1534" s="10"/>
      <c r="B1534" s="10"/>
      <c r="C1534" s="10"/>
      <c r="D1534" s="11"/>
      <c r="E1534" s="10"/>
      <c r="F1534" s="10"/>
      <c r="G1534" s="10"/>
      <c r="H1534" s="12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0"/>
      <c r="T1534" s="10"/>
      <c r="U1534" s="10"/>
      <c r="V1534" s="10"/>
      <c r="W1534" s="10"/>
      <c r="X1534" s="10"/>
      <c r="Y1534" s="10"/>
      <c r="Z1534" s="10"/>
      <c r="AA1534" s="10"/>
    </row>
    <row r="1535" spans="1:27" ht="12.5" x14ac:dyDescent="0.25">
      <c r="A1535" s="10"/>
      <c r="B1535" s="10"/>
      <c r="C1535" s="10"/>
      <c r="D1535" s="11"/>
      <c r="E1535" s="10"/>
      <c r="F1535" s="10"/>
      <c r="G1535" s="10"/>
      <c r="H1535" s="12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0"/>
      <c r="T1535" s="10"/>
      <c r="U1535" s="10"/>
      <c r="V1535" s="10"/>
      <c r="W1535" s="10"/>
      <c r="X1535" s="10"/>
      <c r="Y1535" s="10"/>
      <c r="Z1535" s="10"/>
      <c r="AA1535" s="10"/>
    </row>
    <row r="1536" spans="1:27" ht="12.5" x14ac:dyDescent="0.25">
      <c r="A1536" s="10"/>
      <c r="B1536" s="10"/>
      <c r="C1536" s="10"/>
      <c r="D1536" s="11"/>
      <c r="E1536" s="10"/>
      <c r="F1536" s="10"/>
      <c r="G1536" s="10"/>
      <c r="H1536" s="12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0"/>
      <c r="T1536" s="10"/>
      <c r="U1536" s="10"/>
      <c r="V1536" s="10"/>
      <c r="W1536" s="10"/>
      <c r="X1536" s="10"/>
      <c r="Y1536" s="10"/>
      <c r="Z1536" s="10"/>
      <c r="AA1536" s="10"/>
    </row>
    <row r="1537" spans="1:27" ht="12.5" x14ac:dyDescent="0.25">
      <c r="A1537" s="10"/>
      <c r="B1537" s="10"/>
      <c r="C1537" s="10"/>
      <c r="D1537" s="11"/>
      <c r="E1537" s="10"/>
      <c r="F1537" s="10"/>
      <c r="G1537" s="10"/>
      <c r="H1537" s="12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0"/>
      <c r="T1537" s="10"/>
      <c r="U1537" s="10"/>
      <c r="V1537" s="10"/>
      <c r="W1537" s="10"/>
      <c r="X1537" s="10"/>
      <c r="Y1537" s="10"/>
      <c r="Z1537" s="10"/>
      <c r="AA1537" s="10"/>
    </row>
    <row r="1538" spans="1:27" ht="12.5" x14ac:dyDescent="0.25">
      <c r="A1538" s="10"/>
      <c r="B1538" s="10"/>
      <c r="C1538" s="10"/>
      <c r="D1538" s="11"/>
      <c r="E1538" s="10"/>
      <c r="F1538" s="10"/>
      <c r="G1538" s="10"/>
      <c r="H1538" s="12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0"/>
      <c r="T1538" s="10"/>
      <c r="U1538" s="10"/>
      <c r="V1538" s="10"/>
      <c r="W1538" s="10"/>
      <c r="X1538" s="10"/>
      <c r="Y1538" s="10"/>
      <c r="Z1538" s="10"/>
      <c r="AA1538" s="10"/>
    </row>
    <row r="1539" spans="1:27" ht="12.5" x14ac:dyDescent="0.25">
      <c r="A1539" s="10"/>
      <c r="B1539" s="10"/>
      <c r="C1539" s="10"/>
      <c r="D1539" s="11"/>
      <c r="E1539" s="10"/>
      <c r="F1539" s="10"/>
      <c r="G1539" s="10"/>
      <c r="H1539" s="12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0"/>
      <c r="T1539" s="10"/>
      <c r="U1539" s="10"/>
      <c r="V1539" s="10"/>
      <c r="W1539" s="10"/>
      <c r="X1539" s="10"/>
      <c r="Y1539" s="10"/>
      <c r="Z1539" s="10"/>
      <c r="AA1539" s="10"/>
    </row>
    <row r="1540" spans="1:27" ht="12.5" x14ac:dyDescent="0.25">
      <c r="A1540" s="10"/>
      <c r="B1540" s="10"/>
      <c r="C1540" s="10"/>
      <c r="D1540" s="11"/>
      <c r="E1540" s="10"/>
      <c r="F1540" s="10"/>
      <c r="G1540" s="10"/>
      <c r="H1540" s="12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0"/>
      <c r="T1540" s="10"/>
      <c r="U1540" s="10"/>
      <c r="V1540" s="10"/>
      <c r="W1540" s="10"/>
      <c r="X1540" s="10"/>
      <c r="Y1540" s="10"/>
      <c r="Z1540" s="10"/>
      <c r="AA1540" s="10"/>
    </row>
    <row r="1541" spans="1:27" ht="12.5" x14ac:dyDescent="0.25">
      <c r="A1541" s="10"/>
      <c r="B1541" s="10"/>
      <c r="C1541" s="10"/>
      <c r="D1541" s="11"/>
      <c r="E1541" s="10"/>
      <c r="F1541" s="10"/>
      <c r="G1541" s="10"/>
      <c r="H1541" s="12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0"/>
      <c r="T1541" s="10"/>
      <c r="U1541" s="10"/>
      <c r="V1541" s="10"/>
      <c r="W1541" s="10"/>
      <c r="X1541" s="10"/>
      <c r="Y1541" s="10"/>
      <c r="Z1541" s="10"/>
      <c r="AA1541" s="10"/>
    </row>
    <row r="1542" spans="1:27" ht="12.5" x14ac:dyDescent="0.25">
      <c r="A1542" s="10"/>
      <c r="B1542" s="10"/>
      <c r="C1542" s="10"/>
      <c r="D1542" s="11"/>
      <c r="E1542" s="10"/>
      <c r="F1542" s="10"/>
      <c r="G1542" s="10"/>
      <c r="H1542" s="12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0"/>
      <c r="T1542" s="10"/>
      <c r="U1542" s="10"/>
      <c r="V1542" s="10"/>
      <c r="W1542" s="10"/>
      <c r="X1542" s="10"/>
      <c r="Y1542" s="10"/>
      <c r="Z1542" s="10"/>
      <c r="AA1542" s="10"/>
    </row>
    <row r="1543" spans="1:27" ht="12.5" x14ac:dyDescent="0.25">
      <c r="A1543" s="10"/>
      <c r="B1543" s="10"/>
      <c r="C1543" s="10"/>
      <c r="D1543" s="11"/>
      <c r="E1543" s="10"/>
      <c r="F1543" s="10"/>
      <c r="G1543" s="10"/>
      <c r="H1543" s="12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0"/>
      <c r="T1543" s="10"/>
      <c r="U1543" s="10"/>
      <c r="V1543" s="10"/>
      <c r="W1543" s="10"/>
      <c r="X1543" s="10"/>
      <c r="Y1543" s="10"/>
      <c r="Z1543" s="10"/>
      <c r="AA1543" s="10"/>
    </row>
    <row r="1544" spans="1:27" ht="12.5" x14ac:dyDescent="0.25">
      <c r="A1544" s="10"/>
      <c r="B1544" s="10"/>
      <c r="C1544" s="10"/>
      <c r="D1544" s="11"/>
      <c r="E1544" s="10"/>
      <c r="F1544" s="10"/>
      <c r="G1544" s="10"/>
      <c r="H1544" s="12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0"/>
      <c r="T1544" s="10"/>
      <c r="U1544" s="10"/>
      <c r="V1544" s="10"/>
      <c r="W1544" s="10"/>
      <c r="X1544" s="10"/>
      <c r="Y1544" s="10"/>
      <c r="Z1544" s="10"/>
      <c r="AA1544" s="10"/>
    </row>
    <row r="1545" spans="1:27" ht="12.5" x14ac:dyDescent="0.25">
      <c r="A1545" s="10"/>
      <c r="B1545" s="10"/>
      <c r="C1545" s="10"/>
      <c r="D1545" s="11"/>
      <c r="E1545" s="10"/>
      <c r="F1545" s="10"/>
      <c r="G1545" s="10"/>
      <c r="H1545" s="12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0"/>
      <c r="T1545" s="10"/>
      <c r="U1545" s="10"/>
      <c r="V1545" s="10"/>
      <c r="W1545" s="10"/>
      <c r="X1545" s="10"/>
      <c r="Y1545" s="10"/>
      <c r="Z1545" s="10"/>
      <c r="AA1545" s="10"/>
    </row>
    <row r="1546" spans="1:27" ht="12.5" x14ac:dyDescent="0.25">
      <c r="A1546" s="10"/>
      <c r="B1546" s="10"/>
      <c r="C1546" s="10"/>
      <c r="D1546" s="11"/>
      <c r="E1546" s="10"/>
      <c r="F1546" s="10"/>
      <c r="G1546" s="10"/>
      <c r="H1546" s="12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0"/>
      <c r="T1546" s="10"/>
      <c r="U1546" s="10"/>
      <c r="V1546" s="10"/>
      <c r="W1546" s="10"/>
      <c r="X1546" s="10"/>
      <c r="Y1546" s="10"/>
      <c r="Z1546" s="10"/>
      <c r="AA1546" s="10"/>
    </row>
    <row r="1547" spans="1:27" ht="12.5" x14ac:dyDescent="0.25">
      <c r="A1547" s="10"/>
      <c r="B1547" s="10"/>
      <c r="C1547" s="10"/>
      <c r="D1547" s="11"/>
      <c r="E1547" s="10"/>
      <c r="F1547" s="10"/>
      <c r="G1547" s="10"/>
      <c r="H1547" s="12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0"/>
      <c r="T1547" s="10"/>
      <c r="U1547" s="10"/>
      <c r="V1547" s="10"/>
      <c r="W1547" s="10"/>
      <c r="X1547" s="10"/>
      <c r="Y1547" s="10"/>
      <c r="Z1547" s="10"/>
      <c r="AA1547" s="10"/>
    </row>
    <row r="1548" spans="1:27" ht="12.5" x14ac:dyDescent="0.25">
      <c r="A1548" s="10"/>
      <c r="B1548" s="10"/>
      <c r="C1548" s="10"/>
      <c r="D1548" s="11"/>
      <c r="E1548" s="10"/>
      <c r="F1548" s="10"/>
      <c r="G1548" s="10"/>
      <c r="H1548" s="12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0"/>
      <c r="T1548" s="10"/>
      <c r="U1548" s="10"/>
      <c r="V1548" s="10"/>
      <c r="W1548" s="10"/>
      <c r="X1548" s="10"/>
      <c r="Y1548" s="10"/>
      <c r="Z1548" s="10"/>
      <c r="AA1548" s="10"/>
    </row>
    <row r="1549" spans="1:27" ht="12.5" x14ac:dyDescent="0.25">
      <c r="A1549" s="10"/>
      <c r="B1549" s="10"/>
      <c r="C1549" s="10"/>
      <c r="D1549" s="11"/>
      <c r="E1549" s="10"/>
      <c r="F1549" s="10"/>
      <c r="G1549" s="10"/>
      <c r="H1549" s="12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0"/>
      <c r="T1549" s="10"/>
      <c r="U1549" s="10"/>
      <c r="V1549" s="10"/>
      <c r="W1549" s="10"/>
      <c r="X1549" s="10"/>
      <c r="Y1549" s="10"/>
      <c r="Z1549" s="10"/>
      <c r="AA1549" s="10"/>
    </row>
    <row r="1550" spans="1:27" ht="12.5" x14ac:dyDescent="0.25">
      <c r="A1550" s="10"/>
      <c r="B1550" s="10"/>
      <c r="C1550" s="10"/>
      <c r="D1550" s="11"/>
      <c r="E1550" s="10"/>
      <c r="F1550" s="10"/>
      <c r="G1550" s="10"/>
      <c r="H1550" s="12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0"/>
      <c r="T1550" s="10"/>
      <c r="U1550" s="10"/>
      <c r="V1550" s="10"/>
      <c r="W1550" s="10"/>
      <c r="X1550" s="10"/>
      <c r="Y1550" s="10"/>
      <c r="Z1550" s="10"/>
      <c r="AA1550" s="10"/>
    </row>
    <row r="1551" spans="1:27" ht="12.5" x14ac:dyDescent="0.25">
      <c r="A1551" s="10"/>
      <c r="B1551" s="10"/>
      <c r="C1551" s="10"/>
      <c r="D1551" s="11"/>
      <c r="E1551" s="10"/>
      <c r="F1551" s="10"/>
      <c r="G1551" s="10"/>
      <c r="H1551" s="12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0"/>
      <c r="T1551" s="10"/>
      <c r="U1551" s="10"/>
      <c r="V1551" s="10"/>
      <c r="W1551" s="10"/>
      <c r="X1551" s="10"/>
      <c r="Y1551" s="10"/>
      <c r="Z1551" s="10"/>
      <c r="AA1551" s="10"/>
    </row>
    <row r="1552" spans="1:27" ht="12.5" x14ac:dyDescent="0.25">
      <c r="A1552" s="10"/>
      <c r="B1552" s="10"/>
      <c r="C1552" s="10"/>
      <c r="D1552" s="11"/>
      <c r="E1552" s="10"/>
      <c r="F1552" s="10"/>
      <c r="G1552" s="10"/>
      <c r="H1552" s="12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0"/>
      <c r="T1552" s="10"/>
      <c r="U1552" s="10"/>
      <c r="V1552" s="10"/>
      <c r="W1552" s="10"/>
      <c r="X1552" s="10"/>
      <c r="Y1552" s="10"/>
      <c r="Z1552" s="10"/>
      <c r="AA1552" s="10"/>
    </row>
    <row r="1553" spans="1:27" ht="12.5" x14ac:dyDescent="0.25">
      <c r="A1553" s="10"/>
      <c r="B1553" s="10"/>
      <c r="C1553" s="10"/>
      <c r="D1553" s="11"/>
      <c r="E1553" s="10"/>
      <c r="F1553" s="10"/>
      <c r="G1553" s="10"/>
      <c r="H1553" s="12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0"/>
      <c r="T1553" s="10"/>
      <c r="U1553" s="10"/>
      <c r="V1553" s="10"/>
      <c r="W1553" s="10"/>
      <c r="X1553" s="10"/>
      <c r="Y1553" s="10"/>
      <c r="Z1553" s="10"/>
      <c r="AA1553" s="10"/>
    </row>
    <row r="1554" spans="1:27" ht="12.5" x14ac:dyDescent="0.25">
      <c r="A1554" s="10"/>
      <c r="B1554" s="10"/>
      <c r="C1554" s="10"/>
      <c r="D1554" s="11"/>
      <c r="E1554" s="10"/>
      <c r="F1554" s="10"/>
      <c r="G1554" s="10"/>
      <c r="H1554" s="12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0"/>
      <c r="T1554" s="10"/>
      <c r="U1554" s="10"/>
      <c r="V1554" s="10"/>
      <c r="W1554" s="10"/>
      <c r="X1554" s="10"/>
      <c r="Y1554" s="10"/>
      <c r="Z1554" s="10"/>
      <c r="AA1554" s="10"/>
    </row>
    <row r="1555" spans="1:27" ht="12.5" x14ac:dyDescent="0.25">
      <c r="A1555" s="10"/>
      <c r="B1555" s="10"/>
      <c r="C1555" s="10"/>
      <c r="D1555" s="11"/>
      <c r="E1555" s="10"/>
      <c r="F1555" s="10"/>
      <c r="G1555" s="10"/>
      <c r="H1555" s="12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0"/>
      <c r="T1555" s="10"/>
      <c r="U1555" s="10"/>
      <c r="V1555" s="10"/>
      <c r="W1555" s="10"/>
      <c r="X1555" s="10"/>
      <c r="Y1555" s="10"/>
      <c r="Z1555" s="10"/>
      <c r="AA1555" s="10"/>
    </row>
    <row r="1556" spans="1:27" ht="12.5" x14ac:dyDescent="0.25">
      <c r="A1556" s="10"/>
      <c r="B1556" s="10"/>
      <c r="C1556" s="10"/>
      <c r="D1556" s="11"/>
      <c r="E1556" s="10"/>
      <c r="F1556" s="10"/>
      <c r="G1556" s="10"/>
      <c r="H1556" s="12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0"/>
      <c r="T1556" s="10"/>
      <c r="U1556" s="10"/>
      <c r="V1556" s="10"/>
      <c r="W1556" s="10"/>
      <c r="X1556" s="10"/>
      <c r="Y1556" s="10"/>
      <c r="Z1556" s="10"/>
      <c r="AA1556" s="10"/>
    </row>
    <row r="1557" spans="1:27" ht="12.5" x14ac:dyDescent="0.25">
      <c r="A1557" s="10"/>
      <c r="B1557" s="10"/>
      <c r="C1557" s="10"/>
      <c r="D1557" s="11"/>
      <c r="E1557" s="10"/>
      <c r="F1557" s="10"/>
      <c r="G1557" s="10"/>
      <c r="H1557" s="12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0"/>
      <c r="T1557" s="10"/>
      <c r="U1557" s="10"/>
      <c r="V1557" s="10"/>
      <c r="W1557" s="10"/>
      <c r="X1557" s="10"/>
      <c r="Y1557" s="10"/>
      <c r="Z1557" s="10"/>
      <c r="AA1557" s="10"/>
    </row>
    <row r="1558" spans="1:27" ht="12.5" x14ac:dyDescent="0.25">
      <c r="A1558" s="10"/>
      <c r="B1558" s="10"/>
      <c r="C1558" s="10"/>
      <c r="D1558" s="11"/>
      <c r="E1558" s="10"/>
      <c r="F1558" s="10"/>
      <c r="G1558" s="10"/>
      <c r="H1558" s="12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0"/>
      <c r="T1558" s="10"/>
      <c r="U1558" s="10"/>
      <c r="V1558" s="10"/>
      <c r="W1558" s="10"/>
      <c r="X1558" s="10"/>
      <c r="Y1558" s="10"/>
      <c r="Z1558" s="10"/>
      <c r="AA1558" s="10"/>
    </row>
    <row r="1559" spans="1:27" ht="12.5" x14ac:dyDescent="0.25">
      <c r="A1559" s="10"/>
      <c r="B1559" s="10"/>
      <c r="C1559" s="10"/>
      <c r="D1559" s="11"/>
      <c r="E1559" s="10"/>
      <c r="F1559" s="10"/>
      <c r="G1559" s="10"/>
      <c r="H1559" s="12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0"/>
      <c r="T1559" s="10"/>
      <c r="U1559" s="10"/>
      <c r="V1559" s="10"/>
      <c r="W1559" s="10"/>
      <c r="X1559" s="10"/>
      <c r="Y1559" s="10"/>
      <c r="Z1559" s="10"/>
      <c r="AA1559" s="10"/>
    </row>
    <row r="1560" spans="1:27" ht="12.5" x14ac:dyDescent="0.25">
      <c r="A1560" s="10"/>
      <c r="B1560" s="10"/>
      <c r="C1560" s="10"/>
      <c r="D1560" s="11"/>
      <c r="E1560" s="10"/>
      <c r="F1560" s="10"/>
      <c r="G1560" s="10"/>
      <c r="H1560" s="12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0"/>
      <c r="T1560" s="10"/>
      <c r="U1560" s="10"/>
      <c r="V1560" s="10"/>
      <c r="W1560" s="10"/>
      <c r="X1560" s="10"/>
      <c r="Y1560" s="10"/>
      <c r="Z1560" s="10"/>
      <c r="AA1560" s="10"/>
    </row>
    <row r="1561" spans="1:27" ht="12.5" x14ac:dyDescent="0.25">
      <c r="A1561" s="10"/>
      <c r="B1561" s="10"/>
      <c r="C1561" s="10"/>
      <c r="D1561" s="11"/>
      <c r="E1561" s="10"/>
      <c r="F1561" s="10"/>
      <c r="G1561" s="10"/>
      <c r="H1561" s="12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0"/>
      <c r="T1561" s="10"/>
      <c r="U1561" s="10"/>
      <c r="V1561" s="10"/>
      <c r="W1561" s="10"/>
      <c r="X1561" s="10"/>
      <c r="Y1561" s="10"/>
      <c r="Z1561" s="10"/>
      <c r="AA1561" s="10"/>
    </row>
    <row r="1562" spans="1:27" ht="12.5" x14ac:dyDescent="0.25">
      <c r="A1562" s="10"/>
      <c r="B1562" s="10"/>
      <c r="C1562" s="10"/>
      <c r="D1562" s="11"/>
      <c r="E1562" s="10"/>
      <c r="F1562" s="10"/>
      <c r="G1562" s="10"/>
      <c r="H1562" s="12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0"/>
      <c r="T1562" s="10"/>
      <c r="U1562" s="10"/>
      <c r="V1562" s="10"/>
      <c r="W1562" s="10"/>
      <c r="X1562" s="10"/>
      <c r="Y1562" s="10"/>
      <c r="Z1562" s="10"/>
      <c r="AA1562" s="10"/>
    </row>
    <row r="1563" spans="1:27" ht="12.5" x14ac:dyDescent="0.25">
      <c r="A1563" s="10"/>
      <c r="B1563" s="10"/>
      <c r="C1563" s="10"/>
      <c r="D1563" s="11"/>
      <c r="E1563" s="10"/>
      <c r="F1563" s="10"/>
      <c r="G1563" s="10"/>
      <c r="H1563" s="12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0"/>
      <c r="T1563" s="10"/>
      <c r="U1563" s="10"/>
      <c r="V1563" s="10"/>
      <c r="W1563" s="10"/>
      <c r="X1563" s="10"/>
      <c r="Y1563" s="10"/>
      <c r="Z1563" s="10"/>
      <c r="AA1563" s="10"/>
    </row>
    <row r="1564" spans="1:27" ht="12.5" x14ac:dyDescent="0.25">
      <c r="A1564" s="10"/>
      <c r="B1564" s="10"/>
      <c r="C1564" s="10"/>
      <c r="D1564" s="11"/>
      <c r="E1564" s="10"/>
      <c r="F1564" s="10"/>
      <c r="G1564" s="10"/>
      <c r="H1564" s="12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0"/>
      <c r="T1564" s="10"/>
      <c r="U1564" s="10"/>
      <c r="V1564" s="10"/>
      <c r="W1564" s="10"/>
      <c r="X1564" s="10"/>
      <c r="Y1564" s="10"/>
      <c r="Z1564" s="10"/>
      <c r="AA1564" s="10"/>
    </row>
    <row r="1565" spans="1:27" ht="12.5" x14ac:dyDescent="0.25">
      <c r="A1565" s="10"/>
      <c r="B1565" s="10"/>
      <c r="C1565" s="10"/>
      <c r="D1565" s="11"/>
      <c r="E1565" s="10"/>
      <c r="F1565" s="10"/>
      <c r="G1565" s="10"/>
      <c r="H1565" s="12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0"/>
      <c r="T1565" s="10"/>
      <c r="U1565" s="10"/>
      <c r="V1565" s="10"/>
      <c r="W1565" s="10"/>
      <c r="X1565" s="10"/>
      <c r="Y1565" s="10"/>
      <c r="Z1565" s="10"/>
      <c r="AA1565" s="10"/>
    </row>
    <row r="1566" spans="1:27" ht="12.5" x14ac:dyDescent="0.25">
      <c r="A1566" s="10"/>
      <c r="B1566" s="10"/>
      <c r="C1566" s="10"/>
      <c r="D1566" s="11"/>
      <c r="E1566" s="10"/>
      <c r="F1566" s="10"/>
      <c r="G1566" s="10"/>
      <c r="H1566" s="12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0"/>
      <c r="T1566" s="10"/>
      <c r="U1566" s="10"/>
      <c r="V1566" s="10"/>
      <c r="W1566" s="10"/>
      <c r="X1566" s="10"/>
      <c r="Y1566" s="10"/>
      <c r="Z1566" s="10"/>
      <c r="AA1566" s="10"/>
    </row>
    <row r="1567" spans="1:27" ht="12.5" x14ac:dyDescent="0.25">
      <c r="A1567" s="10"/>
      <c r="B1567" s="10"/>
      <c r="C1567" s="10"/>
      <c r="D1567" s="11"/>
      <c r="E1567" s="10"/>
      <c r="F1567" s="10"/>
      <c r="G1567" s="10"/>
      <c r="H1567" s="12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0"/>
      <c r="T1567" s="10"/>
      <c r="U1567" s="10"/>
      <c r="V1567" s="10"/>
      <c r="W1567" s="10"/>
      <c r="X1567" s="10"/>
      <c r="Y1567" s="10"/>
      <c r="Z1567" s="10"/>
      <c r="AA1567" s="10"/>
    </row>
    <row r="1568" spans="1:27" ht="12.5" x14ac:dyDescent="0.25">
      <c r="A1568" s="10"/>
      <c r="B1568" s="10"/>
      <c r="C1568" s="10"/>
      <c r="D1568" s="11"/>
      <c r="E1568" s="10"/>
      <c r="F1568" s="10"/>
      <c r="G1568" s="10"/>
      <c r="H1568" s="12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0"/>
      <c r="T1568" s="10"/>
      <c r="U1568" s="10"/>
      <c r="V1568" s="10"/>
      <c r="W1568" s="10"/>
      <c r="X1568" s="10"/>
      <c r="Y1568" s="10"/>
      <c r="Z1568" s="10"/>
      <c r="AA1568" s="10"/>
    </row>
    <row r="1569" spans="1:27" ht="12.5" x14ac:dyDescent="0.25">
      <c r="A1569" s="10"/>
      <c r="B1569" s="10"/>
      <c r="C1569" s="10"/>
      <c r="D1569" s="11"/>
      <c r="E1569" s="10"/>
      <c r="F1569" s="10"/>
      <c r="G1569" s="10"/>
      <c r="H1569" s="12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0"/>
      <c r="T1569" s="10"/>
      <c r="U1569" s="10"/>
      <c r="V1569" s="10"/>
      <c r="W1569" s="10"/>
      <c r="X1569" s="10"/>
      <c r="Y1569" s="10"/>
      <c r="Z1569" s="10"/>
      <c r="AA1569" s="10"/>
    </row>
    <row r="1570" spans="1:27" ht="12.5" x14ac:dyDescent="0.25">
      <c r="A1570" s="10"/>
      <c r="B1570" s="10"/>
      <c r="C1570" s="10"/>
      <c r="D1570" s="11"/>
      <c r="E1570" s="10"/>
      <c r="F1570" s="10"/>
      <c r="G1570" s="10"/>
      <c r="H1570" s="12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0"/>
      <c r="T1570" s="10"/>
      <c r="U1570" s="10"/>
      <c r="V1570" s="10"/>
      <c r="W1570" s="10"/>
      <c r="X1570" s="10"/>
      <c r="Y1570" s="10"/>
      <c r="Z1570" s="10"/>
      <c r="AA1570" s="10"/>
    </row>
    <row r="1571" spans="1:27" ht="12.5" x14ac:dyDescent="0.25">
      <c r="A1571" s="10"/>
      <c r="B1571" s="10"/>
      <c r="C1571" s="10"/>
      <c r="D1571" s="11"/>
      <c r="E1571" s="10"/>
      <c r="F1571" s="10"/>
      <c r="G1571" s="10"/>
      <c r="H1571" s="12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0"/>
      <c r="T1571" s="10"/>
      <c r="U1571" s="10"/>
      <c r="V1571" s="10"/>
      <c r="W1571" s="10"/>
      <c r="X1571" s="10"/>
      <c r="Y1571" s="10"/>
      <c r="Z1571" s="10"/>
      <c r="AA1571" s="10"/>
    </row>
    <row r="1572" spans="1:27" ht="12.5" x14ac:dyDescent="0.25">
      <c r="A1572" s="10"/>
      <c r="B1572" s="10"/>
      <c r="C1572" s="10"/>
      <c r="D1572" s="11"/>
      <c r="E1572" s="10"/>
      <c r="F1572" s="10"/>
      <c r="G1572" s="10"/>
      <c r="H1572" s="12"/>
      <c r="I1572" s="11"/>
      <c r="J1572" s="11"/>
      <c r="K1572" s="11"/>
      <c r="L1572" s="11"/>
      <c r="M1572" s="11"/>
      <c r="N1572" s="10"/>
      <c r="O1572" s="11"/>
      <c r="P1572" s="11"/>
      <c r="Q1572" s="11"/>
      <c r="R1572" s="11"/>
      <c r="S1572" s="10"/>
      <c r="T1572" s="10"/>
      <c r="U1572" s="10"/>
      <c r="V1572" s="10"/>
      <c r="W1572" s="10"/>
      <c r="X1572" s="10"/>
      <c r="Y1572" s="10"/>
      <c r="Z1572" s="10"/>
      <c r="AA1572" s="10"/>
    </row>
    <row r="1573" spans="1:27" ht="12.5" x14ac:dyDescent="0.25">
      <c r="A1573" s="10"/>
      <c r="B1573" s="10"/>
      <c r="C1573" s="10"/>
      <c r="D1573" s="10"/>
      <c r="E1573" s="10"/>
      <c r="F1573" s="10"/>
      <c r="G1573" s="10"/>
      <c r="H1573" s="15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  <c r="AA1573" s="10"/>
    </row>
    <row r="1574" spans="1:27" ht="12.5" x14ac:dyDescent="0.25">
      <c r="A1574" s="10"/>
      <c r="B1574" s="10"/>
      <c r="C1574" s="10"/>
      <c r="D1574" s="10"/>
      <c r="E1574" s="10"/>
      <c r="F1574" s="10"/>
      <c r="G1574" s="10"/>
      <c r="H1574" s="15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  <c r="AA1574" s="10"/>
    </row>
  </sheetData>
  <autoFilter ref="A1:AA510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outlinePr summaryBelow="0" summaryRight="0"/>
  </sheetPr>
  <dimension ref="A1:AA950"/>
  <sheetViews>
    <sheetView workbookViewId="0"/>
  </sheetViews>
  <sheetFormatPr defaultColWidth="12.6328125" defaultRowHeight="15.75" customHeight="1" x14ac:dyDescent="0.25"/>
  <sheetData>
    <row r="1" spans="1:27" ht="13" x14ac:dyDescent="0.3">
      <c r="A1" s="7" t="s">
        <v>23</v>
      </c>
      <c r="B1" s="7" t="s">
        <v>28</v>
      </c>
      <c r="C1" s="7" t="s">
        <v>30</v>
      </c>
      <c r="D1" s="7" t="s">
        <v>31</v>
      </c>
      <c r="E1" s="7" t="s">
        <v>33</v>
      </c>
      <c r="F1" s="7" t="s">
        <v>35</v>
      </c>
      <c r="G1" s="7" t="s">
        <v>38</v>
      </c>
      <c r="H1" s="14" t="s">
        <v>41</v>
      </c>
      <c r="I1" s="7" t="s">
        <v>44</v>
      </c>
      <c r="J1" s="7" t="s">
        <v>46</v>
      </c>
      <c r="K1" s="7" t="s">
        <v>50</v>
      </c>
      <c r="L1" s="7" t="s">
        <v>51</v>
      </c>
      <c r="M1" s="7" t="s">
        <v>54</v>
      </c>
      <c r="N1" s="7" t="s">
        <v>56</v>
      </c>
      <c r="O1" s="7" t="s">
        <v>57</v>
      </c>
      <c r="P1" s="7" t="s">
        <v>59</v>
      </c>
      <c r="Q1" s="7" t="s">
        <v>60</v>
      </c>
      <c r="R1" s="7" t="s">
        <v>61</v>
      </c>
      <c r="S1" s="7" t="s">
        <v>63</v>
      </c>
      <c r="T1" s="7" t="s">
        <v>64</v>
      </c>
      <c r="U1" s="10"/>
      <c r="V1" s="10"/>
      <c r="W1" s="10"/>
      <c r="X1" s="10"/>
      <c r="Y1" s="10"/>
      <c r="Z1" s="10"/>
      <c r="AA1" s="10"/>
    </row>
    <row r="2" spans="1:27" ht="12.5" x14ac:dyDescent="0.25">
      <c r="A2" s="10" t="s">
        <v>58</v>
      </c>
      <c r="B2" s="10" t="s">
        <v>75</v>
      </c>
      <c r="C2" s="10" t="s">
        <v>76</v>
      </c>
      <c r="D2" s="11">
        <v>2024</v>
      </c>
      <c r="E2" s="10" t="s">
        <v>81</v>
      </c>
      <c r="F2" s="10" t="s">
        <v>83</v>
      </c>
      <c r="G2" s="10" t="s">
        <v>84</v>
      </c>
      <c r="H2" s="12">
        <v>64563</v>
      </c>
      <c r="I2" s="11">
        <v>55643</v>
      </c>
      <c r="J2" s="11">
        <v>55037</v>
      </c>
      <c r="K2" s="11">
        <v>488373</v>
      </c>
      <c r="L2" s="11">
        <v>0.86184037296903804</v>
      </c>
      <c r="M2" s="11">
        <f t="shared" ref="M2:M256" si="0">(I2/H2)*100</f>
        <v>86.18403729690381</v>
      </c>
      <c r="N2" s="11">
        <v>0.989109142210161</v>
      </c>
      <c r="O2" s="11">
        <v>7.5642860461874504</v>
      </c>
      <c r="P2" s="11">
        <v>0.99662162162162204</v>
      </c>
      <c r="Q2" s="11">
        <v>1</v>
      </c>
      <c r="R2" s="11">
        <v>0.99418604651162801</v>
      </c>
      <c r="S2" s="10" t="s">
        <v>84</v>
      </c>
      <c r="T2" s="10" t="s">
        <v>84</v>
      </c>
      <c r="U2" s="10"/>
      <c r="V2" s="10"/>
      <c r="W2" s="10"/>
      <c r="X2" s="10"/>
      <c r="Y2" s="10"/>
      <c r="Z2" s="10"/>
      <c r="AA2" s="10"/>
    </row>
    <row r="3" spans="1:27" ht="12.5" x14ac:dyDescent="0.25">
      <c r="A3" s="10" t="s">
        <v>42</v>
      </c>
      <c r="B3" s="10" t="s">
        <v>114</v>
      </c>
      <c r="C3" s="10" t="s">
        <v>76</v>
      </c>
      <c r="D3" s="11">
        <v>2024</v>
      </c>
      <c r="E3" s="10" t="s">
        <v>81</v>
      </c>
      <c r="F3" s="10" t="s">
        <v>83</v>
      </c>
      <c r="G3" s="10" t="s">
        <v>84</v>
      </c>
      <c r="H3" s="12">
        <v>20677.5</v>
      </c>
      <c r="I3" s="11">
        <v>16115</v>
      </c>
      <c r="J3" s="11">
        <v>15797</v>
      </c>
      <c r="K3" s="11">
        <v>87801</v>
      </c>
      <c r="L3" s="11">
        <v>0.779349534518196</v>
      </c>
      <c r="M3" s="11">
        <f t="shared" si="0"/>
        <v>77.934953451819609</v>
      </c>
      <c r="N3" s="11">
        <v>0.98026683214396504</v>
      </c>
      <c r="O3" s="11">
        <v>4.2462096481682998</v>
      </c>
      <c r="P3" s="11">
        <v>0.99577702702702697</v>
      </c>
      <c r="Q3" s="11">
        <v>1</v>
      </c>
      <c r="R3" s="11">
        <v>0.99224806201550397</v>
      </c>
      <c r="S3" s="10" t="s">
        <v>84</v>
      </c>
      <c r="T3" s="10" t="s">
        <v>84</v>
      </c>
      <c r="U3" s="10"/>
      <c r="V3" s="10"/>
      <c r="W3" s="10"/>
      <c r="X3" s="10"/>
      <c r="Y3" s="10"/>
      <c r="Z3" s="10"/>
      <c r="AA3" s="10"/>
    </row>
    <row r="4" spans="1:27" ht="12.5" x14ac:dyDescent="0.25">
      <c r="A4" s="10" t="s">
        <v>36</v>
      </c>
      <c r="B4" s="10" t="s">
        <v>121</v>
      </c>
      <c r="C4" s="10" t="s">
        <v>76</v>
      </c>
      <c r="D4" s="11">
        <v>2024</v>
      </c>
      <c r="E4" s="10" t="s">
        <v>124</v>
      </c>
      <c r="F4" s="10" t="s">
        <v>125</v>
      </c>
      <c r="G4" s="10" t="s">
        <v>84</v>
      </c>
      <c r="H4" s="12">
        <v>2481.4166666666702</v>
      </c>
      <c r="I4" s="11">
        <v>1921</v>
      </c>
      <c r="J4" s="11">
        <v>451</v>
      </c>
      <c r="K4" s="11">
        <v>1933</v>
      </c>
      <c r="L4" s="11">
        <v>0.77415454881284196</v>
      </c>
      <c r="M4" s="11">
        <f t="shared" si="0"/>
        <v>77.415454881284106</v>
      </c>
      <c r="N4" s="11">
        <v>0.23477355543987499</v>
      </c>
      <c r="O4" s="11">
        <v>0.77899049602041803</v>
      </c>
      <c r="P4" s="11">
        <v>0.99493243243243201</v>
      </c>
      <c r="Q4" s="11">
        <v>1</v>
      </c>
      <c r="R4" s="11">
        <v>0.99776286353467603</v>
      </c>
      <c r="S4" s="10" t="s">
        <v>84</v>
      </c>
      <c r="T4" s="10" t="s">
        <v>84</v>
      </c>
      <c r="U4" s="10"/>
      <c r="V4" s="10"/>
      <c r="W4" s="10"/>
      <c r="X4" s="10"/>
      <c r="Y4" s="10"/>
      <c r="Z4" s="10"/>
      <c r="AA4" s="10"/>
    </row>
    <row r="5" spans="1:27" ht="12.5" x14ac:dyDescent="0.25">
      <c r="A5" s="10" t="s">
        <v>26</v>
      </c>
      <c r="B5" s="10" t="s">
        <v>127</v>
      </c>
      <c r="C5" s="10" t="s">
        <v>76</v>
      </c>
      <c r="D5" s="11">
        <v>2024</v>
      </c>
      <c r="E5" s="10" t="s">
        <v>81</v>
      </c>
      <c r="F5" s="10" t="s">
        <v>83</v>
      </c>
      <c r="G5" s="10" t="s">
        <v>84</v>
      </c>
      <c r="H5" s="12">
        <v>6023</v>
      </c>
      <c r="I5" s="11">
        <v>4602</v>
      </c>
      <c r="J5" s="11">
        <v>4232</v>
      </c>
      <c r="K5" s="11">
        <v>10450</v>
      </c>
      <c r="L5" s="11">
        <v>0.76407106093308996</v>
      </c>
      <c r="M5" s="11">
        <f t="shared" si="0"/>
        <v>76.407106093308983</v>
      </c>
      <c r="N5" s="11">
        <v>0.91960017383746195</v>
      </c>
      <c r="O5" s="11">
        <v>1.7350157728706599</v>
      </c>
      <c r="P5" s="11">
        <v>0.99408783783783805</v>
      </c>
      <c r="Q5" s="11">
        <v>1</v>
      </c>
      <c r="R5" s="11">
        <v>0.99031007751938005</v>
      </c>
      <c r="S5" s="10" t="s">
        <v>84</v>
      </c>
      <c r="T5" s="10" t="s">
        <v>84</v>
      </c>
      <c r="U5" s="10"/>
      <c r="V5" s="10"/>
      <c r="W5" s="10"/>
      <c r="X5" s="10"/>
      <c r="Y5" s="10"/>
      <c r="Z5" s="10"/>
      <c r="AA5" s="10"/>
    </row>
    <row r="6" spans="1:27" ht="12.5" x14ac:dyDescent="0.25">
      <c r="A6" s="10" t="s">
        <v>14</v>
      </c>
      <c r="B6" s="10" t="s">
        <v>132</v>
      </c>
      <c r="C6" s="10" t="s">
        <v>76</v>
      </c>
      <c r="D6" s="11">
        <v>2024</v>
      </c>
      <c r="E6" s="10" t="s">
        <v>124</v>
      </c>
      <c r="F6" s="10" t="s">
        <v>125</v>
      </c>
      <c r="G6" s="10" t="s">
        <v>84</v>
      </c>
      <c r="H6" s="12">
        <v>5124.9166666666697</v>
      </c>
      <c r="I6" s="11">
        <v>3907</v>
      </c>
      <c r="J6" s="11">
        <v>3881</v>
      </c>
      <c r="K6" s="11">
        <v>23192</v>
      </c>
      <c r="L6" s="11">
        <v>0.76235385941234801</v>
      </c>
      <c r="M6" s="11">
        <f t="shared" si="0"/>
        <v>76.235385941234767</v>
      </c>
      <c r="N6" s="11">
        <v>0.99334527770668002</v>
      </c>
      <c r="O6" s="11">
        <v>4.5253418754776504</v>
      </c>
      <c r="P6" s="11">
        <v>0.99324324324324298</v>
      </c>
      <c r="Q6" s="11">
        <v>1</v>
      </c>
      <c r="R6" s="11">
        <v>0.99552572706935105</v>
      </c>
      <c r="S6" s="10" t="s">
        <v>84</v>
      </c>
      <c r="T6" s="10" t="s">
        <v>84</v>
      </c>
      <c r="U6" s="10"/>
      <c r="V6" s="10"/>
      <c r="W6" s="10"/>
      <c r="X6" s="10"/>
      <c r="Y6" s="10"/>
      <c r="Z6" s="10"/>
      <c r="AA6" s="10"/>
    </row>
    <row r="7" spans="1:27" ht="12.5" x14ac:dyDescent="0.25">
      <c r="A7" s="10" t="s">
        <v>32</v>
      </c>
      <c r="B7" s="10" t="s">
        <v>139</v>
      </c>
      <c r="C7" s="10" t="s">
        <v>76</v>
      </c>
      <c r="D7" s="11">
        <v>2024</v>
      </c>
      <c r="E7" s="10" t="s">
        <v>124</v>
      </c>
      <c r="F7" s="10" t="s">
        <v>83</v>
      </c>
      <c r="G7" s="10" t="s">
        <v>84</v>
      </c>
      <c r="H7" s="12">
        <v>20616.25</v>
      </c>
      <c r="I7" s="11">
        <v>15709</v>
      </c>
      <c r="J7" s="11">
        <v>14136</v>
      </c>
      <c r="K7" s="11">
        <v>86716</v>
      </c>
      <c r="L7" s="11">
        <v>0.76197174558903802</v>
      </c>
      <c r="M7" s="11">
        <f t="shared" si="0"/>
        <v>76.197174558903782</v>
      </c>
      <c r="N7" s="11">
        <v>0.899866318670826</v>
      </c>
      <c r="O7" s="11">
        <v>4.2061965682410696</v>
      </c>
      <c r="P7" s="11">
        <v>0.99239864864864902</v>
      </c>
      <c r="Q7" s="11">
        <v>1</v>
      </c>
      <c r="R7" s="11">
        <v>0.99328859060402697</v>
      </c>
      <c r="S7" s="10" t="s">
        <v>84</v>
      </c>
      <c r="T7" s="10" t="s">
        <v>84</v>
      </c>
      <c r="U7" s="10"/>
      <c r="V7" s="10"/>
      <c r="W7" s="10"/>
      <c r="X7" s="10"/>
      <c r="Y7" s="10"/>
      <c r="Z7" s="10"/>
      <c r="AA7" s="10"/>
    </row>
    <row r="8" spans="1:27" ht="12.5" x14ac:dyDescent="0.25">
      <c r="A8" s="10" t="s">
        <v>86</v>
      </c>
      <c r="B8" s="10" t="s">
        <v>146</v>
      </c>
      <c r="C8" s="10" t="s">
        <v>76</v>
      </c>
      <c r="D8" s="11">
        <v>2024</v>
      </c>
      <c r="E8" s="10" t="s">
        <v>81</v>
      </c>
      <c r="F8" s="10" t="s">
        <v>83</v>
      </c>
      <c r="G8" s="10" t="s">
        <v>84</v>
      </c>
      <c r="H8" s="12">
        <v>63037.75</v>
      </c>
      <c r="I8" s="11">
        <v>47637</v>
      </c>
      <c r="J8" s="11">
        <v>45572</v>
      </c>
      <c r="K8" s="11">
        <v>144648</v>
      </c>
      <c r="L8" s="11">
        <v>0.75569004287113695</v>
      </c>
      <c r="M8" s="11">
        <f t="shared" si="0"/>
        <v>75.569004287113671</v>
      </c>
      <c r="N8" s="11">
        <v>0.95665134244389904</v>
      </c>
      <c r="O8" s="11">
        <v>2.29462504610333</v>
      </c>
      <c r="P8" s="11">
        <v>0.99155405405405395</v>
      </c>
      <c r="Q8" s="11">
        <v>0.97826086956521696</v>
      </c>
      <c r="R8" s="11">
        <v>0.98837209302325602</v>
      </c>
      <c r="S8" s="10" t="s">
        <v>84</v>
      </c>
      <c r="T8" s="10" t="s">
        <v>84</v>
      </c>
      <c r="U8" s="10"/>
      <c r="V8" s="10"/>
      <c r="W8" s="10"/>
      <c r="X8" s="10"/>
      <c r="Y8" s="10"/>
      <c r="Z8" s="10"/>
      <c r="AA8" s="10"/>
    </row>
    <row r="9" spans="1:27" ht="12.5" x14ac:dyDescent="0.25">
      <c r="A9" s="10" t="s">
        <v>16</v>
      </c>
      <c r="B9" s="10" t="s">
        <v>150</v>
      </c>
      <c r="C9" s="10" t="s">
        <v>76</v>
      </c>
      <c r="D9" s="11">
        <v>2024</v>
      </c>
      <c r="E9" s="10" t="s">
        <v>124</v>
      </c>
      <c r="F9" s="10" t="s">
        <v>83</v>
      </c>
      <c r="G9" s="10" t="s">
        <v>84</v>
      </c>
      <c r="H9" s="12">
        <v>46885.166666666701</v>
      </c>
      <c r="I9" s="11">
        <v>33849</v>
      </c>
      <c r="J9" s="11">
        <v>32663</v>
      </c>
      <c r="K9" s="11">
        <v>57328</v>
      </c>
      <c r="L9" s="11">
        <v>0.72195541589201995</v>
      </c>
      <c r="M9" s="11">
        <f t="shared" si="0"/>
        <v>72.195541589201937</v>
      </c>
      <c r="N9" s="11">
        <v>0.96496203728322805</v>
      </c>
      <c r="O9" s="11">
        <v>1.2227321363188799</v>
      </c>
      <c r="P9" s="11">
        <v>0.99070945945945899</v>
      </c>
      <c r="Q9" s="11">
        <v>1</v>
      </c>
      <c r="R9" s="11">
        <v>0.99105145413870199</v>
      </c>
      <c r="S9" s="10" t="s">
        <v>84</v>
      </c>
      <c r="T9" s="10" t="s">
        <v>84</v>
      </c>
      <c r="U9" s="10"/>
      <c r="V9" s="10"/>
      <c r="W9" s="10"/>
      <c r="X9" s="10"/>
      <c r="Y9" s="10"/>
      <c r="Z9" s="10"/>
      <c r="AA9" s="10"/>
    </row>
    <row r="10" spans="1:27" ht="12.5" x14ac:dyDescent="0.25">
      <c r="A10" s="10" t="s">
        <v>32</v>
      </c>
      <c r="B10" s="10" t="s">
        <v>157</v>
      </c>
      <c r="C10" s="10" t="s">
        <v>76</v>
      </c>
      <c r="D10" s="11">
        <v>2024</v>
      </c>
      <c r="E10" s="10" t="s">
        <v>124</v>
      </c>
      <c r="F10" s="10" t="s">
        <v>125</v>
      </c>
      <c r="G10" s="10" t="s">
        <v>84</v>
      </c>
      <c r="H10" s="12">
        <v>4501.6666666666697</v>
      </c>
      <c r="I10" s="11">
        <v>3181</v>
      </c>
      <c r="J10" s="11">
        <v>3162</v>
      </c>
      <c r="K10" s="11">
        <v>16183</v>
      </c>
      <c r="L10" s="11">
        <v>0.70662717512032602</v>
      </c>
      <c r="M10" s="11">
        <f t="shared" si="0"/>
        <v>70.662717512032529</v>
      </c>
      <c r="N10" s="11">
        <v>0.99402703552341998</v>
      </c>
      <c r="O10" s="11">
        <v>3.59489078119215</v>
      </c>
      <c r="P10" s="11">
        <v>0.98986486486486502</v>
      </c>
      <c r="Q10" s="11">
        <v>0.96551724137931005</v>
      </c>
      <c r="R10" s="11">
        <v>0.98881431767337802</v>
      </c>
      <c r="S10" s="10" t="s">
        <v>84</v>
      </c>
      <c r="T10" s="10" t="s">
        <v>84</v>
      </c>
      <c r="U10" s="10"/>
      <c r="V10" s="10"/>
      <c r="W10" s="10"/>
      <c r="X10" s="10"/>
      <c r="Y10" s="10"/>
      <c r="Z10" s="10"/>
      <c r="AA10" s="10"/>
    </row>
    <row r="11" spans="1:27" ht="12.5" x14ac:dyDescent="0.25">
      <c r="A11" s="10" t="s">
        <v>52</v>
      </c>
      <c r="B11" s="10" t="s">
        <v>164</v>
      </c>
      <c r="C11" s="10" t="s">
        <v>76</v>
      </c>
      <c r="D11" s="11">
        <v>2024</v>
      </c>
      <c r="E11" s="10" t="s">
        <v>81</v>
      </c>
      <c r="F11" s="10" t="s">
        <v>83</v>
      </c>
      <c r="G11" s="10" t="s">
        <v>84</v>
      </c>
      <c r="H11" s="12">
        <v>29629.75</v>
      </c>
      <c r="I11" s="11">
        <v>20782</v>
      </c>
      <c r="J11" s="11">
        <v>19464</v>
      </c>
      <c r="K11" s="11">
        <v>25032</v>
      </c>
      <c r="L11" s="11">
        <v>0.70138965060454395</v>
      </c>
      <c r="M11" s="11">
        <f t="shared" si="0"/>
        <v>70.138965060454439</v>
      </c>
      <c r="N11" s="11">
        <v>0.93657973246078297</v>
      </c>
      <c r="O11" s="11">
        <v>0.844826567892068</v>
      </c>
      <c r="P11" s="11">
        <v>0.98902027027026995</v>
      </c>
      <c r="Q11" s="11">
        <v>1</v>
      </c>
      <c r="R11" s="11">
        <v>0.98643410852713198</v>
      </c>
      <c r="S11" s="10" t="s">
        <v>84</v>
      </c>
      <c r="T11" s="10" t="s">
        <v>84</v>
      </c>
      <c r="U11" s="10"/>
      <c r="V11" s="10"/>
      <c r="W11" s="10"/>
      <c r="X11" s="10"/>
      <c r="Y11" s="10"/>
      <c r="Z11" s="10"/>
      <c r="AA11" s="10"/>
    </row>
    <row r="12" spans="1:27" ht="12.5" x14ac:dyDescent="0.25">
      <c r="A12" s="10" t="s">
        <v>36</v>
      </c>
      <c r="B12" s="10" t="s">
        <v>169</v>
      </c>
      <c r="C12" s="10" t="s">
        <v>76</v>
      </c>
      <c r="D12" s="11">
        <v>2024</v>
      </c>
      <c r="E12" s="10" t="s">
        <v>124</v>
      </c>
      <c r="F12" s="10" t="s">
        <v>83</v>
      </c>
      <c r="G12" s="10" t="s">
        <v>84</v>
      </c>
      <c r="H12" s="12">
        <v>10368.583333333299</v>
      </c>
      <c r="I12" s="11">
        <v>7056</v>
      </c>
      <c r="J12" s="11">
        <v>6937</v>
      </c>
      <c r="K12" s="11">
        <v>39002</v>
      </c>
      <c r="L12" s="11">
        <v>0.68051726770773902</v>
      </c>
      <c r="M12" s="11">
        <f t="shared" si="0"/>
        <v>68.05172677077411</v>
      </c>
      <c r="N12" s="11">
        <v>0.98313492063492103</v>
      </c>
      <c r="O12" s="11">
        <v>3.7615553394468901</v>
      </c>
      <c r="P12" s="11">
        <v>0.98817567567567599</v>
      </c>
      <c r="Q12" s="11">
        <v>0.97872340425531901</v>
      </c>
      <c r="R12" s="11">
        <v>0.98657718120805404</v>
      </c>
      <c r="S12" s="10" t="s">
        <v>84</v>
      </c>
      <c r="T12" s="10" t="s">
        <v>84</v>
      </c>
      <c r="U12" s="10"/>
      <c r="V12" s="10"/>
      <c r="W12" s="10"/>
      <c r="X12" s="10"/>
      <c r="Y12" s="10"/>
      <c r="Z12" s="10"/>
      <c r="AA12" s="10"/>
    </row>
    <row r="13" spans="1:27" ht="12.5" x14ac:dyDescent="0.25">
      <c r="A13" s="10" t="s">
        <v>36</v>
      </c>
      <c r="B13" s="10" t="s">
        <v>174</v>
      </c>
      <c r="C13" s="10" t="s">
        <v>76</v>
      </c>
      <c r="D13" s="11">
        <v>2024</v>
      </c>
      <c r="E13" s="10" t="s">
        <v>124</v>
      </c>
      <c r="F13" s="10" t="s">
        <v>83</v>
      </c>
      <c r="G13" s="10" t="s">
        <v>84</v>
      </c>
      <c r="H13" s="12">
        <v>8558.8333333333303</v>
      </c>
      <c r="I13" s="11">
        <v>5696</v>
      </c>
      <c r="J13" s="11">
        <v>5696</v>
      </c>
      <c r="K13" s="11">
        <v>34437</v>
      </c>
      <c r="L13" s="11">
        <v>0.66551126516464498</v>
      </c>
      <c r="M13" s="11">
        <f t="shared" si="0"/>
        <v>66.551126516464493</v>
      </c>
      <c r="N13" s="11">
        <v>1</v>
      </c>
      <c r="O13" s="11">
        <v>4.0235624014176397</v>
      </c>
      <c r="P13" s="11">
        <v>0.98733108108108103</v>
      </c>
      <c r="Q13" s="11">
        <v>0.95744680851063801</v>
      </c>
      <c r="R13" s="11">
        <v>0.98434004474272896</v>
      </c>
      <c r="S13" s="10" t="s">
        <v>84</v>
      </c>
      <c r="T13" s="10" t="s">
        <v>84</v>
      </c>
      <c r="U13" s="10"/>
      <c r="V13" s="10"/>
      <c r="W13" s="10"/>
      <c r="X13" s="10"/>
      <c r="Y13" s="10"/>
      <c r="Z13" s="10"/>
      <c r="AA13" s="10"/>
    </row>
    <row r="14" spans="1:27" ht="12.5" x14ac:dyDescent="0.25">
      <c r="A14" s="10" t="s">
        <v>82</v>
      </c>
      <c r="B14" s="10" t="s">
        <v>177</v>
      </c>
      <c r="C14" s="10" t="s">
        <v>76</v>
      </c>
      <c r="D14" s="11">
        <v>2024</v>
      </c>
      <c r="E14" s="10" t="s">
        <v>124</v>
      </c>
      <c r="F14" s="10" t="s">
        <v>83</v>
      </c>
      <c r="G14" s="10" t="s">
        <v>84</v>
      </c>
      <c r="H14" s="12">
        <v>193.083333333333</v>
      </c>
      <c r="I14" s="11">
        <v>126</v>
      </c>
      <c r="J14" s="11">
        <v>100</v>
      </c>
      <c r="K14" s="11">
        <v>774</v>
      </c>
      <c r="L14" s="11">
        <v>0.65256797583081605</v>
      </c>
      <c r="M14" s="11">
        <f t="shared" si="0"/>
        <v>65.256797583081678</v>
      </c>
      <c r="N14" s="11">
        <v>0.79365079365079405</v>
      </c>
      <c r="O14" s="11">
        <v>4.00863185153215</v>
      </c>
      <c r="P14" s="11">
        <v>0.98648648648648696</v>
      </c>
      <c r="Q14" s="11">
        <v>1</v>
      </c>
      <c r="R14" s="11">
        <v>0.98210290827740498</v>
      </c>
      <c r="S14" s="10" t="s">
        <v>84</v>
      </c>
      <c r="T14" s="10" t="s">
        <v>84</v>
      </c>
      <c r="U14" s="10"/>
      <c r="V14" s="10"/>
      <c r="W14" s="10"/>
      <c r="X14" s="10"/>
      <c r="Y14" s="10"/>
      <c r="Z14" s="10"/>
      <c r="AA14" s="10"/>
    </row>
    <row r="15" spans="1:27" ht="12.5" x14ac:dyDescent="0.25">
      <c r="A15" s="10" t="s">
        <v>65</v>
      </c>
      <c r="B15" s="10" t="s">
        <v>184</v>
      </c>
      <c r="C15" s="10" t="s">
        <v>76</v>
      </c>
      <c r="D15" s="11">
        <v>2024</v>
      </c>
      <c r="E15" s="10" t="s">
        <v>124</v>
      </c>
      <c r="F15" s="10" t="s">
        <v>83</v>
      </c>
      <c r="G15" s="10" t="s">
        <v>84</v>
      </c>
      <c r="H15" s="12">
        <v>39004.583333333299</v>
      </c>
      <c r="I15" s="11">
        <v>23312</v>
      </c>
      <c r="J15" s="11">
        <v>3520</v>
      </c>
      <c r="K15" s="11">
        <v>59847</v>
      </c>
      <c r="L15" s="11">
        <v>0.59767335035412505</v>
      </c>
      <c r="M15" s="11">
        <f t="shared" si="0"/>
        <v>59.767335035412557</v>
      </c>
      <c r="N15" s="11">
        <v>0.15099519560741201</v>
      </c>
      <c r="O15" s="11">
        <v>1.5343581416713801</v>
      </c>
      <c r="P15" s="11">
        <v>0.985641891891892</v>
      </c>
      <c r="Q15" s="11">
        <v>1</v>
      </c>
      <c r="R15" s="11">
        <v>0.97986577181208101</v>
      </c>
      <c r="S15" s="10" t="s">
        <v>84</v>
      </c>
      <c r="T15" s="10" t="s">
        <v>84</v>
      </c>
      <c r="U15" s="10"/>
      <c r="V15" s="10"/>
      <c r="W15" s="10"/>
      <c r="X15" s="10"/>
      <c r="Y15" s="10"/>
      <c r="Z15" s="10"/>
      <c r="AA15" s="10"/>
    </row>
    <row r="16" spans="1:27" ht="12.5" x14ac:dyDescent="0.25">
      <c r="A16" s="10" t="s">
        <v>13</v>
      </c>
      <c r="B16" s="10" t="s">
        <v>195</v>
      </c>
      <c r="C16" s="10" t="s">
        <v>76</v>
      </c>
      <c r="D16" s="11">
        <v>2024</v>
      </c>
      <c r="E16" s="10" t="s">
        <v>124</v>
      </c>
      <c r="F16" s="10" t="s">
        <v>83</v>
      </c>
      <c r="G16" s="10" t="s">
        <v>84</v>
      </c>
      <c r="H16" s="12">
        <v>9981.5</v>
      </c>
      <c r="I16" s="11">
        <v>5727</v>
      </c>
      <c r="J16" s="11">
        <v>5176</v>
      </c>
      <c r="K16" s="11">
        <v>31509</v>
      </c>
      <c r="L16" s="11">
        <v>0.57376145869859196</v>
      </c>
      <c r="M16" s="11">
        <f t="shared" si="0"/>
        <v>57.376145869859243</v>
      </c>
      <c r="N16" s="11">
        <v>0.90378906932076097</v>
      </c>
      <c r="O16" s="11">
        <v>3.1567399689425399</v>
      </c>
      <c r="P16" s="11">
        <v>0.98395270270270296</v>
      </c>
      <c r="Q16" s="11">
        <v>0.90476190476190499</v>
      </c>
      <c r="R16" s="11">
        <v>0.97762863534675604</v>
      </c>
      <c r="S16" s="10" t="s">
        <v>84</v>
      </c>
      <c r="T16" s="10" t="s">
        <v>84</v>
      </c>
      <c r="U16" s="10"/>
      <c r="V16" s="10"/>
      <c r="W16" s="10"/>
      <c r="X16" s="10"/>
      <c r="Y16" s="10"/>
      <c r="Z16" s="10"/>
      <c r="AA16" s="10"/>
    </row>
    <row r="17" spans="1:27" ht="12.5" x14ac:dyDescent="0.25">
      <c r="A17" s="10" t="s">
        <v>32</v>
      </c>
      <c r="B17" s="10" t="s">
        <v>201</v>
      </c>
      <c r="C17" s="10" t="s">
        <v>76</v>
      </c>
      <c r="D17" s="11">
        <v>2024</v>
      </c>
      <c r="E17" s="10" t="s">
        <v>124</v>
      </c>
      <c r="F17" s="10" t="s">
        <v>83</v>
      </c>
      <c r="G17" s="10" t="s">
        <v>84</v>
      </c>
      <c r="H17" s="12">
        <v>6313.75</v>
      </c>
      <c r="I17" s="11">
        <v>3608</v>
      </c>
      <c r="J17" s="11">
        <v>3424</v>
      </c>
      <c r="K17" s="11">
        <v>18189</v>
      </c>
      <c r="L17" s="11">
        <v>0.57145119778261699</v>
      </c>
      <c r="M17" s="11">
        <f t="shared" si="0"/>
        <v>57.14511977826173</v>
      </c>
      <c r="N17" s="11">
        <v>0.94900221729489997</v>
      </c>
      <c r="O17" s="11">
        <v>2.8808552761829298</v>
      </c>
      <c r="P17" s="11">
        <v>0.983108108108108</v>
      </c>
      <c r="Q17" s="11">
        <v>0.931034482758621</v>
      </c>
      <c r="R17" s="11">
        <v>0.97539149888143195</v>
      </c>
      <c r="S17" s="10" t="s">
        <v>84</v>
      </c>
      <c r="T17" s="10" t="s">
        <v>84</v>
      </c>
      <c r="U17" s="10"/>
      <c r="V17" s="10"/>
      <c r="W17" s="10"/>
      <c r="X17" s="10"/>
      <c r="Y17" s="10"/>
      <c r="Z17" s="10"/>
      <c r="AA17" s="10"/>
    </row>
    <row r="18" spans="1:27" ht="12.5" x14ac:dyDescent="0.25">
      <c r="A18" s="10" t="s">
        <v>32</v>
      </c>
      <c r="B18" s="10" t="s">
        <v>205</v>
      </c>
      <c r="C18" s="10" t="s">
        <v>76</v>
      </c>
      <c r="D18" s="11">
        <v>2024</v>
      </c>
      <c r="E18" s="10" t="s">
        <v>81</v>
      </c>
      <c r="F18" s="10" t="s">
        <v>83</v>
      </c>
      <c r="G18" s="10" t="s">
        <v>84</v>
      </c>
      <c r="H18" s="12">
        <v>21207.333333333299</v>
      </c>
      <c r="I18" s="11">
        <v>11563</v>
      </c>
      <c r="J18" s="11">
        <v>7801</v>
      </c>
      <c r="K18" s="11">
        <v>15169</v>
      </c>
      <c r="L18" s="11">
        <v>0.54523592468014204</v>
      </c>
      <c r="M18" s="11">
        <f t="shared" si="0"/>
        <v>54.523592468014293</v>
      </c>
      <c r="N18" s="11">
        <v>0.67465190694456501</v>
      </c>
      <c r="O18" s="11">
        <v>0.715271446983748</v>
      </c>
      <c r="P18" s="11">
        <v>0.98226351351351304</v>
      </c>
      <c r="Q18" s="11">
        <v>0.89655172413793105</v>
      </c>
      <c r="R18" s="11">
        <v>0.98449612403100795</v>
      </c>
      <c r="S18" s="10" t="s">
        <v>84</v>
      </c>
      <c r="T18" s="10" t="s">
        <v>84</v>
      </c>
      <c r="U18" s="10"/>
      <c r="V18" s="10"/>
      <c r="W18" s="10"/>
      <c r="X18" s="10"/>
      <c r="Y18" s="10"/>
      <c r="Z18" s="10"/>
      <c r="AA18" s="10"/>
    </row>
    <row r="19" spans="1:27" ht="12.5" x14ac:dyDescent="0.25">
      <c r="A19" s="10" t="s">
        <v>49</v>
      </c>
      <c r="B19" s="10" t="s">
        <v>211</v>
      </c>
      <c r="C19" s="10" t="s">
        <v>76</v>
      </c>
      <c r="D19" s="11">
        <v>2024</v>
      </c>
      <c r="E19" s="10" t="s">
        <v>81</v>
      </c>
      <c r="F19" s="10" t="s">
        <v>83</v>
      </c>
      <c r="G19" s="10" t="s">
        <v>84</v>
      </c>
      <c r="H19" s="12">
        <v>29260.5</v>
      </c>
      <c r="I19" s="11">
        <v>15828</v>
      </c>
      <c r="J19" s="11">
        <v>15620</v>
      </c>
      <c r="K19" s="11">
        <v>47766</v>
      </c>
      <c r="L19" s="11">
        <v>0.54093402368380605</v>
      </c>
      <c r="M19" s="11">
        <f t="shared" si="0"/>
        <v>54.09340236838058</v>
      </c>
      <c r="N19" s="11">
        <v>0.98685873136214297</v>
      </c>
      <c r="O19" s="11">
        <v>1.63243963705337</v>
      </c>
      <c r="P19" s="11">
        <v>0.98141891891891897</v>
      </c>
      <c r="Q19" s="11">
        <v>1</v>
      </c>
      <c r="R19" s="11">
        <v>0.98255813953488402</v>
      </c>
      <c r="S19" s="10" t="s">
        <v>84</v>
      </c>
      <c r="T19" s="10" t="s">
        <v>84</v>
      </c>
      <c r="U19" s="10"/>
      <c r="V19" s="10"/>
      <c r="W19" s="10"/>
      <c r="X19" s="10"/>
      <c r="Y19" s="10"/>
      <c r="Z19" s="10"/>
      <c r="AA19" s="10"/>
    </row>
    <row r="20" spans="1:27" ht="12.5" x14ac:dyDescent="0.25">
      <c r="A20" s="10" t="s">
        <v>91</v>
      </c>
      <c r="B20" s="10" t="s">
        <v>221</v>
      </c>
      <c r="C20" s="10" t="s">
        <v>76</v>
      </c>
      <c r="D20" s="11">
        <v>2024</v>
      </c>
      <c r="E20" s="10" t="s">
        <v>81</v>
      </c>
      <c r="F20" s="10" t="s">
        <v>83</v>
      </c>
      <c r="G20" s="10" t="s">
        <v>84</v>
      </c>
      <c r="H20" s="12">
        <v>6060.6666666666697</v>
      </c>
      <c r="I20" s="11">
        <v>3024</v>
      </c>
      <c r="J20" s="11">
        <v>2948</v>
      </c>
      <c r="K20" s="11">
        <v>3175</v>
      </c>
      <c r="L20" s="11">
        <v>0.49895501044989499</v>
      </c>
      <c r="M20" s="11">
        <f t="shared" si="0"/>
        <v>49.89550104498953</v>
      </c>
      <c r="N20" s="11">
        <v>0.97486772486772499</v>
      </c>
      <c r="O20" s="11">
        <v>0.52386976130238705</v>
      </c>
      <c r="P20" s="11">
        <v>0.97972972972973005</v>
      </c>
      <c r="Q20" s="11">
        <v>1</v>
      </c>
      <c r="R20" s="11">
        <v>0.98062015503875999</v>
      </c>
      <c r="S20" s="10" t="s">
        <v>84</v>
      </c>
      <c r="T20" s="10" t="s">
        <v>84</v>
      </c>
      <c r="U20" s="10"/>
      <c r="V20" s="10"/>
      <c r="W20" s="10"/>
      <c r="X20" s="10"/>
      <c r="Y20" s="10"/>
      <c r="Z20" s="10"/>
      <c r="AA20" s="10"/>
    </row>
    <row r="21" spans="1:27" ht="12.5" x14ac:dyDescent="0.25">
      <c r="A21" s="10" t="s">
        <v>103</v>
      </c>
      <c r="B21" s="10" t="s">
        <v>231</v>
      </c>
      <c r="C21" s="10" t="s">
        <v>76</v>
      </c>
      <c r="D21" s="11">
        <v>2024</v>
      </c>
      <c r="E21" s="10" t="s">
        <v>124</v>
      </c>
      <c r="F21" s="10" t="s">
        <v>83</v>
      </c>
      <c r="G21" s="10" t="s">
        <v>84</v>
      </c>
      <c r="H21" s="12">
        <v>7394.75</v>
      </c>
      <c r="I21" s="11">
        <v>3532</v>
      </c>
      <c r="J21" s="11">
        <v>3518</v>
      </c>
      <c r="K21" s="11">
        <v>9491</v>
      </c>
      <c r="L21" s="11">
        <v>0.47763616078974902</v>
      </c>
      <c r="M21" s="11">
        <f t="shared" si="0"/>
        <v>47.763616078974948</v>
      </c>
      <c r="N21" s="11">
        <v>0.99603624009059999</v>
      </c>
      <c r="O21" s="11">
        <v>1.2834781432773299</v>
      </c>
      <c r="P21" s="11">
        <v>0.97804054054054101</v>
      </c>
      <c r="Q21" s="11">
        <v>1</v>
      </c>
      <c r="R21" s="11">
        <v>0.96868008948545903</v>
      </c>
      <c r="S21" s="10" t="s">
        <v>84</v>
      </c>
      <c r="T21" s="10" t="s">
        <v>84</v>
      </c>
      <c r="U21" s="10"/>
      <c r="V21" s="10"/>
      <c r="W21" s="10"/>
      <c r="X21" s="10"/>
      <c r="Y21" s="10"/>
      <c r="Z21" s="10"/>
      <c r="AA21" s="10"/>
    </row>
    <row r="22" spans="1:27" ht="12.5" x14ac:dyDescent="0.25">
      <c r="A22" s="10" t="s">
        <v>36</v>
      </c>
      <c r="B22" s="10" t="s">
        <v>234</v>
      </c>
      <c r="C22" s="10" t="s">
        <v>76</v>
      </c>
      <c r="D22" s="11">
        <v>2024</v>
      </c>
      <c r="E22" s="10" t="s">
        <v>124</v>
      </c>
      <c r="F22" s="10" t="s">
        <v>83</v>
      </c>
      <c r="G22" s="10" t="s">
        <v>84</v>
      </c>
      <c r="H22" s="12">
        <v>14443.166666666701</v>
      </c>
      <c r="I22" s="11">
        <v>6887</v>
      </c>
      <c r="J22" s="11">
        <v>6733</v>
      </c>
      <c r="K22" s="11">
        <v>21472</v>
      </c>
      <c r="L22" s="11">
        <v>0.47683448920481403</v>
      </c>
      <c r="M22" s="11">
        <f t="shared" si="0"/>
        <v>47.683448920481311</v>
      </c>
      <c r="N22" s="11">
        <v>0.977639030056628</v>
      </c>
      <c r="O22" s="11">
        <v>1.4866545886751501</v>
      </c>
      <c r="P22" s="11">
        <v>0.97719594594594605</v>
      </c>
      <c r="Q22" s="11">
        <v>0.93617021276595702</v>
      </c>
      <c r="R22" s="11">
        <v>0.96644295302013405</v>
      </c>
      <c r="S22" s="10" t="s">
        <v>84</v>
      </c>
      <c r="T22" s="10" t="s">
        <v>84</v>
      </c>
      <c r="U22" s="10"/>
      <c r="V22" s="10"/>
      <c r="W22" s="10"/>
      <c r="X22" s="10"/>
      <c r="Y22" s="10"/>
      <c r="Z22" s="10"/>
      <c r="AA22" s="10"/>
    </row>
    <row r="23" spans="1:27" ht="12.5" x14ac:dyDescent="0.25">
      <c r="A23" s="10" t="s">
        <v>55</v>
      </c>
      <c r="B23" s="10" t="s">
        <v>238</v>
      </c>
      <c r="C23" s="10" t="s">
        <v>76</v>
      </c>
      <c r="D23" s="11">
        <v>2024</v>
      </c>
      <c r="E23" s="10" t="s">
        <v>124</v>
      </c>
      <c r="F23" s="10" t="s">
        <v>83</v>
      </c>
      <c r="G23" s="10" t="s">
        <v>84</v>
      </c>
      <c r="H23" s="12">
        <v>58382.916666666701</v>
      </c>
      <c r="I23" s="11">
        <v>27716</v>
      </c>
      <c r="J23" s="11">
        <v>30165</v>
      </c>
      <c r="K23" s="11">
        <v>280773</v>
      </c>
      <c r="L23" s="11">
        <v>0.47472790984805802</v>
      </c>
      <c r="M23" s="11">
        <f t="shared" si="0"/>
        <v>47.472790984805748</v>
      </c>
      <c r="N23" s="11">
        <v>1.08836051378265</v>
      </c>
      <c r="O23" s="11">
        <v>4.8091636394778696</v>
      </c>
      <c r="P23" s="11">
        <v>0.97635135135135098</v>
      </c>
      <c r="Q23" s="11">
        <v>1</v>
      </c>
      <c r="R23" s="11">
        <v>0.96420581655480997</v>
      </c>
      <c r="S23" s="10" t="s">
        <v>84</v>
      </c>
      <c r="T23" s="10" t="s">
        <v>84</v>
      </c>
      <c r="U23" s="10"/>
      <c r="V23" s="10"/>
      <c r="W23" s="10"/>
      <c r="X23" s="10"/>
      <c r="Y23" s="10"/>
      <c r="Z23" s="10"/>
      <c r="AA23" s="10"/>
    </row>
    <row r="24" spans="1:27" ht="12.5" x14ac:dyDescent="0.25">
      <c r="A24" s="10" t="s">
        <v>29</v>
      </c>
      <c r="B24" s="10" t="s">
        <v>242</v>
      </c>
      <c r="C24" s="10" t="s">
        <v>76</v>
      </c>
      <c r="D24" s="11">
        <v>2024</v>
      </c>
      <c r="E24" s="10" t="s">
        <v>124</v>
      </c>
      <c r="F24" s="10" t="s">
        <v>83</v>
      </c>
      <c r="G24" s="10" t="s">
        <v>84</v>
      </c>
      <c r="H24" s="12">
        <v>1834.4166666666699</v>
      </c>
      <c r="I24" s="11">
        <v>845</v>
      </c>
      <c r="J24" s="11">
        <v>768</v>
      </c>
      <c r="K24" s="11">
        <v>3193</v>
      </c>
      <c r="L24" s="11">
        <v>0.46063689637941202</v>
      </c>
      <c r="M24" s="11">
        <f t="shared" si="0"/>
        <v>46.063689637941138</v>
      </c>
      <c r="N24" s="11">
        <v>0.90887573964497004</v>
      </c>
      <c r="O24" s="11">
        <v>1.7406078226502499</v>
      </c>
      <c r="P24" s="11">
        <v>0.97550675675675702</v>
      </c>
      <c r="Q24" s="11">
        <v>0.97959183673469397</v>
      </c>
      <c r="R24" s="11">
        <v>0.961968680089485</v>
      </c>
      <c r="S24" s="10" t="s">
        <v>84</v>
      </c>
      <c r="T24" s="10" t="s">
        <v>84</v>
      </c>
      <c r="U24" s="10"/>
      <c r="V24" s="10"/>
      <c r="W24" s="10"/>
      <c r="X24" s="10"/>
      <c r="Y24" s="10"/>
      <c r="Z24" s="10"/>
      <c r="AA24" s="10"/>
    </row>
    <row r="25" spans="1:27" ht="12.5" hidden="1" x14ac:dyDescent="0.25">
      <c r="A25" s="10" t="s">
        <v>101</v>
      </c>
      <c r="B25" s="10" t="s">
        <v>256</v>
      </c>
      <c r="C25" s="10" t="s">
        <v>76</v>
      </c>
      <c r="D25" s="11">
        <v>2024</v>
      </c>
      <c r="E25" s="10" t="s">
        <v>257</v>
      </c>
      <c r="F25" s="10" t="s">
        <v>125</v>
      </c>
      <c r="G25" s="10" t="s">
        <v>84</v>
      </c>
      <c r="H25" s="12">
        <v>2651.4166666666702</v>
      </c>
      <c r="I25" s="11">
        <v>1213</v>
      </c>
      <c r="J25" s="11">
        <v>1213</v>
      </c>
      <c r="K25" s="11">
        <v>1226</v>
      </c>
      <c r="L25" s="11">
        <v>0.45749127824747798</v>
      </c>
      <c r="M25" s="11">
        <f t="shared" si="0"/>
        <v>45.749127824747717</v>
      </c>
      <c r="N25" s="11">
        <v>1</v>
      </c>
      <c r="O25" s="11">
        <v>0.46239431750322202</v>
      </c>
      <c r="P25" s="11">
        <v>0.97466216216216195</v>
      </c>
      <c r="Q25" s="11">
        <v>1</v>
      </c>
      <c r="R25" s="11">
        <v>1</v>
      </c>
      <c r="S25" s="10" t="s">
        <v>84</v>
      </c>
      <c r="T25" s="10" t="s">
        <v>84</v>
      </c>
      <c r="U25" s="10"/>
      <c r="V25" s="10"/>
      <c r="W25" s="10"/>
      <c r="X25" s="10"/>
      <c r="Y25" s="10"/>
      <c r="Z25" s="10"/>
      <c r="AA25" s="10"/>
    </row>
    <row r="26" spans="1:27" ht="12.5" x14ac:dyDescent="0.25">
      <c r="A26" s="10" t="s">
        <v>86</v>
      </c>
      <c r="B26" s="10" t="s">
        <v>262</v>
      </c>
      <c r="C26" s="10" t="s">
        <v>76</v>
      </c>
      <c r="D26" s="11">
        <v>2024</v>
      </c>
      <c r="E26" s="10" t="s">
        <v>124</v>
      </c>
      <c r="F26" s="10" t="s">
        <v>83</v>
      </c>
      <c r="G26" s="10" t="s">
        <v>84</v>
      </c>
      <c r="H26" s="12">
        <v>11973.416666666701</v>
      </c>
      <c r="I26" s="11">
        <v>5391</v>
      </c>
      <c r="J26" s="11">
        <v>5209</v>
      </c>
      <c r="K26" s="11">
        <v>44200</v>
      </c>
      <c r="L26" s="11">
        <v>0.45024742311091898</v>
      </c>
      <c r="M26" s="11">
        <f t="shared" si="0"/>
        <v>45.024742311091806</v>
      </c>
      <c r="N26" s="11">
        <v>0.96624002967909495</v>
      </c>
      <c r="O26" s="11">
        <v>3.69151105574154</v>
      </c>
      <c r="P26" s="11">
        <v>0.97381756756756799</v>
      </c>
      <c r="Q26" s="11">
        <v>0.95652173913043503</v>
      </c>
      <c r="R26" s="11">
        <v>0.95973154362416102</v>
      </c>
      <c r="S26" s="10" t="s">
        <v>84</v>
      </c>
      <c r="T26" s="10" t="s">
        <v>84</v>
      </c>
      <c r="U26" s="10"/>
      <c r="V26" s="10"/>
      <c r="W26" s="10"/>
      <c r="X26" s="10"/>
      <c r="Y26" s="10"/>
      <c r="Z26" s="10"/>
      <c r="AA26" s="10"/>
    </row>
    <row r="27" spans="1:27" ht="12.5" x14ac:dyDescent="0.25">
      <c r="A27" s="10" t="s">
        <v>13</v>
      </c>
      <c r="B27" s="10" t="s">
        <v>281</v>
      </c>
      <c r="C27" s="10" t="s">
        <v>76</v>
      </c>
      <c r="D27" s="11">
        <v>2024</v>
      </c>
      <c r="E27" s="10" t="s">
        <v>124</v>
      </c>
      <c r="F27" s="10" t="s">
        <v>125</v>
      </c>
      <c r="G27" s="10" t="s">
        <v>84</v>
      </c>
      <c r="H27" s="12">
        <v>4217.25</v>
      </c>
      <c r="I27" s="11">
        <v>1840</v>
      </c>
      <c r="J27" s="11">
        <v>1242</v>
      </c>
      <c r="K27" s="11">
        <v>2271</v>
      </c>
      <c r="L27" s="11">
        <v>0.43630327820261999</v>
      </c>
      <c r="M27" s="11">
        <f t="shared" si="0"/>
        <v>43.630327820262025</v>
      </c>
      <c r="N27" s="11">
        <v>0.67500000000000004</v>
      </c>
      <c r="O27" s="11">
        <v>0.53850257869464702</v>
      </c>
      <c r="P27" s="11">
        <v>0.97212837837837796</v>
      </c>
      <c r="Q27" s="11">
        <v>0.85714285714285698</v>
      </c>
      <c r="R27" s="11">
        <v>0.95525727069351196</v>
      </c>
      <c r="S27" s="10" t="s">
        <v>84</v>
      </c>
      <c r="T27" s="10" t="s">
        <v>84</v>
      </c>
      <c r="U27" s="10"/>
      <c r="V27" s="10"/>
      <c r="W27" s="10"/>
      <c r="X27" s="10"/>
      <c r="Y27" s="10"/>
      <c r="Z27" s="10"/>
      <c r="AA27" s="10"/>
    </row>
    <row r="28" spans="1:27" ht="12.5" x14ac:dyDescent="0.25">
      <c r="A28" s="10" t="s">
        <v>52</v>
      </c>
      <c r="B28" s="10" t="s">
        <v>286</v>
      </c>
      <c r="C28" s="10" t="s">
        <v>76</v>
      </c>
      <c r="D28" s="11">
        <v>2024</v>
      </c>
      <c r="E28" s="10" t="s">
        <v>124</v>
      </c>
      <c r="F28" s="10" t="s">
        <v>125</v>
      </c>
      <c r="G28" s="10" t="s">
        <v>84</v>
      </c>
      <c r="H28" s="12">
        <v>2406.4166666666702</v>
      </c>
      <c r="I28" s="11">
        <v>1037</v>
      </c>
      <c r="J28" s="11">
        <v>990</v>
      </c>
      <c r="K28" s="11">
        <v>4529</v>
      </c>
      <c r="L28" s="11">
        <v>0.43093119091318399</v>
      </c>
      <c r="M28" s="11">
        <f t="shared" si="0"/>
        <v>43.093119091318286</v>
      </c>
      <c r="N28" s="11">
        <v>0.95467695274831199</v>
      </c>
      <c r="O28" s="11">
        <v>1.88205145963916</v>
      </c>
      <c r="P28" s="11">
        <v>0.97128378378378399</v>
      </c>
      <c r="Q28" s="11">
        <v>0.97872340425531901</v>
      </c>
      <c r="R28" s="11">
        <v>0.95302013422818799</v>
      </c>
      <c r="S28" s="10" t="s">
        <v>84</v>
      </c>
      <c r="T28" s="10" t="s">
        <v>84</v>
      </c>
      <c r="U28" s="10"/>
      <c r="V28" s="10"/>
      <c r="W28" s="10"/>
      <c r="X28" s="10"/>
      <c r="Y28" s="10"/>
      <c r="Z28" s="10"/>
      <c r="AA28" s="10"/>
    </row>
    <row r="29" spans="1:27" ht="12.5" x14ac:dyDescent="0.25">
      <c r="A29" s="10" t="s">
        <v>52</v>
      </c>
      <c r="B29" s="10" t="s">
        <v>261</v>
      </c>
      <c r="C29" s="10" t="s">
        <v>76</v>
      </c>
      <c r="D29" s="11">
        <v>2024</v>
      </c>
      <c r="E29" s="10" t="s">
        <v>81</v>
      </c>
      <c r="F29" s="10" t="s">
        <v>83</v>
      </c>
      <c r="G29" s="10" t="s">
        <v>84</v>
      </c>
      <c r="H29" s="12">
        <v>39216.333333333299</v>
      </c>
      <c r="I29" s="11">
        <v>16772</v>
      </c>
      <c r="J29" s="11">
        <v>16259</v>
      </c>
      <c r="K29" s="11">
        <v>17259</v>
      </c>
      <c r="L29" s="11">
        <v>0.427678943297436</v>
      </c>
      <c r="M29" s="11">
        <f t="shared" si="0"/>
        <v>42.767894329743598</v>
      </c>
      <c r="N29" s="11">
        <v>0.96941330789410896</v>
      </c>
      <c r="O29" s="11">
        <v>0.44009723839556603</v>
      </c>
      <c r="P29" s="11">
        <v>0.97043918918918903</v>
      </c>
      <c r="Q29" s="11">
        <v>0.95744680851063801</v>
      </c>
      <c r="R29" s="11">
        <v>0.97868217054263595</v>
      </c>
      <c r="S29" s="10" t="s">
        <v>84</v>
      </c>
      <c r="T29" s="10" t="s">
        <v>84</v>
      </c>
      <c r="U29" s="10"/>
      <c r="V29" s="10"/>
      <c r="W29" s="10"/>
      <c r="X29" s="10"/>
      <c r="Y29" s="10"/>
      <c r="Z29" s="10"/>
      <c r="AA29" s="10"/>
    </row>
    <row r="30" spans="1:27" ht="12.5" x14ac:dyDescent="0.25">
      <c r="A30" s="10" t="s">
        <v>86</v>
      </c>
      <c r="B30" s="10" t="s">
        <v>290</v>
      </c>
      <c r="C30" s="10" t="s">
        <v>76</v>
      </c>
      <c r="D30" s="11">
        <v>2024</v>
      </c>
      <c r="E30" s="10" t="s">
        <v>124</v>
      </c>
      <c r="F30" s="10" t="s">
        <v>83</v>
      </c>
      <c r="G30" s="10" t="s">
        <v>84</v>
      </c>
      <c r="H30" s="12">
        <v>75986.75</v>
      </c>
      <c r="I30" s="11">
        <v>31585</v>
      </c>
      <c r="J30" s="11">
        <v>27688</v>
      </c>
      <c r="K30" s="11">
        <v>40428</v>
      </c>
      <c r="L30" s="11">
        <v>0.415664573099915</v>
      </c>
      <c r="M30" s="11">
        <f t="shared" si="0"/>
        <v>41.566457309991542</v>
      </c>
      <c r="N30" s="11">
        <v>0.87661864809244905</v>
      </c>
      <c r="O30" s="11">
        <v>0.53204012541660195</v>
      </c>
      <c r="P30" s="11">
        <v>0.96959459459459496</v>
      </c>
      <c r="Q30" s="11">
        <v>0.934782608695652</v>
      </c>
      <c r="R30" s="11">
        <v>0.95078299776286401</v>
      </c>
      <c r="S30" s="10" t="s">
        <v>84</v>
      </c>
      <c r="T30" s="10" t="s">
        <v>84</v>
      </c>
      <c r="U30" s="10"/>
      <c r="V30" s="10"/>
      <c r="W30" s="10"/>
      <c r="X30" s="10"/>
      <c r="Y30" s="10"/>
      <c r="Z30" s="10"/>
      <c r="AA30" s="10"/>
    </row>
    <row r="31" spans="1:27" ht="12.5" x14ac:dyDescent="0.25">
      <c r="A31" s="10" t="s">
        <v>26</v>
      </c>
      <c r="B31" s="10" t="s">
        <v>295</v>
      </c>
      <c r="C31" s="10" t="s">
        <v>76</v>
      </c>
      <c r="D31" s="11">
        <v>2024</v>
      </c>
      <c r="E31" s="10" t="s">
        <v>124</v>
      </c>
      <c r="F31" s="10" t="s">
        <v>83</v>
      </c>
      <c r="G31" s="10" t="s">
        <v>84</v>
      </c>
      <c r="H31" s="12">
        <v>35586.916666666701</v>
      </c>
      <c r="I31" s="11">
        <v>14584</v>
      </c>
      <c r="J31" s="11">
        <v>14171</v>
      </c>
      <c r="K31" s="11">
        <v>0</v>
      </c>
      <c r="L31" s="11">
        <v>0.40981353165840401</v>
      </c>
      <c r="M31" s="11">
        <f t="shared" si="0"/>
        <v>40.981353165840403</v>
      </c>
      <c r="N31" s="11">
        <v>0.97168129456939101</v>
      </c>
      <c r="O31" s="11">
        <v>0</v>
      </c>
      <c r="P31" s="11">
        <v>0.96875</v>
      </c>
      <c r="Q31" s="11">
        <v>0.96153846153846201</v>
      </c>
      <c r="R31" s="11">
        <v>0.94854586129753904</v>
      </c>
      <c r="S31" s="10" t="s">
        <v>84</v>
      </c>
      <c r="T31" s="10" t="s">
        <v>84</v>
      </c>
      <c r="U31" s="10"/>
      <c r="V31" s="10"/>
      <c r="W31" s="10"/>
      <c r="X31" s="10"/>
      <c r="Y31" s="10"/>
      <c r="Z31" s="10"/>
      <c r="AA31" s="10"/>
    </row>
    <row r="32" spans="1:27" ht="12.5" x14ac:dyDescent="0.25">
      <c r="A32" s="10" t="s">
        <v>36</v>
      </c>
      <c r="B32" s="10" t="s">
        <v>302</v>
      </c>
      <c r="C32" s="10" t="s">
        <v>76</v>
      </c>
      <c r="D32" s="11">
        <v>2024</v>
      </c>
      <c r="E32" s="10" t="s">
        <v>124</v>
      </c>
      <c r="F32" s="10" t="s">
        <v>83</v>
      </c>
      <c r="G32" s="10" t="s">
        <v>84</v>
      </c>
      <c r="H32" s="12">
        <v>13593.75</v>
      </c>
      <c r="I32" s="11">
        <v>5484</v>
      </c>
      <c r="J32" s="11">
        <v>3716</v>
      </c>
      <c r="K32" s="11">
        <v>44426</v>
      </c>
      <c r="L32" s="11">
        <v>0.40342068965517203</v>
      </c>
      <c r="M32" s="11">
        <f t="shared" si="0"/>
        <v>40.342068965517242</v>
      </c>
      <c r="N32" s="11">
        <v>0.67760758570386603</v>
      </c>
      <c r="O32" s="11">
        <v>3.2681195402298902</v>
      </c>
      <c r="P32" s="11">
        <v>0.96790540540540504</v>
      </c>
      <c r="Q32" s="11">
        <v>0.91489361702127703</v>
      </c>
      <c r="R32" s="11">
        <v>0.94630872483221495</v>
      </c>
      <c r="S32" s="10" t="s">
        <v>84</v>
      </c>
      <c r="T32" s="10" t="s">
        <v>84</v>
      </c>
      <c r="U32" s="10"/>
      <c r="V32" s="10"/>
      <c r="W32" s="10"/>
      <c r="X32" s="10"/>
      <c r="Y32" s="10"/>
      <c r="Z32" s="10"/>
      <c r="AA32" s="10"/>
    </row>
    <row r="33" spans="1:27" ht="12.5" x14ac:dyDescent="0.25">
      <c r="A33" s="10" t="s">
        <v>13</v>
      </c>
      <c r="B33" s="10" t="s">
        <v>307</v>
      </c>
      <c r="C33" s="10" t="s">
        <v>76</v>
      </c>
      <c r="D33" s="11">
        <v>2024</v>
      </c>
      <c r="E33" s="10" t="s">
        <v>124</v>
      </c>
      <c r="F33" s="10" t="s">
        <v>83</v>
      </c>
      <c r="G33" s="10" t="s">
        <v>84</v>
      </c>
      <c r="H33" s="12">
        <v>21483.75</v>
      </c>
      <c r="I33" s="11">
        <v>8609</v>
      </c>
      <c r="J33" s="11">
        <v>7979</v>
      </c>
      <c r="K33" s="11">
        <v>0</v>
      </c>
      <c r="L33" s="11">
        <v>0.40072147553383403</v>
      </c>
      <c r="M33" s="11">
        <f t="shared" si="0"/>
        <v>40.072147553383367</v>
      </c>
      <c r="N33" s="11">
        <v>0.92682076896271304</v>
      </c>
      <c r="O33" s="11">
        <v>0</v>
      </c>
      <c r="P33" s="11">
        <v>0.96706081081081097</v>
      </c>
      <c r="Q33" s="11">
        <v>0.80952380952380998</v>
      </c>
      <c r="R33" s="11">
        <v>0.94407158836688998</v>
      </c>
      <c r="S33" s="10" t="s">
        <v>84</v>
      </c>
      <c r="T33" s="10" t="s">
        <v>84</v>
      </c>
      <c r="U33" s="10"/>
      <c r="V33" s="10"/>
      <c r="W33" s="10"/>
      <c r="X33" s="10"/>
      <c r="Y33" s="10"/>
      <c r="Z33" s="10"/>
      <c r="AA33" s="10"/>
    </row>
    <row r="34" spans="1:27" ht="12.5" x14ac:dyDescent="0.25">
      <c r="A34" s="10" t="s">
        <v>29</v>
      </c>
      <c r="B34" s="10" t="s">
        <v>267</v>
      </c>
      <c r="C34" s="10" t="s">
        <v>76</v>
      </c>
      <c r="D34" s="11">
        <v>2024</v>
      </c>
      <c r="E34" s="10" t="s">
        <v>81</v>
      </c>
      <c r="F34" s="10" t="s">
        <v>83</v>
      </c>
      <c r="G34" s="10" t="s">
        <v>84</v>
      </c>
      <c r="H34" s="12">
        <v>43954.416666666701</v>
      </c>
      <c r="I34" s="11">
        <v>17597</v>
      </c>
      <c r="J34" s="11">
        <v>15116</v>
      </c>
      <c r="K34" s="11">
        <v>60042</v>
      </c>
      <c r="L34" s="11">
        <v>0.40034657116368699</v>
      </c>
      <c r="M34" s="11">
        <f t="shared" si="0"/>
        <v>40.034657116368635</v>
      </c>
      <c r="N34" s="11">
        <v>0.85901005853270396</v>
      </c>
      <c r="O34" s="11">
        <v>1.3660060706830801</v>
      </c>
      <c r="P34" s="11">
        <v>0.96621621621621601</v>
      </c>
      <c r="Q34" s="11">
        <v>0.93877551020408201</v>
      </c>
      <c r="R34" s="11">
        <v>0.97674418604651203</v>
      </c>
      <c r="S34" s="10" t="s">
        <v>84</v>
      </c>
      <c r="T34" s="10" t="s">
        <v>84</v>
      </c>
      <c r="U34" s="10"/>
      <c r="V34" s="10"/>
      <c r="W34" s="10"/>
      <c r="X34" s="10"/>
      <c r="Y34" s="10"/>
      <c r="Z34" s="10"/>
      <c r="AA34" s="10"/>
    </row>
    <row r="35" spans="1:27" ht="12.5" x14ac:dyDescent="0.25">
      <c r="A35" s="10" t="s">
        <v>26</v>
      </c>
      <c r="B35" s="10" t="s">
        <v>313</v>
      </c>
      <c r="C35" s="10" t="s">
        <v>76</v>
      </c>
      <c r="D35" s="11">
        <v>2024</v>
      </c>
      <c r="E35" s="10" t="s">
        <v>124</v>
      </c>
      <c r="F35" s="10" t="s">
        <v>83</v>
      </c>
      <c r="G35" s="10" t="s">
        <v>84</v>
      </c>
      <c r="H35" s="12">
        <v>10198.5</v>
      </c>
      <c r="I35" s="11">
        <v>3750</v>
      </c>
      <c r="J35" s="11">
        <v>3520</v>
      </c>
      <c r="K35" s="11">
        <v>2618</v>
      </c>
      <c r="L35" s="11">
        <v>0.36770113251948799</v>
      </c>
      <c r="M35" s="11">
        <f t="shared" si="0"/>
        <v>36.770113251948814</v>
      </c>
      <c r="N35" s="11">
        <v>0.93866666666666698</v>
      </c>
      <c r="O35" s="11">
        <v>0.25670441731627203</v>
      </c>
      <c r="P35" s="11">
        <v>0.96452702702702697</v>
      </c>
      <c r="Q35" s="11">
        <v>0.92307692307692302</v>
      </c>
      <c r="R35" s="11">
        <v>0.94183445190156601</v>
      </c>
      <c r="S35" s="10" t="s">
        <v>84</v>
      </c>
      <c r="T35" s="10" t="s">
        <v>84</v>
      </c>
      <c r="U35" s="10"/>
      <c r="V35" s="10"/>
      <c r="W35" s="10"/>
      <c r="X35" s="10"/>
      <c r="Y35" s="10"/>
      <c r="Z35" s="10"/>
      <c r="AA35" s="10"/>
    </row>
    <row r="36" spans="1:27" ht="12.5" x14ac:dyDescent="0.25">
      <c r="A36" s="10" t="s">
        <v>36</v>
      </c>
      <c r="B36" s="10" t="s">
        <v>318</v>
      </c>
      <c r="C36" s="10" t="s">
        <v>76</v>
      </c>
      <c r="D36" s="11">
        <v>2024</v>
      </c>
      <c r="E36" s="10" t="s">
        <v>124</v>
      </c>
      <c r="F36" s="10" t="s">
        <v>83</v>
      </c>
      <c r="G36" s="10" t="s">
        <v>84</v>
      </c>
      <c r="H36" s="12">
        <v>19410.833333333299</v>
      </c>
      <c r="I36" s="11">
        <v>7103</v>
      </c>
      <c r="J36" s="11">
        <v>6889</v>
      </c>
      <c r="K36" s="11">
        <v>20503</v>
      </c>
      <c r="L36" s="11">
        <v>0.36592967844416802</v>
      </c>
      <c r="M36" s="11">
        <f t="shared" si="0"/>
        <v>36.59296784441684</v>
      </c>
      <c r="N36" s="11">
        <v>0.96987188511896405</v>
      </c>
      <c r="O36" s="11">
        <v>1.05626583093633</v>
      </c>
      <c r="P36" s="11">
        <v>0.96368243243243201</v>
      </c>
      <c r="Q36" s="11">
        <v>0.89361702127659604</v>
      </c>
      <c r="R36" s="11">
        <v>0.93959731543624203</v>
      </c>
      <c r="S36" s="10" t="s">
        <v>84</v>
      </c>
      <c r="T36" s="10" t="s">
        <v>84</v>
      </c>
      <c r="U36" s="10"/>
      <c r="V36" s="10"/>
      <c r="W36" s="10"/>
      <c r="X36" s="10"/>
      <c r="Y36" s="10"/>
      <c r="Z36" s="10"/>
      <c r="AA36" s="10"/>
    </row>
    <row r="37" spans="1:27" ht="12.5" x14ac:dyDescent="0.25">
      <c r="A37" s="10" t="s">
        <v>16</v>
      </c>
      <c r="B37" s="10" t="s">
        <v>321</v>
      </c>
      <c r="C37" s="10" t="s">
        <v>76</v>
      </c>
      <c r="D37" s="11">
        <v>2024</v>
      </c>
      <c r="E37" s="10" t="s">
        <v>124</v>
      </c>
      <c r="F37" s="10" t="s">
        <v>83</v>
      </c>
      <c r="G37" s="10" t="s">
        <v>84</v>
      </c>
      <c r="H37" s="12">
        <v>11196.166666666701</v>
      </c>
      <c r="I37" s="11">
        <v>4001</v>
      </c>
      <c r="J37" s="11">
        <v>3695</v>
      </c>
      <c r="K37" s="11">
        <v>4080</v>
      </c>
      <c r="L37" s="11">
        <v>0.357354451672447</v>
      </c>
      <c r="M37" s="11">
        <f t="shared" si="0"/>
        <v>35.735445167244634</v>
      </c>
      <c r="N37" s="11">
        <v>0.92351912021994498</v>
      </c>
      <c r="O37" s="11">
        <v>0.36441043809637202</v>
      </c>
      <c r="P37" s="11">
        <v>0.96283783783783805</v>
      </c>
      <c r="Q37" s="11">
        <v>0.96666666666666701</v>
      </c>
      <c r="R37" s="11">
        <v>0.93736017897091695</v>
      </c>
      <c r="S37" s="10" t="s">
        <v>84</v>
      </c>
      <c r="T37" s="10" t="s">
        <v>84</v>
      </c>
      <c r="U37" s="10"/>
      <c r="V37" s="10"/>
      <c r="W37" s="10"/>
      <c r="X37" s="10"/>
      <c r="Y37" s="10"/>
      <c r="Z37" s="10"/>
      <c r="AA37" s="10"/>
    </row>
    <row r="38" spans="1:27" ht="12.5" x14ac:dyDescent="0.25">
      <c r="A38" s="10" t="s">
        <v>86</v>
      </c>
      <c r="B38" s="10" t="s">
        <v>328</v>
      </c>
      <c r="C38" s="10" t="s">
        <v>76</v>
      </c>
      <c r="D38" s="11">
        <v>2024</v>
      </c>
      <c r="E38" s="10" t="s">
        <v>124</v>
      </c>
      <c r="F38" s="10" t="s">
        <v>83</v>
      </c>
      <c r="G38" s="10" t="s">
        <v>84</v>
      </c>
      <c r="H38" s="12">
        <v>27007.75</v>
      </c>
      <c r="I38" s="11">
        <v>9598</v>
      </c>
      <c r="J38" s="11">
        <v>9420</v>
      </c>
      <c r="K38" s="11">
        <v>144990</v>
      </c>
      <c r="L38" s="11">
        <v>0.35537947441012302</v>
      </c>
      <c r="M38" s="11">
        <f t="shared" si="0"/>
        <v>35.5379474410123</v>
      </c>
      <c r="N38" s="11">
        <v>0.98145446968118399</v>
      </c>
      <c r="O38" s="11">
        <v>5.3684590534198504</v>
      </c>
      <c r="P38" s="11">
        <v>0.96114864864864902</v>
      </c>
      <c r="Q38" s="11">
        <v>0.91304347826086996</v>
      </c>
      <c r="R38" s="11">
        <v>0.93512304250559297</v>
      </c>
      <c r="S38" s="10" t="s">
        <v>84</v>
      </c>
      <c r="T38" s="10" t="s">
        <v>84</v>
      </c>
      <c r="U38" s="10"/>
      <c r="V38" s="10"/>
      <c r="W38" s="10"/>
      <c r="X38" s="10"/>
      <c r="Y38" s="10"/>
      <c r="Z38" s="10"/>
      <c r="AA38" s="10"/>
    </row>
    <row r="39" spans="1:27" ht="12.5" x14ac:dyDescent="0.25">
      <c r="A39" s="10" t="s">
        <v>104</v>
      </c>
      <c r="B39" s="10" t="s">
        <v>332</v>
      </c>
      <c r="C39" s="10" t="s">
        <v>76</v>
      </c>
      <c r="D39" s="11">
        <v>2024</v>
      </c>
      <c r="E39" s="10" t="s">
        <v>124</v>
      </c>
      <c r="F39" s="10" t="s">
        <v>83</v>
      </c>
      <c r="G39" s="10" t="s">
        <v>84</v>
      </c>
      <c r="H39" s="12">
        <v>16969.916666666701</v>
      </c>
      <c r="I39" s="11">
        <v>5906</v>
      </c>
      <c r="J39" s="11">
        <v>5690</v>
      </c>
      <c r="K39" s="11">
        <v>29103</v>
      </c>
      <c r="L39" s="11">
        <v>0.34802763714219798</v>
      </c>
      <c r="M39" s="11">
        <f t="shared" si="0"/>
        <v>34.802763714219701</v>
      </c>
      <c r="N39" s="11">
        <v>0.963427023366068</v>
      </c>
      <c r="O39" s="11">
        <v>1.71497601147128</v>
      </c>
      <c r="P39" s="11">
        <v>0.96030405405405395</v>
      </c>
      <c r="Q39" s="11">
        <v>1</v>
      </c>
      <c r="R39" s="11">
        <v>0.932885906040268</v>
      </c>
      <c r="S39" s="10" t="s">
        <v>84</v>
      </c>
      <c r="T39" s="10" t="s">
        <v>84</v>
      </c>
      <c r="U39" s="10"/>
      <c r="V39" s="10"/>
      <c r="W39" s="10"/>
      <c r="X39" s="10"/>
      <c r="Y39" s="10"/>
      <c r="Z39" s="10"/>
      <c r="AA39" s="10"/>
    </row>
    <row r="40" spans="1:27" ht="12.5" x14ac:dyDescent="0.25">
      <c r="A40" s="10" t="s">
        <v>19</v>
      </c>
      <c r="B40" s="10" t="s">
        <v>272</v>
      </c>
      <c r="C40" s="10" t="s">
        <v>76</v>
      </c>
      <c r="D40" s="11">
        <v>2024</v>
      </c>
      <c r="E40" s="10" t="s">
        <v>81</v>
      </c>
      <c r="F40" s="10" t="s">
        <v>83</v>
      </c>
      <c r="G40" s="10" t="s">
        <v>84</v>
      </c>
      <c r="H40" s="12">
        <v>21521.25</v>
      </c>
      <c r="I40" s="11">
        <v>7458</v>
      </c>
      <c r="J40" s="11">
        <v>6506</v>
      </c>
      <c r="K40" s="11">
        <v>40423</v>
      </c>
      <c r="L40" s="11">
        <v>0.346541209269908</v>
      </c>
      <c r="M40" s="11">
        <f t="shared" si="0"/>
        <v>34.654120926990764</v>
      </c>
      <c r="N40" s="11">
        <v>0.87235183695360696</v>
      </c>
      <c r="O40" s="11">
        <v>1.8782830922925</v>
      </c>
      <c r="P40" s="11">
        <v>0.95945945945945899</v>
      </c>
      <c r="Q40" s="11">
        <v>1</v>
      </c>
      <c r="R40" s="11">
        <v>0.974806201550388</v>
      </c>
      <c r="S40" s="10" t="s">
        <v>84</v>
      </c>
      <c r="T40" s="10" t="s">
        <v>84</v>
      </c>
      <c r="U40" s="10"/>
      <c r="V40" s="10"/>
      <c r="W40" s="10"/>
      <c r="X40" s="10"/>
      <c r="Y40" s="10"/>
      <c r="Z40" s="10"/>
      <c r="AA40" s="10"/>
    </row>
    <row r="41" spans="1:27" ht="12.5" x14ac:dyDescent="0.25">
      <c r="A41" s="10" t="s">
        <v>10</v>
      </c>
      <c r="B41" s="10" t="s">
        <v>279</v>
      </c>
      <c r="C41" s="10" t="s">
        <v>76</v>
      </c>
      <c r="D41" s="11">
        <v>2024</v>
      </c>
      <c r="E41" s="10" t="s">
        <v>81</v>
      </c>
      <c r="F41" s="10" t="s">
        <v>83</v>
      </c>
      <c r="G41" s="10" t="s">
        <v>84</v>
      </c>
      <c r="H41" s="12">
        <v>19552.083333333299</v>
      </c>
      <c r="I41" s="11">
        <v>6737</v>
      </c>
      <c r="J41" s="11">
        <v>6435</v>
      </c>
      <c r="K41" s="11">
        <v>300</v>
      </c>
      <c r="L41" s="11">
        <v>0.344566862013852</v>
      </c>
      <c r="M41" s="11">
        <f t="shared" si="0"/>
        <v>34.456686201385253</v>
      </c>
      <c r="N41" s="11">
        <v>0.95517292563455503</v>
      </c>
      <c r="O41" s="11">
        <v>1.53436334576452E-2</v>
      </c>
      <c r="P41" s="11">
        <v>0.95861486486486502</v>
      </c>
      <c r="Q41" s="11">
        <v>0.93333333333333302</v>
      </c>
      <c r="R41" s="11">
        <v>0.97286821705426396</v>
      </c>
      <c r="S41" s="10" t="s">
        <v>84</v>
      </c>
      <c r="T41" s="10" t="s">
        <v>84</v>
      </c>
      <c r="U41" s="10"/>
      <c r="V41" s="10"/>
      <c r="W41" s="10"/>
      <c r="X41" s="10"/>
      <c r="Y41" s="10"/>
      <c r="Z41" s="10"/>
      <c r="AA41" s="10"/>
    </row>
    <row r="42" spans="1:27" ht="12.5" x14ac:dyDescent="0.25">
      <c r="A42" s="10" t="s">
        <v>6</v>
      </c>
      <c r="B42" s="10" t="s">
        <v>284</v>
      </c>
      <c r="C42" s="10" t="s">
        <v>76</v>
      </c>
      <c r="D42" s="11">
        <v>2024</v>
      </c>
      <c r="E42" s="10" t="s">
        <v>81</v>
      </c>
      <c r="F42" s="10" t="s">
        <v>83</v>
      </c>
      <c r="G42" s="10" t="s">
        <v>84</v>
      </c>
      <c r="H42" s="12">
        <v>44</v>
      </c>
      <c r="I42" s="11">
        <v>15</v>
      </c>
      <c r="J42" s="11">
        <v>14</v>
      </c>
      <c r="K42" s="11">
        <v>44</v>
      </c>
      <c r="L42" s="11">
        <v>0.34090909090909099</v>
      </c>
      <c r="M42" s="11">
        <f t="shared" si="0"/>
        <v>34.090909090909086</v>
      </c>
      <c r="N42" s="11">
        <v>0.93333333333333302</v>
      </c>
      <c r="O42" s="11">
        <v>1</v>
      </c>
      <c r="P42" s="11">
        <v>0.95692567567567599</v>
      </c>
      <c r="Q42" s="11">
        <v>1</v>
      </c>
      <c r="R42" s="11">
        <v>0.97093023255814004</v>
      </c>
      <c r="S42" s="10" t="s">
        <v>84</v>
      </c>
      <c r="T42" s="10" t="s">
        <v>84</v>
      </c>
      <c r="U42" s="10"/>
      <c r="V42" s="10"/>
      <c r="W42" s="10"/>
      <c r="X42" s="10"/>
      <c r="Y42" s="10"/>
      <c r="Z42" s="10"/>
      <c r="AA42" s="10"/>
    </row>
    <row r="43" spans="1:27" ht="12.5" x14ac:dyDescent="0.25">
      <c r="A43" s="10" t="s">
        <v>40</v>
      </c>
      <c r="B43" s="10" t="s">
        <v>337</v>
      </c>
      <c r="C43" s="10" t="s">
        <v>76</v>
      </c>
      <c r="D43" s="11">
        <v>2024</v>
      </c>
      <c r="E43" s="10" t="s">
        <v>124</v>
      </c>
      <c r="F43" s="10" t="s">
        <v>83</v>
      </c>
      <c r="G43" s="10" t="s">
        <v>84</v>
      </c>
      <c r="H43" s="12">
        <v>9071.4166666666697</v>
      </c>
      <c r="I43" s="11">
        <v>3089</v>
      </c>
      <c r="J43" s="11">
        <v>3069</v>
      </c>
      <c r="K43" s="11">
        <v>0</v>
      </c>
      <c r="L43" s="11">
        <v>0.34052013191618402</v>
      </c>
      <c r="M43" s="11">
        <f t="shared" si="0"/>
        <v>34.05201319161835</v>
      </c>
      <c r="N43" s="11">
        <v>0.993525412754937</v>
      </c>
      <c r="O43" s="11">
        <v>0</v>
      </c>
      <c r="P43" s="11">
        <v>0.95608108108108103</v>
      </c>
      <c r="Q43" s="11">
        <v>1</v>
      </c>
      <c r="R43" s="11">
        <v>0.93064876957494402</v>
      </c>
      <c r="S43" s="10" t="s">
        <v>84</v>
      </c>
      <c r="T43" s="10" t="s">
        <v>84</v>
      </c>
      <c r="U43" s="10"/>
      <c r="V43" s="10"/>
      <c r="W43" s="10"/>
      <c r="X43" s="10"/>
      <c r="Y43" s="10"/>
      <c r="Z43" s="10"/>
      <c r="AA43" s="10"/>
    </row>
    <row r="44" spans="1:27" ht="12.5" x14ac:dyDescent="0.25">
      <c r="A44" s="10" t="s">
        <v>16</v>
      </c>
      <c r="B44" s="10" t="s">
        <v>342</v>
      </c>
      <c r="C44" s="10" t="s">
        <v>76</v>
      </c>
      <c r="D44" s="11">
        <v>2024</v>
      </c>
      <c r="E44" s="10" t="s">
        <v>124</v>
      </c>
      <c r="F44" s="10" t="s">
        <v>83</v>
      </c>
      <c r="G44" s="10" t="s">
        <v>84</v>
      </c>
      <c r="H44" s="12">
        <v>80031.5</v>
      </c>
      <c r="I44" s="11">
        <v>26907</v>
      </c>
      <c r="J44" s="11">
        <v>25619</v>
      </c>
      <c r="K44" s="11">
        <v>232113</v>
      </c>
      <c r="L44" s="11">
        <v>0.33620511923430202</v>
      </c>
      <c r="M44" s="11">
        <f t="shared" si="0"/>
        <v>33.620511923430151</v>
      </c>
      <c r="N44" s="11">
        <v>0.95213141561675396</v>
      </c>
      <c r="O44" s="11">
        <v>2.9002705184833499</v>
      </c>
      <c r="P44" s="11">
        <v>0.95523648648648696</v>
      </c>
      <c r="Q44" s="11">
        <v>0.93333333333333302</v>
      </c>
      <c r="R44" s="11">
        <v>0.92841163310962005</v>
      </c>
      <c r="S44" s="10" t="s">
        <v>84</v>
      </c>
      <c r="T44" s="10" t="s">
        <v>84</v>
      </c>
      <c r="U44" s="10"/>
      <c r="V44" s="10"/>
      <c r="W44" s="10"/>
      <c r="X44" s="10"/>
      <c r="Y44" s="10"/>
      <c r="Z44" s="10"/>
      <c r="AA44" s="10"/>
    </row>
    <row r="45" spans="1:27" ht="12.5" x14ac:dyDescent="0.25">
      <c r="A45" s="10" t="s">
        <v>10</v>
      </c>
      <c r="B45" s="10" t="s">
        <v>345</v>
      </c>
      <c r="C45" s="10" t="s">
        <v>76</v>
      </c>
      <c r="D45" s="11">
        <v>2024</v>
      </c>
      <c r="E45" s="10" t="s">
        <v>124</v>
      </c>
      <c r="F45" s="10" t="s">
        <v>125</v>
      </c>
      <c r="G45" s="10" t="s">
        <v>84</v>
      </c>
      <c r="H45" s="12">
        <v>378.16666666666703</v>
      </c>
      <c r="I45" s="11">
        <v>126</v>
      </c>
      <c r="J45" s="11">
        <v>83</v>
      </c>
      <c r="K45" s="11">
        <v>142</v>
      </c>
      <c r="L45" s="11">
        <v>0.333186425738211</v>
      </c>
      <c r="M45" s="11">
        <f t="shared" si="0"/>
        <v>33.31864257382103</v>
      </c>
      <c r="N45" s="11">
        <v>0.65873015873015905</v>
      </c>
      <c r="O45" s="11">
        <v>0.37549581313353902</v>
      </c>
      <c r="P45" s="11">
        <v>0.954391891891892</v>
      </c>
      <c r="Q45" s="11">
        <v>0.9</v>
      </c>
      <c r="R45" s="11">
        <v>0.92617449664429496</v>
      </c>
      <c r="S45" s="10" t="s">
        <v>84</v>
      </c>
      <c r="T45" s="10" t="s">
        <v>84</v>
      </c>
      <c r="U45" s="10"/>
      <c r="V45" s="10"/>
      <c r="W45" s="10"/>
      <c r="X45" s="10"/>
      <c r="Y45" s="10"/>
      <c r="Z45" s="10"/>
      <c r="AA45" s="10"/>
    </row>
    <row r="46" spans="1:27" ht="12.5" x14ac:dyDescent="0.25">
      <c r="A46" s="10" t="s">
        <v>36</v>
      </c>
      <c r="B46" s="10" t="s">
        <v>288</v>
      </c>
      <c r="C46" s="10" t="s">
        <v>76</v>
      </c>
      <c r="D46" s="11">
        <v>2024</v>
      </c>
      <c r="E46" s="10" t="s">
        <v>81</v>
      </c>
      <c r="F46" s="10" t="s">
        <v>83</v>
      </c>
      <c r="G46" s="10" t="s">
        <v>84</v>
      </c>
      <c r="H46" s="12">
        <v>16869</v>
      </c>
      <c r="I46" s="11">
        <v>5610</v>
      </c>
      <c r="J46" s="11">
        <v>4155</v>
      </c>
      <c r="K46" s="11">
        <v>0</v>
      </c>
      <c r="L46" s="11">
        <v>0.33256268895607299</v>
      </c>
      <c r="M46" s="11">
        <f t="shared" si="0"/>
        <v>33.256268895607327</v>
      </c>
      <c r="N46" s="11">
        <v>0.74064171122994604</v>
      </c>
      <c r="O46" s="11">
        <v>0</v>
      </c>
      <c r="P46" s="11">
        <v>0.95354729729729704</v>
      </c>
      <c r="Q46" s="11">
        <v>0.87234042553191504</v>
      </c>
      <c r="R46" s="11">
        <v>0.968992248062015</v>
      </c>
      <c r="S46" s="10" t="s">
        <v>84</v>
      </c>
      <c r="T46" s="10" t="s">
        <v>84</v>
      </c>
      <c r="U46" s="10"/>
      <c r="V46" s="10"/>
      <c r="W46" s="10"/>
      <c r="X46" s="10"/>
      <c r="Y46" s="10"/>
      <c r="Z46" s="10"/>
      <c r="AA46" s="10"/>
    </row>
    <row r="47" spans="1:27" ht="12.5" x14ac:dyDescent="0.25">
      <c r="A47" s="10" t="s">
        <v>19</v>
      </c>
      <c r="B47" s="10" t="s">
        <v>292</v>
      </c>
      <c r="C47" s="10" t="s">
        <v>76</v>
      </c>
      <c r="D47" s="11">
        <v>2024</v>
      </c>
      <c r="E47" s="10" t="s">
        <v>81</v>
      </c>
      <c r="F47" s="10" t="s">
        <v>83</v>
      </c>
      <c r="G47" s="10" t="s">
        <v>84</v>
      </c>
      <c r="H47" s="12">
        <v>77513.166666666701</v>
      </c>
      <c r="I47" s="11">
        <v>25202</v>
      </c>
      <c r="J47" s="11">
        <v>23577</v>
      </c>
      <c r="K47" s="11">
        <v>96936</v>
      </c>
      <c r="L47" s="11">
        <v>0.32513185931852401</v>
      </c>
      <c r="M47" s="11">
        <f t="shared" si="0"/>
        <v>32.513185931852426</v>
      </c>
      <c r="N47" s="11">
        <v>0.93552099039758796</v>
      </c>
      <c r="O47" s="11">
        <v>1.2505746335568799</v>
      </c>
      <c r="P47" s="11">
        <v>0.95270270270270296</v>
      </c>
      <c r="Q47" s="11">
        <v>0.94444444444444398</v>
      </c>
      <c r="R47" s="11">
        <v>0.96705426356589197</v>
      </c>
      <c r="S47" s="10" t="s">
        <v>84</v>
      </c>
      <c r="T47" s="10" t="s">
        <v>84</v>
      </c>
      <c r="U47" s="10"/>
      <c r="V47" s="10"/>
      <c r="W47" s="10"/>
      <c r="X47" s="10"/>
      <c r="Y47" s="10"/>
      <c r="Z47" s="10"/>
      <c r="AA47" s="10"/>
    </row>
    <row r="48" spans="1:27" ht="12.5" x14ac:dyDescent="0.25">
      <c r="A48" s="10" t="s">
        <v>55</v>
      </c>
      <c r="B48" s="10" t="s">
        <v>350</v>
      </c>
      <c r="C48" s="10" t="s">
        <v>76</v>
      </c>
      <c r="D48" s="11">
        <v>2024</v>
      </c>
      <c r="E48" s="10" t="s">
        <v>124</v>
      </c>
      <c r="F48" s="10" t="s">
        <v>83</v>
      </c>
      <c r="G48" s="10" t="s">
        <v>84</v>
      </c>
      <c r="H48" s="12">
        <v>10422.166666666701</v>
      </c>
      <c r="I48" s="11">
        <v>3314</v>
      </c>
      <c r="J48" s="11">
        <v>3118</v>
      </c>
      <c r="K48" s="11">
        <v>24340</v>
      </c>
      <c r="L48" s="11">
        <v>0.31797610861465098</v>
      </c>
      <c r="M48" s="11">
        <f t="shared" si="0"/>
        <v>31.797610861465042</v>
      </c>
      <c r="N48" s="11">
        <v>0.94085697042848504</v>
      </c>
      <c r="O48" s="11">
        <v>2.33540690515408</v>
      </c>
      <c r="P48" s="11">
        <v>0.951858108108108</v>
      </c>
      <c r="Q48" s="11">
        <v>0.95454545454545503</v>
      </c>
      <c r="R48" s="11">
        <v>0.92393736017897099</v>
      </c>
      <c r="S48" s="10" t="s">
        <v>84</v>
      </c>
      <c r="T48" s="10" t="s">
        <v>84</v>
      </c>
      <c r="U48" s="10"/>
      <c r="V48" s="10"/>
      <c r="W48" s="10"/>
      <c r="X48" s="10"/>
      <c r="Y48" s="10"/>
      <c r="Z48" s="10"/>
      <c r="AA48" s="10"/>
    </row>
    <row r="49" spans="1:27" ht="12.5" x14ac:dyDescent="0.25">
      <c r="A49" s="10" t="s">
        <v>14</v>
      </c>
      <c r="B49" s="10" t="s">
        <v>354</v>
      </c>
      <c r="C49" s="10" t="s">
        <v>76</v>
      </c>
      <c r="D49" s="11">
        <v>2024</v>
      </c>
      <c r="E49" s="10" t="s">
        <v>124</v>
      </c>
      <c r="F49" s="10" t="s">
        <v>83</v>
      </c>
      <c r="G49" s="10" t="s">
        <v>84</v>
      </c>
      <c r="H49" s="12">
        <v>26722.333333333299</v>
      </c>
      <c r="I49" s="11">
        <v>8497</v>
      </c>
      <c r="J49" s="11">
        <v>7466</v>
      </c>
      <c r="K49" s="11">
        <v>63695</v>
      </c>
      <c r="L49" s="11">
        <v>0.31797372983896099</v>
      </c>
      <c r="M49" s="11">
        <f t="shared" si="0"/>
        <v>31.797372983896153</v>
      </c>
      <c r="N49" s="11">
        <v>0.87866305754972296</v>
      </c>
      <c r="O49" s="11">
        <v>2.3835867626330001</v>
      </c>
      <c r="P49" s="11">
        <v>0.95101351351351304</v>
      </c>
      <c r="Q49" s="11">
        <v>0.92857142857142905</v>
      </c>
      <c r="R49" s="11">
        <v>0.92170022371364702</v>
      </c>
      <c r="S49" s="10" t="s">
        <v>84</v>
      </c>
      <c r="T49" s="10" t="s">
        <v>84</v>
      </c>
      <c r="U49" s="10"/>
      <c r="V49" s="10"/>
      <c r="W49" s="10"/>
      <c r="X49" s="10"/>
      <c r="Y49" s="10"/>
      <c r="Z49" s="10"/>
      <c r="AA49" s="10"/>
    </row>
    <row r="50" spans="1:27" ht="12.5" x14ac:dyDescent="0.25">
      <c r="A50" s="10" t="s">
        <v>86</v>
      </c>
      <c r="B50" s="10" t="s">
        <v>358</v>
      </c>
      <c r="C50" s="10" t="s">
        <v>76</v>
      </c>
      <c r="D50" s="11">
        <v>2024</v>
      </c>
      <c r="E50" s="10" t="s">
        <v>124</v>
      </c>
      <c r="F50" s="10" t="s">
        <v>83</v>
      </c>
      <c r="G50" s="10" t="s">
        <v>84</v>
      </c>
      <c r="H50" s="12">
        <v>32076.5</v>
      </c>
      <c r="I50" s="11">
        <v>10078</v>
      </c>
      <c r="J50" s="11">
        <v>7379</v>
      </c>
      <c r="K50" s="11">
        <v>86405</v>
      </c>
      <c r="L50" s="11">
        <v>0.31418639814194199</v>
      </c>
      <c r="M50" s="11">
        <f t="shared" si="0"/>
        <v>31.418639814194194</v>
      </c>
      <c r="N50" s="11">
        <v>0.73218892637428101</v>
      </c>
      <c r="O50" s="11">
        <v>2.6937165837918702</v>
      </c>
      <c r="P50" s="11">
        <v>0.95016891891891897</v>
      </c>
      <c r="Q50" s="11">
        <v>0.89130434782608703</v>
      </c>
      <c r="R50" s="11">
        <v>0.91946308724832204</v>
      </c>
      <c r="S50" s="10" t="s">
        <v>84</v>
      </c>
      <c r="T50" s="10" t="s">
        <v>84</v>
      </c>
      <c r="U50" s="10"/>
      <c r="V50" s="10"/>
      <c r="W50" s="10"/>
      <c r="X50" s="10"/>
      <c r="Y50" s="10"/>
      <c r="Z50" s="10"/>
      <c r="AA50" s="10"/>
    </row>
    <row r="51" spans="1:27" ht="12.5" x14ac:dyDescent="0.25">
      <c r="A51" s="10" t="s">
        <v>49</v>
      </c>
      <c r="B51" s="10" t="s">
        <v>362</v>
      </c>
      <c r="C51" s="10" t="s">
        <v>76</v>
      </c>
      <c r="D51" s="11">
        <v>2024</v>
      </c>
      <c r="E51" s="10" t="s">
        <v>124</v>
      </c>
      <c r="F51" s="10" t="s">
        <v>83</v>
      </c>
      <c r="G51" s="10" t="s">
        <v>84</v>
      </c>
      <c r="H51" s="12">
        <v>87404.416666666701</v>
      </c>
      <c r="I51" s="11">
        <v>27372</v>
      </c>
      <c r="J51" s="11">
        <v>24199</v>
      </c>
      <c r="K51" s="11">
        <v>111873</v>
      </c>
      <c r="L51" s="11">
        <v>0.313164952572</v>
      </c>
      <c r="M51" s="11">
        <f t="shared" si="0"/>
        <v>31.316495257199996</v>
      </c>
      <c r="N51" s="11">
        <v>0.88407862048809005</v>
      </c>
      <c r="O51" s="11">
        <v>1.27994676089023</v>
      </c>
      <c r="P51" s="11">
        <v>0.94932432432432401</v>
      </c>
      <c r="Q51" s="11">
        <v>0.96153846153846201</v>
      </c>
      <c r="R51" s="11">
        <v>0.91722595078299796</v>
      </c>
      <c r="S51" s="10" t="s">
        <v>84</v>
      </c>
      <c r="T51" s="10" t="s">
        <v>84</v>
      </c>
      <c r="U51" s="10"/>
      <c r="V51" s="10"/>
      <c r="W51" s="10"/>
      <c r="X51" s="10"/>
      <c r="Y51" s="10"/>
      <c r="Z51" s="10"/>
      <c r="AA51" s="10"/>
    </row>
    <row r="52" spans="1:27" ht="12.5" x14ac:dyDescent="0.25">
      <c r="A52" s="10" t="s">
        <v>16</v>
      </c>
      <c r="B52" s="10" t="s">
        <v>366</v>
      </c>
      <c r="C52" s="10" t="s">
        <v>76</v>
      </c>
      <c r="D52" s="11">
        <v>2024</v>
      </c>
      <c r="E52" s="10" t="s">
        <v>124</v>
      </c>
      <c r="F52" s="10" t="s">
        <v>83</v>
      </c>
      <c r="G52" s="10" t="s">
        <v>84</v>
      </c>
      <c r="H52" s="12">
        <v>24308.583333333299</v>
      </c>
      <c r="I52" s="11">
        <v>7592</v>
      </c>
      <c r="J52" s="11">
        <v>6233</v>
      </c>
      <c r="K52" s="11">
        <v>89573</v>
      </c>
      <c r="L52" s="11">
        <v>0.31231766557080298</v>
      </c>
      <c r="M52" s="11">
        <f t="shared" si="0"/>
        <v>31.231766557080359</v>
      </c>
      <c r="N52" s="11">
        <v>0.82099578503688098</v>
      </c>
      <c r="O52" s="11">
        <v>3.6848301183052601</v>
      </c>
      <c r="P52" s="11">
        <v>0.94847972972973005</v>
      </c>
      <c r="Q52" s="11">
        <v>0.9</v>
      </c>
      <c r="R52" s="11">
        <v>0.91498881431767298</v>
      </c>
      <c r="S52" s="10" t="s">
        <v>84</v>
      </c>
      <c r="T52" s="10" t="s">
        <v>84</v>
      </c>
      <c r="U52" s="10"/>
      <c r="V52" s="10"/>
      <c r="W52" s="10"/>
      <c r="X52" s="10"/>
      <c r="Y52" s="10"/>
      <c r="Z52" s="10"/>
      <c r="AA52" s="10"/>
    </row>
    <row r="53" spans="1:27" ht="12.5" x14ac:dyDescent="0.25">
      <c r="A53" s="10" t="s">
        <v>26</v>
      </c>
      <c r="B53" s="10" t="s">
        <v>370</v>
      </c>
      <c r="C53" s="10" t="s">
        <v>76</v>
      </c>
      <c r="D53" s="11">
        <v>2024</v>
      </c>
      <c r="E53" s="10" t="s">
        <v>124</v>
      </c>
      <c r="F53" s="10" t="s">
        <v>83</v>
      </c>
      <c r="G53" s="10" t="s">
        <v>84</v>
      </c>
      <c r="H53" s="12">
        <v>9786.8333333333303</v>
      </c>
      <c r="I53" s="11">
        <v>3038</v>
      </c>
      <c r="J53" s="11">
        <v>601</v>
      </c>
      <c r="K53" s="11">
        <v>21153</v>
      </c>
      <c r="L53" s="11">
        <v>0.31041705693022897</v>
      </c>
      <c r="M53" s="11">
        <f t="shared" si="0"/>
        <v>31.041705693022948</v>
      </c>
      <c r="N53" s="11">
        <v>0.197827518104016</v>
      </c>
      <c r="O53" s="11">
        <v>2.1613732736159101</v>
      </c>
      <c r="P53" s="11">
        <v>0.94763513513513498</v>
      </c>
      <c r="Q53" s="11">
        <v>0.88461538461538503</v>
      </c>
      <c r="R53" s="11">
        <v>0.91275167785234901</v>
      </c>
      <c r="S53" s="10" t="s">
        <v>84</v>
      </c>
      <c r="T53" s="10" t="s">
        <v>84</v>
      </c>
      <c r="U53" s="10"/>
      <c r="V53" s="10"/>
      <c r="W53" s="10"/>
      <c r="X53" s="10"/>
      <c r="Y53" s="10"/>
      <c r="Z53" s="10"/>
      <c r="AA53" s="10"/>
    </row>
    <row r="54" spans="1:27" ht="12.5" x14ac:dyDescent="0.25">
      <c r="A54" s="10" t="s">
        <v>29</v>
      </c>
      <c r="B54" s="10" t="s">
        <v>375</v>
      </c>
      <c r="C54" s="10" t="s">
        <v>76</v>
      </c>
      <c r="D54" s="11">
        <v>2024</v>
      </c>
      <c r="E54" s="10" t="s">
        <v>124</v>
      </c>
      <c r="F54" s="10" t="s">
        <v>83</v>
      </c>
      <c r="G54" s="10" t="s">
        <v>84</v>
      </c>
      <c r="H54" s="12">
        <v>31148.833333333299</v>
      </c>
      <c r="I54" s="11">
        <v>9518</v>
      </c>
      <c r="J54" s="11">
        <v>6736</v>
      </c>
      <c r="K54" s="11">
        <v>9847</v>
      </c>
      <c r="L54" s="11">
        <v>0.30556521646075602</v>
      </c>
      <c r="M54" s="11">
        <f t="shared" si="0"/>
        <v>30.556521646075595</v>
      </c>
      <c r="N54" s="11">
        <v>0.707711704139525</v>
      </c>
      <c r="O54" s="11">
        <v>0.31612740980132997</v>
      </c>
      <c r="P54" s="11">
        <v>0.94594594594594605</v>
      </c>
      <c r="Q54" s="11">
        <v>0.91836734693877597</v>
      </c>
      <c r="R54" s="11">
        <v>0.90827740492169995</v>
      </c>
      <c r="S54" s="10" t="s">
        <v>84</v>
      </c>
      <c r="T54" s="10" t="s">
        <v>84</v>
      </c>
      <c r="U54" s="10"/>
      <c r="V54" s="10"/>
      <c r="W54" s="10"/>
      <c r="X54" s="10"/>
      <c r="Y54" s="10"/>
      <c r="Z54" s="10"/>
      <c r="AA54" s="10"/>
    </row>
    <row r="55" spans="1:27" ht="12.5" hidden="1" x14ac:dyDescent="0.25">
      <c r="A55" s="10" t="s">
        <v>109</v>
      </c>
      <c r="B55" s="10" t="s">
        <v>514</v>
      </c>
      <c r="C55" s="10" t="s">
        <v>76</v>
      </c>
      <c r="D55" s="11">
        <v>2024</v>
      </c>
      <c r="E55" s="10" t="s">
        <v>257</v>
      </c>
      <c r="F55" s="10" t="s">
        <v>83</v>
      </c>
      <c r="G55" s="10" t="s">
        <v>84</v>
      </c>
      <c r="H55" s="12">
        <v>1041.75</v>
      </c>
      <c r="I55" s="11">
        <v>316</v>
      </c>
      <c r="J55" s="11">
        <v>283</v>
      </c>
      <c r="K55" s="11">
        <v>2003</v>
      </c>
      <c r="L55" s="11">
        <v>0.30333573314134898</v>
      </c>
      <c r="M55" s="11">
        <f t="shared" si="0"/>
        <v>30.33357331413487</v>
      </c>
      <c r="N55" s="11">
        <v>0.895569620253165</v>
      </c>
      <c r="O55" s="11">
        <v>1.92272618190545</v>
      </c>
      <c r="P55" s="11">
        <v>0.94510135135135098</v>
      </c>
      <c r="Q55" s="11">
        <v>1</v>
      </c>
      <c r="R55" s="11">
        <v>0.97727272727272696</v>
      </c>
      <c r="S55" s="10" t="s">
        <v>84</v>
      </c>
      <c r="T55" s="10" t="s">
        <v>84</v>
      </c>
      <c r="U55" s="10"/>
      <c r="V55" s="10"/>
      <c r="W55" s="10"/>
      <c r="X55" s="10"/>
      <c r="Y55" s="10"/>
      <c r="Z55" s="10"/>
      <c r="AA55" s="10"/>
    </row>
    <row r="56" spans="1:27" ht="12.5" x14ac:dyDescent="0.25">
      <c r="A56" s="10" t="s">
        <v>29</v>
      </c>
      <c r="B56" s="10" t="s">
        <v>382</v>
      </c>
      <c r="C56" s="10" t="s">
        <v>76</v>
      </c>
      <c r="D56" s="11">
        <v>2024</v>
      </c>
      <c r="E56" s="10" t="s">
        <v>124</v>
      </c>
      <c r="F56" s="10" t="s">
        <v>83</v>
      </c>
      <c r="G56" s="10" t="s">
        <v>84</v>
      </c>
      <c r="H56" s="12">
        <v>7558.9166666666697</v>
      </c>
      <c r="I56" s="11">
        <v>2277</v>
      </c>
      <c r="J56" s="11">
        <v>1590</v>
      </c>
      <c r="K56" s="11">
        <v>0</v>
      </c>
      <c r="L56" s="11">
        <v>0.30123364238702599</v>
      </c>
      <c r="M56" s="11">
        <f t="shared" si="0"/>
        <v>30.123364238702621</v>
      </c>
      <c r="N56" s="11">
        <v>0.69828722002635002</v>
      </c>
      <c r="O56" s="11">
        <v>0</v>
      </c>
      <c r="P56" s="11">
        <v>0.94425675675675702</v>
      </c>
      <c r="Q56" s="11">
        <v>0.89795918367346905</v>
      </c>
      <c r="R56" s="11">
        <v>0.90604026845637597</v>
      </c>
      <c r="S56" s="10" t="s">
        <v>84</v>
      </c>
      <c r="T56" s="10" t="s">
        <v>84</v>
      </c>
      <c r="U56" s="10"/>
      <c r="V56" s="10"/>
      <c r="W56" s="10"/>
      <c r="X56" s="10"/>
      <c r="Y56" s="10"/>
      <c r="Z56" s="10"/>
      <c r="AA56" s="10"/>
    </row>
    <row r="57" spans="1:27" ht="12.5" x14ac:dyDescent="0.25">
      <c r="A57" s="10" t="s">
        <v>32</v>
      </c>
      <c r="B57" s="10" t="s">
        <v>385</v>
      </c>
      <c r="C57" s="10" t="s">
        <v>76</v>
      </c>
      <c r="D57" s="11">
        <v>2024</v>
      </c>
      <c r="E57" s="10" t="s">
        <v>124</v>
      </c>
      <c r="F57" s="10" t="s">
        <v>125</v>
      </c>
      <c r="G57" s="10" t="s">
        <v>84</v>
      </c>
      <c r="H57" s="12">
        <v>1440.0833333333301</v>
      </c>
      <c r="I57" s="11">
        <v>431</v>
      </c>
      <c r="J57" s="11">
        <v>409</v>
      </c>
      <c r="K57" s="11">
        <v>5373</v>
      </c>
      <c r="L57" s="11">
        <v>0.29928823563451201</v>
      </c>
      <c r="M57" s="11">
        <f t="shared" si="0"/>
        <v>29.928823563451257</v>
      </c>
      <c r="N57" s="11">
        <v>0.94895591647331801</v>
      </c>
      <c r="O57" s="11">
        <v>3.7310340836757101</v>
      </c>
      <c r="P57" s="11">
        <v>0.94341216216216195</v>
      </c>
      <c r="Q57" s="11">
        <v>0.86206896551724099</v>
      </c>
      <c r="R57" s="11">
        <v>0.903803131991051</v>
      </c>
      <c r="S57" s="10" t="s">
        <v>84</v>
      </c>
      <c r="T57" s="10" t="s">
        <v>84</v>
      </c>
      <c r="U57" s="10"/>
      <c r="V57" s="10"/>
      <c r="W57" s="10"/>
      <c r="X57" s="10"/>
      <c r="Y57" s="10"/>
      <c r="Z57" s="10"/>
      <c r="AA57" s="10"/>
    </row>
    <row r="58" spans="1:27" ht="12.5" x14ac:dyDescent="0.25">
      <c r="A58" s="10" t="s">
        <v>29</v>
      </c>
      <c r="B58" s="10" t="s">
        <v>296</v>
      </c>
      <c r="C58" s="10" t="s">
        <v>76</v>
      </c>
      <c r="D58" s="11">
        <v>2024</v>
      </c>
      <c r="E58" s="10" t="s">
        <v>81</v>
      </c>
      <c r="F58" s="10" t="s">
        <v>83</v>
      </c>
      <c r="G58" s="10" t="s">
        <v>84</v>
      </c>
      <c r="H58" s="12">
        <v>43661.833333333299</v>
      </c>
      <c r="I58" s="11">
        <v>13030</v>
      </c>
      <c r="J58" s="11">
        <v>12142</v>
      </c>
      <c r="K58" s="11">
        <v>58104</v>
      </c>
      <c r="L58" s="11">
        <v>0.29842997889079298</v>
      </c>
      <c r="M58" s="11">
        <f t="shared" si="0"/>
        <v>29.842997889079349</v>
      </c>
      <c r="N58" s="11">
        <v>0.93184957789716005</v>
      </c>
      <c r="O58" s="11">
        <v>1.3307732535280601</v>
      </c>
      <c r="P58" s="11">
        <v>0.94256756756756799</v>
      </c>
      <c r="Q58" s="11">
        <v>0.87755102040816302</v>
      </c>
      <c r="R58" s="11">
        <v>0.96511627906976705</v>
      </c>
      <c r="S58" s="10" t="s">
        <v>84</v>
      </c>
      <c r="T58" s="10" t="s">
        <v>84</v>
      </c>
      <c r="U58" s="10"/>
      <c r="V58" s="10"/>
      <c r="W58" s="10"/>
      <c r="X58" s="10"/>
      <c r="Y58" s="10"/>
      <c r="Z58" s="10"/>
      <c r="AA58" s="10"/>
    </row>
    <row r="59" spans="1:27" ht="12.5" x14ac:dyDescent="0.25">
      <c r="A59" s="10" t="s">
        <v>12</v>
      </c>
      <c r="B59" s="10" t="s">
        <v>389</v>
      </c>
      <c r="C59" s="10" t="s">
        <v>76</v>
      </c>
      <c r="D59" s="11">
        <v>2024</v>
      </c>
      <c r="E59" s="10" t="s">
        <v>124</v>
      </c>
      <c r="F59" s="10" t="s">
        <v>83</v>
      </c>
      <c r="G59" s="10" t="s">
        <v>84</v>
      </c>
      <c r="H59" s="12">
        <v>17123.083333333299</v>
      </c>
      <c r="I59" s="11">
        <v>5104</v>
      </c>
      <c r="J59" s="11">
        <v>3391</v>
      </c>
      <c r="K59" s="11">
        <v>38188</v>
      </c>
      <c r="L59" s="11">
        <v>0.298077157054074</v>
      </c>
      <c r="M59" s="11">
        <f t="shared" si="0"/>
        <v>29.807715705407478</v>
      </c>
      <c r="N59" s="11">
        <v>0.66438087774294696</v>
      </c>
      <c r="O59" s="11">
        <v>2.2302058137893801</v>
      </c>
      <c r="P59" s="11">
        <v>0.94172297297297303</v>
      </c>
      <c r="Q59" s="11">
        <v>0.97222222222222199</v>
      </c>
      <c r="R59" s="11">
        <v>0.90156599552572703</v>
      </c>
      <c r="S59" s="10" t="s">
        <v>84</v>
      </c>
      <c r="T59" s="10" t="s">
        <v>84</v>
      </c>
      <c r="U59" s="10"/>
      <c r="V59" s="10"/>
      <c r="W59" s="10"/>
      <c r="X59" s="10"/>
      <c r="Y59" s="10"/>
      <c r="Z59" s="10"/>
      <c r="AA59" s="10"/>
    </row>
    <row r="60" spans="1:27" ht="12.5" x14ac:dyDescent="0.25">
      <c r="A60" s="10" t="s">
        <v>36</v>
      </c>
      <c r="B60" s="10" t="s">
        <v>392</v>
      </c>
      <c r="C60" s="10" t="s">
        <v>76</v>
      </c>
      <c r="D60" s="11">
        <v>2024</v>
      </c>
      <c r="E60" s="10" t="s">
        <v>124</v>
      </c>
      <c r="F60" s="10" t="s">
        <v>83</v>
      </c>
      <c r="G60" s="10" t="s">
        <v>84</v>
      </c>
      <c r="H60" s="12">
        <v>5794.3333333333303</v>
      </c>
      <c r="I60" s="11">
        <v>1716</v>
      </c>
      <c r="J60" s="11">
        <v>1689</v>
      </c>
      <c r="K60" s="11">
        <v>1716</v>
      </c>
      <c r="L60" s="11">
        <v>0.29615141229937297</v>
      </c>
      <c r="M60" s="11">
        <f t="shared" si="0"/>
        <v>29.615141229937308</v>
      </c>
      <c r="N60" s="11">
        <v>0.98426573426573405</v>
      </c>
      <c r="O60" s="11">
        <v>0.29615141229937297</v>
      </c>
      <c r="P60" s="11">
        <v>0.94087837837837796</v>
      </c>
      <c r="Q60" s="11">
        <v>0.85106382978723405</v>
      </c>
      <c r="R60" s="11">
        <v>0.89932885906040305</v>
      </c>
      <c r="S60" s="10" t="s">
        <v>84</v>
      </c>
      <c r="T60" s="10" t="s">
        <v>84</v>
      </c>
      <c r="U60" s="10"/>
      <c r="V60" s="10"/>
      <c r="W60" s="10"/>
      <c r="X60" s="10"/>
      <c r="Y60" s="10"/>
      <c r="Z60" s="10"/>
      <c r="AA60" s="10"/>
    </row>
    <row r="61" spans="1:27" ht="12.5" x14ac:dyDescent="0.25">
      <c r="A61" s="10" t="s">
        <v>32</v>
      </c>
      <c r="B61" s="10" t="s">
        <v>394</v>
      </c>
      <c r="C61" s="10" t="s">
        <v>76</v>
      </c>
      <c r="D61" s="11">
        <v>2024</v>
      </c>
      <c r="E61" s="10" t="s">
        <v>124</v>
      </c>
      <c r="F61" s="10" t="s">
        <v>83</v>
      </c>
      <c r="G61" s="10" t="s">
        <v>84</v>
      </c>
      <c r="H61" s="12">
        <v>34699.333333333299</v>
      </c>
      <c r="I61" s="11">
        <v>10249</v>
      </c>
      <c r="J61" s="11">
        <v>10181</v>
      </c>
      <c r="K61" s="11">
        <v>55321</v>
      </c>
      <c r="L61" s="11">
        <v>0.29536590520471101</v>
      </c>
      <c r="M61" s="11">
        <f t="shared" si="0"/>
        <v>29.536590520471123</v>
      </c>
      <c r="N61" s="11">
        <v>0.99336520636159598</v>
      </c>
      <c r="O61" s="11">
        <v>1.5942957597648399</v>
      </c>
      <c r="P61" s="11">
        <v>0.94003378378378399</v>
      </c>
      <c r="Q61" s="11">
        <v>0.82758620689655205</v>
      </c>
      <c r="R61" s="11">
        <v>0.89709172259507797</v>
      </c>
      <c r="S61" s="10" t="s">
        <v>84</v>
      </c>
      <c r="T61" s="10" t="s">
        <v>84</v>
      </c>
      <c r="U61" s="10"/>
      <c r="V61" s="10"/>
      <c r="W61" s="10"/>
      <c r="X61" s="10"/>
      <c r="Y61" s="10"/>
      <c r="Z61" s="10"/>
      <c r="AA61" s="10"/>
    </row>
    <row r="62" spans="1:27" ht="12.5" x14ac:dyDescent="0.25">
      <c r="A62" s="10" t="s">
        <v>42</v>
      </c>
      <c r="B62" s="10" t="s">
        <v>303</v>
      </c>
      <c r="C62" s="10" t="s">
        <v>76</v>
      </c>
      <c r="D62" s="11">
        <v>2024</v>
      </c>
      <c r="E62" s="10" t="s">
        <v>81</v>
      </c>
      <c r="F62" s="10" t="s">
        <v>83</v>
      </c>
      <c r="G62" s="10" t="s">
        <v>84</v>
      </c>
      <c r="H62" s="12">
        <v>8145.3333333333303</v>
      </c>
      <c r="I62" s="11">
        <v>2384</v>
      </c>
      <c r="J62" s="11">
        <v>2323</v>
      </c>
      <c r="K62" s="11">
        <v>6440</v>
      </c>
      <c r="L62" s="11">
        <v>0.292682926829268</v>
      </c>
      <c r="M62" s="11">
        <f t="shared" si="0"/>
        <v>29.268292682926838</v>
      </c>
      <c r="N62" s="11">
        <v>0.97441275167785202</v>
      </c>
      <c r="O62" s="11">
        <v>0.79063676542805705</v>
      </c>
      <c r="P62" s="11">
        <v>0.93918918918918903</v>
      </c>
      <c r="Q62" s="11">
        <v>0.97619047619047605</v>
      </c>
      <c r="R62" s="11">
        <v>0.96317829457364301</v>
      </c>
      <c r="S62" s="10" t="s">
        <v>84</v>
      </c>
      <c r="T62" s="10" t="s">
        <v>84</v>
      </c>
      <c r="U62" s="10"/>
      <c r="V62" s="10"/>
      <c r="W62" s="10"/>
      <c r="X62" s="10"/>
      <c r="Y62" s="10"/>
      <c r="Z62" s="10"/>
      <c r="AA62" s="10"/>
    </row>
    <row r="63" spans="1:27" ht="12.5" x14ac:dyDescent="0.25">
      <c r="A63" s="10" t="s">
        <v>12</v>
      </c>
      <c r="B63" s="10" t="s">
        <v>396</v>
      </c>
      <c r="C63" s="10" t="s">
        <v>76</v>
      </c>
      <c r="D63" s="11">
        <v>2024</v>
      </c>
      <c r="E63" s="10" t="s">
        <v>124</v>
      </c>
      <c r="F63" s="10" t="s">
        <v>83</v>
      </c>
      <c r="G63" s="10" t="s">
        <v>84</v>
      </c>
      <c r="H63" s="12">
        <v>90179</v>
      </c>
      <c r="I63" s="11">
        <v>26140</v>
      </c>
      <c r="J63" s="11">
        <v>21762</v>
      </c>
      <c r="K63" s="11">
        <v>122026</v>
      </c>
      <c r="L63" s="11">
        <v>0.28986792934053401</v>
      </c>
      <c r="M63" s="11">
        <f t="shared" si="0"/>
        <v>28.986792934053383</v>
      </c>
      <c r="N63" s="11">
        <v>0.83251721499617404</v>
      </c>
      <c r="O63" s="11">
        <v>1.3531531731334301</v>
      </c>
      <c r="P63" s="11">
        <v>0.93834459459459496</v>
      </c>
      <c r="Q63" s="11">
        <v>0.95833333333333304</v>
      </c>
      <c r="R63" s="11">
        <v>0.89485458612975399</v>
      </c>
      <c r="S63" s="10" t="s">
        <v>84</v>
      </c>
      <c r="T63" s="10" t="s">
        <v>84</v>
      </c>
      <c r="U63" s="10"/>
      <c r="V63" s="10"/>
      <c r="W63" s="10"/>
      <c r="X63" s="10"/>
      <c r="Y63" s="10"/>
      <c r="Z63" s="10"/>
      <c r="AA63" s="10"/>
    </row>
    <row r="64" spans="1:27" ht="12.5" x14ac:dyDescent="0.25">
      <c r="A64" s="10" t="s">
        <v>12</v>
      </c>
      <c r="B64" s="10" t="s">
        <v>398</v>
      </c>
      <c r="C64" s="10" t="s">
        <v>76</v>
      </c>
      <c r="D64" s="11">
        <v>2024</v>
      </c>
      <c r="E64" s="10" t="s">
        <v>124</v>
      </c>
      <c r="F64" s="10" t="s">
        <v>125</v>
      </c>
      <c r="G64" s="10" t="s">
        <v>84</v>
      </c>
      <c r="H64" s="12">
        <v>1282.3333333333301</v>
      </c>
      <c r="I64" s="11">
        <v>370</v>
      </c>
      <c r="J64" s="11">
        <v>370</v>
      </c>
      <c r="K64" s="11">
        <v>2365</v>
      </c>
      <c r="L64" s="11">
        <v>0.28853652196516799</v>
      </c>
      <c r="M64" s="11">
        <f t="shared" si="0"/>
        <v>28.853652196516837</v>
      </c>
      <c r="N64" s="11">
        <v>1</v>
      </c>
      <c r="O64" s="11">
        <v>1.8442942552638399</v>
      </c>
      <c r="P64" s="11">
        <v>0.9375</v>
      </c>
      <c r="Q64" s="11">
        <v>0.94444444444444398</v>
      </c>
      <c r="R64" s="11">
        <v>0.89261744966443002</v>
      </c>
      <c r="S64" s="10" t="s">
        <v>84</v>
      </c>
      <c r="T64" s="10" t="s">
        <v>84</v>
      </c>
      <c r="U64" s="10"/>
      <c r="V64" s="10"/>
      <c r="W64" s="10"/>
      <c r="X64" s="10"/>
      <c r="Y64" s="10"/>
      <c r="Z64" s="10"/>
      <c r="AA64" s="10"/>
    </row>
    <row r="65" spans="1:27" ht="12.5" x14ac:dyDescent="0.25">
      <c r="A65" s="10" t="s">
        <v>86</v>
      </c>
      <c r="B65" s="10" t="s">
        <v>308</v>
      </c>
      <c r="C65" s="10" t="s">
        <v>76</v>
      </c>
      <c r="D65" s="11">
        <v>2024</v>
      </c>
      <c r="E65" s="10" t="s">
        <v>81</v>
      </c>
      <c r="F65" s="10" t="s">
        <v>83</v>
      </c>
      <c r="G65" s="10" t="s">
        <v>84</v>
      </c>
      <c r="H65" s="12">
        <v>19479.833333333299</v>
      </c>
      <c r="I65" s="11">
        <v>5536</v>
      </c>
      <c r="J65" s="11">
        <v>2221</v>
      </c>
      <c r="K65" s="11">
        <v>26797</v>
      </c>
      <c r="L65" s="11">
        <v>0.28419134318397699</v>
      </c>
      <c r="M65" s="11">
        <f t="shared" si="0"/>
        <v>28.41913431839771</v>
      </c>
      <c r="N65" s="11">
        <v>0.401192196531792</v>
      </c>
      <c r="O65" s="11">
        <v>1.3756277860009101</v>
      </c>
      <c r="P65" s="11">
        <v>0.93665540540540504</v>
      </c>
      <c r="Q65" s="11">
        <v>0.86956521739130399</v>
      </c>
      <c r="R65" s="11">
        <v>0.96124031007751898</v>
      </c>
      <c r="S65" s="10" t="s">
        <v>84</v>
      </c>
      <c r="T65" s="10" t="s">
        <v>84</v>
      </c>
      <c r="U65" s="10"/>
      <c r="V65" s="10"/>
      <c r="W65" s="10"/>
      <c r="X65" s="10"/>
      <c r="Y65" s="10"/>
      <c r="Z65" s="10"/>
      <c r="AA65" s="10"/>
    </row>
    <row r="66" spans="1:27" ht="12.5" x14ac:dyDescent="0.25">
      <c r="A66" s="10" t="s">
        <v>86</v>
      </c>
      <c r="B66" s="10" t="s">
        <v>399</v>
      </c>
      <c r="C66" s="10" t="s">
        <v>76</v>
      </c>
      <c r="D66" s="11">
        <v>2024</v>
      </c>
      <c r="E66" s="10" t="s">
        <v>124</v>
      </c>
      <c r="F66" s="10" t="s">
        <v>83</v>
      </c>
      <c r="G66" s="10" t="s">
        <v>84</v>
      </c>
      <c r="H66" s="12">
        <v>9901.6666666666697</v>
      </c>
      <c r="I66" s="11">
        <v>2806</v>
      </c>
      <c r="J66" s="11">
        <v>2386</v>
      </c>
      <c r="K66" s="11">
        <v>40502</v>
      </c>
      <c r="L66" s="11">
        <v>0.28338663524659202</v>
      </c>
      <c r="M66" s="11">
        <f t="shared" si="0"/>
        <v>28.33866352465914</v>
      </c>
      <c r="N66" s="11">
        <v>0.85032074126871005</v>
      </c>
      <c r="O66" s="11">
        <v>4.0904224877966699</v>
      </c>
      <c r="P66" s="11">
        <v>0.93581081081081097</v>
      </c>
      <c r="Q66" s="11">
        <v>0.84782608695652195</v>
      </c>
      <c r="R66" s="11">
        <v>0.89038031319910504</v>
      </c>
      <c r="S66" s="10" t="s">
        <v>84</v>
      </c>
      <c r="T66" s="10" t="s">
        <v>84</v>
      </c>
      <c r="U66" s="10"/>
      <c r="V66" s="10"/>
      <c r="W66" s="10"/>
      <c r="X66" s="10"/>
      <c r="Y66" s="10"/>
      <c r="Z66" s="10"/>
      <c r="AA66" s="10"/>
    </row>
    <row r="67" spans="1:27" ht="12.5" x14ac:dyDescent="0.25">
      <c r="A67" s="10" t="s">
        <v>16</v>
      </c>
      <c r="B67" s="10" t="s">
        <v>401</v>
      </c>
      <c r="C67" s="10" t="s">
        <v>76</v>
      </c>
      <c r="D67" s="11">
        <v>2024</v>
      </c>
      <c r="E67" s="10" t="s">
        <v>124</v>
      </c>
      <c r="F67" s="10" t="s">
        <v>83</v>
      </c>
      <c r="G67" s="10" t="s">
        <v>84</v>
      </c>
      <c r="H67" s="12">
        <v>24498.083333333299</v>
      </c>
      <c r="I67" s="11">
        <v>6929</v>
      </c>
      <c r="J67" s="11">
        <v>5632</v>
      </c>
      <c r="K67" s="11">
        <v>42366</v>
      </c>
      <c r="L67" s="11">
        <v>0.28283845334839097</v>
      </c>
      <c r="M67" s="11">
        <f t="shared" si="0"/>
        <v>28.283845334839157</v>
      </c>
      <c r="N67" s="11">
        <v>0.81281570212151799</v>
      </c>
      <c r="O67" s="11">
        <v>1.72935977984672</v>
      </c>
      <c r="P67" s="11">
        <v>0.93496621621621601</v>
      </c>
      <c r="Q67" s="11">
        <v>0.83333333333333304</v>
      </c>
      <c r="R67" s="11">
        <v>0.88814317673378096</v>
      </c>
      <c r="S67" s="10" t="s">
        <v>84</v>
      </c>
      <c r="T67" s="10" t="s">
        <v>84</v>
      </c>
      <c r="U67" s="10"/>
      <c r="V67" s="10"/>
      <c r="W67" s="10"/>
      <c r="X67" s="10"/>
      <c r="Y67" s="10"/>
      <c r="Z67" s="10"/>
      <c r="AA67" s="10"/>
    </row>
    <row r="68" spans="1:27" ht="12.5" x14ac:dyDescent="0.25">
      <c r="A68" s="10" t="s">
        <v>86</v>
      </c>
      <c r="B68" s="10" t="s">
        <v>403</v>
      </c>
      <c r="C68" s="10" t="s">
        <v>76</v>
      </c>
      <c r="D68" s="11">
        <v>2024</v>
      </c>
      <c r="E68" s="10" t="s">
        <v>124</v>
      </c>
      <c r="F68" s="10" t="s">
        <v>83</v>
      </c>
      <c r="G68" s="10" t="s">
        <v>84</v>
      </c>
      <c r="H68" s="12">
        <v>38789.25</v>
      </c>
      <c r="I68" s="11">
        <v>10903</v>
      </c>
      <c r="J68" s="11">
        <v>8809</v>
      </c>
      <c r="K68" s="11">
        <v>198304</v>
      </c>
      <c r="L68" s="11">
        <v>0.28108303202562601</v>
      </c>
      <c r="M68" s="11">
        <f t="shared" si="0"/>
        <v>28.108303202562567</v>
      </c>
      <c r="N68" s="11">
        <v>0.80794276804549203</v>
      </c>
      <c r="O68" s="11">
        <v>5.1123442706419997</v>
      </c>
      <c r="P68" s="11">
        <v>0.93412162162162204</v>
      </c>
      <c r="Q68" s="11">
        <v>0.82608695652173902</v>
      </c>
      <c r="R68" s="11">
        <v>0.88590604026845599</v>
      </c>
      <c r="S68" s="10" t="s">
        <v>84</v>
      </c>
      <c r="T68" s="10" t="s">
        <v>84</v>
      </c>
      <c r="U68" s="10"/>
      <c r="V68" s="10"/>
      <c r="W68" s="10"/>
      <c r="X68" s="10"/>
      <c r="Y68" s="10"/>
      <c r="Z68" s="10"/>
      <c r="AA68" s="10"/>
    </row>
    <row r="69" spans="1:27" ht="12.5" x14ac:dyDescent="0.25">
      <c r="A69" s="10" t="s">
        <v>52</v>
      </c>
      <c r="B69" s="10" t="s">
        <v>314</v>
      </c>
      <c r="C69" s="10" t="s">
        <v>76</v>
      </c>
      <c r="D69" s="11">
        <v>2024</v>
      </c>
      <c r="E69" s="10" t="s">
        <v>81</v>
      </c>
      <c r="F69" s="10" t="s">
        <v>83</v>
      </c>
      <c r="G69" s="10" t="s">
        <v>84</v>
      </c>
      <c r="H69" s="12">
        <v>15144.75</v>
      </c>
      <c r="I69" s="11">
        <v>4256</v>
      </c>
      <c r="J69" s="11">
        <v>4132</v>
      </c>
      <c r="K69" s="11">
        <v>7655</v>
      </c>
      <c r="L69" s="11">
        <v>0.28102147608907402</v>
      </c>
      <c r="M69" s="11">
        <f t="shared" si="0"/>
        <v>28.10214760890738</v>
      </c>
      <c r="N69" s="11">
        <v>0.97086466165413499</v>
      </c>
      <c r="O69" s="11">
        <v>0.50545568596378299</v>
      </c>
      <c r="P69" s="11">
        <v>0.93327702702702697</v>
      </c>
      <c r="Q69" s="11">
        <v>0.93617021276595702</v>
      </c>
      <c r="R69" s="11">
        <v>0.95930232558139505</v>
      </c>
      <c r="S69" s="10" t="s">
        <v>84</v>
      </c>
      <c r="T69" s="10" t="s">
        <v>84</v>
      </c>
      <c r="U69" s="10"/>
      <c r="V69" s="10"/>
      <c r="W69" s="10"/>
      <c r="X69" s="10"/>
      <c r="Y69" s="10"/>
      <c r="Z69" s="10"/>
      <c r="AA69" s="10"/>
    </row>
    <row r="70" spans="1:27" ht="12.5" x14ac:dyDescent="0.25">
      <c r="A70" s="10" t="s">
        <v>86</v>
      </c>
      <c r="B70" s="10" t="s">
        <v>404</v>
      </c>
      <c r="C70" s="10" t="s">
        <v>76</v>
      </c>
      <c r="D70" s="11">
        <v>2024</v>
      </c>
      <c r="E70" s="10" t="s">
        <v>124</v>
      </c>
      <c r="F70" s="10" t="s">
        <v>83</v>
      </c>
      <c r="G70" s="10" t="s">
        <v>84</v>
      </c>
      <c r="H70" s="12">
        <v>10542.166666666701</v>
      </c>
      <c r="I70" s="11">
        <v>2959</v>
      </c>
      <c r="J70" s="11">
        <v>2705</v>
      </c>
      <c r="K70" s="11">
        <v>0</v>
      </c>
      <c r="L70" s="11">
        <v>0.280682339177588</v>
      </c>
      <c r="M70" s="11">
        <f t="shared" si="0"/>
        <v>28.06823391775875</v>
      </c>
      <c r="N70" s="11">
        <v>0.91416018925312603</v>
      </c>
      <c r="O70" s="11">
        <v>0</v>
      </c>
      <c r="P70" s="11">
        <v>0.93243243243243201</v>
      </c>
      <c r="Q70" s="11">
        <v>0.80434782608695699</v>
      </c>
      <c r="R70" s="11">
        <v>0.88366890380313201</v>
      </c>
      <c r="S70" s="10" t="s">
        <v>84</v>
      </c>
      <c r="T70" s="10" t="s">
        <v>84</v>
      </c>
      <c r="U70" s="10"/>
      <c r="V70" s="10"/>
      <c r="W70" s="10"/>
      <c r="X70" s="10"/>
      <c r="Y70" s="10"/>
      <c r="Z70" s="10"/>
      <c r="AA70" s="10"/>
    </row>
    <row r="71" spans="1:27" ht="12.5" hidden="1" x14ac:dyDescent="0.25">
      <c r="A71" s="10" t="s">
        <v>36</v>
      </c>
      <c r="B71" s="10" t="s">
        <v>587</v>
      </c>
      <c r="C71" s="10" t="s">
        <v>76</v>
      </c>
      <c r="D71" s="11">
        <v>2024</v>
      </c>
      <c r="E71" s="10" t="s">
        <v>257</v>
      </c>
      <c r="F71" s="10" t="s">
        <v>83</v>
      </c>
      <c r="G71" s="10" t="s">
        <v>84</v>
      </c>
      <c r="H71" s="12">
        <v>9232</v>
      </c>
      <c r="I71" s="11">
        <v>2573</v>
      </c>
      <c r="J71" s="11">
        <v>2253</v>
      </c>
      <c r="K71" s="11">
        <v>9210</v>
      </c>
      <c r="L71" s="11">
        <v>0.278704506065858</v>
      </c>
      <c r="M71" s="11">
        <f t="shared" si="0"/>
        <v>27.870450606585788</v>
      </c>
      <c r="N71" s="11">
        <v>0.875631558492033</v>
      </c>
      <c r="O71" s="11">
        <v>0.99761698440208002</v>
      </c>
      <c r="P71" s="11">
        <v>0.93158783783783805</v>
      </c>
      <c r="Q71" s="11">
        <v>0.82978723404255295</v>
      </c>
      <c r="R71" s="11">
        <v>0.95454545454545503</v>
      </c>
      <c r="S71" s="10" t="s">
        <v>84</v>
      </c>
      <c r="T71" s="10" t="s">
        <v>84</v>
      </c>
      <c r="U71" s="10"/>
      <c r="V71" s="10"/>
      <c r="W71" s="10"/>
      <c r="X71" s="10"/>
      <c r="Y71" s="10"/>
      <c r="Z71" s="10"/>
      <c r="AA71" s="10"/>
    </row>
    <row r="72" spans="1:27" ht="12.5" x14ac:dyDescent="0.25">
      <c r="A72" s="10" t="s">
        <v>10</v>
      </c>
      <c r="B72" s="10" t="s">
        <v>319</v>
      </c>
      <c r="C72" s="10" t="s">
        <v>76</v>
      </c>
      <c r="D72" s="11">
        <v>2024</v>
      </c>
      <c r="E72" s="10" t="s">
        <v>81</v>
      </c>
      <c r="F72" s="10" t="s">
        <v>83</v>
      </c>
      <c r="G72" s="10" t="s">
        <v>84</v>
      </c>
      <c r="H72" s="12">
        <v>33049.416666666701</v>
      </c>
      <c r="I72" s="11">
        <v>9180</v>
      </c>
      <c r="J72" s="11">
        <v>9183</v>
      </c>
      <c r="K72" s="11">
        <v>13763</v>
      </c>
      <c r="L72" s="11">
        <v>0.27776587080457799</v>
      </c>
      <c r="M72" s="11">
        <f t="shared" si="0"/>
        <v>27.776587080457769</v>
      </c>
      <c r="N72" s="11">
        <v>1.00032679738562</v>
      </c>
      <c r="O72" s="11">
        <v>0.41643700216594798</v>
      </c>
      <c r="P72" s="11">
        <v>0.93074324324324298</v>
      </c>
      <c r="Q72" s="11">
        <v>0.86666666666666703</v>
      </c>
      <c r="R72" s="11">
        <v>0.95736434108527102</v>
      </c>
      <c r="S72" s="10" t="s">
        <v>84</v>
      </c>
      <c r="T72" s="10" t="s">
        <v>84</v>
      </c>
      <c r="U72" s="10"/>
      <c r="V72" s="10"/>
      <c r="W72" s="10"/>
      <c r="X72" s="10"/>
      <c r="Y72" s="10"/>
      <c r="Z72" s="10"/>
      <c r="AA72" s="10"/>
    </row>
    <row r="73" spans="1:27" ht="12.5" x14ac:dyDescent="0.25">
      <c r="A73" s="10" t="s">
        <v>14</v>
      </c>
      <c r="B73" s="10" t="s">
        <v>406</v>
      </c>
      <c r="C73" s="10" t="s">
        <v>76</v>
      </c>
      <c r="D73" s="11">
        <v>2024</v>
      </c>
      <c r="E73" s="10" t="s">
        <v>124</v>
      </c>
      <c r="F73" s="10" t="s">
        <v>83</v>
      </c>
      <c r="G73" s="10" t="s">
        <v>84</v>
      </c>
      <c r="H73" s="12">
        <v>7858.4166666666697</v>
      </c>
      <c r="I73" s="11">
        <v>2155</v>
      </c>
      <c r="J73" s="11">
        <v>1922</v>
      </c>
      <c r="K73" s="11">
        <v>20249</v>
      </c>
      <c r="L73" s="11">
        <v>0.27422826905335002</v>
      </c>
      <c r="M73" s="11">
        <f t="shared" si="0"/>
        <v>27.422826905335036</v>
      </c>
      <c r="N73" s="11">
        <v>0.89187935034802801</v>
      </c>
      <c r="O73" s="11">
        <v>2.5767277123254302</v>
      </c>
      <c r="P73" s="11">
        <v>0.92736486486486502</v>
      </c>
      <c r="Q73" s="11">
        <v>0.89285714285714302</v>
      </c>
      <c r="R73" s="11">
        <v>0.88143176733780804</v>
      </c>
      <c r="S73" s="10" t="s">
        <v>84</v>
      </c>
      <c r="T73" s="10" t="s">
        <v>84</v>
      </c>
      <c r="U73" s="10"/>
      <c r="V73" s="10"/>
      <c r="W73" s="10"/>
      <c r="X73" s="10"/>
      <c r="Y73" s="10"/>
      <c r="Z73" s="10"/>
      <c r="AA73" s="10"/>
    </row>
    <row r="74" spans="1:27" ht="12.5" x14ac:dyDescent="0.25">
      <c r="A74" s="10" t="s">
        <v>52</v>
      </c>
      <c r="B74" s="10" t="s">
        <v>407</v>
      </c>
      <c r="C74" s="10" t="s">
        <v>76</v>
      </c>
      <c r="D74" s="11">
        <v>2024</v>
      </c>
      <c r="E74" s="10" t="s">
        <v>124</v>
      </c>
      <c r="F74" s="10" t="s">
        <v>83</v>
      </c>
      <c r="G74" s="10" t="s">
        <v>84</v>
      </c>
      <c r="H74" s="12">
        <v>8718.3333333333303</v>
      </c>
      <c r="I74" s="11">
        <v>2386</v>
      </c>
      <c r="J74" s="11">
        <v>2207</v>
      </c>
      <c r="K74" s="11">
        <v>16024</v>
      </c>
      <c r="L74" s="11">
        <v>0.27367616134582301</v>
      </c>
      <c r="M74" s="11">
        <f t="shared" si="0"/>
        <v>27.367616134582306</v>
      </c>
      <c r="N74" s="11">
        <v>0.92497904442581702</v>
      </c>
      <c r="O74" s="11">
        <v>1.8379659720894701</v>
      </c>
      <c r="P74" s="11">
        <v>0.92652027027026995</v>
      </c>
      <c r="Q74" s="11">
        <v>0.91489361702127703</v>
      </c>
      <c r="R74" s="11">
        <v>0.87919463087248295</v>
      </c>
      <c r="S74" s="10" t="s">
        <v>84</v>
      </c>
      <c r="T74" s="10" t="s">
        <v>84</v>
      </c>
      <c r="U74" s="10"/>
      <c r="V74" s="10"/>
      <c r="W74" s="10"/>
      <c r="X74" s="10"/>
      <c r="Y74" s="10"/>
      <c r="Z74" s="10"/>
      <c r="AA74" s="10"/>
    </row>
    <row r="75" spans="1:27" ht="12.5" x14ac:dyDescent="0.25">
      <c r="A75" s="10" t="s">
        <v>86</v>
      </c>
      <c r="B75" s="10" t="s">
        <v>409</v>
      </c>
      <c r="C75" s="10" t="s">
        <v>76</v>
      </c>
      <c r="D75" s="11">
        <v>2024</v>
      </c>
      <c r="E75" s="10" t="s">
        <v>124</v>
      </c>
      <c r="F75" s="10" t="s">
        <v>83</v>
      </c>
      <c r="G75" s="10" t="s">
        <v>84</v>
      </c>
      <c r="H75" s="12">
        <v>10720.166666666701</v>
      </c>
      <c r="I75" s="11">
        <v>2929</v>
      </c>
      <c r="J75" s="11">
        <v>2767</v>
      </c>
      <c r="K75" s="11">
        <v>18898</v>
      </c>
      <c r="L75" s="11">
        <v>0.27322336406461301</v>
      </c>
      <c r="M75" s="11">
        <f t="shared" si="0"/>
        <v>27.322336406461257</v>
      </c>
      <c r="N75" s="11">
        <v>0.94469102082622103</v>
      </c>
      <c r="O75" s="11">
        <v>1.76284572690101</v>
      </c>
      <c r="P75" s="11">
        <v>0.92567567567567599</v>
      </c>
      <c r="Q75" s="11">
        <v>0.78260869565217395</v>
      </c>
      <c r="R75" s="11">
        <v>0.87695749440715898</v>
      </c>
      <c r="S75" s="10" t="s">
        <v>84</v>
      </c>
      <c r="T75" s="10" t="s">
        <v>84</v>
      </c>
      <c r="U75" s="10"/>
      <c r="V75" s="10"/>
      <c r="W75" s="10"/>
      <c r="X75" s="10"/>
      <c r="Y75" s="10"/>
      <c r="Z75" s="10"/>
      <c r="AA75" s="10"/>
    </row>
    <row r="76" spans="1:27" ht="12.5" x14ac:dyDescent="0.25">
      <c r="A76" s="10" t="s">
        <v>14</v>
      </c>
      <c r="B76" s="10" t="s">
        <v>411</v>
      </c>
      <c r="C76" s="10" t="s">
        <v>76</v>
      </c>
      <c r="D76" s="11">
        <v>2024</v>
      </c>
      <c r="E76" s="10" t="s">
        <v>124</v>
      </c>
      <c r="F76" s="10" t="s">
        <v>125</v>
      </c>
      <c r="G76" s="10" t="s">
        <v>84</v>
      </c>
      <c r="H76" s="12">
        <v>1806.4166666666699</v>
      </c>
      <c r="I76" s="11">
        <v>483</v>
      </c>
      <c r="J76" s="11">
        <v>336</v>
      </c>
      <c r="K76" s="11">
        <v>0</v>
      </c>
      <c r="L76" s="11">
        <v>0.26738017253309998</v>
      </c>
      <c r="M76" s="11">
        <f t="shared" si="0"/>
        <v>26.738017253309909</v>
      </c>
      <c r="N76" s="11">
        <v>0.69565217391304301</v>
      </c>
      <c r="O76" s="11">
        <v>0</v>
      </c>
      <c r="P76" s="11">
        <v>0.92398648648648696</v>
      </c>
      <c r="Q76" s="11">
        <v>0.85714285714285698</v>
      </c>
      <c r="R76" s="11">
        <v>0.874720357941834</v>
      </c>
      <c r="S76" s="10" t="s">
        <v>84</v>
      </c>
      <c r="T76" s="10" t="s">
        <v>84</v>
      </c>
      <c r="U76" s="10"/>
      <c r="V76" s="10"/>
      <c r="W76" s="10"/>
      <c r="X76" s="10"/>
      <c r="Y76" s="10"/>
      <c r="Z76" s="10"/>
      <c r="AA76" s="10"/>
    </row>
    <row r="77" spans="1:27" ht="12.5" x14ac:dyDescent="0.25">
      <c r="A77" s="10" t="s">
        <v>36</v>
      </c>
      <c r="B77" s="10" t="s">
        <v>413</v>
      </c>
      <c r="C77" s="10" t="s">
        <v>76</v>
      </c>
      <c r="D77" s="11">
        <v>2024</v>
      </c>
      <c r="E77" s="10" t="s">
        <v>124</v>
      </c>
      <c r="F77" s="10" t="s">
        <v>83</v>
      </c>
      <c r="G77" s="10" t="s">
        <v>84</v>
      </c>
      <c r="H77" s="12">
        <v>1725.8333333333301</v>
      </c>
      <c r="I77" s="11">
        <v>445</v>
      </c>
      <c r="J77" s="11">
        <v>292</v>
      </c>
      <c r="K77" s="11">
        <v>0</v>
      </c>
      <c r="L77" s="11">
        <v>0.25784645098985998</v>
      </c>
      <c r="M77" s="11">
        <f t="shared" si="0"/>
        <v>25.784645098986047</v>
      </c>
      <c r="N77" s="11">
        <v>0.65617977528089899</v>
      </c>
      <c r="O77" s="11">
        <v>0</v>
      </c>
      <c r="P77" s="11">
        <v>0.923141891891892</v>
      </c>
      <c r="Q77" s="11">
        <v>0.80851063829787195</v>
      </c>
      <c r="R77" s="11">
        <v>0.87248322147651003</v>
      </c>
      <c r="S77" s="10" t="s">
        <v>84</v>
      </c>
      <c r="T77" s="10" t="s">
        <v>84</v>
      </c>
      <c r="U77" s="10"/>
      <c r="V77" s="10"/>
      <c r="W77" s="10"/>
      <c r="X77" s="10"/>
      <c r="Y77" s="10"/>
      <c r="Z77" s="10"/>
      <c r="AA77" s="10"/>
    </row>
    <row r="78" spans="1:27" ht="12.5" x14ac:dyDescent="0.25">
      <c r="A78" s="10" t="s">
        <v>110</v>
      </c>
      <c r="B78" s="10" t="s">
        <v>335</v>
      </c>
      <c r="C78" s="10" t="s">
        <v>76</v>
      </c>
      <c r="D78" s="11">
        <v>2024</v>
      </c>
      <c r="E78" s="10" t="s">
        <v>81</v>
      </c>
      <c r="F78" s="10" t="s">
        <v>83</v>
      </c>
      <c r="G78" s="10" t="s">
        <v>84</v>
      </c>
      <c r="H78" s="12">
        <v>10456.916666666701</v>
      </c>
      <c r="I78" s="11">
        <v>2684</v>
      </c>
      <c r="J78" s="11">
        <v>2437</v>
      </c>
      <c r="K78" s="11">
        <v>9775</v>
      </c>
      <c r="L78" s="11">
        <v>0.25667221854753203</v>
      </c>
      <c r="M78" s="11">
        <f t="shared" si="0"/>
        <v>25.667221854753151</v>
      </c>
      <c r="N78" s="11">
        <v>0.90797317436661695</v>
      </c>
      <c r="O78" s="11">
        <v>0.93478797924818502</v>
      </c>
      <c r="P78" s="11">
        <v>0.92229729729729704</v>
      </c>
      <c r="Q78" s="11">
        <v>1</v>
      </c>
      <c r="R78" s="11">
        <v>0.95155038759689903</v>
      </c>
      <c r="S78" s="10" t="s">
        <v>84</v>
      </c>
      <c r="T78" s="10" t="s">
        <v>84</v>
      </c>
      <c r="U78" s="10"/>
      <c r="V78" s="10"/>
      <c r="W78" s="10"/>
      <c r="X78" s="10"/>
      <c r="Y78" s="10"/>
      <c r="Z78" s="10"/>
      <c r="AA78" s="10"/>
    </row>
    <row r="79" spans="1:27" ht="12.5" x14ac:dyDescent="0.25">
      <c r="A79" s="10" t="s">
        <v>29</v>
      </c>
      <c r="B79" s="10" t="s">
        <v>415</v>
      </c>
      <c r="C79" s="10" t="s">
        <v>76</v>
      </c>
      <c r="D79" s="11">
        <v>2024</v>
      </c>
      <c r="E79" s="10" t="s">
        <v>124</v>
      </c>
      <c r="F79" s="10" t="s">
        <v>83</v>
      </c>
      <c r="G79" s="10" t="s">
        <v>84</v>
      </c>
      <c r="H79" s="12">
        <v>38094.916666666701</v>
      </c>
      <c r="I79" s="11">
        <v>9774</v>
      </c>
      <c r="J79" s="11">
        <v>8583</v>
      </c>
      <c r="K79" s="11">
        <v>125356</v>
      </c>
      <c r="L79" s="11">
        <v>0.25656966480654703</v>
      </c>
      <c r="M79" s="11">
        <f t="shared" si="0"/>
        <v>25.65696648065466</v>
      </c>
      <c r="N79" s="11">
        <v>0.87814610190300801</v>
      </c>
      <c r="O79" s="11">
        <v>3.29062276462958</v>
      </c>
      <c r="P79" s="11">
        <v>0.92145270270270296</v>
      </c>
      <c r="Q79" s="11">
        <v>0.85714285714285698</v>
      </c>
      <c r="R79" s="11">
        <v>0.87024608501118605</v>
      </c>
      <c r="S79" s="10" t="s">
        <v>84</v>
      </c>
      <c r="T79" s="10" t="s">
        <v>84</v>
      </c>
      <c r="U79" s="10"/>
      <c r="V79" s="10"/>
      <c r="W79" s="10"/>
      <c r="X79" s="10"/>
      <c r="Y79" s="10"/>
      <c r="Z79" s="10"/>
      <c r="AA79" s="10"/>
    </row>
    <row r="80" spans="1:27" ht="12.5" x14ac:dyDescent="0.25">
      <c r="A80" s="10" t="s">
        <v>16</v>
      </c>
      <c r="B80" s="10" t="s">
        <v>340</v>
      </c>
      <c r="C80" s="10" t="s">
        <v>76</v>
      </c>
      <c r="D80" s="11">
        <v>2024</v>
      </c>
      <c r="E80" s="10" t="s">
        <v>81</v>
      </c>
      <c r="F80" s="10" t="s">
        <v>83</v>
      </c>
      <c r="G80" s="10" t="s">
        <v>84</v>
      </c>
      <c r="H80" s="12">
        <v>57277.5</v>
      </c>
      <c r="I80" s="11">
        <v>14633</v>
      </c>
      <c r="J80" s="11">
        <v>13582</v>
      </c>
      <c r="K80" s="11">
        <v>106564</v>
      </c>
      <c r="L80" s="11">
        <v>0.25547553576884502</v>
      </c>
      <c r="M80" s="11">
        <f t="shared" si="0"/>
        <v>25.547553576884468</v>
      </c>
      <c r="N80" s="11">
        <v>0.92817604045650204</v>
      </c>
      <c r="O80" s="11">
        <v>1.86048622932216</v>
      </c>
      <c r="P80" s="11">
        <v>0.920608108108108</v>
      </c>
      <c r="Q80" s="11">
        <v>0.73333333333333295</v>
      </c>
      <c r="R80" s="11">
        <v>0.94961240310077499</v>
      </c>
      <c r="S80" s="10" t="s">
        <v>84</v>
      </c>
      <c r="T80" s="10" t="s">
        <v>84</v>
      </c>
      <c r="U80" s="10"/>
      <c r="V80" s="10"/>
      <c r="W80" s="10"/>
      <c r="X80" s="10"/>
      <c r="Y80" s="10"/>
      <c r="Z80" s="10"/>
      <c r="AA80" s="10"/>
    </row>
    <row r="81" spans="1:27" ht="12.5" x14ac:dyDescent="0.25">
      <c r="A81" s="10" t="s">
        <v>55</v>
      </c>
      <c r="B81" s="10" t="s">
        <v>417</v>
      </c>
      <c r="C81" s="10" t="s">
        <v>76</v>
      </c>
      <c r="D81" s="11">
        <v>2024</v>
      </c>
      <c r="E81" s="10" t="s">
        <v>124</v>
      </c>
      <c r="F81" s="10" t="s">
        <v>83</v>
      </c>
      <c r="G81" s="10" t="s">
        <v>84</v>
      </c>
      <c r="H81" s="12">
        <v>6335.4166666666697</v>
      </c>
      <c r="I81" s="11">
        <v>1564</v>
      </c>
      <c r="J81" s="11">
        <v>1390</v>
      </c>
      <c r="K81" s="11">
        <v>20407</v>
      </c>
      <c r="L81" s="11">
        <v>0.24686616244656401</v>
      </c>
      <c r="M81" s="11">
        <f t="shared" si="0"/>
        <v>24.686616244656349</v>
      </c>
      <c r="N81" s="11">
        <v>0.88874680306905396</v>
      </c>
      <c r="O81" s="11">
        <v>3.2210983229200898</v>
      </c>
      <c r="P81" s="11">
        <v>0.91891891891891897</v>
      </c>
      <c r="Q81" s="11">
        <v>0.90909090909090895</v>
      </c>
      <c r="R81" s="11">
        <v>0.86800894854586097</v>
      </c>
      <c r="S81" s="10" t="s">
        <v>84</v>
      </c>
      <c r="T81" s="10" t="s">
        <v>84</v>
      </c>
      <c r="U81" s="10"/>
      <c r="V81" s="10"/>
      <c r="W81" s="10"/>
      <c r="X81" s="10"/>
      <c r="Y81" s="10"/>
      <c r="Z81" s="10"/>
      <c r="AA81" s="10"/>
    </row>
    <row r="82" spans="1:27" ht="12.5" x14ac:dyDescent="0.25">
      <c r="A82" s="10" t="s">
        <v>14</v>
      </c>
      <c r="B82" s="10" t="s">
        <v>419</v>
      </c>
      <c r="C82" s="10" t="s">
        <v>76</v>
      </c>
      <c r="D82" s="11">
        <v>2024</v>
      </c>
      <c r="E82" s="10" t="s">
        <v>124</v>
      </c>
      <c r="F82" s="10" t="s">
        <v>83</v>
      </c>
      <c r="G82" s="10" t="s">
        <v>84</v>
      </c>
      <c r="H82" s="12">
        <v>13318.5</v>
      </c>
      <c r="I82" s="11">
        <v>3272</v>
      </c>
      <c r="J82" s="11">
        <v>2959</v>
      </c>
      <c r="K82" s="11">
        <v>13914</v>
      </c>
      <c r="L82" s="11">
        <v>0.24567331155911001</v>
      </c>
      <c r="M82" s="11">
        <f t="shared" si="0"/>
        <v>24.567331155910953</v>
      </c>
      <c r="N82" s="11">
        <v>0.90433985330073396</v>
      </c>
      <c r="O82" s="11">
        <v>1.04471224236964</v>
      </c>
      <c r="P82" s="11">
        <v>0.91807432432432401</v>
      </c>
      <c r="Q82" s="11">
        <v>0.82142857142857095</v>
      </c>
      <c r="R82" s="11">
        <v>0.865771812080537</v>
      </c>
      <c r="S82" s="10" t="s">
        <v>84</v>
      </c>
      <c r="T82" s="10" t="s">
        <v>84</v>
      </c>
      <c r="U82" s="10"/>
      <c r="V82" s="10"/>
      <c r="W82" s="10"/>
      <c r="X82" s="10"/>
      <c r="Y82" s="10"/>
      <c r="Z82" s="10"/>
      <c r="AA82" s="10"/>
    </row>
    <row r="83" spans="1:27" ht="12.5" x14ac:dyDescent="0.25">
      <c r="A83" s="10" t="s">
        <v>86</v>
      </c>
      <c r="B83" s="10" t="s">
        <v>420</v>
      </c>
      <c r="C83" s="10" t="s">
        <v>76</v>
      </c>
      <c r="D83" s="11">
        <v>2024</v>
      </c>
      <c r="E83" s="10" t="s">
        <v>124</v>
      </c>
      <c r="F83" s="10" t="s">
        <v>83</v>
      </c>
      <c r="G83" s="10" t="s">
        <v>84</v>
      </c>
      <c r="H83" s="12">
        <v>65822.833333333299</v>
      </c>
      <c r="I83" s="11">
        <v>16066</v>
      </c>
      <c r="J83" s="11">
        <v>14952</v>
      </c>
      <c r="K83" s="11">
        <v>174933</v>
      </c>
      <c r="L83" s="11">
        <v>0.244079435454262</v>
      </c>
      <c r="M83" s="11">
        <f t="shared" si="0"/>
        <v>24.407943545426246</v>
      </c>
      <c r="N83" s="11">
        <v>0.93066102327897404</v>
      </c>
      <c r="O83" s="11">
        <v>2.6576340023851901</v>
      </c>
      <c r="P83" s="11">
        <v>0.91722972972973005</v>
      </c>
      <c r="Q83" s="11">
        <v>0.76086956521739102</v>
      </c>
      <c r="R83" s="11">
        <v>0.86353467561521302</v>
      </c>
      <c r="S83" s="10" t="s">
        <v>84</v>
      </c>
      <c r="T83" s="10" t="s">
        <v>84</v>
      </c>
      <c r="U83" s="10"/>
      <c r="V83" s="10"/>
      <c r="W83" s="10"/>
      <c r="X83" s="10"/>
      <c r="Y83" s="10"/>
      <c r="Z83" s="10"/>
      <c r="AA83" s="10"/>
    </row>
    <row r="84" spans="1:27" ht="12.5" x14ac:dyDescent="0.25">
      <c r="A84" s="10" t="s">
        <v>86</v>
      </c>
      <c r="B84" s="10" t="s">
        <v>422</v>
      </c>
      <c r="C84" s="10" t="s">
        <v>76</v>
      </c>
      <c r="D84" s="11">
        <v>2024</v>
      </c>
      <c r="E84" s="10" t="s">
        <v>124</v>
      </c>
      <c r="F84" s="10" t="s">
        <v>83</v>
      </c>
      <c r="G84" s="10" t="s">
        <v>84</v>
      </c>
      <c r="H84" s="12">
        <v>25666.5</v>
      </c>
      <c r="I84" s="11">
        <v>6260</v>
      </c>
      <c r="J84" s="11">
        <v>5475</v>
      </c>
      <c r="K84" s="11">
        <v>5493</v>
      </c>
      <c r="L84" s="11">
        <v>0.243897687647322</v>
      </c>
      <c r="M84" s="11">
        <f t="shared" si="0"/>
        <v>24.389768764732239</v>
      </c>
      <c r="N84" s="11">
        <v>0.87460063897763596</v>
      </c>
      <c r="O84" s="11">
        <v>0.21401437671673201</v>
      </c>
      <c r="P84" s="11">
        <v>0.91638513513513498</v>
      </c>
      <c r="Q84" s="11">
        <v>0.73913043478260898</v>
      </c>
      <c r="R84" s="11">
        <v>0.86129753914988805</v>
      </c>
      <c r="S84" s="10" t="s">
        <v>84</v>
      </c>
      <c r="T84" s="10" t="s">
        <v>84</v>
      </c>
      <c r="U84" s="10"/>
      <c r="V84" s="10"/>
      <c r="W84" s="10"/>
      <c r="X84" s="10"/>
      <c r="Y84" s="10"/>
      <c r="Z84" s="10"/>
      <c r="AA84" s="10"/>
    </row>
    <row r="85" spans="1:27" ht="12.5" x14ac:dyDescent="0.25">
      <c r="A85" s="10" t="s">
        <v>6</v>
      </c>
      <c r="B85" s="10" t="s">
        <v>424</v>
      </c>
      <c r="C85" s="10" t="s">
        <v>76</v>
      </c>
      <c r="D85" s="11">
        <v>2024</v>
      </c>
      <c r="E85" s="10" t="s">
        <v>124</v>
      </c>
      <c r="F85" s="10" t="s">
        <v>83</v>
      </c>
      <c r="G85" s="10" t="s">
        <v>84</v>
      </c>
      <c r="H85" s="12">
        <v>6325.9166666666697</v>
      </c>
      <c r="I85" s="11">
        <v>1508</v>
      </c>
      <c r="J85" s="11">
        <v>1549</v>
      </c>
      <c r="K85" s="11">
        <v>20691</v>
      </c>
      <c r="L85" s="11">
        <v>0.238384423864789</v>
      </c>
      <c r="M85" s="11">
        <f t="shared" si="0"/>
        <v>23.838442386478892</v>
      </c>
      <c r="N85" s="11">
        <v>1.0271883289124699</v>
      </c>
      <c r="O85" s="11">
        <v>3.27083031444718</v>
      </c>
      <c r="P85" s="11">
        <v>0.91554054054054101</v>
      </c>
      <c r="Q85" s="11">
        <v>0.967741935483871</v>
      </c>
      <c r="R85" s="11">
        <v>0.85906040268456396</v>
      </c>
      <c r="S85" s="10" t="s">
        <v>84</v>
      </c>
      <c r="T85" s="10" t="s">
        <v>84</v>
      </c>
      <c r="U85" s="10"/>
      <c r="V85" s="10"/>
      <c r="W85" s="10"/>
      <c r="X85" s="10"/>
      <c r="Y85" s="10"/>
      <c r="Z85" s="10"/>
      <c r="AA85" s="10"/>
    </row>
    <row r="86" spans="1:27" ht="12.5" x14ac:dyDescent="0.25">
      <c r="A86" s="10" t="s">
        <v>42</v>
      </c>
      <c r="B86" s="10" t="s">
        <v>353</v>
      </c>
      <c r="C86" s="10" t="s">
        <v>76</v>
      </c>
      <c r="D86" s="11">
        <v>2024</v>
      </c>
      <c r="E86" s="10" t="s">
        <v>81</v>
      </c>
      <c r="F86" s="10" t="s">
        <v>83</v>
      </c>
      <c r="G86" s="10" t="s">
        <v>84</v>
      </c>
      <c r="H86" s="12">
        <v>27112.666666666701</v>
      </c>
      <c r="I86" s="11">
        <v>6463</v>
      </c>
      <c r="J86" s="11">
        <v>5955</v>
      </c>
      <c r="K86" s="11">
        <v>41875</v>
      </c>
      <c r="L86" s="11">
        <v>0.23837566696992801</v>
      </c>
      <c r="M86" s="11">
        <f t="shared" si="0"/>
        <v>23.837566696992766</v>
      </c>
      <c r="N86" s="11">
        <v>0.921398731239363</v>
      </c>
      <c r="O86" s="11">
        <v>1.5444810543657299</v>
      </c>
      <c r="P86" s="11">
        <v>0.91469594594594605</v>
      </c>
      <c r="Q86" s="11">
        <v>0.952380952380952</v>
      </c>
      <c r="R86" s="11">
        <v>0.94573643410852704</v>
      </c>
      <c r="S86" s="10" t="s">
        <v>84</v>
      </c>
      <c r="T86" s="10" t="s">
        <v>84</v>
      </c>
      <c r="U86" s="10"/>
      <c r="V86" s="10"/>
      <c r="W86" s="10"/>
      <c r="X86" s="10"/>
      <c r="Y86" s="10"/>
      <c r="Z86" s="10"/>
      <c r="AA86" s="10"/>
    </row>
    <row r="87" spans="1:27" ht="12.5" x14ac:dyDescent="0.25">
      <c r="A87" s="10" t="s">
        <v>104</v>
      </c>
      <c r="B87" s="10" t="s">
        <v>284</v>
      </c>
      <c r="C87" s="10" t="s">
        <v>76</v>
      </c>
      <c r="D87" s="11">
        <v>2024</v>
      </c>
      <c r="E87" s="10" t="s">
        <v>81</v>
      </c>
      <c r="F87" s="10" t="s">
        <v>83</v>
      </c>
      <c r="G87" s="10" t="s">
        <v>84</v>
      </c>
      <c r="H87" s="12">
        <v>21</v>
      </c>
      <c r="I87" s="11">
        <v>5</v>
      </c>
      <c r="J87" s="11">
        <v>6</v>
      </c>
      <c r="K87" s="11">
        <v>27</v>
      </c>
      <c r="L87" s="11">
        <v>0.238095238095238</v>
      </c>
      <c r="M87" s="11">
        <f t="shared" si="0"/>
        <v>23.809523809523807</v>
      </c>
      <c r="N87" s="11">
        <v>1.2</v>
      </c>
      <c r="O87" s="11">
        <v>1.28571428571429</v>
      </c>
      <c r="P87" s="11">
        <v>0.91385135135135098</v>
      </c>
      <c r="Q87" s="11">
        <v>0.96551724137931005</v>
      </c>
      <c r="R87" s="11">
        <v>0.943798449612403</v>
      </c>
      <c r="S87" s="10" t="s">
        <v>84</v>
      </c>
      <c r="T87" s="10" t="s">
        <v>84</v>
      </c>
      <c r="U87" s="10"/>
      <c r="V87" s="10"/>
      <c r="W87" s="10"/>
      <c r="X87" s="10"/>
      <c r="Y87" s="10"/>
      <c r="Z87" s="10"/>
      <c r="AA87" s="10"/>
    </row>
    <row r="88" spans="1:27" ht="12.5" x14ac:dyDescent="0.25">
      <c r="A88" s="10" t="s">
        <v>29</v>
      </c>
      <c r="B88" s="10" t="s">
        <v>426</v>
      </c>
      <c r="C88" s="10" t="s">
        <v>76</v>
      </c>
      <c r="D88" s="11">
        <v>2024</v>
      </c>
      <c r="E88" s="10" t="s">
        <v>124</v>
      </c>
      <c r="F88" s="10" t="s">
        <v>83</v>
      </c>
      <c r="G88" s="10" t="s">
        <v>84</v>
      </c>
      <c r="H88" s="12">
        <v>12742.25</v>
      </c>
      <c r="I88" s="11">
        <v>3013</v>
      </c>
      <c r="J88" s="11">
        <v>2707</v>
      </c>
      <c r="K88" s="11">
        <v>4588</v>
      </c>
      <c r="L88" s="11">
        <v>0.236457454531186</v>
      </c>
      <c r="M88" s="11">
        <f t="shared" si="0"/>
        <v>23.645745453118565</v>
      </c>
      <c r="N88" s="11">
        <v>0.89844009293063398</v>
      </c>
      <c r="O88" s="11">
        <v>0.36006199846965797</v>
      </c>
      <c r="P88" s="11">
        <v>0.91300675675675702</v>
      </c>
      <c r="Q88" s="11">
        <v>0.83673469387755095</v>
      </c>
      <c r="R88" s="11">
        <v>0.85682326621923899</v>
      </c>
      <c r="S88" s="10" t="s">
        <v>84</v>
      </c>
      <c r="T88" s="10" t="s">
        <v>84</v>
      </c>
      <c r="U88" s="10"/>
      <c r="V88" s="10"/>
      <c r="W88" s="10"/>
      <c r="X88" s="10"/>
      <c r="Y88" s="10"/>
      <c r="Z88" s="10"/>
      <c r="AA88" s="10"/>
    </row>
    <row r="89" spans="1:27" ht="12.5" x14ac:dyDescent="0.25">
      <c r="A89" s="10" t="s">
        <v>29</v>
      </c>
      <c r="B89" s="10" t="s">
        <v>427</v>
      </c>
      <c r="C89" s="10" t="s">
        <v>76</v>
      </c>
      <c r="D89" s="11">
        <v>2024</v>
      </c>
      <c r="E89" s="10" t="s">
        <v>124</v>
      </c>
      <c r="F89" s="10" t="s">
        <v>83</v>
      </c>
      <c r="G89" s="10" t="s">
        <v>84</v>
      </c>
      <c r="H89" s="12">
        <v>29046</v>
      </c>
      <c r="I89" s="11">
        <v>6855</v>
      </c>
      <c r="J89" s="11">
        <v>4173</v>
      </c>
      <c r="K89" s="11">
        <v>60486</v>
      </c>
      <c r="L89" s="11">
        <v>0.23600495765337701</v>
      </c>
      <c r="M89" s="11">
        <f t="shared" si="0"/>
        <v>23.60049576533774</v>
      </c>
      <c r="N89" s="11">
        <v>0.60875273522975903</v>
      </c>
      <c r="O89" s="11">
        <v>2.0824209873993</v>
      </c>
      <c r="P89" s="11">
        <v>0.91216216216216195</v>
      </c>
      <c r="Q89" s="11">
        <v>0.81632653061224503</v>
      </c>
      <c r="R89" s="11">
        <v>0.85458612975391501</v>
      </c>
      <c r="S89" s="10" t="s">
        <v>84</v>
      </c>
      <c r="T89" s="10" t="s">
        <v>84</v>
      </c>
      <c r="U89" s="10"/>
      <c r="V89" s="10"/>
      <c r="W89" s="10"/>
      <c r="X89" s="10"/>
      <c r="Y89" s="10"/>
      <c r="Z89" s="10"/>
      <c r="AA89" s="10"/>
    </row>
    <row r="90" spans="1:27" ht="12.5" x14ac:dyDescent="0.25">
      <c r="A90" s="10" t="s">
        <v>109</v>
      </c>
      <c r="B90" s="10" t="s">
        <v>365</v>
      </c>
      <c r="C90" s="10" t="s">
        <v>76</v>
      </c>
      <c r="D90" s="11">
        <v>2024</v>
      </c>
      <c r="E90" s="10" t="s">
        <v>81</v>
      </c>
      <c r="F90" s="10" t="s">
        <v>83</v>
      </c>
      <c r="G90" s="10" t="s">
        <v>84</v>
      </c>
      <c r="H90" s="12">
        <v>14419.583333333299</v>
      </c>
      <c r="I90" s="11">
        <v>3387</v>
      </c>
      <c r="J90" s="11">
        <v>3186</v>
      </c>
      <c r="K90" s="11">
        <v>18881</v>
      </c>
      <c r="L90" s="11">
        <v>0.23488889531019699</v>
      </c>
      <c r="M90" s="11">
        <f t="shared" si="0"/>
        <v>23.48888953101979</v>
      </c>
      <c r="N90" s="11">
        <v>0.94065544729849404</v>
      </c>
      <c r="O90" s="11">
        <v>1.3093998324038501</v>
      </c>
      <c r="P90" s="11">
        <v>0.91047297297297303</v>
      </c>
      <c r="Q90" s="11">
        <v>0.94444444444444398</v>
      </c>
      <c r="R90" s="11">
        <v>0.94186046511627897</v>
      </c>
      <c r="S90" s="10" t="s">
        <v>84</v>
      </c>
      <c r="T90" s="10" t="s">
        <v>84</v>
      </c>
      <c r="U90" s="10"/>
      <c r="V90" s="10"/>
      <c r="W90" s="10"/>
      <c r="X90" s="10"/>
      <c r="Y90" s="10"/>
      <c r="Z90" s="10"/>
      <c r="AA90" s="10"/>
    </row>
    <row r="91" spans="1:27" ht="12.5" x14ac:dyDescent="0.25">
      <c r="A91" s="10" t="s">
        <v>86</v>
      </c>
      <c r="B91" s="10" t="s">
        <v>429</v>
      </c>
      <c r="C91" s="10" t="s">
        <v>76</v>
      </c>
      <c r="D91" s="11">
        <v>2024</v>
      </c>
      <c r="E91" s="10" t="s">
        <v>124</v>
      </c>
      <c r="F91" s="10" t="s">
        <v>83</v>
      </c>
      <c r="G91" s="10" t="s">
        <v>84</v>
      </c>
      <c r="H91" s="12">
        <v>7050.9166666666697</v>
      </c>
      <c r="I91" s="11">
        <v>1654</v>
      </c>
      <c r="J91" s="11">
        <v>1610</v>
      </c>
      <c r="K91" s="11">
        <v>1654</v>
      </c>
      <c r="L91" s="11">
        <v>0.234579428206734</v>
      </c>
      <c r="M91" s="11">
        <f t="shared" si="0"/>
        <v>23.457942820673424</v>
      </c>
      <c r="N91" s="11">
        <v>0.97339782345828296</v>
      </c>
      <c r="O91" s="11">
        <v>0.234579428206734</v>
      </c>
      <c r="P91" s="11">
        <v>0.90962837837837796</v>
      </c>
      <c r="Q91" s="11">
        <v>0.71739130434782605</v>
      </c>
      <c r="R91" s="11">
        <v>0.85234899328859104</v>
      </c>
      <c r="S91" s="10" t="s">
        <v>84</v>
      </c>
      <c r="T91" s="10" t="s">
        <v>84</v>
      </c>
      <c r="U91" s="10"/>
      <c r="V91" s="10"/>
      <c r="W91" s="10"/>
      <c r="X91" s="10"/>
      <c r="Y91" s="10"/>
      <c r="Z91" s="10"/>
      <c r="AA91" s="10"/>
    </row>
    <row r="92" spans="1:27" ht="12.5" x14ac:dyDescent="0.25">
      <c r="A92" s="10" t="s">
        <v>58</v>
      </c>
      <c r="B92" s="10" t="s">
        <v>368</v>
      </c>
      <c r="C92" s="10" t="s">
        <v>76</v>
      </c>
      <c r="D92" s="11">
        <v>2024</v>
      </c>
      <c r="E92" s="10" t="s">
        <v>81</v>
      </c>
      <c r="F92" s="10" t="s">
        <v>83</v>
      </c>
      <c r="G92" s="10" t="s">
        <v>84</v>
      </c>
      <c r="H92" s="12">
        <v>60839</v>
      </c>
      <c r="I92" s="11">
        <v>14153</v>
      </c>
      <c r="J92" s="11">
        <v>13167</v>
      </c>
      <c r="K92" s="11">
        <v>103065</v>
      </c>
      <c r="L92" s="11">
        <v>0.23263038511481099</v>
      </c>
      <c r="M92" s="11">
        <f t="shared" si="0"/>
        <v>23.26303851148112</v>
      </c>
      <c r="N92" s="11">
        <v>0.93033279163428295</v>
      </c>
      <c r="O92" s="11">
        <v>1.6940613751047799</v>
      </c>
      <c r="P92" s="11">
        <v>0.90878378378378399</v>
      </c>
      <c r="Q92" s="11">
        <v>0.97297297297297303</v>
      </c>
      <c r="R92" s="11">
        <v>0.93992248062015504</v>
      </c>
      <c r="S92" s="10" t="s">
        <v>84</v>
      </c>
      <c r="T92" s="10" t="s">
        <v>84</v>
      </c>
      <c r="U92" s="10"/>
      <c r="V92" s="10"/>
      <c r="W92" s="10"/>
      <c r="X92" s="10"/>
      <c r="Y92" s="10"/>
      <c r="Z92" s="10"/>
      <c r="AA92" s="10"/>
    </row>
    <row r="93" spans="1:27" ht="12.5" x14ac:dyDescent="0.25">
      <c r="A93" s="10" t="s">
        <v>12</v>
      </c>
      <c r="B93" s="10" t="s">
        <v>371</v>
      </c>
      <c r="C93" s="10" t="s">
        <v>76</v>
      </c>
      <c r="D93" s="11">
        <v>2024</v>
      </c>
      <c r="E93" s="10" t="s">
        <v>81</v>
      </c>
      <c r="F93" s="10" t="s">
        <v>83</v>
      </c>
      <c r="G93" s="10" t="s">
        <v>84</v>
      </c>
      <c r="H93" s="12">
        <v>91575.666666666701</v>
      </c>
      <c r="I93" s="11">
        <v>21200</v>
      </c>
      <c r="J93" s="11">
        <v>19634</v>
      </c>
      <c r="K93" s="11">
        <v>199243</v>
      </c>
      <c r="L93" s="11">
        <v>0.23150254616401</v>
      </c>
      <c r="M93" s="11">
        <f t="shared" si="0"/>
        <v>23.150254616401</v>
      </c>
      <c r="N93" s="11">
        <v>0.92613207547169796</v>
      </c>
      <c r="O93" s="11">
        <v>2.1757198964790501</v>
      </c>
      <c r="P93" s="11">
        <v>0.90709459459459496</v>
      </c>
      <c r="Q93" s="11">
        <v>0.90277777777777801</v>
      </c>
      <c r="R93" s="11">
        <v>0.93798449612403101</v>
      </c>
      <c r="S93" s="10" t="s">
        <v>84</v>
      </c>
      <c r="T93" s="10" t="s">
        <v>84</v>
      </c>
      <c r="U93" s="10"/>
      <c r="V93" s="10"/>
      <c r="W93" s="10"/>
      <c r="X93" s="10"/>
      <c r="Y93" s="10"/>
      <c r="Z93" s="10"/>
      <c r="AA93" s="10"/>
    </row>
    <row r="94" spans="1:27" ht="12.5" x14ac:dyDescent="0.25">
      <c r="A94" s="10" t="s">
        <v>12</v>
      </c>
      <c r="B94" s="10" t="s">
        <v>377</v>
      </c>
      <c r="C94" s="10" t="s">
        <v>76</v>
      </c>
      <c r="D94" s="11">
        <v>2024</v>
      </c>
      <c r="E94" s="10" t="s">
        <v>81</v>
      </c>
      <c r="F94" s="10" t="s">
        <v>83</v>
      </c>
      <c r="G94" s="10" t="s">
        <v>84</v>
      </c>
      <c r="H94" s="12">
        <v>78792.083333333299</v>
      </c>
      <c r="I94" s="11">
        <v>17865</v>
      </c>
      <c r="J94" s="11">
        <v>23986</v>
      </c>
      <c r="K94" s="11">
        <v>159364</v>
      </c>
      <c r="L94" s="11">
        <v>0.22673597707045401</v>
      </c>
      <c r="M94" s="11">
        <f t="shared" si="0"/>
        <v>22.673597707045452</v>
      </c>
      <c r="N94" s="11">
        <v>1.34262524489225</v>
      </c>
      <c r="O94" s="11">
        <v>2.0225889868377198</v>
      </c>
      <c r="P94" s="11">
        <v>0.90625</v>
      </c>
      <c r="Q94" s="11">
        <v>0.88888888888888895</v>
      </c>
      <c r="R94" s="11">
        <v>0.93604651162790697</v>
      </c>
      <c r="S94" s="10" t="s">
        <v>84</v>
      </c>
      <c r="T94" s="10" t="s">
        <v>84</v>
      </c>
      <c r="U94" s="10"/>
      <c r="V94" s="10"/>
      <c r="W94" s="10"/>
      <c r="X94" s="10"/>
      <c r="Y94" s="10"/>
      <c r="Z94" s="10"/>
      <c r="AA94" s="10"/>
    </row>
    <row r="95" spans="1:27" ht="12.5" x14ac:dyDescent="0.25">
      <c r="A95" s="10" t="s">
        <v>32</v>
      </c>
      <c r="B95" s="10" t="s">
        <v>431</v>
      </c>
      <c r="C95" s="10" t="s">
        <v>76</v>
      </c>
      <c r="D95" s="11">
        <v>2024</v>
      </c>
      <c r="E95" s="10" t="s">
        <v>124</v>
      </c>
      <c r="F95" s="10" t="s">
        <v>83</v>
      </c>
      <c r="G95" s="10" t="s">
        <v>84</v>
      </c>
      <c r="H95" s="12">
        <v>17128.25</v>
      </c>
      <c r="I95" s="11">
        <v>3875</v>
      </c>
      <c r="J95" s="11">
        <v>3579</v>
      </c>
      <c r="K95" s="11">
        <v>31070</v>
      </c>
      <c r="L95" s="11">
        <v>0.22623443726008199</v>
      </c>
      <c r="M95" s="11">
        <f t="shared" si="0"/>
        <v>22.623443726008201</v>
      </c>
      <c r="N95" s="11">
        <v>0.92361290322580603</v>
      </c>
      <c r="O95" s="11">
        <v>1.81396231372148</v>
      </c>
      <c r="P95" s="11">
        <v>0.90456081081081097</v>
      </c>
      <c r="Q95" s="11">
        <v>0.79310344827586199</v>
      </c>
      <c r="R95" s="11">
        <v>0.85011185682326595</v>
      </c>
      <c r="S95" s="10" t="s">
        <v>84</v>
      </c>
      <c r="T95" s="10" t="s">
        <v>84</v>
      </c>
      <c r="U95" s="10"/>
      <c r="V95" s="10"/>
      <c r="W95" s="10"/>
      <c r="X95" s="10"/>
      <c r="Y95" s="10"/>
      <c r="Z95" s="10"/>
      <c r="AA95" s="10"/>
    </row>
    <row r="96" spans="1:27" ht="12.5" x14ac:dyDescent="0.25">
      <c r="A96" s="10" t="s">
        <v>52</v>
      </c>
      <c r="B96" s="10" t="s">
        <v>434</v>
      </c>
      <c r="C96" s="10" t="s">
        <v>76</v>
      </c>
      <c r="D96" s="11">
        <v>2024</v>
      </c>
      <c r="E96" s="10" t="s">
        <v>124</v>
      </c>
      <c r="F96" s="10" t="s">
        <v>83</v>
      </c>
      <c r="G96" s="10" t="s">
        <v>84</v>
      </c>
      <c r="H96" s="12">
        <v>9930.75</v>
      </c>
      <c r="I96" s="11">
        <v>2241</v>
      </c>
      <c r="J96" s="11">
        <v>1922</v>
      </c>
      <c r="K96" s="11">
        <v>25641</v>
      </c>
      <c r="L96" s="11">
        <v>0.225662714296503</v>
      </c>
      <c r="M96" s="11">
        <f t="shared" si="0"/>
        <v>22.566271429650328</v>
      </c>
      <c r="N96" s="11">
        <v>0.85765283355644795</v>
      </c>
      <c r="O96" s="11">
        <v>2.5819802129748499</v>
      </c>
      <c r="P96" s="11">
        <v>0.90371621621621601</v>
      </c>
      <c r="Q96" s="11">
        <v>0.89361702127659604</v>
      </c>
      <c r="R96" s="11">
        <v>0.84787472035794198</v>
      </c>
      <c r="S96" s="10" t="s">
        <v>84</v>
      </c>
      <c r="T96" s="10" t="s">
        <v>84</v>
      </c>
      <c r="U96" s="10"/>
      <c r="V96" s="10"/>
      <c r="W96" s="10"/>
      <c r="X96" s="10"/>
      <c r="Y96" s="10"/>
      <c r="Z96" s="10"/>
      <c r="AA96" s="10"/>
    </row>
    <row r="97" spans="1:27" ht="12.5" x14ac:dyDescent="0.25">
      <c r="A97" s="10" t="s">
        <v>32</v>
      </c>
      <c r="B97" s="10" t="s">
        <v>436</v>
      </c>
      <c r="C97" s="10" t="s">
        <v>76</v>
      </c>
      <c r="D97" s="11">
        <v>2024</v>
      </c>
      <c r="E97" s="10" t="s">
        <v>124</v>
      </c>
      <c r="F97" s="10" t="s">
        <v>83</v>
      </c>
      <c r="G97" s="10" t="s">
        <v>84</v>
      </c>
      <c r="H97" s="12">
        <v>22412.416666666701</v>
      </c>
      <c r="I97" s="11">
        <v>5009</v>
      </c>
      <c r="J97" s="11">
        <v>4484</v>
      </c>
      <c r="K97" s="11">
        <v>10845</v>
      </c>
      <c r="L97" s="11">
        <v>0.22349218625092501</v>
      </c>
      <c r="M97" s="11">
        <f t="shared" si="0"/>
        <v>22.349218625092458</v>
      </c>
      <c r="N97" s="11">
        <v>0.89518866041126</v>
      </c>
      <c r="O97" s="11">
        <v>0.48388356156743501</v>
      </c>
      <c r="P97" s="11">
        <v>0.90287162162162204</v>
      </c>
      <c r="Q97" s="11">
        <v>0.75862068965517204</v>
      </c>
      <c r="R97" s="11">
        <v>0.84563758389261701</v>
      </c>
      <c r="S97" s="10" t="s">
        <v>84</v>
      </c>
      <c r="T97" s="10" t="s">
        <v>84</v>
      </c>
      <c r="U97" s="10"/>
      <c r="V97" s="10"/>
      <c r="W97" s="10"/>
      <c r="X97" s="10"/>
      <c r="Y97" s="10"/>
      <c r="Z97" s="10"/>
      <c r="AA97" s="10"/>
    </row>
    <row r="98" spans="1:27" ht="12.5" x14ac:dyDescent="0.25">
      <c r="A98" s="10" t="s">
        <v>52</v>
      </c>
      <c r="B98" s="10" t="s">
        <v>438</v>
      </c>
      <c r="C98" s="10" t="s">
        <v>76</v>
      </c>
      <c r="D98" s="11">
        <v>2024</v>
      </c>
      <c r="E98" s="10" t="s">
        <v>124</v>
      </c>
      <c r="F98" s="10" t="s">
        <v>83</v>
      </c>
      <c r="G98" s="10" t="s">
        <v>84</v>
      </c>
      <c r="H98" s="12">
        <v>8797.5</v>
      </c>
      <c r="I98" s="11">
        <v>1936</v>
      </c>
      <c r="J98" s="11">
        <v>1751</v>
      </c>
      <c r="K98" s="11">
        <v>19762</v>
      </c>
      <c r="L98" s="11">
        <v>0.22006251776072699</v>
      </c>
      <c r="M98" s="11">
        <f t="shared" si="0"/>
        <v>22.006251776072748</v>
      </c>
      <c r="N98" s="11">
        <v>0.90444214876033102</v>
      </c>
      <c r="O98" s="11">
        <v>2.2463199772662699</v>
      </c>
      <c r="P98" s="11">
        <v>0.90118243243243201</v>
      </c>
      <c r="Q98" s="11">
        <v>0.87234042553191504</v>
      </c>
      <c r="R98" s="11">
        <v>0.84340044742729303</v>
      </c>
      <c r="S98" s="10" t="s">
        <v>84</v>
      </c>
      <c r="T98" s="10" t="s">
        <v>84</v>
      </c>
      <c r="U98" s="10"/>
      <c r="V98" s="10"/>
      <c r="W98" s="10"/>
      <c r="X98" s="10"/>
      <c r="Y98" s="10"/>
      <c r="Z98" s="10"/>
      <c r="AA98" s="10"/>
    </row>
    <row r="99" spans="1:27" ht="12.5" x14ac:dyDescent="0.25">
      <c r="A99" s="10" t="s">
        <v>14</v>
      </c>
      <c r="B99" s="10" t="s">
        <v>383</v>
      </c>
      <c r="C99" s="10" t="s">
        <v>76</v>
      </c>
      <c r="D99" s="11">
        <v>2024</v>
      </c>
      <c r="E99" s="10" t="s">
        <v>81</v>
      </c>
      <c r="F99" s="10" t="s">
        <v>83</v>
      </c>
      <c r="G99" s="10" t="s">
        <v>84</v>
      </c>
      <c r="H99" s="12">
        <v>14936.833333333299</v>
      </c>
      <c r="I99" s="11">
        <v>3284</v>
      </c>
      <c r="J99" s="11">
        <v>2805</v>
      </c>
      <c r="K99" s="11">
        <v>43706</v>
      </c>
      <c r="L99" s="11">
        <v>0.21985918478927899</v>
      </c>
      <c r="M99" s="11">
        <f t="shared" si="0"/>
        <v>21.985918478927978</v>
      </c>
      <c r="N99" s="11">
        <v>0.85414129110840398</v>
      </c>
      <c r="O99" s="11">
        <v>2.9260552772229702</v>
      </c>
      <c r="P99" s="11">
        <v>0.90033783783783805</v>
      </c>
      <c r="Q99" s="11">
        <v>0.78571428571428603</v>
      </c>
      <c r="R99" s="11">
        <v>0.93410852713178305</v>
      </c>
      <c r="S99" s="10" t="s">
        <v>84</v>
      </c>
      <c r="T99" s="10" t="s">
        <v>84</v>
      </c>
      <c r="U99" s="10"/>
      <c r="V99" s="10"/>
      <c r="W99" s="10"/>
      <c r="X99" s="10"/>
      <c r="Y99" s="10"/>
      <c r="Z99" s="10"/>
      <c r="AA99" s="10"/>
    </row>
    <row r="100" spans="1:27" ht="12.5" x14ac:dyDescent="0.25">
      <c r="A100" s="10" t="s">
        <v>16</v>
      </c>
      <c r="B100" s="10" t="s">
        <v>387</v>
      </c>
      <c r="C100" s="10" t="s">
        <v>76</v>
      </c>
      <c r="D100" s="11">
        <v>2024</v>
      </c>
      <c r="E100" s="10" t="s">
        <v>81</v>
      </c>
      <c r="F100" s="10" t="s">
        <v>83</v>
      </c>
      <c r="G100" s="10" t="s">
        <v>84</v>
      </c>
      <c r="H100" s="12">
        <v>56763.833333333299</v>
      </c>
      <c r="I100" s="11">
        <v>12473</v>
      </c>
      <c r="J100" s="11">
        <v>12103</v>
      </c>
      <c r="K100" s="11">
        <v>80593</v>
      </c>
      <c r="L100" s="11">
        <v>0.219734983836539</v>
      </c>
      <c r="M100" s="11">
        <f t="shared" si="0"/>
        <v>21.973498383653926</v>
      </c>
      <c r="N100" s="11">
        <v>0.97033592559929405</v>
      </c>
      <c r="O100" s="11">
        <v>1.4197948811303001</v>
      </c>
      <c r="P100" s="11">
        <v>0.89949324324324298</v>
      </c>
      <c r="Q100" s="11">
        <v>0.63333333333333297</v>
      </c>
      <c r="R100" s="11">
        <v>0.93217054263565902</v>
      </c>
      <c r="S100" s="10" t="s">
        <v>84</v>
      </c>
      <c r="T100" s="10" t="s">
        <v>84</v>
      </c>
      <c r="U100" s="10"/>
      <c r="V100" s="10"/>
      <c r="W100" s="10"/>
      <c r="X100" s="10"/>
      <c r="Y100" s="10"/>
      <c r="Z100" s="10"/>
      <c r="AA100" s="10"/>
    </row>
    <row r="101" spans="1:27" ht="12.5" x14ac:dyDescent="0.25">
      <c r="A101" s="10" t="s">
        <v>12</v>
      </c>
      <c r="B101" s="10" t="s">
        <v>391</v>
      </c>
      <c r="C101" s="10" t="s">
        <v>76</v>
      </c>
      <c r="D101" s="11">
        <v>2024</v>
      </c>
      <c r="E101" s="10" t="s">
        <v>81</v>
      </c>
      <c r="F101" s="10" t="s">
        <v>83</v>
      </c>
      <c r="G101" s="10" t="s">
        <v>84</v>
      </c>
      <c r="H101" s="12">
        <v>44151</v>
      </c>
      <c r="I101" s="11">
        <v>9701</v>
      </c>
      <c r="J101" s="11">
        <v>8892</v>
      </c>
      <c r="K101" s="11">
        <v>46582</v>
      </c>
      <c r="L101" s="11">
        <v>0.219723222577065</v>
      </c>
      <c r="M101" s="11">
        <f t="shared" si="0"/>
        <v>21.972322257706509</v>
      </c>
      <c r="N101" s="11">
        <v>0.91660653540872095</v>
      </c>
      <c r="O101" s="11">
        <v>1.05506104052003</v>
      </c>
      <c r="P101" s="11">
        <v>0.89864864864864902</v>
      </c>
      <c r="Q101" s="11">
        <v>0.875</v>
      </c>
      <c r="R101" s="11">
        <v>0.93023255813953498</v>
      </c>
      <c r="S101" s="10" t="s">
        <v>84</v>
      </c>
      <c r="T101" s="10" t="s">
        <v>84</v>
      </c>
      <c r="U101" s="10"/>
      <c r="V101" s="10"/>
      <c r="W101" s="10"/>
      <c r="X101" s="10"/>
      <c r="Y101" s="10"/>
      <c r="Z101" s="10"/>
      <c r="AA101" s="10"/>
    </row>
    <row r="102" spans="1:27" ht="12.5" x14ac:dyDescent="0.25">
      <c r="A102" s="10" t="s">
        <v>26</v>
      </c>
      <c r="B102" s="10" t="s">
        <v>439</v>
      </c>
      <c r="C102" s="10" t="s">
        <v>76</v>
      </c>
      <c r="D102" s="11">
        <v>2024</v>
      </c>
      <c r="E102" s="10" t="s">
        <v>124</v>
      </c>
      <c r="F102" s="10" t="s">
        <v>83</v>
      </c>
      <c r="G102" s="10" t="s">
        <v>84</v>
      </c>
      <c r="H102" s="12">
        <v>3812.4166666666702</v>
      </c>
      <c r="I102" s="11">
        <v>833</v>
      </c>
      <c r="J102" s="11">
        <v>669</v>
      </c>
      <c r="K102" s="11">
        <v>7166</v>
      </c>
      <c r="L102" s="11">
        <v>0.21849657916019999</v>
      </c>
      <c r="M102" s="11">
        <f t="shared" si="0"/>
        <v>21.84965791602</v>
      </c>
      <c r="N102" s="11">
        <v>0.80312124849940003</v>
      </c>
      <c r="O102" s="11">
        <v>1.8796476425714199</v>
      </c>
      <c r="P102" s="11">
        <v>0.89780405405405395</v>
      </c>
      <c r="Q102" s="11">
        <v>0.80769230769230804</v>
      </c>
      <c r="R102" s="11">
        <v>0.84116331096196895</v>
      </c>
      <c r="S102" s="10" t="s">
        <v>84</v>
      </c>
      <c r="T102" s="10" t="s">
        <v>84</v>
      </c>
      <c r="U102" s="10"/>
      <c r="V102" s="10"/>
      <c r="W102" s="10"/>
      <c r="X102" s="10"/>
      <c r="Y102" s="10"/>
      <c r="Z102" s="10"/>
      <c r="AA102" s="10"/>
    </row>
    <row r="103" spans="1:27" ht="12.5" x14ac:dyDescent="0.25">
      <c r="A103" s="10" t="s">
        <v>65</v>
      </c>
      <c r="B103" s="10" t="s">
        <v>393</v>
      </c>
      <c r="C103" s="10" t="s">
        <v>76</v>
      </c>
      <c r="D103" s="11">
        <v>2024</v>
      </c>
      <c r="E103" s="10" t="s">
        <v>81</v>
      </c>
      <c r="F103" s="10" t="s">
        <v>83</v>
      </c>
      <c r="G103" s="10" t="s">
        <v>84</v>
      </c>
      <c r="H103" s="12">
        <v>5026.6666666666697</v>
      </c>
      <c r="I103" s="11">
        <v>1084</v>
      </c>
      <c r="J103" s="11">
        <v>967</v>
      </c>
      <c r="K103" s="11">
        <v>7478</v>
      </c>
      <c r="L103" s="11">
        <v>0.21564986737400499</v>
      </c>
      <c r="M103" s="11">
        <f t="shared" si="0"/>
        <v>21.564986737400517</v>
      </c>
      <c r="N103" s="11">
        <v>0.89206642066420705</v>
      </c>
      <c r="O103" s="11">
        <v>1.4876657824933699</v>
      </c>
      <c r="P103" s="11">
        <v>0.89611486486486502</v>
      </c>
      <c r="Q103" s="11">
        <v>0.92307692307692302</v>
      </c>
      <c r="R103" s="11">
        <v>0.92829457364341095</v>
      </c>
      <c r="S103" s="10" t="s">
        <v>84</v>
      </c>
      <c r="T103" s="10" t="s">
        <v>84</v>
      </c>
      <c r="U103" s="10"/>
      <c r="V103" s="10"/>
      <c r="W103" s="10"/>
      <c r="X103" s="10"/>
      <c r="Y103" s="10"/>
      <c r="Z103" s="10"/>
      <c r="AA103" s="10"/>
    </row>
    <row r="104" spans="1:27" ht="12.5" x14ac:dyDescent="0.25">
      <c r="A104" s="10" t="s">
        <v>86</v>
      </c>
      <c r="B104" s="10" t="s">
        <v>444</v>
      </c>
      <c r="C104" s="10" t="s">
        <v>76</v>
      </c>
      <c r="D104" s="11">
        <v>2024</v>
      </c>
      <c r="E104" s="10" t="s">
        <v>124</v>
      </c>
      <c r="F104" s="10" t="s">
        <v>83</v>
      </c>
      <c r="G104" s="10" t="s">
        <v>84</v>
      </c>
      <c r="H104" s="12">
        <v>13492.416666666701</v>
      </c>
      <c r="I104" s="11">
        <v>2906</v>
      </c>
      <c r="J104" s="11">
        <v>6833</v>
      </c>
      <c r="K104" s="11">
        <v>19872</v>
      </c>
      <c r="L104" s="11">
        <v>0.215380244458307</v>
      </c>
      <c r="M104" s="11">
        <f t="shared" si="0"/>
        <v>21.538024445830629</v>
      </c>
      <c r="N104" s="11">
        <v>2.3513420509291101</v>
      </c>
      <c r="O104" s="11">
        <v>1.47282732893168</v>
      </c>
      <c r="P104" s="11">
        <v>0.89527027027026995</v>
      </c>
      <c r="Q104" s="11">
        <v>0.69565217391304301</v>
      </c>
      <c r="R104" s="11">
        <v>0.83668903803132</v>
      </c>
      <c r="S104" s="10" t="s">
        <v>84</v>
      </c>
      <c r="T104" s="10" t="s">
        <v>84</v>
      </c>
      <c r="U104" s="10"/>
      <c r="V104" s="10"/>
      <c r="W104" s="10"/>
      <c r="X104" s="10"/>
      <c r="Y104" s="10"/>
      <c r="Z104" s="10"/>
      <c r="AA104" s="10"/>
    </row>
    <row r="105" spans="1:27" ht="12.5" x14ac:dyDescent="0.25">
      <c r="A105" s="10" t="s">
        <v>36</v>
      </c>
      <c r="B105" s="10" t="s">
        <v>446</v>
      </c>
      <c r="C105" s="10" t="s">
        <v>76</v>
      </c>
      <c r="D105" s="11">
        <v>2024</v>
      </c>
      <c r="E105" s="10" t="s">
        <v>124</v>
      </c>
      <c r="F105" s="10" t="s">
        <v>83</v>
      </c>
      <c r="G105" s="10" t="s">
        <v>84</v>
      </c>
      <c r="H105" s="12">
        <v>8932.8333333333303</v>
      </c>
      <c r="I105" s="11">
        <v>1922</v>
      </c>
      <c r="J105" s="11">
        <v>1197</v>
      </c>
      <c r="K105" s="11">
        <v>13185</v>
      </c>
      <c r="L105" s="11">
        <v>0.215161296341213</v>
      </c>
      <c r="M105" s="11">
        <f t="shared" si="0"/>
        <v>21.51612963412132</v>
      </c>
      <c r="N105" s="11">
        <v>0.62278876170655595</v>
      </c>
      <c r="O105" s="11">
        <v>1.4760154486258601</v>
      </c>
      <c r="P105" s="11">
        <v>0.89442567567567599</v>
      </c>
      <c r="Q105" s="11">
        <v>0.78723404255319196</v>
      </c>
      <c r="R105" s="11">
        <v>0.83445190156599602</v>
      </c>
      <c r="S105" s="10" t="s">
        <v>84</v>
      </c>
      <c r="T105" s="10" t="s">
        <v>84</v>
      </c>
      <c r="U105" s="10"/>
      <c r="V105" s="10"/>
      <c r="W105" s="10"/>
      <c r="X105" s="10"/>
      <c r="Y105" s="10"/>
      <c r="Z105" s="10"/>
      <c r="AA105" s="10"/>
    </row>
    <row r="106" spans="1:27" ht="12.5" x14ac:dyDescent="0.25">
      <c r="A106" s="10" t="s">
        <v>25</v>
      </c>
      <c r="B106" s="10" t="s">
        <v>448</v>
      </c>
      <c r="C106" s="10" t="s">
        <v>76</v>
      </c>
      <c r="D106" s="11">
        <v>2024</v>
      </c>
      <c r="E106" s="10" t="s">
        <v>124</v>
      </c>
      <c r="F106" s="10" t="s">
        <v>83</v>
      </c>
      <c r="G106" s="10" t="s">
        <v>84</v>
      </c>
      <c r="H106" s="12">
        <v>13621.166666666701</v>
      </c>
      <c r="I106" s="11">
        <v>2897</v>
      </c>
      <c r="J106" s="11">
        <v>2647</v>
      </c>
      <c r="K106" s="11">
        <v>25850</v>
      </c>
      <c r="L106" s="11">
        <v>0.21268369082433</v>
      </c>
      <c r="M106" s="11">
        <f t="shared" si="0"/>
        <v>21.268369082432926</v>
      </c>
      <c r="N106" s="11">
        <v>0.913703831549879</v>
      </c>
      <c r="O106" s="11">
        <v>1.8977816388708799</v>
      </c>
      <c r="P106" s="11">
        <v>0.89358108108108103</v>
      </c>
      <c r="Q106" s="11">
        <v>1</v>
      </c>
      <c r="R106" s="11">
        <v>0.83221476510067105</v>
      </c>
      <c r="S106" s="10" t="s">
        <v>84</v>
      </c>
      <c r="T106" s="10" t="s">
        <v>84</v>
      </c>
      <c r="U106" s="10"/>
      <c r="V106" s="10"/>
      <c r="W106" s="10"/>
      <c r="X106" s="10"/>
      <c r="Y106" s="10"/>
      <c r="Z106" s="10"/>
      <c r="AA106" s="10"/>
    </row>
    <row r="107" spans="1:27" ht="12.5" x14ac:dyDescent="0.25">
      <c r="A107" s="10" t="s">
        <v>10</v>
      </c>
      <c r="B107" s="10" t="s">
        <v>450</v>
      </c>
      <c r="C107" s="10" t="s">
        <v>76</v>
      </c>
      <c r="D107" s="11">
        <v>2024</v>
      </c>
      <c r="E107" s="10" t="s">
        <v>124</v>
      </c>
      <c r="F107" s="10" t="s">
        <v>83</v>
      </c>
      <c r="G107" s="10" t="s">
        <v>84</v>
      </c>
      <c r="H107" s="12">
        <v>15573.833333333299</v>
      </c>
      <c r="I107" s="11">
        <v>3302</v>
      </c>
      <c r="J107" s="11">
        <v>815</v>
      </c>
      <c r="K107" s="11">
        <v>15515</v>
      </c>
      <c r="L107" s="11">
        <v>0.212022302366148</v>
      </c>
      <c r="M107" s="11">
        <f t="shared" si="0"/>
        <v>21.202230236614881</v>
      </c>
      <c r="N107" s="11">
        <v>0.24682010902483301</v>
      </c>
      <c r="O107" s="11">
        <v>0.99622229594512202</v>
      </c>
      <c r="P107" s="11">
        <v>0.89273648648648696</v>
      </c>
      <c r="Q107" s="11">
        <v>0.8</v>
      </c>
      <c r="R107" s="11">
        <v>0.82997762863534696</v>
      </c>
      <c r="S107" s="10" t="s">
        <v>84</v>
      </c>
      <c r="T107" s="10" t="s">
        <v>84</v>
      </c>
      <c r="U107" s="10"/>
      <c r="V107" s="10"/>
      <c r="W107" s="10"/>
      <c r="X107" s="10"/>
      <c r="Y107" s="10"/>
      <c r="Z107" s="10"/>
      <c r="AA107" s="10"/>
    </row>
    <row r="108" spans="1:27" ht="12.5" x14ac:dyDescent="0.25">
      <c r="A108" s="10" t="s">
        <v>22</v>
      </c>
      <c r="B108" s="10" t="s">
        <v>400</v>
      </c>
      <c r="C108" s="10" t="s">
        <v>76</v>
      </c>
      <c r="D108" s="11">
        <v>2024</v>
      </c>
      <c r="E108" s="10" t="s">
        <v>81</v>
      </c>
      <c r="F108" s="10" t="s">
        <v>83</v>
      </c>
      <c r="G108" s="10" t="s">
        <v>84</v>
      </c>
      <c r="H108" s="12">
        <v>22368.25</v>
      </c>
      <c r="I108" s="11">
        <v>4688</v>
      </c>
      <c r="J108" s="11">
        <v>4045</v>
      </c>
      <c r="K108" s="11">
        <v>5509</v>
      </c>
      <c r="L108" s="11">
        <v>0.20958277916242901</v>
      </c>
      <c r="M108" s="11">
        <f t="shared" si="0"/>
        <v>20.958277916242888</v>
      </c>
      <c r="N108" s="11">
        <v>0.86284129692832801</v>
      </c>
      <c r="O108" s="11">
        <v>0.24628658925038799</v>
      </c>
      <c r="P108" s="11">
        <v>0.89020270270270296</v>
      </c>
      <c r="Q108" s="11">
        <v>1</v>
      </c>
      <c r="R108" s="11">
        <v>0.92248062015503896</v>
      </c>
      <c r="S108" s="10" t="s">
        <v>84</v>
      </c>
      <c r="T108" s="10" t="s">
        <v>84</v>
      </c>
      <c r="U108" s="10"/>
      <c r="V108" s="10"/>
      <c r="W108" s="10"/>
      <c r="X108" s="10"/>
      <c r="Y108" s="10"/>
      <c r="Z108" s="10"/>
      <c r="AA108" s="10"/>
    </row>
    <row r="109" spans="1:27" ht="12.5" x14ac:dyDescent="0.25">
      <c r="A109" s="10" t="s">
        <v>42</v>
      </c>
      <c r="B109" s="10" t="s">
        <v>211</v>
      </c>
      <c r="C109" s="10" t="s">
        <v>76</v>
      </c>
      <c r="D109" s="11">
        <v>2024</v>
      </c>
      <c r="E109" s="10" t="s">
        <v>81</v>
      </c>
      <c r="F109" s="10" t="s">
        <v>83</v>
      </c>
      <c r="G109" s="10" t="s">
        <v>84</v>
      </c>
      <c r="H109" s="12">
        <v>305.66666666666703</v>
      </c>
      <c r="I109" s="11">
        <v>63</v>
      </c>
      <c r="J109" s="11">
        <v>62</v>
      </c>
      <c r="K109" s="11">
        <v>517</v>
      </c>
      <c r="L109" s="11">
        <v>0.206106870229008</v>
      </c>
      <c r="M109" s="11">
        <f t="shared" si="0"/>
        <v>20.610687022900738</v>
      </c>
      <c r="N109" s="11">
        <v>0.98412698412698396</v>
      </c>
      <c r="O109" s="11">
        <v>1.6913849509269401</v>
      </c>
      <c r="P109" s="11">
        <v>0.88851351351351304</v>
      </c>
      <c r="Q109" s="11">
        <v>0.92857142857142905</v>
      </c>
      <c r="R109" s="11">
        <v>0.918604651162791</v>
      </c>
      <c r="S109" s="10" t="s">
        <v>84</v>
      </c>
      <c r="T109" s="10" t="s">
        <v>84</v>
      </c>
      <c r="U109" s="10"/>
      <c r="V109" s="10"/>
      <c r="W109" s="10"/>
      <c r="X109" s="10"/>
      <c r="Y109" s="10"/>
      <c r="Z109" s="10"/>
      <c r="AA109" s="10"/>
    </row>
    <row r="110" spans="1:27" ht="12.5" x14ac:dyDescent="0.25">
      <c r="A110" s="10" t="s">
        <v>36</v>
      </c>
      <c r="B110" s="10" t="s">
        <v>405</v>
      </c>
      <c r="C110" s="10" t="s">
        <v>76</v>
      </c>
      <c r="D110" s="11">
        <v>2024</v>
      </c>
      <c r="E110" s="10" t="s">
        <v>81</v>
      </c>
      <c r="F110" s="10" t="s">
        <v>83</v>
      </c>
      <c r="G110" s="10" t="s">
        <v>84</v>
      </c>
      <c r="H110" s="12">
        <v>32234.333333333299</v>
      </c>
      <c r="I110" s="11">
        <v>6630</v>
      </c>
      <c r="J110" s="11">
        <v>2996</v>
      </c>
      <c r="K110" s="11">
        <v>3502</v>
      </c>
      <c r="L110" s="11">
        <v>0.20568131288584601</v>
      </c>
      <c r="M110" s="11">
        <f t="shared" si="0"/>
        <v>20.568131288584656</v>
      </c>
      <c r="N110" s="11">
        <v>0.45188536953242803</v>
      </c>
      <c r="O110" s="11">
        <v>0.108641924242268</v>
      </c>
      <c r="P110" s="11">
        <v>0.88766891891891897</v>
      </c>
      <c r="Q110" s="11">
        <v>0.74468085106382997</v>
      </c>
      <c r="R110" s="11">
        <v>0.91666666666666696</v>
      </c>
      <c r="S110" s="10" t="s">
        <v>84</v>
      </c>
      <c r="T110" s="10" t="s">
        <v>84</v>
      </c>
      <c r="U110" s="10"/>
      <c r="V110" s="10"/>
      <c r="W110" s="10"/>
      <c r="X110" s="10"/>
      <c r="Y110" s="10"/>
      <c r="Z110" s="10"/>
      <c r="AA110" s="10"/>
    </row>
    <row r="111" spans="1:27" ht="12.5" x14ac:dyDescent="0.25">
      <c r="A111" s="10" t="s">
        <v>29</v>
      </c>
      <c r="B111" s="10" t="s">
        <v>408</v>
      </c>
      <c r="C111" s="10" t="s">
        <v>76</v>
      </c>
      <c r="D111" s="11">
        <v>2024</v>
      </c>
      <c r="E111" s="10" t="s">
        <v>81</v>
      </c>
      <c r="F111" s="10" t="s">
        <v>83</v>
      </c>
      <c r="G111" s="10" t="s">
        <v>84</v>
      </c>
      <c r="H111" s="12">
        <v>16333</v>
      </c>
      <c r="I111" s="11">
        <v>3339</v>
      </c>
      <c r="J111" s="11">
        <v>2986</v>
      </c>
      <c r="K111" s="11">
        <v>6531</v>
      </c>
      <c r="L111" s="11">
        <v>0.20443274352537799</v>
      </c>
      <c r="M111" s="11">
        <f t="shared" si="0"/>
        <v>20.443274352537806</v>
      </c>
      <c r="N111" s="11">
        <v>0.89427972446840398</v>
      </c>
      <c r="O111" s="11">
        <v>0.39986530337353798</v>
      </c>
      <c r="P111" s="11">
        <v>0.88682432432432401</v>
      </c>
      <c r="Q111" s="11">
        <v>0.77551020408163296</v>
      </c>
      <c r="R111" s="11">
        <v>0.91472868217054304</v>
      </c>
      <c r="S111" s="10" t="s">
        <v>84</v>
      </c>
      <c r="T111" s="10" t="s">
        <v>84</v>
      </c>
      <c r="U111" s="10"/>
      <c r="V111" s="10"/>
      <c r="W111" s="10"/>
      <c r="X111" s="10"/>
      <c r="Y111" s="10"/>
      <c r="Z111" s="10"/>
      <c r="AA111" s="10"/>
    </row>
    <row r="112" spans="1:27" ht="12.5" x14ac:dyDescent="0.25">
      <c r="A112" s="10" t="s">
        <v>14</v>
      </c>
      <c r="B112" s="10" t="s">
        <v>453</v>
      </c>
      <c r="C112" s="10" t="s">
        <v>76</v>
      </c>
      <c r="D112" s="11">
        <v>2024</v>
      </c>
      <c r="E112" s="10" t="s">
        <v>124</v>
      </c>
      <c r="F112" s="10" t="s">
        <v>83</v>
      </c>
      <c r="G112" s="10" t="s">
        <v>84</v>
      </c>
      <c r="H112" s="12">
        <v>15635</v>
      </c>
      <c r="I112" s="11">
        <v>3133</v>
      </c>
      <c r="J112" s="11">
        <v>2700</v>
      </c>
      <c r="K112" s="11">
        <v>42679</v>
      </c>
      <c r="L112" s="11">
        <v>0.200383754397186</v>
      </c>
      <c r="M112" s="11">
        <f t="shared" si="0"/>
        <v>20.038375439718582</v>
      </c>
      <c r="N112" s="11">
        <v>0.86179380785189896</v>
      </c>
      <c r="O112" s="11">
        <v>2.7297089862488</v>
      </c>
      <c r="P112" s="11">
        <v>0.88597972972973005</v>
      </c>
      <c r="Q112" s="11">
        <v>0.75</v>
      </c>
      <c r="R112" s="11">
        <v>0.82774049217002199</v>
      </c>
      <c r="S112" s="10" t="s">
        <v>84</v>
      </c>
      <c r="T112" s="10" t="s">
        <v>84</v>
      </c>
      <c r="U112" s="10"/>
      <c r="V112" s="10"/>
      <c r="W112" s="10"/>
      <c r="X112" s="10"/>
      <c r="Y112" s="10"/>
      <c r="Z112" s="10"/>
      <c r="AA112" s="10"/>
    </row>
    <row r="113" spans="1:27" ht="12.5" x14ac:dyDescent="0.25">
      <c r="A113" s="10" t="s">
        <v>101</v>
      </c>
      <c r="B113" s="10" t="s">
        <v>410</v>
      </c>
      <c r="C113" s="10" t="s">
        <v>76</v>
      </c>
      <c r="D113" s="11">
        <v>2024</v>
      </c>
      <c r="E113" s="10" t="s">
        <v>81</v>
      </c>
      <c r="F113" s="10" t="s">
        <v>83</v>
      </c>
      <c r="G113" s="10" t="s">
        <v>84</v>
      </c>
      <c r="H113" s="12">
        <v>40606.25</v>
      </c>
      <c r="I113" s="11">
        <v>8054</v>
      </c>
      <c r="J113" s="11">
        <v>7502</v>
      </c>
      <c r="K113" s="11">
        <v>42158</v>
      </c>
      <c r="L113" s="11">
        <v>0.19834385100815799</v>
      </c>
      <c r="M113" s="11">
        <f t="shared" si="0"/>
        <v>19.834385100815759</v>
      </c>
      <c r="N113" s="11">
        <v>0.93146262726595497</v>
      </c>
      <c r="O113" s="11">
        <v>1.0382145605664199</v>
      </c>
      <c r="P113" s="11">
        <v>0.88513513513513498</v>
      </c>
      <c r="Q113" s="11">
        <v>0.92857142857142905</v>
      </c>
      <c r="R113" s="11">
        <v>0.912790697674419</v>
      </c>
      <c r="S113" s="10" t="s">
        <v>84</v>
      </c>
      <c r="T113" s="10" t="s">
        <v>84</v>
      </c>
      <c r="U113" s="10"/>
      <c r="V113" s="10"/>
      <c r="W113" s="10"/>
      <c r="X113" s="10"/>
      <c r="Y113" s="10"/>
      <c r="Z113" s="10"/>
      <c r="AA113" s="10"/>
    </row>
    <row r="114" spans="1:27" ht="12.5" x14ac:dyDescent="0.25">
      <c r="A114" s="10" t="s">
        <v>26</v>
      </c>
      <c r="B114" s="10" t="s">
        <v>455</v>
      </c>
      <c r="C114" s="10" t="s">
        <v>76</v>
      </c>
      <c r="D114" s="11">
        <v>2024</v>
      </c>
      <c r="E114" s="10" t="s">
        <v>124</v>
      </c>
      <c r="F114" s="10" t="s">
        <v>83</v>
      </c>
      <c r="G114" s="10" t="s">
        <v>84</v>
      </c>
      <c r="H114" s="12">
        <v>5619.5</v>
      </c>
      <c r="I114" s="11">
        <v>1109</v>
      </c>
      <c r="J114" s="11">
        <v>1022</v>
      </c>
      <c r="K114" s="11">
        <v>18162</v>
      </c>
      <c r="L114" s="11">
        <v>0.19734851855147301</v>
      </c>
      <c r="M114" s="11">
        <f t="shared" si="0"/>
        <v>19.734851855147255</v>
      </c>
      <c r="N114" s="11">
        <v>0.92155094679891802</v>
      </c>
      <c r="O114" s="11">
        <v>3.2319601388023802</v>
      </c>
      <c r="P114" s="11">
        <v>0.88429054054054101</v>
      </c>
      <c r="Q114" s="11">
        <v>0.76923076923076905</v>
      </c>
      <c r="R114" s="11">
        <v>0.82550335570469802</v>
      </c>
      <c r="S114" s="10" t="s">
        <v>84</v>
      </c>
      <c r="T114" s="10" t="s">
        <v>84</v>
      </c>
      <c r="U114" s="10"/>
      <c r="V114" s="10"/>
      <c r="W114" s="10"/>
      <c r="X114" s="10"/>
      <c r="Y114" s="10"/>
      <c r="Z114" s="10"/>
      <c r="AA114" s="10"/>
    </row>
    <row r="115" spans="1:27" ht="12.5" x14ac:dyDescent="0.25">
      <c r="A115" s="10" t="s">
        <v>32</v>
      </c>
      <c r="B115" s="10" t="s">
        <v>457</v>
      </c>
      <c r="C115" s="10" t="s">
        <v>76</v>
      </c>
      <c r="D115" s="11">
        <v>2024</v>
      </c>
      <c r="E115" s="10" t="s">
        <v>124</v>
      </c>
      <c r="F115" s="10" t="s">
        <v>83</v>
      </c>
      <c r="G115" s="10" t="s">
        <v>84</v>
      </c>
      <c r="H115" s="12">
        <v>11949.666666666701</v>
      </c>
      <c r="I115" s="11">
        <v>2340</v>
      </c>
      <c r="J115" s="11">
        <v>1523</v>
      </c>
      <c r="K115" s="11">
        <v>10217</v>
      </c>
      <c r="L115" s="11">
        <v>0.19582136182320301</v>
      </c>
      <c r="M115" s="11">
        <f t="shared" si="0"/>
        <v>19.58213618232023</v>
      </c>
      <c r="N115" s="11">
        <v>0.65085470085470098</v>
      </c>
      <c r="O115" s="11">
        <v>0.85500292895199304</v>
      </c>
      <c r="P115" s="11">
        <v>0.88260135135135098</v>
      </c>
      <c r="Q115" s="11">
        <v>0.72413793103448298</v>
      </c>
      <c r="R115" s="11">
        <v>0.82326621923937404</v>
      </c>
      <c r="S115" s="10" t="s">
        <v>84</v>
      </c>
      <c r="T115" s="10" t="s">
        <v>84</v>
      </c>
      <c r="U115" s="10"/>
      <c r="V115" s="10"/>
      <c r="W115" s="10"/>
      <c r="X115" s="10"/>
      <c r="Y115" s="10"/>
      <c r="Z115" s="10"/>
      <c r="AA115" s="10"/>
    </row>
    <row r="116" spans="1:27" ht="12.5" x14ac:dyDescent="0.25">
      <c r="A116" s="10" t="s">
        <v>14</v>
      </c>
      <c r="B116" s="10" t="s">
        <v>459</v>
      </c>
      <c r="C116" s="10" t="s">
        <v>76</v>
      </c>
      <c r="D116" s="11">
        <v>2024</v>
      </c>
      <c r="E116" s="10" t="s">
        <v>124</v>
      </c>
      <c r="F116" s="10" t="s">
        <v>125</v>
      </c>
      <c r="G116" s="10" t="s">
        <v>84</v>
      </c>
      <c r="H116" s="12">
        <v>2950</v>
      </c>
      <c r="I116" s="11">
        <v>576</v>
      </c>
      <c r="J116" s="11">
        <v>536</v>
      </c>
      <c r="K116" s="11">
        <v>1678</v>
      </c>
      <c r="L116" s="11">
        <v>0.19525423728813601</v>
      </c>
      <c r="M116" s="11">
        <f t="shared" si="0"/>
        <v>19.525423728813561</v>
      </c>
      <c r="N116" s="11">
        <v>0.93055555555555602</v>
      </c>
      <c r="O116" s="11">
        <v>0.56881355932203403</v>
      </c>
      <c r="P116" s="11">
        <v>0.88175675675675702</v>
      </c>
      <c r="Q116" s="11">
        <v>0.71428571428571397</v>
      </c>
      <c r="R116" s="11">
        <v>0.82102908277404896</v>
      </c>
      <c r="S116" s="10" t="s">
        <v>84</v>
      </c>
      <c r="T116" s="10" t="s">
        <v>84</v>
      </c>
      <c r="U116" s="10"/>
      <c r="V116" s="10"/>
      <c r="W116" s="10"/>
      <c r="X116" s="10"/>
      <c r="Y116" s="10"/>
      <c r="Z116" s="10"/>
      <c r="AA116" s="10"/>
    </row>
    <row r="117" spans="1:27" ht="12.5" x14ac:dyDescent="0.25">
      <c r="A117" s="10" t="s">
        <v>29</v>
      </c>
      <c r="B117" s="10" t="s">
        <v>461</v>
      </c>
      <c r="C117" s="10" t="s">
        <v>76</v>
      </c>
      <c r="D117" s="11">
        <v>2024</v>
      </c>
      <c r="E117" s="10" t="s">
        <v>124</v>
      </c>
      <c r="F117" s="10" t="s">
        <v>83</v>
      </c>
      <c r="G117" s="10" t="s">
        <v>84</v>
      </c>
      <c r="H117" s="12">
        <v>15194.416666666701</v>
      </c>
      <c r="I117" s="11">
        <v>2963</v>
      </c>
      <c r="J117" s="11">
        <v>2636</v>
      </c>
      <c r="K117" s="11">
        <v>30847</v>
      </c>
      <c r="L117" s="11">
        <v>0.19500584096131801</v>
      </c>
      <c r="M117" s="11">
        <f t="shared" si="0"/>
        <v>19.50058409613176</v>
      </c>
      <c r="N117" s="11">
        <v>0.889638879514006</v>
      </c>
      <c r="O117" s="11">
        <v>2.0301536200249002</v>
      </c>
      <c r="P117" s="11">
        <v>0.88091216216216195</v>
      </c>
      <c r="Q117" s="11">
        <v>0.75510204081632604</v>
      </c>
      <c r="R117" s="11">
        <v>0.81879194630872498</v>
      </c>
      <c r="S117" s="10" t="s">
        <v>84</v>
      </c>
      <c r="T117" s="10" t="s">
        <v>84</v>
      </c>
      <c r="U117" s="10"/>
      <c r="V117" s="10"/>
      <c r="W117" s="10"/>
      <c r="X117" s="10"/>
      <c r="Y117" s="10"/>
      <c r="Z117" s="10"/>
      <c r="AA117" s="10"/>
    </row>
    <row r="118" spans="1:27" ht="12.5" x14ac:dyDescent="0.25">
      <c r="A118" s="10" t="s">
        <v>55</v>
      </c>
      <c r="B118" s="10" t="s">
        <v>414</v>
      </c>
      <c r="C118" s="10" t="s">
        <v>76</v>
      </c>
      <c r="D118" s="11">
        <v>2024</v>
      </c>
      <c r="E118" s="10" t="s">
        <v>81</v>
      </c>
      <c r="F118" s="10" t="s">
        <v>83</v>
      </c>
      <c r="G118" s="10" t="s">
        <v>84</v>
      </c>
      <c r="H118" s="12">
        <v>12796.583333333299</v>
      </c>
      <c r="I118" s="11">
        <v>2495</v>
      </c>
      <c r="J118" s="11">
        <v>2253</v>
      </c>
      <c r="K118" s="11">
        <v>34485</v>
      </c>
      <c r="L118" s="11">
        <v>0.19497391881947701</v>
      </c>
      <c r="M118" s="11">
        <f t="shared" si="0"/>
        <v>19.497391881947706</v>
      </c>
      <c r="N118" s="11">
        <v>0.90300601202404795</v>
      </c>
      <c r="O118" s="11">
        <v>2.6948599561080799</v>
      </c>
      <c r="P118" s="11">
        <v>0.88006756756756799</v>
      </c>
      <c r="Q118" s="11">
        <v>0.86363636363636398</v>
      </c>
      <c r="R118" s="11">
        <v>0.90891472868217005</v>
      </c>
      <c r="S118" s="10" t="s">
        <v>84</v>
      </c>
      <c r="T118" s="10" t="s">
        <v>84</v>
      </c>
      <c r="U118" s="10"/>
      <c r="V118" s="10"/>
      <c r="W118" s="10"/>
      <c r="X118" s="10"/>
      <c r="Y118" s="10"/>
      <c r="Z118" s="10"/>
      <c r="AA118" s="10"/>
    </row>
    <row r="119" spans="1:27" ht="12.5" x14ac:dyDescent="0.25">
      <c r="A119" s="10" t="s">
        <v>52</v>
      </c>
      <c r="B119" s="10" t="s">
        <v>416</v>
      </c>
      <c r="C119" s="10" t="s">
        <v>76</v>
      </c>
      <c r="D119" s="11">
        <v>2024</v>
      </c>
      <c r="E119" s="10" t="s">
        <v>81</v>
      </c>
      <c r="F119" s="10" t="s">
        <v>83</v>
      </c>
      <c r="G119" s="10" t="s">
        <v>84</v>
      </c>
      <c r="H119" s="12">
        <v>27998.916666666701</v>
      </c>
      <c r="I119" s="11">
        <v>5456</v>
      </c>
      <c r="J119" s="11">
        <v>4802</v>
      </c>
      <c r="K119" s="11">
        <v>48543</v>
      </c>
      <c r="L119" s="11">
        <v>0.194864682264492</v>
      </c>
      <c r="M119" s="11">
        <f t="shared" si="0"/>
        <v>19.486468226449212</v>
      </c>
      <c r="N119" s="11">
        <v>0.88013196480938405</v>
      </c>
      <c r="O119" s="11">
        <v>1.7337456508733999</v>
      </c>
      <c r="P119" s="11">
        <v>0.87922297297297303</v>
      </c>
      <c r="Q119" s="11">
        <v>0.85106382978723405</v>
      </c>
      <c r="R119" s="11">
        <v>0.90697674418604601</v>
      </c>
      <c r="S119" s="10" t="s">
        <v>84</v>
      </c>
      <c r="T119" s="10" t="s">
        <v>84</v>
      </c>
      <c r="U119" s="10"/>
      <c r="V119" s="10"/>
      <c r="W119" s="10"/>
      <c r="X119" s="10"/>
      <c r="Y119" s="10"/>
      <c r="Z119" s="10"/>
      <c r="AA119" s="10"/>
    </row>
    <row r="120" spans="1:27" ht="12.5" x14ac:dyDescent="0.25">
      <c r="A120" s="10" t="s">
        <v>110</v>
      </c>
      <c r="B120" s="10" t="s">
        <v>418</v>
      </c>
      <c r="C120" s="10" t="s">
        <v>76</v>
      </c>
      <c r="D120" s="11">
        <v>2024</v>
      </c>
      <c r="E120" s="10" t="s">
        <v>81</v>
      </c>
      <c r="F120" s="10" t="s">
        <v>83</v>
      </c>
      <c r="G120" s="10" t="s">
        <v>84</v>
      </c>
      <c r="H120" s="12">
        <v>9036.1666666666697</v>
      </c>
      <c r="I120" s="11">
        <v>1756</v>
      </c>
      <c r="J120" s="11">
        <v>1740</v>
      </c>
      <c r="K120" s="11">
        <v>9220</v>
      </c>
      <c r="L120" s="11">
        <v>0.194330191637309</v>
      </c>
      <c r="M120" s="11">
        <f t="shared" si="0"/>
        <v>19.433019163730929</v>
      </c>
      <c r="N120" s="11">
        <v>0.99088838268792701</v>
      </c>
      <c r="O120" s="11">
        <v>1.0203441724920199</v>
      </c>
      <c r="P120" s="11">
        <v>0.87837837837837796</v>
      </c>
      <c r="Q120" s="11">
        <v>0.93939393939394</v>
      </c>
      <c r="R120" s="11">
        <v>0.90503875968992298</v>
      </c>
      <c r="S120" s="10" t="s">
        <v>84</v>
      </c>
      <c r="T120" s="10" t="s">
        <v>84</v>
      </c>
      <c r="U120" s="10"/>
      <c r="V120" s="10"/>
      <c r="W120" s="10"/>
      <c r="X120" s="10"/>
      <c r="Y120" s="10"/>
      <c r="Z120" s="10"/>
      <c r="AA120" s="10"/>
    </row>
    <row r="121" spans="1:27" ht="12.5" x14ac:dyDescent="0.25">
      <c r="A121" s="10" t="s">
        <v>19</v>
      </c>
      <c r="B121" s="10" t="s">
        <v>463</v>
      </c>
      <c r="C121" s="10" t="s">
        <v>76</v>
      </c>
      <c r="D121" s="11">
        <v>2024</v>
      </c>
      <c r="E121" s="10" t="s">
        <v>124</v>
      </c>
      <c r="F121" s="10" t="s">
        <v>83</v>
      </c>
      <c r="G121" s="10" t="s">
        <v>84</v>
      </c>
      <c r="H121" s="12">
        <v>8919.3333333333303</v>
      </c>
      <c r="I121" s="11">
        <v>1733</v>
      </c>
      <c r="J121" s="11">
        <v>1432</v>
      </c>
      <c r="K121" s="11">
        <v>20476</v>
      </c>
      <c r="L121" s="11">
        <v>0.194297032663129</v>
      </c>
      <c r="M121" s="11">
        <f t="shared" si="0"/>
        <v>19.429703266312885</v>
      </c>
      <c r="N121" s="11">
        <v>0.82631275245239499</v>
      </c>
      <c r="O121" s="11">
        <v>2.2956872710964902</v>
      </c>
      <c r="P121" s="11">
        <v>0.87753378378378399</v>
      </c>
      <c r="Q121" s="11">
        <v>0.83333333333333304</v>
      </c>
      <c r="R121" s="11">
        <v>0.81655480984340001</v>
      </c>
      <c r="S121" s="10" t="s">
        <v>84</v>
      </c>
      <c r="T121" s="10" t="s">
        <v>84</v>
      </c>
      <c r="U121" s="10"/>
      <c r="V121" s="10"/>
      <c r="W121" s="10"/>
      <c r="X121" s="10"/>
      <c r="Y121" s="10"/>
      <c r="Z121" s="10"/>
      <c r="AA121" s="10"/>
    </row>
    <row r="122" spans="1:27" ht="12.5" x14ac:dyDescent="0.25">
      <c r="A122" s="10" t="s">
        <v>101</v>
      </c>
      <c r="B122" s="10" t="s">
        <v>421</v>
      </c>
      <c r="C122" s="10" t="s">
        <v>76</v>
      </c>
      <c r="D122" s="11">
        <v>2024</v>
      </c>
      <c r="E122" s="10" t="s">
        <v>81</v>
      </c>
      <c r="F122" s="10" t="s">
        <v>125</v>
      </c>
      <c r="G122" s="10" t="s">
        <v>84</v>
      </c>
      <c r="H122" s="12">
        <v>7247.3333333333303</v>
      </c>
      <c r="I122" s="11">
        <v>1405</v>
      </c>
      <c r="J122" s="11">
        <v>1355</v>
      </c>
      <c r="K122" s="11">
        <v>11399</v>
      </c>
      <c r="L122" s="11">
        <v>0.193864409897893</v>
      </c>
      <c r="M122" s="11">
        <f t="shared" si="0"/>
        <v>19.386440989789357</v>
      </c>
      <c r="N122" s="11">
        <v>0.96441281138790003</v>
      </c>
      <c r="O122" s="11">
        <v>1.5728543832214099</v>
      </c>
      <c r="P122" s="11">
        <v>0.87668918918918903</v>
      </c>
      <c r="Q122" s="11">
        <v>0.85714285714285698</v>
      </c>
      <c r="R122" s="11">
        <v>0.90310077519379806</v>
      </c>
      <c r="S122" s="10" t="s">
        <v>84</v>
      </c>
      <c r="T122" s="10" t="s">
        <v>84</v>
      </c>
      <c r="U122" s="10"/>
      <c r="V122" s="10"/>
      <c r="W122" s="10"/>
      <c r="X122" s="10"/>
      <c r="Y122" s="10"/>
      <c r="Z122" s="10"/>
      <c r="AA122" s="10"/>
    </row>
    <row r="123" spans="1:27" ht="12.5" x14ac:dyDescent="0.25">
      <c r="A123" s="10" t="s">
        <v>12</v>
      </c>
      <c r="B123" s="10" t="s">
        <v>465</v>
      </c>
      <c r="C123" s="10" t="s">
        <v>76</v>
      </c>
      <c r="D123" s="11">
        <v>2024</v>
      </c>
      <c r="E123" s="10" t="s">
        <v>124</v>
      </c>
      <c r="F123" s="10" t="s">
        <v>83</v>
      </c>
      <c r="G123" s="10" t="s">
        <v>84</v>
      </c>
      <c r="H123" s="12">
        <v>22832</v>
      </c>
      <c r="I123" s="11">
        <v>4421</v>
      </c>
      <c r="J123" s="11">
        <v>3648</v>
      </c>
      <c r="K123" s="11">
        <v>43778</v>
      </c>
      <c r="L123" s="11">
        <v>0.19363174491941099</v>
      </c>
      <c r="M123" s="11">
        <f t="shared" si="0"/>
        <v>19.363174491941134</v>
      </c>
      <c r="N123" s="11">
        <v>0.82515268038905198</v>
      </c>
      <c r="O123" s="11">
        <v>1.91739663629993</v>
      </c>
      <c r="P123" s="11">
        <v>0.87584459459459496</v>
      </c>
      <c r="Q123" s="11">
        <v>0.86111111111111105</v>
      </c>
      <c r="R123" s="11">
        <v>0.81431767337807603</v>
      </c>
      <c r="S123" s="10" t="s">
        <v>84</v>
      </c>
      <c r="T123" s="10" t="s">
        <v>84</v>
      </c>
      <c r="U123" s="10"/>
      <c r="V123" s="10"/>
      <c r="W123" s="10"/>
      <c r="X123" s="10"/>
      <c r="Y123" s="10"/>
      <c r="Z123" s="10"/>
      <c r="AA123" s="10"/>
    </row>
    <row r="124" spans="1:27" ht="12.5" x14ac:dyDescent="0.25">
      <c r="A124" s="10" t="s">
        <v>77</v>
      </c>
      <c r="B124" s="10" t="s">
        <v>468</v>
      </c>
      <c r="C124" s="10" t="s">
        <v>76</v>
      </c>
      <c r="D124" s="11">
        <v>2024</v>
      </c>
      <c r="E124" s="10" t="s">
        <v>124</v>
      </c>
      <c r="F124" s="10" t="s">
        <v>125</v>
      </c>
      <c r="G124" s="10" t="s">
        <v>84</v>
      </c>
      <c r="H124" s="12">
        <v>1756</v>
      </c>
      <c r="I124" s="11">
        <v>338</v>
      </c>
      <c r="J124" s="11">
        <v>338</v>
      </c>
      <c r="K124" s="11">
        <v>1787</v>
      </c>
      <c r="L124" s="11">
        <v>0.19248291571754</v>
      </c>
      <c r="M124" s="11">
        <f t="shared" si="0"/>
        <v>19.248291571753988</v>
      </c>
      <c r="N124" s="11">
        <v>1</v>
      </c>
      <c r="O124" s="11">
        <v>1.0176537585421399</v>
      </c>
      <c r="P124" s="11">
        <v>0.875</v>
      </c>
      <c r="Q124" s="11">
        <v>1</v>
      </c>
      <c r="R124" s="11">
        <v>0.81208053691275195</v>
      </c>
      <c r="S124" s="10" t="s">
        <v>84</v>
      </c>
      <c r="T124" s="10" t="s">
        <v>84</v>
      </c>
      <c r="U124" s="10"/>
      <c r="V124" s="10"/>
      <c r="W124" s="10"/>
      <c r="X124" s="10"/>
      <c r="Y124" s="10"/>
      <c r="Z124" s="10"/>
      <c r="AA124" s="10"/>
    </row>
    <row r="125" spans="1:27" ht="12.5" x14ac:dyDescent="0.25">
      <c r="A125" s="10" t="s">
        <v>52</v>
      </c>
      <c r="B125" s="10" t="s">
        <v>470</v>
      </c>
      <c r="C125" s="10" t="s">
        <v>76</v>
      </c>
      <c r="D125" s="11">
        <v>2024</v>
      </c>
      <c r="E125" s="10" t="s">
        <v>124</v>
      </c>
      <c r="F125" s="10" t="s">
        <v>83</v>
      </c>
      <c r="G125" s="10" t="s">
        <v>84</v>
      </c>
      <c r="H125" s="12">
        <v>53806</v>
      </c>
      <c r="I125" s="11">
        <v>10295</v>
      </c>
      <c r="J125" s="11">
        <v>6921</v>
      </c>
      <c r="K125" s="11">
        <v>97731</v>
      </c>
      <c r="L125" s="11">
        <v>0.19133553878749601</v>
      </c>
      <c r="M125" s="11">
        <f t="shared" si="0"/>
        <v>19.133553878749581</v>
      </c>
      <c r="N125" s="11">
        <v>0.67226809130646004</v>
      </c>
      <c r="O125" s="11">
        <v>1.8163587703973501</v>
      </c>
      <c r="P125" s="11">
        <v>0.87331081081081097</v>
      </c>
      <c r="Q125" s="11">
        <v>0.82978723404255295</v>
      </c>
      <c r="R125" s="11">
        <v>0.80984340044742698</v>
      </c>
      <c r="S125" s="10" t="s">
        <v>84</v>
      </c>
      <c r="T125" s="10" t="s">
        <v>84</v>
      </c>
      <c r="U125" s="10"/>
      <c r="V125" s="10"/>
      <c r="W125" s="10"/>
      <c r="X125" s="10"/>
      <c r="Y125" s="10"/>
      <c r="Z125" s="10"/>
      <c r="AA125" s="10"/>
    </row>
    <row r="126" spans="1:27" ht="12.5" x14ac:dyDescent="0.25">
      <c r="A126" s="10" t="s">
        <v>52</v>
      </c>
      <c r="B126" s="10" t="s">
        <v>472</v>
      </c>
      <c r="C126" s="10" t="s">
        <v>76</v>
      </c>
      <c r="D126" s="11">
        <v>2024</v>
      </c>
      <c r="E126" s="10" t="s">
        <v>124</v>
      </c>
      <c r="F126" s="10" t="s">
        <v>83</v>
      </c>
      <c r="G126" s="10" t="s">
        <v>84</v>
      </c>
      <c r="H126" s="12">
        <v>5968.5833333333303</v>
      </c>
      <c r="I126" s="11">
        <v>1141</v>
      </c>
      <c r="J126" s="11">
        <v>966</v>
      </c>
      <c r="K126" s="11">
        <v>11452</v>
      </c>
      <c r="L126" s="11">
        <v>0.19116764167934899</v>
      </c>
      <c r="M126" s="11">
        <f t="shared" si="0"/>
        <v>19.116764167934893</v>
      </c>
      <c r="N126" s="11">
        <v>0.84662576687116597</v>
      </c>
      <c r="O126" s="11">
        <v>1.91871326249948</v>
      </c>
      <c r="P126" s="11">
        <v>0.87246621621621601</v>
      </c>
      <c r="Q126" s="11">
        <v>0.80851063829787195</v>
      </c>
      <c r="R126" s="11">
        <v>0.807606263982103</v>
      </c>
      <c r="S126" s="10" t="s">
        <v>84</v>
      </c>
      <c r="T126" s="10" t="s">
        <v>84</v>
      </c>
      <c r="U126" s="10"/>
      <c r="V126" s="10"/>
      <c r="W126" s="10"/>
      <c r="X126" s="10"/>
      <c r="Y126" s="10"/>
      <c r="Z126" s="10"/>
      <c r="AA126" s="10"/>
    </row>
    <row r="127" spans="1:27" ht="12.5" x14ac:dyDescent="0.25">
      <c r="A127" s="10" t="s">
        <v>86</v>
      </c>
      <c r="B127" s="10" t="s">
        <v>474</v>
      </c>
      <c r="C127" s="10" t="s">
        <v>76</v>
      </c>
      <c r="D127" s="11">
        <v>2024</v>
      </c>
      <c r="E127" s="10" t="s">
        <v>124</v>
      </c>
      <c r="F127" s="10" t="s">
        <v>125</v>
      </c>
      <c r="G127" s="10" t="s">
        <v>84</v>
      </c>
      <c r="H127" s="12">
        <v>5153.75</v>
      </c>
      <c r="I127" s="11">
        <v>985</v>
      </c>
      <c r="J127" s="11">
        <v>878</v>
      </c>
      <c r="K127" s="11">
        <v>15763</v>
      </c>
      <c r="L127" s="11">
        <v>0.19112296871210299</v>
      </c>
      <c r="M127" s="11">
        <f t="shared" si="0"/>
        <v>19.112296871210283</v>
      </c>
      <c r="N127" s="11">
        <v>0.89137055837563495</v>
      </c>
      <c r="O127" s="11">
        <v>3.05854959980597</v>
      </c>
      <c r="P127" s="11">
        <v>0.87162162162162204</v>
      </c>
      <c r="Q127" s="11">
        <v>0.67391304347826098</v>
      </c>
      <c r="R127" s="11">
        <v>0.80536912751677803</v>
      </c>
      <c r="S127" s="10" t="s">
        <v>84</v>
      </c>
      <c r="T127" s="10" t="s">
        <v>84</v>
      </c>
      <c r="U127" s="10"/>
      <c r="V127" s="10"/>
      <c r="W127" s="10"/>
      <c r="X127" s="10"/>
      <c r="Y127" s="10"/>
      <c r="Z127" s="10"/>
      <c r="AA127" s="10"/>
    </row>
    <row r="128" spans="1:27" ht="12.5" x14ac:dyDescent="0.25">
      <c r="A128" s="10" t="s">
        <v>36</v>
      </c>
      <c r="B128" s="10" t="s">
        <v>476</v>
      </c>
      <c r="C128" s="10" t="s">
        <v>76</v>
      </c>
      <c r="D128" s="11">
        <v>2024</v>
      </c>
      <c r="E128" s="10" t="s">
        <v>124</v>
      </c>
      <c r="F128" s="10" t="s">
        <v>125</v>
      </c>
      <c r="G128" s="10" t="s">
        <v>84</v>
      </c>
      <c r="H128" s="12">
        <v>3487.75</v>
      </c>
      <c r="I128" s="11">
        <v>664</v>
      </c>
      <c r="J128" s="11">
        <v>540</v>
      </c>
      <c r="K128" s="11">
        <v>0</v>
      </c>
      <c r="L128" s="11">
        <v>0.19038061787685501</v>
      </c>
      <c r="M128" s="11">
        <f t="shared" si="0"/>
        <v>19.038061787685471</v>
      </c>
      <c r="N128" s="11">
        <v>0.813253012048193</v>
      </c>
      <c r="O128" s="11">
        <v>0</v>
      </c>
      <c r="P128" s="11">
        <v>0.87077702702702697</v>
      </c>
      <c r="Q128" s="11">
        <v>0.72340425531914898</v>
      </c>
      <c r="R128" s="11">
        <v>0.80313199105145405</v>
      </c>
      <c r="S128" s="10" t="s">
        <v>84</v>
      </c>
      <c r="T128" s="10" t="s">
        <v>84</v>
      </c>
      <c r="U128" s="10"/>
      <c r="V128" s="10"/>
      <c r="W128" s="10"/>
      <c r="X128" s="10"/>
      <c r="Y128" s="10"/>
      <c r="Z128" s="10"/>
      <c r="AA128" s="10"/>
    </row>
    <row r="129" spans="1:27" ht="12.5" x14ac:dyDescent="0.25">
      <c r="A129" s="10" t="s">
        <v>86</v>
      </c>
      <c r="B129" s="10" t="s">
        <v>425</v>
      </c>
      <c r="C129" s="10" t="s">
        <v>76</v>
      </c>
      <c r="D129" s="11">
        <v>2024</v>
      </c>
      <c r="E129" s="10" t="s">
        <v>81</v>
      </c>
      <c r="F129" s="10" t="s">
        <v>83</v>
      </c>
      <c r="G129" s="10" t="s">
        <v>84</v>
      </c>
      <c r="H129" s="12">
        <v>30111.75</v>
      </c>
      <c r="I129" s="11">
        <v>5686</v>
      </c>
      <c r="J129" s="11">
        <v>5381</v>
      </c>
      <c r="K129" s="11">
        <v>823</v>
      </c>
      <c r="L129" s="11">
        <v>0.18882994180012799</v>
      </c>
      <c r="M129" s="11">
        <f t="shared" si="0"/>
        <v>18.882994180012787</v>
      </c>
      <c r="N129" s="11">
        <v>0.94635947942314502</v>
      </c>
      <c r="O129" s="11">
        <v>2.7331523408636201E-2</v>
      </c>
      <c r="P129" s="11">
        <v>0.86908783783783805</v>
      </c>
      <c r="Q129" s="11">
        <v>0.65217391304347805</v>
      </c>
      <c r="R129" s="11">
        <v>0.89922480620154999</v>
      </c>
      <c r="S129" s="10" t="s">
        <v>84</v>
      </c>
      <c r="T129" s="10" t="s">
        <v>84</v>
      </c>
      <c r="U129" s="10"/>
      <c r="V129" s="10"/>
      <c r="W129" s="10"/>
      <c r="X129" s="10"/>
      <c r="Y129" s="10"/>
      <c r="Z129" s="10"/>
      <c r="AA129" s="10"/>
    </row>
    <row r="130" spans="1:27" ht="12.5" x14ac:dyDescent="0.25">
      <c r="A130" s="10" t="s">
        <v>12</v>
      </c>
      <c r="B130" s="10" t="s">
        <v>478</v>
      </c>
      <c r="C130" s="10" t="s">
        <v>76</v>
      </c>
      <c r="D130" s="11">
        <v>2024</v>
      </c>
      <c r="E130" s="10" t="s">
        <v>124</v>
      </c>
      <c r="F130" s="10" t="s">
        <v>83</v>
      </c>
      <c r="G130" s="10" t="s">
        <v>84</v>
      </c>
      <c r="H130" s="12">
        <v>69030.5</v>
      </c>
      <c r="I130" s="11">
        <v>12922</v>
      </c>
      <c r="J130" s="11">
        <v>12760</v>
      </c>
      <c r="K130" s="11">
        <v>90587</v>
      </c>
      <c r="L130" s="11">
        <v>0.187192617755919</v>
      </c>
      <c r="M130" s="11">
        <f t="shared" si="0"/>
        <v>18.719261775591946</v>
      </c>
      <c r="N130" s="11">
        <v>0.987463240984368</v>
      </c>
      <c r="O130" s="11">
        <v>1.3122750088728901</v>
      </c>
      <c r="P130" s="11">
        <v>0.86824324324324298</v>
      </c>
      <c r="Q130" s="11">
        <v>0.83333333333333304</v>
      </c>
      <c r="R130" s="11">
        <v>0.80089485458612997</v>
      </c>
      <c r="S130" s="10" t="s">
        <v>84</v>
      </c>
      <c r="T130" s="10" t="s">
        <v>84</v>
      </c>
      <c r="U130" s="10"/>
      <c r="V130" s="10"/>
      <c r="W130" s="10"/>
      <c r="X130" s="10"/>
      <c r="Y130" s="10"/>
      <c r="Z130" s="10"/>
      <c r="AA130" s="10"/>
    </row>
    <row r="131" spans="1:27" ht="12.5" x14ac:dyDescent="0.25">
      <c r="A131" s="10" t="s">
        <v>80</v>
      </c>
      <c r="B131" s="10" t="s">
        <v>479</v>
      </c>
      <c r="C131" s="10" t="s">
        <v>76</v>
      </c>
      <c r="D131" s="11">
        <v>2024</v>
      </c>
      <c r="E131" s="10" t="s">
        <v>124</v>
      </c>
      <c r="F131" s="10" t="s">
        <v>83</v>
      </c>
      <c r="G131" s="10" t="s">
        <v>84</v>
      </c>
      <c r="H131" s="12">
        <v>32314.833333333299</v>
      </c>
      <c r="I131" s="11">
        <v>6045</v>
      </c>
      <c r="J131" s="11">
        <v>5554</v>
      </c>
      <c r="K131" s="11">
        <v>32973</v>
      </c>
      <c r="L131" s="11">
        <v>0.18706579537776799</v>
      </c>
      <c r="M131" s="11">
        <f t="shared" si="0"/>
        <v>18.706579537776786</v>
      </c>
      <c r="N131" s="11">
        <v>0.91877584780810595</v>
      </c>
      <c r="O131" s="11">
        <v>1.0203673235717301</v>
      </c>
      <c r="P131" s="11">
        <v>0.86739864864864902</v>
      </c>
      <c r="Q131" s="11">
        <v>1</v>
      </c>
      <c r="R131" s="11">
        <v>0.79865771812080499</v>
      </c>
      <c r="S131" s="10" t="s">
        <v>84</v>
      </c>
      <c r="T131" s="10" t="s">
        <v>84</v>
      </c>
      <c r="U131" s="10"/>
      <c r="V131" s="10"/>
      <c r="W131" s="10"/>
      <c r="X131" s="10"/>
      <c r="Y131" s="10"/>
      <c r="Z131" s="10"/>
      <c r="AA131" s="10"/>
    </row>
    <row r="132" spans="1:27" ht="12.5" x14ac:dyDescent="0.25">
      <c r="A132" s="10" t="s">
        <v>36</v>
      </c>
      <c r="B132" s="10" t="s">
        <v>481</v>
      </c>
      <c r="C132" s="10" t="s">
        <v>76</v>
      </c>
      <c r="D132" s="11">
        <v>2024</v>
      </c>
      <c r="E132" s="10" t="s">
        <v>124</v>
      </c>
      <c r="F132" s="10" t="s">
        <v>83</v>
      </c>
      <c r="G132" s="10" t="s">
        <v>84</v>
      </c>
      <c r="H132" s="12">
        <v>13957.166666666701</v>
      </c>
      <c r="I132" s="11">
        <v>2602</v>
      </c>
      <c r="J132" s="11">
        <v>2031</v>
      </c>
      <c r="K132" s="11">
        <v>2857</v>
      </c>
      <c r="L132" s="11">
        <v>0.18642752230037099</v>
      </c>
      <c r="M132" s="11">
        <f t="shared" si="0"/>
        <v>18.64275223003709</v>
      </c>
      <c r="N132" s="11">
        <v>0.780553420445811</v>
      </c>
      <c r="O132" s="11">
        <v>0.204697706076926</v>
      </c>
      <c r="P132" s="11">
        <v>0.86655405405405395</v>
      </c>
      <c r="Q132" s="11">
        <v>0.70212765957446799</v>
      </c>
      <c r="R132" s="11">
        <v>0.79642058165548102</v>
      </c>
      <c r="S132" s="10" t="s">
        <v>84</v>
      </c>
      <c r="T132" s="10" t="s">
        <v>84</v>
      </c>
      <c r="U132" s="10"/>
      <c r="V132" s="10"/>
      <c r="W132" s="10"/>
      <c r="X132" s="10"/>
      <c r="Y132" s="10"/>
      <c r="Z132" s="10"/>
      <c r="AA132" s="10"/>
    </row>
    <row r="133" spans="1:27" ht="12.5" x14ac:dyDescent="0.25">
      <c r="A133" s="10" t="s">
        <v>62</v>
      </c>
      <c r="B133" s="10" t="s">
        <v>211</v>
      </c>
      <c r="C133" s="10" t="s">
        <v>76</v>
      </c>
      <c r="D133" s="11">
        <v>2024</v>
      </c>
      <c r="E133" s="10" t="s">
        <v>81</v>
      </c>
      <c r="F133" s="10" t="s">
        <v>83</v>
      </c>
      <c r="G133" s="10" t="s">
        <v>84</v>
      </c>
      <c r="H133" s="12">
        <v>865.33333333333303</v>
      </c>
      <c r="I133" s="11">
        <v>161</v>
      </c>
      <c r="J133" s="11">
        <v>159</v>
      </c>
      <c r="K133" s="11">
        <v>1178</v>
      </c>
      <c r="L133" s="11">
        <v>0.186055469953775</v>
      </c>
      <c r="M133" s="11">
        <f t="shared" si="0"/>
        <v>18.605546995377512</v>
      </c>
      <c r="N133" s="11">
        <v>0.98757763975155299</v>
      </c>
      <c r="O133" s="11">
        <v>1.3613251155624</v>
      </c>
      <c r="P133" s="11">
        <v>0.86570945945945899</v>
      </c>
      <c r="Q133" s="11">
        <v>1</v>
      </c>
      <c r="R133" s="11">
        <v>0.89728682170542595</v>
      </c>
      <c r="S133" s="10" t="s">
        <v>84</v>
      </c>
      <c r="T133" s="10" t="s">
        <v>84</v>
      </c>
      <c r="U133" s="10"/>
      <c r="V133" s="10"/>
      <c r="W133" s="10"/>
      <c r="X133" s="10"/>
      <c r="Y133" s="10"/>
      <c r="Z133" s="10"/>
      <c r="AA133" s="10"/>
    </row>
    <row r="134" spans="1:27" ht="12.5" x14ac:dyDescent="0.25">
      <c r="A134" s="10" t="s">
        <v>36</v>
      </c>
      <c r="B134" s="10" t="s">
        <v>483</v>
      </c>
      <c r="C134" s="10" t="s">
        <v>76</v>
      </c>
      <c r="D134" s="11">
        <v>2024</v>
      </c>
      <c r="E134" s="10" t="s">
        <v>124</v>
      </c>
      <c r="F134" s="10" t="s">
        <v>83</v>
      </c>
      <c r="G134" s="10" t="s">
        <v>84</v>
      </c>
      <c r="H134" s="12">
        <v>9427.25</v>
      </c>
      <c r="I134" s="11">
        <v>1727</v>
      </c>
      <c r="J134" s="11">
        <v>1553</v>
      </c>
      <c r="K134" s="11">
        <v>2870</v>
      </c>
      <c r="L134" s="11">
        <v>0.18319234135087101</v>
      </c>
      <c r="M134" s="11">
        <f t="shared" si="0"/>
        <v>18.319234135087115</v>
      </c>
      <c r="N134" s="11">
        <v>0.899247249565721</v>
      </c>
      <c r="O134" s="11">
        <v>0.30443660664562799</v>
      </c>
      <c r="P134" s="11">
        <v>0.86317567567567599</v>
      </c>
      <c r="Q134" s="11">
        <v>0.680851063829787</v>
      </c>
      <c r="R134" s="11">
        <v>0.79418344519015704</v>
      </c>
      <c r="S134" s="10" t="s">
        <v>84</v>
      </c>
      <c r="T134" s="10" t="s">
        <v>84</v>
      </c>
      <c r="U134" s="10"/>
      <c r="V134" s="10"/>
      <c r="W134" s="10"/>
      <c r="X134" s="10"/>
      <c r="Y134" s="10"/>
      <c r="Z134" s="10"/>
      <c r="AA134" s="10"/>
    </row>
    <row r="135" spans="1:27" ht="12.5" x14ac:dyDescent="0.25">
      <c r="A135" s="10" t="s">
        <v>16</v>
      </c>
      <c r="B135" s="10" t="s">
        <v>485</v>
      </c>
      <c r="C135" s="10" t="s">
        <v>76</v>
      </c>
      <c r="D135" s="11">
        <v>2024</v>
      </c>
      <c r="E135" s="10" t="s">
        <v>124</v>
      </c>
      <c r="F135" s="10" t="s">
        <v>125</v>
      </c>
      <c r="G135" s="10" t="s">
        <v>84</v>
      </c>
      <c r="H135" s="12">
        <v>967.58333333333303</v>
      </c>
      <c r="I135" s="11">
        <v>177</v>
      </c>
      <c r="J135" s="11">
        <v>98</v>
      </c>
      <c r="K135" s="11">
        <v>189</v>
      </c>
      <c r="L135" s="11">
        <v>0.18292998019119799</v>
      </c>
      <c r="M135" s="11">
        <f t="shared" si="0"/>
        <v>18.292998019119803</v>
      </c>
      <c r="N135" s="11">
        <v>0.55367231638418102</v>
      </c>
      <c r="O135" s="11">
        <v>0.195332012746533</v>
      </c>
      <c r="P135" s="11">
        <v>0.86233108108108103</v>
      </c>
      <c r="Q135" s="11">
        <v>0.6</v>
      </c>
      <c r="R135" s="11">
        <v>0.79194630872483196</v>
      </c>
      <c r="S135" s="10" t="s">
        <v>84</v>
      </c>
      <c r="T135" s="10" t="s">
        <v>84</v>
      </c>
      <c r="U135" s="10"/>
      <c r="V135" s="10"/>
      <c r="W135" s="10"/>
      <c r="X135" s="10"/>
      <c r="Y135" s="10"/>
      <c r="Z135" s="10"/>
      <c r="AA135" s="10"/>
    </row>
    <row r="136" spans="1:27" ht="12.5" x14ac:dyDescent="0.25">
      <c r="A136" s="10" t="s">
        <v>104</v>
      </c>
      <c r="B136" s="10" t="s">
        <v>487</v>
      </c>
      <c r="C136" s="10" t="s">
        <v>76</v>
      </c>
      <c r="D136" s="11">
        <v>2024</v>
      </c>
      <c r="E136" s="10" t="s">
        <v>124</v>
      </c>
      <c r="F136" s="10" t="s">
        <v>83</v>
      </c>
      <c r="G136" s="10" t="s">
        <v>84</v>
      </c>
      <c r="H136" s="12">
        <v>36768.833333333299</v>
      </c>
      <c r="I136" s="11">
        <v>6671</v>
      </c>
      <c r="J136" s="11">
        <v>4306</v>
      </c>
      <c r="K136" s="11">
        <v>18804</v>
      </c>
      <c r="L136" s="11">
        <v>0.181430831365332</v>
      </c>
      <c r="M136" s="11">
        <f t="shared" si="0"/>
        <v>18.143083136533221</v>
      </c>
      <c r="N136" s="11">
        <v>0.64548043771548502</v>
      </c>
      <c r="O136" s="11">
        <v>0.511411385548449</v>
      </c>
      <c r="P136" s="11">
        <v>0.86148648648648696</v>
      </c>
      <c r="Q136" s="11">
        <v>0.931034482758621</v>
      </c>
      <c r="R136" s="11">
        <v>0.78970917225950799</v>
      </c>
      <c r="S136" s="10" t="s">
        <v>84</v>
      </c>
      <c r="T136" s="10" t="s">
        <v>84</v>
      </c>
      <c r="U136" s="10"/>
      <c r="V136" s="10"/>
      <c r="W136" s="10"/>
      <c r="X136" s="10"/>
      <c r="Y136" s="10"/>
      <c r="Z136" s="10"/>
      <c r="AA136" s="10"/>
    </row>
    <row r="137" spans="1:27" ht="12.5" x14ac:dyDescent="0.25">
      <c r="A137" s="10" t="s">
        <v>36</v>
      </c>
      <c r="B137" s="10" t="s">
        <v>428</v>
      </c>
      <c r="C137" s="10" t="s">
        <v>76</v>
      </c>
      <c r="D137" s="11">
        <v>2024</v>
      </c>
      <c r="E137" s="10" t="s">
        <v>81</v>
      </c>
      <c r="F137" s="10" t="s">
        <v>83</v>
      </c>
      <c r="G137" s="10" t="s">
        <v>84</v>
      </c>
      <c r="H137" s="12">
        <v>47605.916666666701</v>
      </c>
      <c r="I137" s="11">
        <v>8624</v>
      </c>
      <c r="J137" s="11">
        <v>8037</v>
      </c>
      <c r="K137" s="11">
        <v>118890</v>
      </c>
      <c r="L137" s="11">
        <v>0.181153953202596</v>
      </c>
      <c r="M137" s="11">
        <f t="shared" si="0"/>
        <v>18.115395320259548</v>
      </c>
      <c r="N137" s="11">
        <v>0.93193413729128005</v>
      </c>
      <c r="O137" s="11">
        <v>2.4973786521633299</v>
      </c>
      <c r="P137" s="11">
        <v>0.860641891891892</v>
      </c>
      <c r="Q137" s="11">
        <v>0.659574468085106</v>
      </c>
      <c r="R137" s="11">
        <v>0.89534883720930203</v>
      </c>
      <c r="S137" s="10" t="s">
        <v>84</v>
      </c>
      <c r="T137" s="10" t="s">
        <v>84</v>
      </c>
      <c r="U137" s="10"/>
      <c r="V137" s="10"/>
      <c r="W137" s="10"/>
      <c r="X137" s="10"/>
      <c r="Y137" s="10"/>
      <c r="Z137" s="10"/>
      <c r="AA137" s="10"/>
    </row>
    <row r="138" spans="1:27" ht="12.5" x14ac:dyDescent="0.25">
      <c r="A138" s="10" t="s">
        <v>32</v>
      </c>
      <c r="B138" s="10" t="s">
        <v>430</v>
      </c>
      <c r="C138" s="10" t="s">
        <v>76</v>
      </c>
      <c r="D138" s="11">
        <v>2024</v>
      </c>
      <c r="E138" s="10" t="s">
        <v>81</v>
      </c>
      <c r="F138" s="10" t="s">
        <v>83</v>
      </c>
      <c r="G138" s="10" t="s">
        <v>84</v>
      </c>
      <c r="H138" s="12">
        <v>34840.666666666701</v>
      </c>
      <c r="I138" s="11">
        <v>6299</v>
      </c>
      <c r="J138" s="11">
        <v>4095</v>
      </c>
      <c r="K138" s="11">
        <v>22537</v>
      </c>
      <c r="L138" s="11">
        <v>0.180794473890664</v>
      </c>
      <c r="M138" s="11">
        <f t="shared" si="0"/>
        <v>18.079447389066399</v>
      </c>
      <c r="N138" s="11">
        <v>0.65010319098269598</v>
      </c>
      <c r="O138" s="11">
        <v>0.64685903446164394</v>
      </c>
      <c r="P138" s="11">
        <v>0.85979729729729704</v>
      </c>
      <c r="Q138" s="11">
        <v>0.68965517241379304</v>
      </c>
      <c r="R138" s="11">
        <v>0.89341085271317799</v>
      </c>
      <c r="S138" s="10" t="s">
        <v>84</v>
      </c>
      <c r="T138" s="10" t="s">
        <v>84</v>
      </c>
      <c r="U138" s="10"/>
      <c r="V138" s="10"/>
      <c r="W138" s="10"/>
      <c r="X138" s="10"/>
      <c r="Y138" s="10"/>
      <c r="Z138" s="10"/>
      <c r="AA138" s="10"/>
    </row>
    <row r="139" spans="1:27" ht="12.5" x14ac:dyDescent="0.25">
      <c r="A139" s="10" t="s">
        <v>62</v>
      </c>
      <c r="B139" s="10" t="s">
        <v>489</v>
      </c>
      <c r="C139" s="10" t="s">
        <v>76</v>
      </c>
      <c r="D139" s="11">
        <v>2024</v>
      </c>
      <c r="E139" s="10" t="s">
        <v>124</v>
      </c>
      <c r="F139" s="10" t="s">
        <v>83</v>
      </c>
      <c r="G139" s="10" t="s">
        <v>84</v>
      </c>
      <c r="H139" s="12">
        <v>2770.5</v>
      </c>
      <c r="I139" s="11">
        <v>498</v>
      </c>
      <c r="J139" s="11">
        <v>465</v>
      </c>
      <c r="K139" s="11">
        <v>6516</v>
      </c>
      <c r="L139" s="11">
        <v>0.179750947482404</v>
      </c>
      <c r="M139" s="11">
        <f t="shared" si="0"/>
        <v>17.975094748240387</v>
      </c>
      <c r="N139" s="11">
        <v>0.93373493975903599</v>
      </c>
      <c r="O139" s="11">
        <v>2.3519220357336201</v>
      </c>
      <c r="P139" s="11">
        <v>0.85895270270270296</v>
      </c>
      <c r="Q139" s="11">
        <v>0.97222222222222199</v>
      </c>
      <c r="R139" s="11">
        <v>0.78747203579418301</v>
      </c>
      <c r="S139" s="10" t="s">
        <v>84</v>
      </c>
      <c r="T139" s="10" t="s">
        <v>84</v>
      </c>
      <c r="U139" s="10"/>
      <c r="V139" s="10"/>
      <c r="W139" s="10"/>
      <c r="X139" s="10"/>
      <c r="Y139" s="10"/>
      <c r="Z139" s="10"/>
      <c r="AA139" s="10"/>
    </row>
    <row r="140" spans="1:27" ht="12.5" x14ac:dyDescent="0.25">
      <c r="A140" s="10" t="s">
        <v>72</v>
      </c>
      <c r="B140" s="10" t="s">
        <v>433</v>
      </c>
      <c r="C140" s="10" t="s">
        <v>76</v>
      </c>
      <c r="D140" s="11">
        <v>2024</v>
      </c>
      <c r="E140" s="10" t="s">
        <v>81</v>
      </c>
      <c r="F140" s="10" t="s">
        <v>83</v>
      </c>
      <c r="G140" s="10" t="s">
        <v>84</v>
      </c>
      <c r="H140" s="12">
        <v>4771.5</v>
      </c>
      <c r="I140" s="11">
        <v>857</v>
      </c>
      <c r="J140" s="11">
        <v>822</v>
      </c>
      <c r="K140" s="11">
        <v>2429</v>
      </c>
      <c r="L140" s="11">
        <v>0.17960808969925601</v>
      </c>
      <c r="M140" s="11">
        <f t="shared" si="0"/>
        <v>17.960808969925601</v>
      </c>
      <c r="N140" s="11">
        <v>0.95915985997666298</v>
      </c>
      <c r="O140" s="11">
        <v>0.50906423556533598</v>
      </c>
      <c r="P140" s="11">
        <v>0.858108108108108</v>
      </c>
      <c r="Q140" s="11">
        <v>1</v>
      </c>
      <c r="R140" s="11">
        <v>0.89147286821705396</v>
      </c>
      <c r="S140" s="10" t="s">
        <v>84</v>
      </c>
      <c r="T140" s="10" t="s">
        <v>84</v>
      </c>
      <c r="U140" s="10"/>
      <c r="V140" s="10"/>
      <c r="W140" s="10"/>
      <c r="X140" s="10"/>
      <c r="Y140" s="10"/>
      <c r="Z140" s="10"/>
      <c r="AA140" s="10"/>
    </row>
    <row r="141" spans="1:27" ht="12.5" x14ac:dyDescent="0.25">
      <c r="A141" s="10" t="s">
        <v>16</v>
      </c>
      <c r="B141" s="10" t="s">
        <v>435</v>
      </c>
      <c r="C141" s="10" t="s">
        <v>76</v>
      </c>
      <c r="D141" s="11">
        <v>2024</v>
      </c>
      <c r="E141" s="10" t="s">
        <v>81</v>
      </c>
      <c r="F141" s="10" t="s">
        <v>83</v>
      </c>
      <c r="G141" s="10" t="s">
        <v>84</v>
      </c>
      <c r="H141" s="12">
        <v>57580.083333333299</v>
      </c>
      <c r="I141" s="11">
        <v>10333</v>
      </c>
      <c r="J141" s="11">
        <v>9810</v>
      </c>
      <c r="K141" s="11">
        <v>83849</v>
      </c>
      <c r="L141" s="11">
        <v>0.179454412043516</v>
      </c>
      <c r="M141" s="11">
        <f t="shared" si="0"/>
        <v>17.945441204351631</v>
      </c>
      <c r="N141" s="11">
        <v>0.94938546404722701</v>
      </c>
      <c r="O141" s="11">
        <v>1.4562153290851401</v>
      </c>
      <c r="P141" s="11">
        <v>0.85726351351351304</v>
      </c>
      <c r="Q141" s="11">
        <v>0.56666666666666698</v>
      </c>
      <c r="R141" s="11">
        <v>0.88953488372093004</v>
      </c>
      <c r="S141" s="10" t="s">
        <v>84</v>
      </c>
      <c r="T141" s="10" t="s">
        <v>84</v>
      </c>
      <c r="U141" s="10"/>
      <c r="V141" s="10"/>
      <c r="W141" s="10"/>
      <c r="X141" s="10"/>
      <c r="Y141" s="10"/>
      <c r="Z141" s="10"/>
      <c r="AA141" s="10"/>
    </row>
    <row r="142" spans="1:27" ht="12.5" x14ac:dyDescent="0.25">
      <c r="A142" s="10" t="s">
        <v>67</v>
      </c>
      <c r="B142" s="10" t="s">
        <v>437</v>
      </c>
      <c r="C142" s="10" t="s">
        <v>76</v>
      </c>
      <c r="D142" s="11">
        <v>2024</v>
      </c>
      <c r="E142" s="10" t="s">
        <v>81</v>
      </c>
      <c r="F142" s="10" t="s">
        <v>83</v>
      </c>
      <c r="G142" s="10" t="s">
        <v>84</v>
      </c>
      <c r="H142" s="12">
        <v>18603.583333333299</v>
      </c>
      <c r="I142" s="11">
        <v>3318</v>
      </c>
      <c r="J142" s="11">
        <v>3559</v>
      </c>
      <c r="K142" s="11">
        <v>58740</v>
      </c>
      <c r="L142" s="11">
        <v>0.17835273670394999</v>
      </c>
      <c r="M142" s="11">
        <f t="shared" si="0"/>
        <v>17.835273670395075</v>
      </c>
      <c r="N142" s="11">
        <v>1.0726341169379101</v>
      </c>
      <c r="O142" s="11">
        <v>3.1574562248312401</v>
      </c>
      <c r="P142" s="11">
        <v>0.85641891891891897</v>
      </c>
      <c r="Q142" s="11">
        <v>1</v>
      </c>
      <c r="R142" s="11">
        <v>0.887596899224806</v>
      </c>
      <c r="S142" s="10" t="s">
        <v>84</v>
      </c>
      <c r="T142" s="10" t="s">
        <v>84</v>
      </c>
      <c r="U142" s="10"/>
      <c r="V142" s="10"/>
      <c r="W142" s="10"/>
      <c r="X142" s="10"/>
      <c r="Y142" s="10"/>
      <c r="Z142" s="10"/>
      <c r="AA142" s="10"/>
    </row>
    <row r="143" spans="1:27" ht="12.5" x14ac:dyDescent="0.25">
      <c r="A143" s="10" t="s">
        <v>86</v>
      </c>
      <c r="B143" s="10" t="s">
        <v>491</v>
      </c>
      <c r="C143" s="10" t="s">
        <v>76</v>
      </c>
      <c r="D143" s="11">
        <v>2024</v>
      </c>
      <c r="E143" s="10" t="s">
        <v>124</v>
      </c>
      <c r="F143" s="10" t="s">
        <v>83</v>
      </c>
      <c r="G143" s="10" t="s">
        <v>84</v>
      </c>
      <c r="H143" s="12">
        <v>18053</v>
      </c>
      <c r="I143" s="11">
        <v>3216</v>
      </c>
      <c r="J143" s="11">
        <v>3271</v>
      </c>
      <c r="K143" s="11">
        <v>5324</v>
      </c>
      <c r="L143" s="11">
        <v>0.17814213704093501</v>
      </c>
      <c r="M143" s="11">
        <f t="shared" si="0"/>
        <v>17.8142137040935</v>
      </c>
      <c r="N143" s="11">
        <v>1.01710199004975</v>
      </c>
      <c r="O143" s="11">
        <v>0.29490943333517999</v>
      </c>
      <c r="P143" s="11">
        <v>0.85557432432432401</v>
      </c>
      <c r="Q143" s="11">
        <v>0.63043478260869601</v>
      </c>
      <c r="R143" s="11">
        <v>0.78523489932885904</v>
      </c>
      <c r="S143" s="10" t="s">
        <v>84</v>
      </c>
      <c r="T143" s="10" t="s">
        <v>84</v>
      </c>
      <c r="U143" s="10"/>
      <c r="V143" s="10"/>
      <c r="W143" s="10"/>
      <c r="X143" s="10"/>
      <c r="Y143" s="10"/>
      <c r="Z143" s="10"/>
      <c r="AA143" s="10"/>
    </row>
    <row r="144" spans="1:27" ht="12.5" x14ac:dyDescent="0.25">
      <c r="A144" s="10" t="s">
        <v>14</v>
      </c>
      <c r="B144" s="10" t="s">
        <v>405</v>
      </c>
      <c r="C144" s="10" t="s">
        <v>76</v>
      </c>
      <c r="D144" s="11">
        <v>2024</v>
      </c>
      <c r="E144" s="10" t="s">
        <v>81</v>
      </c>
      <c r="F144" s="10" t="s">
        <v>83</v>
      </c>
      <c r="G144" s="10" t="s">
        <v>84</v>
      </c>
      <c r="H144" s="12">
        <v>685.16666666666697</v>
      </c>
      <c r="I144" s="11">
        <v>122</v>
      </c>
      <c r="J144" s="11">
        <v>56</v>
      </c>
      <c r="K144" s="11">
        <v>65</v>
      </c>
      <c r="L144" s="11">
        <v>0.17805886645585001</v>
      </c>
      <c r="M144" s="11">
        <f t="shared" si="0"/>
        <v>17.805886645585009</v>
      </c>
      <c r="N144" s="11">
        <v>0.45901639344262302</v>
      </c>
      <c r="O144" s="11">
        <v>9.4867428849428406E-2</v>
      </c>
      <c r="P144" s="11">
        <v>0.85472972972973005</v>
      </c>
      <c r="Q144" s="11">
        <v>0.67857142857142905</v>
      </c>
      <c r="R144" s="11">
        <v>0.88565891472868197</v>
      </c>
      <c r="S144" s="10" t="s">
        <v>84</v>
      </c>
      <c r="T144" s="10" t="s">
        <v>84</v>
      </c>
      <c r="U144" s="10"/>
      <c r="V144" s="10"/>
      <c r="W144" s="10"/>
      <c r="X144" s="10"/>
      <c r="Y144" s="10"/>
      <c r="Z144" s="10"/>
      <c r="AA144" s="10"/>
    </row>
    <row r="145" spans="1:27" ht="12.5" x14ac:dyDescent="0.25">
      <c r="A145" s="10" t="s">
        <v>52</v>
      </c>
      <c r="B145" s="10" t="s">
        <v>494</v>
      </c>
      <c r="C145" s="10" t="s">
        <v>76</v>
      </c>
      <c r="D145" s="11">
        <v>2024</v>
      </c>
      <c r="E145" s="10" t="s">
        <v>124</v>
      </c>
      <c r="F145" s="10" t="s">
        <v>125</v>
      </c>
      <c r="G145" s="10" t="s">
        <v>84</v>
      </c>
      <c r="H145" s="12">
        <v>1623.4166666666699</v>
      </c>
      <c r="I145" s="11">
        <v>287</v>
      </c>
      <c r="J145" s="11">
        <v>287</v>
      </c>
      <c r="K145" s="11">
        <v>3117</v>
      </c>
      <c r="L145" s="11">
        <v>0.17678763923823201</v>
      </c>
      <c r="M145" s="11">
        <f t="shared" si="0"/>
        <v>17.678763923823176</v>
      </c>
      <c r="N145" s="11">
        <v>1</v>
      </c>
      <c r="O145" s="11">
        <v>1.92002463939223</v>
      </c>
      <c r="P145" s="11">
        <v>0.85388513513513498</v>
      </c>
      <c r="Q145" s="11">
        <v>0.78723404255319196</v>
      </c>
      <c r="R145" s="11">
        <v>0.78299776286353495</v>
      </c>
      <c r="S145" s="10" t="s">
        <v>84</v>
      </c>
      <c r="T145" s="10" t="s">
        <v>84</v>
      </c>
      <c r="U145" s="10"/>
      <c r="V145" s="10"/>
      <c r="W145" s="10"/>
      <c r="X145" s="10"/>
      <c r="Y145" s="10"/>
      <c r="Z145" s="10"/>
      <c r="AA145" s="10"/>
    </row>
    <row r="146" spans="1:27" ht="12.5" x14ac:dyDescent="0.25">
      <c r="A146" s="10" t="s">
        <v>42</v>
      </c>
      <c r="B146" s="10" t="s">
        <v>496</v>
      </c>
      <c r="C146" s="10" t="s">
        <v>76</v>
      </c>
      <c r="D146" s="11">
        <v>2024</v>
      </c>
      <c r="E146" s="10" t="s">
        <v>124</v>
      </c>
      <c r="F146" s="10" t="s">
        <v>83</v>
      </c>
      <c r="G146" s="10" t="s">
        <v>84</v>
      </c>
      <c r="H146" s="12">
        <v>7819.5</v>
      </c>
      <c r="I146" s="11">
        <v>1381</v>
      </c>
      <c r="J146" s="11">
        <v>1291</v>
      </c>
      <c r="K146" s="11">
        <v>20295</v>
      </c>
      <c r="L146" s="11">
        <v>0.17660975765713899</v>
      </c>
      <c r="M146" s="11">
        <f t="shared" si="0"/>
        <v>17.660975765713921</v>
      </c>
      <c r="N146" s="11">
        <v>0.93482983345401904</v>
      </c>
      <c r="O146" s="11">
        <v>2.59543449069634</v>
      </c>
      <c r="P146" s="11">
        <v>0.85304054054054101</v>
      </c>
      <c r="Q146" s="11">
        <v>0.90476190476190499</v>
      </c>
      <c r="R146" s="11">
        <v>0.78076062639820998</v>
      </c>
      <c r="S146" s="10" t="s">
        <v>84</v>
      </c>
      <c r="T146" s="10" t="s">
        <v>84</v>
      </c>
      <c r="U146" s="10"/>
      <c r="V146" s="10"/>
      <c r="W146" s="10"/>
      <c r="X146" s="10"/>
      <c r="Y146" s="10"/>
      <c r="Z146" s="10"/>
      <c r="AA146" s="10"/>
    </row>
    <row r="147" spans="1:27" ht="12.5" x14ac:dyDescent="0.25">
      <c r="A147" s="10" t="s">
        <v>72</v>
      </c>
      <c r="B147" s="10" t="s">
        <v>440</v>
      </c>
      <c r="C147" s="10" t="s">
        <v>76</v>
      </c>
      <c r="D147" s="11">
        <v>2024</v>
      </c>
      <c r="E147" s="10" t="s">
        <v>81</v>
      </c>
      <c r="F147" s="10" t="s">
        <v>83</v>
      </c>
      <c r="G147" s="10" t="s">
        <v>84</v>
      </c>
      <c r="H147" s="12">
        <v>11517.416666666701</v>
      </c>
      <c r="I147" s="11">
        <v>2034</v>
      </c>
      <c r="J147" s="11">
        <v>1679</v>
      </c>
      <c r="K147" s="11">
        <v>11596</v>
      </c>
      <c r="L147" s="11">
        <v>0.17660210261271</v>
      </c>
      <c r="M147" s="11">
        <f t="shared" si="0"/>
        <v>17.660210261270922</v>
      </c>
      <c r="N147" s="11">
        <v>0.82546705998033398</v>
      </c>
      <c r="O147" s="11">
        <v>1.0068229999493501</v>
      </c>
      <c r="P147" s="11">
        <v>0.85219594594594605</v>
      </c>
      <c r="Q147" s="11">
        <v>0.9</v>
      </c>
      <c r="R147" s="11">
        <v>0.88372093023255804</v>
      </c>
      <c r="S147" s="10" t="s">
        <v>84</v>
      </c>
      <c r="T147" s="10" t="s">
        <v>84</v>
      </c>
      <c r="U147" s="10"/>
      <c r="V147" s="10"/>
      <c r="W147" s="10"/>
      <c r="X147" s="10"/>
      <c r="Y147" s="10"/>
      <c r="Z147" s="10"/>
      <c r="AA147" s="10"/>
    </row>
    <row r="148" spans="1:27" ht="12.5" x14ac:dyDescent="0.25">
      <c r="A148" s="10" t="s">
        <v>58</v>
      </c>
      <c r="B148" s="10" t="s">
        <v>442</v>
      </c>
      <c r="C148" s="10" t="s">
        <v>76</v>
      </c>
      <c r="D148" s="11">
        <v>2024</v>
      </c>
      <c r="E148" s="10" t="s">
        <v>81</v>
      </c>
      <c r="F148" s="10" t="s">
        <v>83</v>
      </c>
      <c r="G148" s="10" t="s">
        <v>84</v>
      </c>
      <c r="H148" s="12">
        <v>22478.333333333299</v>
      </c>
      <c r="I148" s="11">
        <v>3963</v>
      </c>
      <c r="J148" s="11">
        <v>3606</v>
      </c>
      <c r="K148" s="11">
        <v>51888</v>
      </c>
      <c r="L148" s="11">
        <v>0.176303106695336</v>
      </c>
      <c r="M148" s="11">
        <f t="shared" si="0"/>
        <v>17.630310669533653</v>
      </c>
      <c r="N148" s="11">
        <v>0.909916729750189</v>
      </c>
      <c r="O148" s="11">
        <v>2.3083561948543001</v>
      </c>
      <c r="P148" s="11">
        <v>0.85135135135135098</v>
      </c>
      <c r="Q148" s="11">
        <v>0.94594594594594605</v>
      </c>
      <c r="R148" s="11">
        <v>0.88178294573643401</v>
      </c>
      <c r="S148" s="10" t="s">
        <v>84</v>
      </c>
      <c r="T148" s="10" t="s">
        <v>84</v>
      </c>
      <c r="U148" s="10"/>
      <c r="V148" s="10"/>
      <c r="W148" s="10"/>
      <c r="X148" s="10"/>
      <c r="Y148" s="10"/>
      <c r="Z148" s="10"/>
      <c r="AA148" s="10"/>
    </row>
    <row r="149" spans="1:27" ht="12.5" x14ac:dyDescent="0.25">
      <c r="A149" s="10" t="s">
        <v>26</v>
      </c>
      <c r="B149" s="10" t="s">
        <v>445</v>
      </c>
      <c r="C149" s="10" t="s">
        <v>76</v>
      </c>
      <c r="D149" s="11">
        <v>2024</v>
      </c>
      <c r="E149" s="10" t="s">
        <v>81</v>
      </c>
      <c r="F149" s="10" t="s">
        <v>83</v>
      </c>
      <c r="G149" s="10" t="s">
        <v>84</v>
      </c>
      <c r="H149" s="12">
        <v>24673.666666666701</v>
      </c>
      <c r="I149" s="11">
        <v>4332</v>
      </c>
      <c r="J149" s="11">
        <v>3884</v>
      </c>
      <c r="K149" s="11">
        <v>53141</v>
      </c>
      <c r="L149" s="11">
        <v>0.17557179719268901</v>
      </c>
      <c r="M149" s="11">
        <f t="shared" si="0"/>
        <v>17.557179719268831</v>
      </c>
      <c r="N149" s="11">
        <v>0.89658356417359197</v>
      </c>
      <c r="O149" s="11">
        <v>2.1537536645006101</v>
      </c>
      <c r="P149" s="11">
        <v>0.85050675675675702</v>
      </c>
      <c r="Q149" s="11">
        <v>0.69230769230769196</v>
      </c>
      <c r="R149" s="11">
        <v>0.87984496124030998</v>
      </c>
      <c r="S149" s="10" t="s">
        <v>84</v>
      </c>
      <c r="T149" s="10" t="s">
        <v>84</v>
      </c>
      <c r="U149" s="10"/>
      <c r="V149" s="10"/>
      <c r="W149" s="10"/>
      <c r="X149" s="10"/>
      <c r="Y149" s="10"/>
      <c r="Z149" s="10"/>
      <c r="AA149" s="10"/>
    </row>
    <row r="150" spans="1:27" ht="12.5" x14ac:dyDescent="0.25">
      <c r="A150" s="10" t="s">
        <v>36</v>
      </c>
      <c r="B150" s="10" t="s">
        <v>499</v>
      </c>
      <c r="C150" s="10" t="s">
        <v>76</v>
      </c>
      <c r="D150" s="11">
        <v>2024</v>
      </c>
      <c r="E150" s="10" t="s">
        <v>124</v>
      </c>
      <c r="F150" s="10" t="s">
        <v>83</v>
      </c>
      <c r="G150" s="10" t="s">
        <v>84</v>
      </c>
      <c r="H150" s="12">
        <v>10387.583333333299</v>
      </c>
      <c r="I150" s="11">
        <v>1819</v>
      </c>
      <c r="J150" s="11">
        <v>1590</v>
      </c>
      <c r="K150" s="11">
        <v>102412</v>
      </c>
      <c r="L150" s="11">
        <v>0.17511291525940401</v>
      </c>
      <c r="M150" s="11">
        <f t="shared" si="0"/>
        <v>17.511291525940482</v>
      </c>
      <c r="N150" s="11">
        <v>0.87410665200659698</v>
      </c>
      <c r="O150" s="11">
        <v>9.8590785473040707</v>
      </c>
      <c r="P150" s="11">
        <v>0.84966216216216195</v>
      </c>
      <c r="Q150" s="11">
        <v>0.63829787234042601</v>
      </c>
      <c r="R150" s="11">
        <v>0.778523489932886</v>
      </c>
      <c r="S150" s="10" t="s">
        <v>84</v>
      </c>
      <c r="T150" s="10" t="s">
        <v>84</v>
      </c>
      <c r="U150" s="10"/>
      <c r="V150" s="10"/>
      <c r="W150" s="10"/>
      <c r="X150" s="10"/>
      <c r="Y150" s="10"/>
      <c r="Z150" s="10"/>
      <c r="AA150" s="10"/>
    </row>
    <row r="151" spans="1:27" ht="12.5" x14ac:dyDescent="0.25">
      <c r="A151" s="10" t="s">
        <v>42</v>
      </c>
      <c r="B151" s="10" t="s">
        <v>501</v>
      </c>
      <c r="C151" s="10" t="s">
        <v>76</v>
      </c>
      <c r="D151" s="11">
        <v>2024</v>
      </c>
      <c r="E151" s="10" t="s">
        <v>124</v>
      </c>
      <c r="F151" s="10" t="s">
        <v>83</v>
      </c>
      <c r="G151" s="10" t="s">
        <v>84</v>
      </c>
      <c r="H151" s="12">
        <v>9242.4166666666697</v>
      </c>
      <c r="I151" s="11">
        <v>1609</v>
      </c>
      <c r="J151" s="11">
        <v>1464</v>
      </c>
      <c r="K151" s="11">
        <v>2996</v>
      </c>
      <c r="L151" s="11">
        <v>0.174088667285793</v>
      </c>
      <c r="M151" s="11">
        <f t="shared" si="0"/>
        <v>17.40886672857928</v>
      </c>
      <c r="N151" s="11">
        <v>0.90988191423244202</v>
      </c>
      <c r="O151" s="11">
        <v>0.32415764275216602</v>
      </c>
      <c r="P151" s="11">
        <v>0.84881756756756799</v>
      </c>
      <c r="Q151" s="11">
        <v>0.88095238095238104</v>
      </c>
      <c r="R151" s="11">
        <v>0.77628635346756103</v>
      </c>
      <c r="S151" s="10" t="s">
        <v>84</v>
      </c>
      <c r="T151" s="10" t="s">
        <v>84</v>
      </c>
      <c r="U151" s="10"/>
      <c r="V151" s="10"/>
      <c r="W151" s="10"/>
      <c r="X151" s="10"/>
      <c r="Y151" s="10"/>
      <c r="Z151" s="10"/>
      <c r="AA151" s="10"/>
    </row>
    <row r="152" spans="1:27" ht="12.5" x14ac:dyDescent="0.25">
      <c r="A152" s="10" t="s">
        <v>12</v>
      </c>
      <c r="B152" s="10" t="s">
        <v>447</v>
      </c>
      <c r="C152" s="10" t="s">
        <v>76</v>
      </c>
      <c r="D152" s="11">
        <v>2024</v>
      </c>
      <c r="E152" s="10" t="s">
        <v>81</v>
      </c>
      <c r="F152" s="10" t="s">
        <v>83</v>
      </c>
      <c r="G152" s="10" t="s">
        <v>84</v>
      </c>
      <c r="H152" s="12">
        <v>35818.833333333299</v>
      </c>
      <c r="I152" s="11">
        <v>6218</v>
      </c>
      <c r="J152" s="11">
        <v>5714</v>
      </c>
      <c r="K152" s="11">
        <v>12711</v>
      </c>
      <c r="L152" s="11">
        <v>0.17359582714866001</v>
      </c>
      <c r="M152" s="11">
        <f t="shared" si="0"/>
        <v>17.359582714866033</v>
      </c>
      <c r="N152" s="11">
        <v>0.91894499839176602</v>
      </c>
      <c r="O152" s="11">
        <v>0.35486917962152098</v>
      </c>
      <c r="P152" s="11">
        <v>0.84797297297297303</v>
      </c>
      <c r="Q152" s="11">
        <v>0.81944444444444398</v>
      </c>
      <c r="R152" s="11">
        <v>0.87790697674418605</v>
      </c>
      <c r="S152" s="10" t="s">
        <v>84</v>
      </c>
      <c r="T152" s="10" t="s">
        <v>84</v>
      </c>
      <c r="U152" s="10"/>
      <c r="V152" s="10"/>
      <c r="W152" s="10"/>
      <c r="X152" s="10"/>
      <c r="Y152" s="10"/>
      <c r="Z152" s="10"/>
      <c r="AA152" s="10"/>
    </row>
    <row r="153" spans="1:27" ht="12.5" x14ac:dyDescent="0.25">
      <c r="A153" s="10" t="s">
        <v>101</v>
      </c>
      <c r="B153" s="10" t="s">
        <v>504</v>
      </c>
      <c r="C153" s="10" t="s">
        <v>76</v>
      </c>
      <c r="D153" s="11">
        <v>2024</v>
      </c>
      <c r="E153" s="10" t="s">
        <v>124</v>
      </c>
      <c r="F153" s="10" t="s">
        <v>125</v>
      </c>
      <c r="G153" s="10" t="s">
        <v>84</v>
      </c>
      <c r="H153" s="12">
        <v>4702.6666666666697</v>
      </c>
      <c r="I153" s="11">
        <v>816</v>
      </c>
      <c r="J153" s="11">
        <v>1064</v>
      </c>
      <c r="K153" s="11">
        <v>1076</v>
      </c>
      <c r="L153" s="11">
        <v>0.17351857102353299</v>
      </c>
      <c r="M153" s="11">
        <f t="shared" si="0"/>
        <v>17.351857102353264</v>
      </c>
      <c r="N153" s="11">
        <v>1.3039215686274499</v>
      </c>
      <c r="O153" s="11">
        <v>0.228806351006521</v>
      </c>
      <c r="P153" s="11">
        <v>0.84712837837837796</v>
      </c>
      <c r="Q153" s="11">
        <v>0.78571428571428603</v>
      </c>
      <c r="R153" s="11">
        <v>0.77404921700223706</v>
      </c>
      <c r="S153" s="10" t="s">
        <v>84</v>
      </c>
      <c r="T153" s="10" t="s">
        <v>84</v>
      </c>
      <c r="U153" s="10"/>
      <c r="V153" s="10"/>
      <c r="W153" s="10"/>
      <c r="X153" s="10"/>
      <c r="Y153" s="10"/>
      <c r="Z153" s="10"/>
      <c r="AA153" s="10"/>
    </row>
    <row r="154" spans="1:27" ht="12.5" x14ac:dyDescent="0.25">
      <c r="A154" s="10" t="s">
        <v>104</v>
      </c>
      <c r="B154" s="10" t="s">
        <v>506</v>
      </c>
      <c r="C154" s="10" t="s">
        <v>76</v>
      </c>
      <c r="D154" s="11">
        <v>2024</v>
      </c>
      <c r="E154" s="10" t="s">
        <v>124</v>
      </c>
      <c r="F154" s="10" t="s">
        <v>83</v>
      </c>
      <c r="G154" s="10" t="s">
        <v>84</v>
      </c>
      <c r="H154" s="12">
        <v>70803.25</v>
      </c>
      <c r="I154" s="11">
        <v>12224</v>
      </c>
      <c r="J154" s="11">
        <v>11855</v>
      </c>
      <c r="K154" s="11">
        <v>57548</v>
      </c>
      <c r="L154" s="11">
        <v>0.172647442031263</v>
      </c>
      <c r="M154" s="11">
        <f t="shared" si="0"/>
        <v>17.26474420312627</v>
      </c>
      <c r="N154" s="11">
        <v>0.96981348167539305</v>
      </c>
      <c r="O154" s="11">
        <v>0.81278754859416802</v>
      </c>
      <c r="P154" s="11">
        <v>0.84543918918918903</v>
      </c>
      <c r="Q154" s="11">
        <v>0.89655172413793105</v>
      </c>
      <c r="R154" s="11">
        <v>0.77181208053691297</v>
      </c>
      <c r="S154" s="10" t="s">
        <v>84</v>
      </c>
      <c r="T154" s="10" t="s">
        <v>84</v>
      </c>
      <c r="U154" s="10"/>
      <c r="V154" s="10"/>
      <c r="W154" s="10"/>
      <c r="X154" s="10"/>
      <c r="Y154" s="10"/>
      <c r="Z154" s="10"/>
      <c r="AA154" s="10"/>
    </row>
    <row r="155" spans="1:27" ht="12.5" x14ac:dyDescent="0.25">
      <c r="A155" s="10" t="s">
        <v>29</v>
      </c>
      <c r="B155" s="10" t="s">
        <v>508</v>
      </c>
      <c r="C155" s="10" t="s">
        <v>76</v>
      </c>
      <c r="D155" s="11">
        <v>2024</v>
      </c>
      <c r="E155" s="10" t="s">
        <v>124</v>
      </c>
      <c r="F155" s="10" t="s">
        <v>83</v>
      </c>
      <c r="G155" s="10" t="s">
        <v>84</v>
      </c>
      <c r="H155" s="12">
        <v>9310.6666666666697</v>
      </c>
      <c r="I155" s="11">
        <v>1603</v>
      </c>
      <c r="J155" s="11">
        <v>1402</v>
      </c>
      <c r="K155" s="11">
        <v>14078</v>
      </c>
      <c r="L155" s="11">
        <v>0.17216812258341699</v>
      </c>
      <c r="M155" s="11">
        <f t="shared" si="0"/>
        <v>17.216812258341683</v>
      </c>
      <c r="N155" s="11">
        <v>0.87461010605115397</v>
      </c>
      <c r="O155" s="11">
        <v>1.51202921380495</v>
      </c>
      <c r="P155" s="11">
        <v>0.84459459459459496</v>
      </c>
      <c r="Q155" s="11">
        <v>0.71428571428571397</v>
      </c>
      <c r="R155" s="11">
        <v>0.769574944071588</v>
      </c>
      <c r="S155" s="10" t="s">
        <v>84</v>
      </c>
      <c r="T155" s="10" t="s">
        <v>84</v>
      </c>
      <c r="U155" s="10"/>
      <c r="V155" s="10"/>
      <c r="W155" s="10"/>
      <c r="X155" s="10"/>
      <c r="Y155" s="10"/>
      <c r="Z155" s="10"/>
      <c r="AA155" s="10"/>
    </row>
    <row r="156" spans="1:27" ht="12.5" x14ac:dyDescent="0.25">
      <c r="A156" s="10" t="s">
        <v>36</v>
      </c>
      <c r="B156" s="10" t="s">
        <v>511</v>
      </c>
      <c r="C156" s="10" t="s">
        <v>76</v>
      </c>
      <c r="D156" s="11">
        <v>2024</v>
      </c>
      <c r="E156" s="10" t="s">
        <v>124</v>
      </c>
      <c r="F156" s="10" t="s">
        <v>83</v>
      </c>
      <c r="G156" s="10" t="s">
        <v>84</v>
      </c>
      <c r="H156" s="12">
        <v>4726.4166666666697</v>
      </c>
      <c r="I156" s="11">
        <v>809</v>
      </c>
      <c r="J156" s="11">
        <v>764</v>
      </c>
      <c r="K156" s="11">
        <v>10928</v>
      </c>
      <c r="L156" s="11">
        <v>0.171165611721353</v>
      </c>
      <c r="M156" s="11">
        <f t="shared" si="0"/>
        <v>17.116561172135327</v>
      </c>
      <c r="N156" s="11">
        <v>0.94437577255871397</v>
      </c>
      <c r="O156" s="11">
        <v>2.3121110072817701</v>
      </c>
      <c r="P156" s="11">
        <v>0.84375</v>
      </c>
      <c r="Q156" s="11">
        <v>0.59574468085106402</v>
      </c>
      <c r="R156" s="11">
        <v>0.76733780760626402</v>
      </c>
      <c r="S156" s="10" t="s">
        <v>84</v>
      </c>
      <c r="T156" s="10" t="s">
        <v>84</v>
      </c>
      <c r="U156" s="10"/>
      <c r="V156" s="10"/>
      <c r="W156" s="10"/>
      <c r="X156" s="10"/>
      <c r="Y156" s="10"/>
      <c r="Z156" s="10"/>
      <c r="AA156" s="10"/>
    </row>
    <row r="157" spans="1:27" ht="12.5" x14ac:dyDescent="0.25">
      <c r="A157" s="10" t="s">
        <v>86</v>
      </c>
      <c r="B157" s="10" t="s">
        <v>513</v>
      </c>
      <c r="C157" s="10" t="s">
        <v>76</v>
      </c>
      <c r="D157" s="11">
        <v>2024</v>
      </c>
      <c r="E157" s="10" t="s">
        <v>124</v>
      </c>
      <c r="F157" s="10" t="s">
        <v>83</v>
      </c>
      <c r="G157" s="10" t="s">
        <v>84</v>
      </c>
      <c r="H157" s="12">
        <v>29839.666666666701</v>
      </c>
      <c r="I157" s="11">
        <v>5098</v>
      </c>
      <c r="J157" s="11">
        <v>5284</v>
      </c>
      <c r="K157" s="11">
        <v>26004</v>
      </c>
      <c r="L157" s="11">
        <v>0.17084641249343699</v>
      </c>
      <c r="M157" s="11">
        <f t="shared" si="0"/>
        <v>17.084641249343697</v>
      </c>
      <c r="N157" s="11">
        <v>1.03648489603766</v>
      </c>
      <c r="O157" s="11">
        <v>0.87145745595906998</v>
      </c>
      <c r="P157" s="11">
        <v>0.84290540540540504</v>
      </c>
      <c r="Q157" s="11">
        <v>0.60869565217391297</v>
      </c>
      <c r="R157" s="11">
        <v>0.76510067114094005</v>
      </c>
      <c r="S157" s="10" t="s">
        <v>84</v>
      </c>
      <c r="T157" s="10" t="s">
        <v>84</v>
      </c>
      <c r="U157" s="10"/>
      <c r="V157" s="10"/>
      <c r="W157" s="10"/>
      <c r="X157" s="10"/>
      <c r="Y157" s="10"/>
      <c r="Z157" s="10"/>
      <c r="AA157" s="10"/>
    </row>
    <row r="158" spans="1:27" ht="12.5" x14ac:dyDescent="0.25">
      <c r="A158" s="10" t="s">
        <v>118</v>
      </c>
      <c r="B158" s="10" t="s">
        <v>516</v>
      </c>
      <c r="C158" s="10" t="s">
        <v>76</v>
      </c>
      <c r="D158" s="11">
        <v>2024</v>
      </c>
      <c r="E158" s="10" t="s">
        <v>124</v>
      </c>
      <c r="F158" s="10" t="s">
        <v>83</v>
      </c>
      <c r="G158" s="10" t="s">
        <v>84</v>
      </c>
      <c r="H158" s="12">
        <v>19455</v>
      </c>
      <c r="I158" s="11">
        <v>3314</v>
      </c>
      <c r="J158" s="11">
        <v>3045</v>
      </c>
      <c r="K158" s="11">
        <v>29599</v>
      </c>
      <c r="L158" s="11">
        <v>0.17034181444358801</v>
      </c>
      <c r="M158" s="11">
        <f t="shared" si="0"/>
        <v>17.034181444358776</v>
      </c>
      <c r="N158" s="11">
        <v>0.918829209414605</v>
      </c>
      <c r="O158" s="11">
        <v>1.5214083783089201</v>
      </c>
      <c r="P158" s="11">
        <v>0.84206081081081097</v>
      </c>
      <c r="Q158" s="11">
        <v>1</v>
      </c>
      <c r="R158" s="11">
        <v>0.76286353467561496</v>
      </c>
      <c r="S158" s="10" t="s">
        <v>84</v>
      </c>
      <c r="T158" s="10" t="s">
        <v>84</v>
      </c>
      <c r="U158" s="10"/>
      <c r="V158" s="10"/>
      <c r="W158" s="10"/>
      <c r="X158" s="10"/>
      <c r="Y158" s="10"/>
      <c r="Z158" s="10"/>
      <c r="AA158" s="10"/>
    </row>
    <row r="159" spans="1:27" ht="12.5" x14ac:dyDescent="0.25">
      <c r="A159" s="10" t="s">
        <v>29</v>
      </c>
      <c r="B159" s="10" t="s">
        <v>518</v>
      </c>
      <c r="C159" s="10" t="s">
        <v>76</v>
      </c>
      <c r="D159" s="11">
        <v>2024</v>
      </c>
      <c r="E159" s="10" t="s">
        <v>124</v>
      </c>
      <c r="F159" s="10" t="s">
        <v>83</v>
      </c>
      <c r="G159" s="10" t="s">
        <v>84</v>
      </c>
      <c r="H159" s="12">
        <v>21688.5</v>
      </c>
      <c r="I159" s="11">
        <v>3670</v>
      </c>
      <c r="J159" s="11">
        <v>3509</v>
      </c>
      <c r="K159" s="11">
        <v>7284</v>
      </c>
      <c r="L159" s="11">
        <v>0.169214099638057</v>
      </c>
      <c r="M159" s="11">
        <f t="shared" si="0"/>
        <v>16.921409963805704</v>
      </c>
      <c r="N159" s="11">
        <v>0.95613079019073599</v>
      </c>
      <c r="O159" s="11">
        <v>0.33584618576665098</v>
      </c>
      <c r="P159" s="11">
        <v>0.84121621621621601</v>
      </c>
      <c r="Q159" s="11">
        <v>0.69387755102040805</v>
      </c>
      <c r="R159" s="11">
        <v>0.76062639821029099</v>
      </c>
      <c r="S159" s="10" t="s">
        <v>84</v>
      </c>
      <c r="T159" s="10" t="s">
        <v>84</v>
      </c>
      <c r="U159" s="10"/>
      <c r="V159" s="10"/>
      <c r="W159" s="10"/>
      <c r="X159" s="10"/>
      <c r="Y159" s="10"/>
      <c r="Z159" s="10"/>
      <c r="AA159" s="10"/>
    </row>
    <row r="160" spans="1:27" ht="12.5" x14ac:dyDescent="0.25">
      <c r="A160" s="10" t="s">
        <v>19</v>
      </c>
      <c r="B160" s="10" t="s">
        <v>519</v>
      </c>
      <c r="C160" s="10" t="s">
        <v>76</v>
      </c>
      <c r="D160" s="11">
        <v>2024</v>
      </c>
      <c r="E160" s="10" t="s">
        <v>124</v>
      </c>
      <c r="F160" s="10" t="s">
        <v>83</v>
      </c>
      <c r="G160" s="10" t="s">
        <v>84</v>
      </c>
      <c r="H160" s="12">
        <v>12520.666666666701</v>
      </c>
      <c r="I160" s="11">
        <v>2109</v>
      </c>
      <c r="J160" s="11">
        <v>3842</v>
      </c>
      <c r="K160" s="11">
        <v>25411</v>
      </c>
      <c r="L160" s="11">
        <v>0.16844151003673899</v>
      </c>
      <c r="M160" s="11">
        <f t="shared" si="0"/>
        <v>16.844151003673879</v>
      </c>
      <c r="N160" s="11">
        <v>1.8217164532954</v>
      </c>
      <c r="O160" s="11">
        <v>2.0295245194611602</v>
      </c>
      <c r="P160" s="11">
        <v>0.84037162162162204</v>
      </c>
      <c r="Q160" s="11">
        <v>0.77777777777777801</v>
      </c>
      <c r="R160" s="11">
        <v>0.75838926174496601</v>
      </c>
      <c r="S160" s="10" t="s">
        <v>84</v>
      </c>
      <c r="T160" s="10" t="s">
        <v>84</v>
      </c>
      <c r="U160" s="10"/>
      <c r="V160" s="10"/>
      <c r="W160" s="10"/>
      <c r="X160" s="10"/>
      <c r="Y160" s="10"/>
      <c r="Z160" s="10"/>
      <c r="AA160" s="10"/>
    </row>
    <row r="161" spans="1:27" ht="12.5" x14ac:dyDescent="0.25">
      <c r="A161" s="10" t="s">
        <v>42</v>
      </c>
      <c r="B161" s="10" t="s">
        <v>451</v>
      </c>
      <c r="C161" s="10" t="s">
        <v>76</v>
      </c>
      <c r="D161" s="11">
        <v>2024</v>
      </c>
      <c r="E161" s="10" t="s">
        <v>81</v>
      </c>
      <c r="F161" s="10" t="s">
        <v>83</v>
      </c>
      <c r="G161" s="10" t="s">
        <v>84</v>
      </c>
      <c r="H161" s="12">
        <v>27948.25</v>
      </c>
      <c r="I161" s="11">
        <v>4674</v>
      </c>
      <c r="J161" s="11">
        <v>4522</v>
      </c>
      <c r="K161" s="11">
        <v>18466</v>
      </c>
      <c r="L161" s="11">
        <v>0.16723766246544999</v>
      </c>
      <c r="M161" s="11">
        <f t="shared" si="0"/>
        <v>16.723766246544955</v>
      </c>
      <c r="N161" s="11">
        <v>0.96747967479674801</v>
      </c>
      <c r="O161" s="11">
        <v>0.66072115427620703</v>
      </c>
      <c r="P161" s="11">
        <v>0.83952702702702697</v>
      </c>
      <c r="Q161" s="11">
        <v>0.85714285714285698</v>
      </c>
      <c r="R161" s="11">
        <v>0.87403100775193798</v>
      </c>
      <c r="S161" s="10" t="s">
        <v>84</v>
      </c>
      <c r="T161" s="10" t="s">
        <v>84</v>
      </c>
      <c r="U161" s="10"/>
      <c r="V161" s="10"/>
      <c r="W161" s="10"/>
      <c r="X161" s="10"/>
      <c r="Y161" s="10"/>
      <c r="Z161" s="10"/>
      <c r="AA161" s="10"/>
    </row>
    <row r="162" spans="1:27" ht="12.5" x14ac:dyDescent="0.25">
      <c r="A162" s="10" t="s">
        <v>36</v>
      </c>
      <c r="B162" s="10" t="s">
        <v>454</v>
      </c>
      <c r="C162" s="10" t="s">
        <v>76</v>
      </c>
      <c r="D162" s="11">
        <v>2024</v>
      </c>
      <c r="E162" s="10" t="s">
        <v>81</v>
      </c>
      <c r="F162" s="10" t="s">
        <v>83</v>
      </c>
      <c r="G162" s="10" t="s">
        <v>84</v>
      </c>
      <c r="H162" s="12">
        <v>20119.25</v>
      </c>
      <c r="I162" s="11">
        <v>3362</v>
      </c>
      <c r="J162" s="11">
        <v>3744</v>
      </c>
      <c r="K162" s="11">
        <v>71202</v>
      </c>
      <c r="L162" s="11">
        <v>0.16710364451955201</v>
      </c>
      <c r="M162" s="11">
        <f t="shared" si="0"/>
        <v>16.710364451955218</v>
      </c>
      <c r="N162" s="11">
        <v>1.11362284354551</v>
      </c>
      <c r="O162" s="11">
        <v>3.5389987201312199</v>
      </c>
      <c r="P162" s="11">
        <v>0.83868243243243201</v>
      </c>
      <c r="Q162" s="11">
        <v>0.57446808510638303</v>
      </c>
      <c r="R162" s="11">
        <v>0.87209302325581395</v>
      </c>
      <c r="S162" s="10" t="s">
        <v>84</v>
      </c>
      <c r="T162" s="10" t="s">
        <v>84</v>
      </c>
      <c r="U162" s="10"/>
      <c r="V162" s="10"/>
      <c r="W162" s="10"/>
      <c r="X162" s="10"/>
      <c r="Y162" s="10"/>
      <c r="Z162" s="10"/>
      <c r="AA162" s="10"/>
    </row>
    <row r="163" spans="1:27" ht="12.5" x14ac:dyDescent="0.25">
      <c r="A163" s="10" t="s">
        <v>16</v>
      </c>
      <c r="B163" s="10" t="s">
        <v>521</v>
      </c>
      <c r="C163" s="10" t="s">
        <v>76</v>
      </c>
      <c r="D163" s="11">
        <v>2024</v>
      </c>
      <c r="E163" s="10" t="s">
        <v>124</v>
      </c>
      <c r="F163" s="10" t="s">
        <v>125</v>
      </c>
      <c r="G163" s="10" t="s">
        <v>84</v>
      </c>
      <c r="H163" s="12">
        <v>1067.5</v>
      </c>
      <c r="I163" s="11">
        <v>175</v>
      </c>
      <c r="J163" s="11">
        <v>99</v>
      </c>
      <c r="K163" s="11">
        <v>0</v>
      </c>
      <c r="L163" s="11">
        <v>0.16393442622950799</v>
      </c>
      <c r="M163" s="11">
        <f t="shared" si="0"/>
        <v>16.393442622950818</v>
      </c>
      <c r="N163" s="11">
        <v>0.56571428571428595</v>
      </c>
      <c r="O163" s="11">
        <v>0</v>
      </c>
      <c r="P163" s="11">
        <v>0.83783783783783805</v>
      </c>
      <c r="Q163" s="11">
        <v>0.53333333333333299</v>
      </c>
      <c r="R163" s="11">
        <v>0.75615212527964204</v>
      </c>
      <c r="S163" s="10" t="s">
        <v>84</v>
      </c>
      <c r="T163" s="10" t="s">
        <v>84</v>
      </c>
      <c r="U163" s="10"/>
      <c r="V163" s="10"/>
      <c r="W163" s="10"/>
      <c r="X163" s="10"/>
      <c r="Y163" s="10"/>
      <c r="Z163" s="10"/>
      <c r="AA163" s="10"/>
    </row>
    <row r="164" spans="1:27" ht="12.5" x14ac:dyDescent="0.25">
      <c r="A164" s="10" t="s">
        <v>26</v>
      </c>
      <c r="B164" s="10" t="s">
        <v>456</v>
      </c>
      <c r="C164" s="10" t="s">
        <v>76</v>
      </c>
      <c r="D164" s="11">
        <v>2024</v>
      </c>
      <c r="E164" s="10" t="s">
        <v>81</v>
      </c>
      <c r="F164" s="10" t="s">
        <v>83</v>
      </c>
      <c r="G164" s="10" t="s">
        <v>84</v>
      </c>
      <c r="H164" s="12">
        <v>10559</v>
      </c>
      <c r="I164" s="11">
        <v>1724</v>
      </c>
      <c r="J164" s="11">
        <v>1518</v>
      </c>
      <c r="K164" s="11">
        <v>2380</v>
      </c>
      <c r="L164" s="11">
        <v>0.16327303721943401</v>
      </c>
      <c r="M164" s="11">
        <f t="shared" si="0"/>
        <v>16.327303721943366</v>
      </c>
      <c r="N164" s="11">
        <v>0.88051044083526697</v>
      </c>
      <c r="O164" s="11">
        <v>0.22540013258831301</v>
      </c>
      <c r="P164" s="11">
        <v>0.83699324324324298</v>
      </c>
      <c r="Q164" s="11">
        <v>0.65384615384615397</v>
      </c>
      <c r="R164" s="11">
        <v>0.87015503875969002</v>
      </c>
      <c r="S164" s="10" t="s">
        <v>84</v>
      </c>
      <c r="T164" s="10" t="s">
        <v>84</v>
      </c>
      <c r="U164" s="10"/>
      <c r="V164" s="10"/>
      <c r="W164" s="10"/>
      <c r="X164" s="10"/>
      <c r="Y164" s="10"/>
      <c r="Z164" s="10"/>
      <c r="AA164" s="10"/>
    </row>
    <row r="165" spans="1:27" ht="12.5" x14ac:dyDescent="0.25">
      <c r="A165" s="10" t="s">
        <v>29</v>
      </c>
      <c r="B165" s="10" t="s">
        <v>523</v>
      </c>
      <c r="C165" s="10" t="s">
        <v>76</v>
      </c>
      <c r="D165" s="11">
        <v>2024</v>
      </c>
      <c r="E165" s="10" t="s">
        <v>124</v>
      </c>
      <c r="F165" s="10" t="s">
        <v>83</v>
      </c>
      <c r="G165" s="10" t="s">
        <v>84</v>
      </c>
      <c r="H165" s="12">
        <v>16424.166666666701</v>
      </c>
      <c r="I165" s="11">
        <v>2665</v>
      </c>
      <c r="J165" s="11">
        <v>2500</v>
      </c>
      <c r="K165" s="11">
        <v>46941</v>
      </c>
      <c r="L165" s="11">
        <v>0.16226089603734301</v>
      </c>
      <c r="M165" s="11">
        <f t="shared" si="0"/>
        <v>16.226089603734302</v>
      </c>
      <c r="N165" s="11">
        <v>0.93808630393996295</v>
      </c>
      <c r="O165" s="11">
        <v>2.8580445481759602</v>
      </c>
      <c r="P165" s="11">
        <v>0.83614864864864902</v>
      </c>
      <c r="Q165" s="11">
        <v>0.67346938775510201</v>
      </c>
      <c r="R165" s="11">
        <v>0.75391498881431795</v>
      </c>
      <c r="S165" s="10" t="s">
        <v>84</v>
      </c>
      <c r="T165" s="10" t="s">
        <v>84</v>
      </c>
      <c r="U165" s="10"/>
      <c r="V165" s="10"/>
      <c r="W165" s="10"/>
      <c r="X165" s="10"/>
      <c r="Y165" s="10"/>
      <c r="Z165" s="10"/>
      <c r="AA165" s="10"/>
    </row>
    <row r="166" spans="1:27" ht="12.5" x14ac:dyDescent="0.25">
      <c r="A166" s="10" t="s">
        <v>58</v>
      </c>
      <c r="B166" s="10" t="s">
        <v>525</v>
      </c>
      <c r="C166" s="10" t="s">
        <v>76</v>
      </c>
      <c r="D166" s="11">
        <v>2024</v>
      </c>
      <c r="E166" s="10" t="s">
        <v>124</v>
      </c>
      <c r="F166" s="10" t="s">
        <v>83</v>
      </c>
      <c r="G166" s="10" t="s">
        <v>84</v>
      </c>
      <c r="H166" s="12">
        <v>4544.3333333333303</v>
      </c>
      <c r="I166" s="11">
        <v>734</v>
      </c>
      <c r="J166" s="11">
        <v>651</v>
      </c>
      <c r="K166" s="11">
        <v>12185</v>
      </c>
      <c r="L166" s="11">
        <v>0.161519841560918</v>
      </c>
      <c r="M166" s="11">
        <f t="shared" si="0"/>
        <v>16.151984156091849</v>
      </c>
      <c r="N166" s="11">
        <v>0.88692098092643101</v>
      </c>
      <c r="O166" s="11">
        <v>2.68136140247928</v>
      </c>
      <c r="P166" s="11">
        <v>0.83530405405405395</v>
      </c>
      <c r="Q166" s="11">
        <v>0.91891891891891897</v>
      </c>
      <c r="R166" s="11">
        <v>0.75167785234899298</v>
      </c>
      <c r="S166" s="10" t="s">
        <v>84</v>
      </c>
      <c r="T166" s="10" t="s">
        <v>84</v>
      </c>
      <c r="U166" s="10"/>
      <c r="V166" s="10"/>
      <c r="W166" s="10"/>
      <c r="X166" s="10"/>
      <c r="Y166" s="10"/>
      <c r="Z166" s="10"/>
      <c r="AA166" s="10"/>
    </row>
    <row r="167" spans="1:27" ht="12.5" hidden="1" x14ac:dyDescent="0.25">
      <c r="A167" s="10" t="s">
        <v>110</v>
      </c>
      <c r="B167" s="10" t="s">
        <v>838</v>
      </c>
      <c r="C167" s="10" t="s">
        <v>76</v>
      </c>
      <c r="D167" s="11">
        <v>2024</v>
      </c>
      <c r="E167" s="10" t="s">
        <v>257</v>
      </c>
      <c r="F167" s="10" t="s">
        <v>83</v>
      </c>
      <c r="G167" s="10" t="s">
        <v>84</v>
      </c>
      <c r="H167" s="12">
        <v>48267.083333333299</v>
      </c>
      <c r="I167" s="11">
        <v>7774</v>
      </c>
      <c r="J167" s="11">
        <v>7722</v>
      </c>
      <c r="K167" s="11">
        <v>17245</v>
      </c>
      <c r="L167" s="11">
        <v>0.161062145527059</v>
      </c>
      <c r="M167" s="11">
        <f t="shared" si="0"/>
        <v>16.106214552705875</v>
      </c>
      <c r="N167" s="11">
        <v>0.993311036789298</v>
      </c>
      <c r="O167" s="11">
        <v>0.35728282732365901</v>
      </c>
      <c r="P167" s="11">
        <v>0.83445945945945899</v>
      </c>
      <c r="Q167" s="11">
        <v>0.90909090909090895</v>
      </c>
      <c r="R167" s="11">
        <v>0.93181818181818199</v>
      </c>
      <c r="S167" s="10" t="s">
        <v>84</v>
      </c>
      <c r="T167" s="10" t="s">
        <v>84</v>
      </c>
      <c r="U167" s="10"/>
      <c r="V167" s="10"/>
      <c r="W167" s="10"/>
      <c r="X167" s="10"/>
      <c r="Y167" s="10"/>
      <c r="Z167" s="10"/>
      <c r="AA167" s="10"/>
    </row>
    <row r="168" spans="1:27" ht="12.5" x14ac:dyDescent="0.25">
      <c r="A168" s="10" t="s">
        <v>36</v>
      </c>
      <c r="B168" s="10" t="s">
        <v>458</v>
      </c>
      <c r="C168" s="10" t="s">
        <v>76</v>
      </c>
      <c r="D168" s="11">
        <v>2024</v>
      </c>
      <c r="E168" s="10" t="s">
        <v>81</v>
      </c>
      <c r="F168" s="10" t="s">
        <v>83</v>
      </c>
      <c r="G168" s="10" t="s">
        <v>84</v>
      </c>
      <c r="H168" s="12">
        <v>15086</v>
      </c>
      <c r="I168" s="11">
        <v>2396</v>
      </c>
      <c r="J168" s="11">
        <v>1485</v>
      </c>
      <c r="K168" s="11">
        <v>27561</v>
      </c>
      <c r="L168" s="11">
        <v>0.158822749569137</v>
      </c>
      <c r="M168" s="11">
        <f t="shared" si="0"/>
        <v>15.882274956913694</v>
      </c>
      <c r="N168" s="11">
        <v>0.61978297161936602</v>
      </c>
      <c r="O168" s="11">
        <v>1.82692562640859</v>
      </c>
      <c r="P168" s="11">
        <v>0.83277027027026995</v>
      </c>
      <c r="Q168" s="11">
        <v>0.55319148936170204</v>
      </c>
      <c r="R168" s="11">
        <v>0.86821705426356599</v>
      </c>
      <c r="S168" s="10" t="s">
        <v>84</v>
      </c>
      <c r="T168" s="10" t="s">
        <v>84</v>
      </c>
      <c r="U168" s="10"/>
      <c r="V168" s="10"/>
      <c r="W168" s="10"/>
      <c r="X168" s="10"/>
      <c r="Y168" s="10"/>
      <c r="Z168" s="10"/>
      <c r="AA168" s="10"/>
    </row>
    <row r="169" spans="1:27" ht="12.5" x14ac:dyDescent="0.25">
      <c r="A169" s="10" t="s">
        <v>12</v>
      </c>
      <c r="B169" s="10" t="s">
        <v>460</v>
      </c>
      <c r="C169" s="10" t="s">
        <v>76</v>
      </c>
      <c r="D169" s="11">
        <v>2024</v>
      </c>
      <c r="E169" s="10" t="s">
        <v>81</v>
      </c>
      <c r="F169" s="10" t="s">
        <v>83</v>
      </c>
      <c r="G169" s="10" t="s">
        <v>84</v>
      </c>
      <c r="H169" s="12">
        <v>81767.916666666701</v>
      </c>
      <c r="I169" s="11">
        <v>12979</v>
      </c>
      <c r="J169" s="11">
        <v>12151</v>
      </c>
      <c r="K169" s="11">
        <v>187289</v>
      </c>
      <c r="L169" s="11">
        <v>0.158729738130787</v>
      </c>
      <c r="M169" s="11">
        <f t="shared" si="0"/>
        <v>15.872973813078675</v>
      </c>
      <c r="N169" s="11">
        <v>0.936204638261808</v>
      </c>
      <c r="O169" s="11">
        <v>2.2904949475904899</v>
      </c>
      <c r="P169" s="11">
        <v>0.83192567567567599</v>
      </c>
      <c r="Q169" s="11">
        <v>0.80555555555555602</v>
      </c>
      <c r="R169" s="11">
        <v>0.86627906976744196</v>
      </c>
      <c r="S169" s="10" t="s">
        <v>84</v>
      </c>
      <c r="T169" s="10" t="s">
        <v>84</v>
      </c>
      <c r="U169" s="10"/>
      <c r="V169" s="10"/>
      <c r="W169" s="10"/>
      <c r="X169" s="10"/>
      <c r="Y169" s="10"/>
      <c r="Z169" s="10"/>
      <c r="AA169" s="10"/>
    </row>
    <row r="170" spans="1:27" ht="12.5" x14ac:dyDescent="0.25">
      <c r="A170" s="10" t="s">
        <v>14</v>
      </c>
      <c r="B170" s="10" t="s">
        <v>527</v>
      </c>
      <c r="C170" s="10" t="s">
        <v>76</v>
      </c>
      <c r="D170" s="11">
        <v>2024</v>
      </c>
      <c r="E170" s="10" t="s">
        <v>124</v>
      </c>
      <c r="F170" s="10" t="s">
        <v>83</v>
      </c>
      <c r="G170" s="10" t="s">
        <v>84</v>
      </c>
      <c r="H170" s="12">
        <v>21428.916666666701</v>
      </c>
      <c r="I170" s="11">
        <v>3392</v>
      </c>
      <c r="J170" s="11">
        <v>3042</v>
      </c>
      <c r="K170" s="11">
        <v>30524</v>
      </c>
      <c r="L170" s="11">
        <v>0.15829078309293901</v>
      </c>
      <c r="M170" s="11">
        <f t="shared" si="0"/>
        <v>15.829078309293882</v>
      </c>
      <c r="N170" s="11">
        <v>0.89681603773584895</v>
      </c>
      <c r="O170" s="11">
        <v>1.42443038417714</v>
      </c>
      <c r="P170" s="11">
        <v>0.83023648648648696</v>
      </c>
      <c r="Q170" s="11">
        <v>0.64285714285714302</v>
      </c>
      <c r="R170" s="11">
        <v>0.74944071588366901</v>
      </c>
      <c r="S170" s="10" t="s">
        <v>84</v>
      </c>
      <c r="T170" s="10" t="s">
        <v>84</v>
      </c>
      <c r="U170" s="10"/>
      <c r="V170" s="10"/>
      <c r="W170" s="10"/>
      <c r="X170" s="10"/>
      <c r="Y170" s="10"/>
      <c r="Z170" s="10"/>
      <c r="AA170" s="10"/>
    </row>
    <row r="171" spans="1:27" ht="12.5" x14ac:dyDescent="0.25">
      <c r="A171" s="10" t="s">
        <v>12</v>
      </c>
      <c r="B171" s="10" t="s">
        <v>462</v>
      </c>
      <c r="C171" s="10" t="s">
        <v>76</v>
      </c>
      <c r="D171" s="11">
        <v>2024</v>
      </c>
      <c r="E171" s="10" t="s">
        <v>81</v>
      </c>
      <c r="F171" s="10" t="s">
        <v>83</v>
      </c>
      <c r="G171" s="10" t="s">
        <v>84</v>
      </c>
      <c r="H171" s="12">
        <v>810.58333333333303</v>
      </c>
      <c r="I171" s="11">
        <v>128</v>
      </c>
      <c r="J171" s="11">
        <v>31</v>
      </c>
      <c r="K171" s="11">
        <v>390</v>
      </c>
      <c r="L171" s="11">
        <v>0.15791096946643399</v>
      </c>
      <c r="M171" s="11">
        <f t="shared" si="0"/>
        <v>15.791096946643371</v>
      </c>
      <c r="N171" s="11">
        <v>0.2421875</v>
      </c>
      <c r="O171" s="11">
        <v>0.48113498509303998</v>
      </c>
      <c r="P171" s="11">
        <v>0.82854729729729704</v>
      </c>
      <c r="Q171" s="11">
        <v>0.79166666666666696</v>
      </c>
      <c r="R171" s="11">
        <v>0.86434108527131803</v>
      </c>
      <c r="S171" s="10" t="s">
        <v>84</v>
      </c>
      <c r="T171" s="10" t="s">
        <v>84</v>
      </c>
      <c r="U171" s="10"/>
      <c r="V171" s="10"/>
      <c r="W171" s="10"/>
      <c r="X171" s="10"/>
      <c r="Y171" s="10"/>
      <c r="Z171" s="10"/>
      <c r="AA171" s="10"/>
    </row>
    <row r="172" spans="1:27" ht="12.5" x14ac:dyDescent="0.25">
      <c r="A172" s="10" t="s">
        <v>32</v>
      </c>
      <c r="B172" s="10" t="s">
        <v>464</v>
      </c>
      <c r="C172" s="10" t="s">
        <v>76</v>
      </c>
      <c r="D172" s="11">
        <v>2024</v>
      </c>
      <c r="E172" s="10" t="s">
        <v>81</v>
      </c>
      <c r="F172" s="10" t="s">
        <v>83</v>
      </c>
      <c r="G172" s="10" t="s">
        <v>84</v>
      </c>
      <c r="H172" s="12">
        <v>74144.083333333299</v>
      </c>
      <c r="I172" s="11">
        <v>11646</v>
      </c>
      <c r="J172" s="11">
        <v>4151</v>
      </c>
      <c r="K172" s="11">
        <v>35975</v>
      </c>
      <c r="L172" s="11">
        <v>0.15707254680919699</v>
      </c>
      <c r="M172" s="11">
        <f t="shared" si="0"/>
        <v>15.707254680919702</v>
      </c>
      <c r="N172" s="11">
        <v>0.356431392752876</v>
      </c>
      <c r="O172" s="11">
        <v>0.48520392164355702</v>
      </c>
      <c r="P172" s="11">
        <v>0.826858108108108</v>
      </c>
      <c r="Q172" s="11">
        <v>0.65517241379310298</v>
      </c>
      <c r="R172" s="11">
        <v>0.862403100775194</v>
      </c>
      <c r="S172" s="10" t="s">
        <v>84</v>
      </c>
      <c r="T172" s="10" t="s">
        <v>84</v>
      </c>
      <c r="U172" s="10"/>
      <c r="V172" s="10"/>
      <c r="W172" s="10"/>
      <c r="X172" s="10"/>
      <c r="Y172" s="10"/>
      <c r="Z172" s="10"/>
      <c r="AA172" s="10"/>
    </row>
    <row r="173" spans="1:27" ht="12.5" x14ac:dyDescent="0.25">
      <c r="A173" s="10" t="s">
        <v>110</v>
      </c>
      <c r="B173" s="10" t="s">
        <v>467</v>
      </c>
      <c r="C173" s="10" t="s">
        <v>76</v>
      </c>
      <c r="D173" s="11">
        <v>2024</v>
      </c>
      <c r="E173" s="10" t="s">
        <v>81</v>
      </c>
      <c r="F173" s="10" t="s">
        <v>83</v>
      </c>
      <c r="G173" s="10" t="s">
        <v>84</v>
      </c>
      <c r="H173" s="12">
        <v>16159.333333333299</v>
      </c>
      <c r="I173" s="11">
        <v>2538</v>
      </c>
      <c r="J173" s="11">
        <v>2393</v>
      </c>
      <c r="K173" s="11">
        <v>19790</v>
      </c>
      <c r="L173" s="11">
        <v>0.157060934857049</v>
      </c>
      <c r="M173" s="11">
        <f t="shared" si="0"/>
        <v>15.706093485704889</v>
      </c>
      <c r="N173" s="11">
        <v>0.94286840031520902</v>
      </c>
      <c r="O173" s="11">
        <v>1.2246792359420799</v>
      </c>
      <c r="P173" s="11">
        <v>0.82601351351351304</v>
      </c>
      <c r="Q173" s="11">
        <v>0.87878787878787901</v>
      </c>
      <c r="R173" s="11">
        <v>0.86046511627906996</v>
      </c>
      <c r="S173" s="10" t="s">
        <v>84</v>
      </c>
      <c r="T173" s="10" t="s">
        <v>84</v>
      </c>
      <c r="U173" s="10"/>
      <c r="V173" s="10"/>
      <c r="W173" s="10"/>
      <c r="X173" s="10"/>
      <c r="Y173" s="10"/>
      <c r="Z173" s="10"/>
      <c r="AA173" s="10"/>
    </row>
    <row r="174" spans="1:27" ht="12.5" x14ac:dyDescent="0.25">
      <c r="A174" s="10" t="s">
        <v>22</v>
      </c>
      <c r="B174" s="10" t="s">
        <v>469</v>
      </c>
      <c r="C174" s="10" t="s">
        <v>76</v>
      </c>
      <c r="D174" s="11">
        <v>2024</v>
      </c>
      <c r="E174" s="10" t="s">
        <v>81</v>
      </c>
      <c r="F174" s="10" t="s">
        <v>83</v>
      </c>
      <c r="G174" s="10" t="s">
        <v>84</v>
      </c>
      <c r="H174" s="12">
        <v>1561.4166666666699</v>
      </c>
      <c r="I174" s="11">
        <v>245</v>
      </c>
      <c r="J174" s="11">
        <v>231</v>
      </c>
      <c r="K174" s="11">
        <v>2321</v>
      </c>
      <c r="L174" s="11">
        <v>0.15690879009446501</v>
      </c>
      <c r="M174" s="11">
        <f t="shared" si="0"/>
        <v>15.690879009446517</v>
      </c>
      <c r="N174" s="11">
        <v>0.94285714285714295</v>
      </c>
      <c r="O174" s="11">
        <v>1.48647061962961</v>
      </c>
      <c r="P174" s="11">
        <v>0.82516891891891897</v>
      </c>
      <c r="Q174" s="11">
        <v>0.85714285714285698</v>
      </c>
      <c r="R174" s="11">
        <v>0.85852713178294604</v>
      </c>
      <c r="S174" s="10" t="s">
        <v>84</v>
      </c>
      <c r="T174" s="10" t="s">
        <v>84</v>
      </c>
      <c r="U174" s="10"/>
      <c r="V174" s="10"/>
      <c r="W174" s="10"/>
      <c r="X174" s="10"/>
      <c r="Y174" s="10"/>
      <c r="Z174" s="10"/>
      <c r="AA174" s="10"/>
    </row>
    <row r="175" spans="1:27" ht="12.5" x14ac:dyDescent="0.25">
      <c r="A175" s="10" t="s">
        <v>16</v>
      </c>
      <c r="B175" s="10" t="s">
        <v>533</v>
      </c>
      <c r="C175" s="10" t="s">
        <v>76</v>
      </c>
      <c r="D175" s="11">
        <v>2024</v>
      </c>
      <c r="E175" s="10" t="s">
        <v>124</v>
      </c>
      <c r="F175" s="10" t="s">
        <v>125</v>
      </c>
      <c r="G175" s="10" t="s">
        <v>84</v>
      </c>
      <c r="H175" s="12">
        <v>2957.5833333333298</v>
      </c>
      <c r="I175" s="11">
        <v>464</v>
      </c>
      <c r="J175" s="11">
        <v>376</v>
      </c>
      <c r="K175" s="11">
        <v>0</v>
      </c>
      <c r="L175" s="11">
        <v>0.156884844044969</v>
      </c>
      <c r="M175" s="11">
        <f t="shared" si="0"/>
        <v>15.688484404496933</v>
      </c>
      <c r="N175" s="11">
        <v>0.81034482758620696</v>
      </c>
      <c r="O175" s="11">
        <v>0</v>
      </c>
      <c r="P175" s="11">
        <v>0.82432432432432401</v>
      </c>
      <c r="Q175" s="11">
        <v>0.46666666666666701</v>
      </c>
      <c r="R175" s="11">
        <v>0.74496644295301995</v>
      </c>
      <c r="S175" s="10" t="s">
        <v>84</v>
      </c>
      <c r="T175" s="10" t="s">
        <v>84</v>
      </c>
      <c r="U175" s="10"/>
      <c r="V175" s="10"/>
      <c r="W175" s="10"/>
      <c r="X175" s="10"/>
      <c r="Y175" s="10"/>
      <c r="Z175" s="10"/>
      <c r="AA175" s="10"/>
    </row>
    <row r="176" spans="1:27" ht="12.5" hidden="1" x14ac:dyDescent="0.25">
      <c r="A176" s="10" t="s">
        <v>67</v>
      </c>
      <c r="B176" s="10" t="s">
        <v>858</v>
      </c>
      <c r="C176" s="10" t="s">
        <v>76</v>
      </c>
      <c r="D176" s="11">
        <v>2024</v>
      </c>
      <c r="E176" s="10" t="s">
        <v>257</v>
      </c>
      <c r="F176" s="10" t="s">
        <v>83</v>
      </c>
      <c r="G176" s="10" t="s">
        <v>84</v>
      </c>
      <c r="H176" s="12">
        <v>19967.583333333299</v>
      </c>
      <c r="I176" s="11">
        <v>3122</v>
      </c>
      <c r="J176" s="11">
        <v>3080</v>
      </c>
      <c r="K176" s="11">
        <v>19220</v>
      </c>
      <c r="L176" s="11">
        <v>0.156353422839519</v>
      </c>
      <c r="M176" s="11">
        <f t="shared" si="0"/>
        <v>15.63534228395193</v>
      </c>
      <c r="N176" s="11">
        <v>0.98654708520179402</v>
      </c>
      <c r="O176" s="11">
        <v>0.96256014957577096</v>
      </c>
      <c r="P176" s="11">
        <v>0.82347972972973005</v>
      </c>
      <c r="Q176" s="11">
        <v>0.952380952380952</v>
      </c>
      <c r="R176" s="11">
        <v>0.90909090909090895</v>
      </c>
      <c r="S176" s="10" t="s">
        <v>84</v>
      </c>
      <c r="T176" s="10" t="s">
        <v>84</v>
      </c>
      <c r="U176" s="10"/>
      <c r="V176" s="10"/>
      <c r="W176" s="10"/>
      <c r="X176" s="10"/>
      <c r="Y176" s="10"/>
      <c r="Z176" s="10"/>
      <c r="AA176" s="10"/>
    </row>
    <row r="177" spans="1:27" ht="12.5" x14ac:dyDescent="0.25">
      <c r="A177" s="10" t="s">
        <v>52</v>
      </c>
      <c r="B177" s="10" t="s">
        <v>535</v>
      </c>
      <c r="C177" s="10" t="s">
        <v>76</v>
      </c>
      <c r="D177" s="11">
        <v>2024</v>
      </c>
      <c r="E177" s="10" t="s">
        <v>124</v>
      </c>
      <c r="F177" s="10" t="s">
        <v>83</v>
      </c>
      <c r="G177" s="10" t="s">
        <v>84</v>
      </c>
      <c r="H177" s="12">
        <v>4611.1666666666697</v>
      </c>
      <c r="I177" s="11">
        <v>720</v>
      </c>
      <c r="J177" s="11">
        <v>655</v>
      </c>
      <c r="K177" s="11">
        <v>1697</v>
      </c>
      <c r="L177" s="11">
        <v>0.156142697075939</v>
      </c>
      <c r="M177" s="11">
        <f t="shared" si="0"/>
        <v>15.614269707593875</v>
      </c>
      <c r="N177" s="11">
        <v>0.90972222222222199</v>
      </c>
      <c r="O177" s="11">
        <v>0.36801966241370598</v>
      </c>
      <c r="P177" s="11">
        <v>0.82094594594594605</v>
      </c>
      <c r="Q177" s="11">
        <v>0.76595744680851097</v>
      </c>
      <c r="R177" s="11">
        <v>0.74272930648769597</v>
      </c>
      <c r="S177" s="10" t="s">
        <v>84</v>
      </c>
      <c r="T177" s="10" t="s">
        <v>84</v>
      </c>
      <c r="U177" s="10"/>
      <c r="V177" s="10"/>
      <c r="W177" s="10"/>
      <c r="X177" s="10"/>
      <c r="Y177" s="10"/>
      <c r="Z177" s="10"/>
      <c r="AA177" s="10"/>
    </row>
    <row r="178" spans="1:27" ht="12.5" x14ac:dyDescent="0.25">
      <c r="A178" s="10" t="s">
        <v>36</v>
      </c>
      <c r="B178" s="10" t="s">
        <v>471</v>
      </c>
      <c r="C178" s="10" t="s">
        <v>76</v>
      </c>
      <c r="D178" s="11">
        <v>2024</v>
      </c>
      <c r="E178" s="10" t="s">
        <v>81</v>
      </c>
      <c r="F178" s="10" t="s">
        <v>83</v>
      </c>
      <c r="G178" s="10" t="s">
        <v>84</v>
      </c>
      <c r="H178" s="12">
        <v>18196.583333333299</v>
      </c>
      <c r="I178" s="11">
        <v>2836</v>
      </c>
      <c r="J178" s="11">
        <v>2427</v>
      </c>
      <c r="K178" s="11">
        <v>34612</v>
      </c>
      <c r="L178" s="11">
        <v>0.15585343402378701</v>
      </c>
      <c r="M178" s="11">
        <f t="shared" si="0"/>
        <v>15.585343402378681</v>
      </c>
      <c r="N178" s="11">
        <v>0.85578279266572599</v>
      </c>
      <c r="O178" s="11">
        <v>1.90211532384743</v>
      </c>
      <c r="P178" s="11">
        <v>0.82010135135135098</v>
      </c>
      <c r="Q178" s="11">
        <v>0.53191489361702105</v>
      </c>
      <c r="R178" s="11">
        <v>0.85658914728682201</v>
      </c>
      <c r="S178" s="10" t="s">
        <v>84</v>
      </c>
      <c r="T178" s="10" t="s">
        <v>84</v>
      </c>
      <c r="U178" s="10"/>
      <c r="V178" s="10"/>
      <c r="W178" s="10"/>
      <c r="X178" s="10"/>
      <c r="Y178" s="10"/>
      <c r="Z178" s="10"/>
      <c r="AA178" s="10"/>
    </row>
    <row r="179" spans="1:27" ht="12.5" x14ac:dyDescent="0.25">
      <c r="A179" s="10" t="s">
        <v>62</v>
      </c>
      <c r="B179" s="10" t="s">
        <v>538</v>
      </c>
      <c r="C179" s="10" t="s">
        <v>76</v>
      </c>
      <c r="D179" s="11">
        <v>2024</v>
      </c>
      <c r="E179" s="10" t="s">
        <v>124</v>
      </c>
      <c r="F179" s="10" t="s">
        <v>83</v>
      </c>
      <c r="G179" s="10" t="s">
        <v>84</v>
      </c>
      <c r="H179" s="12">
        <v>9733.75</v>
      </c>
      <c r="I179" s="11">
        <v>1495</v>
      </c>
      <c r="J179" s="11">
        <v>1310</v>
      </c>
      <c r="K179" s="11">
        <v>23397</v>
      </c>
      <c r="L179" s="11">
        <v>0.15358931552587601</v>
      </c>
      <c r="M179" s="11">
        <f t="shared" si="0"/>
        <v>15.358931552587645</v>
      </c>
      <c r="N179" s="11">
        <v>0.87625418060200699</v>
      </c>
      <c r="O179" s="11">
        <v>2.4036984718119898</v>
      </c>
      <c r="P179" s="11">
        <v>0.81841216216216195</v>
      </c>
      <c r="Q179" s="11">
        <v>0.94444444444444398</v>
      </c>
      <c r="R179" s="11">
        <v>0.740492170022371</v>
      </c>
      <c r="S179" s="10" t="s">
        <v>84</v>
      </c>
      <c r="T179" s="10" t="s">
        <v>84</v>
      </c>
      <c r="U179" s="10"/>
      <c r="V179" s="10"/>
      <c r="W179" s="10"/>
      <c r="X179" s="10"/>
      <c r="Y179" s="10"/>
      <c r="Z179" s="10"/>
      <c r="AA179" s="10"/>
    </row>
    <row r="180" spans="1:27" ht="12.5" x14ac:dyDescent="0.25">
      <c r="A180" s="10" t="s">
        <v>42</v>
      </c>
      <c r="B180" s="10" t="s">
        <v>541</v>
      </c>
      <c r="C180" s="10" t="s">
        <v>76</v>
      </c>
      <c r="D180" s="11">
        <v>2024</v>
      </c>
      <c r="E180" s="10" t="s">
        <v>124</v>
      </c>
      <c r="F180" s="10" t="s">
        <v>125</v>
      </c>
      <c r="G180" s="10" t="s">
        <v>84</v>
      </c>
      <c r="H180" s="12">
        <v>2690.0833333333298</v>
      </c>
      <c r="I180" s="11">
        <v>413</v>
      </c>
      <c r="J180" s="11">
        <v>361</v>
      </c>
      <c r="K180" s="11">
        <v>2855</v>
      </c>
      <c r="L180" s="11">
        <v>0.153526842415043</v>
      </c>
      <c r="M180" s="11">
        <f t="shared" si="0"/>
        <v>15.35268424150431</v>
      </c>
      <c r="N180" s="11">
        <v>0.87409200968523004</v>
      </c>
      <c r="O180" s="11">
        <v>1.0613054118521701</v>
      </c>
      <c r="P180" s="11">
        <v>0.81756756756756799</v>
      </c>
      <c r="Q180" s="11">
        <v>0.80952380952380998</v>
      </c>
      <c r="R180" s="11">
        <v>0.73825503355704702</v>
      </c>
      <c r="S180" s="10" t="s">
        <v>84</v>
      </c>
      <c r="T180" s="10" t="s">
        <v>84</v>
      </c>
      <c r="U180" s="10"/>
      <c r="V180" s="10"/>
      <c r="W180" s="10"/>
      <c r="X180" s="10"/>
      <c r="Y180" s="10"/>
      <c r="Z180" s="10"/>
      <c r="AA180" s="10"/>
    </row>
    <row r="181" spans="1:27" ht="12.5" x14ac:dyDescent="0.25">
      <c r="A181" s="10" t="s">
        <v>14</v>
      </c>
      <c r="B181" s="10" t="s">
        <v>543</v>
      </c>
      <c r="C181" s="10" t="s">
        <v>76</v>
      </c>
      <c r="D181" s="11">
        <v>2024</v>
      </c>
      <c r="E181" s="10" t="s">
        <v>124</v>
      </c>
      <c r="F181" s="10" t="s">
        <v>83</v>
      </c>
      <c r="G181" s="10" t="s">
        <v>84</v>
      </c>
      <c r="H181" s="12">
        <v>4071.4166666666702</v>
      </c>
      <c r="I181" s="11">
        <v>622</v>
      </c>
      <c r="J181" s="11">
        <v>490</v>
      </c>
      <c r="K181" s="11">
        <v>13951</v>
      </c>
      <c r="L181" s="11">
        <v>0.15277237652741699</v>
      </c>
      <c r="M181" s="11">
        <f t="shared" si="0"/>
        <v>15.277237652741663</v>
      </c>
      <c r="N181" s="11">
        <v>0.78778135048231501</v>
      </c>
      <c r="O181" s="11">
        <v>3.4265714227234598</v>
      </c>
      <c r="P181" s="11">
        <v>0.81672297297297303</v>
      </c>
      <c r="Q181" s="11">
        <v>0.57142857142857095</v>
      </c>
      <c r="R181" s="11">
        <v>0.73601789709172305</v>
      </c>
      <c r="S181" s="10" t="s">
        <v>84</v>
      </c>
      <c r="T181" s="10" t="s">
        <v>84</v>
      </c>
      <c r="U181" s="10"/>
      <c r="V181" s="10"/>
      <c r="W181" s="10"/>
      <c r="X181" s="10"/>
      <c r="Y181" s="10"/>
      <c r="Z181" s="10"/>
      <c r="AA181" s="10"/>
    </row>
    <row r="182" spans="1:27" ht="12.5" x14ac:dyDescent="0.25">
      <c r="A182" s="10" t="s">
        <v>42</v>
      </c>
      <c r="B182" s="10" t="s">
        <v>545</v>
      </c>
      <c r="C182" s="10" t="s">
        <v>76</v>
      </c>
      <c r="D182" s="11">
        <v>2024</v>
      </c>
      <c r="E182" s="10" t="s">
        <v>124</v>
      </c>
      <c r="F182" s="10" t="s">
        <v>83</v>
      </c>
      <c r="G182" s="10" t="s">
        <v>84</v>
      </c>
      <c r="H182" s="12">
        <v>9330</v>
      </c>
      <c r="I182" s="11">
        <v>1413</v>
      </c>
      <c r="J182" s="11">
        <v>1297</v>
      </c>
      <c r="K182" s="11">
        <v>15647</v>
      </c>
      <c r="L182" s="11">
        <v>0.15144694533762099</v>
      </c>
      <c r="M182" s="11">
        <f t="shared" si="0"/>
        <v>15.144694533762056</v>
      </c>
      <c r="N182" s="11">
        <v>0.91790516631281005</v>
      </c>
      <c r="O182" s="11">
        <v>1.67706323687031</v>
      </c>
      <c r="P182" s="11">
        <v>0.81334459459459496</v>
      </c>
      <c r="Q182" s="11">
        <v>0.78571428571428603</v>
      </c>
      <c r="R182" s="11">
        <v>0.73378076062639797</v>
      </c>
      <c r="S182" s="10" t="s">
        <v>84</v>
      </c>
      <c r="T182" s="10" t="s">
        <v>84</v>
      </c>
      <c r="U182" s="10"/>
      <c r="V182" s="10"/>
      <c r="W182" s="10"/>
      <c r="X182" s="10"/>
      <c r="Y182" s="10"/>
      <c r="Z182" s="10"/>
      <c r="AA182" s="10"/>
    </row>
    <row r="183" spans="1:27" ht="12.5" x14ac:dyDescent="0.25">
      <c r="A183" s="10" t="s">
        <v>29</v>
      </c>
      <c r="B183" s="10" t="s">
        <v>547</v>
      </c>
      <c r="C183" s="10" t="s">
        <v>76</v>
      </c>
      <c r="D183" s="11">
        <v>2024</v>
      </c>
      <c r="E183" s="10" t="s">
        <v>124</v>
      </c>
      <c r="F183" s="10" t="s">
        <v>83</v>
      </c>
      <c r="G183" s="10" t="s">
        <v>84</v>
      </c>
      <c r="H183" s="12">
        <v>27772.833333333299</v>
      </c>
      <c r="I183" s="11">
        <v>4187</v>
      </c>
      <c r="J183" s="11">
        <v>3832</v>
      </c>
      <c r="K183" s="11">
        <v>53099</v>
      </c>
      <c r="L183" s="11">
        <v>0.15075883507264301</v>
      </c>
      <c r="M183" s="11">
        <f t="shared" si="0"/>
        <v>15.075883507264312</v>
      </c>
      <c r="N183" s="11">
        <v>0.91521375686649198</v>
      </c>
      <c r="O183" s="11">
        <v>1.9119043189687801</v>
      </c>
      <c r="P183" s="11">
        <v>0.8125</v>
      </c>
      <c r="Q183" s="11">
        <v>0.65306122448979598</v>
      </c>
      <c r="R183" s="11">
        <v>0.73154362416107399</v>
      </c>
      <c r="S183" s="10" t="s">
        <v>84</v>
      </c>
      <c r="T183" s="10" t="s">
        <v>84</v>
      </c>
      <c r="U183" s="10"/>
      <c r="V183" s="10"/>
      <c r="W183" s="10"/>
      <c r="X183" s="10"/>
      <c r="Y183" s="10"/>
      <c r="Z183" s="10"/>
      <c r="AA183" s="10"/>
    </row>
    <row r="184" spans="1:27" ht="12.5" x14ac:dyDescent="0.25">
      <c r="A184" s="10" t="s">
        <v>43</v>
      </c>
      <c r="B184" s="10" t="s">
        <v>550</v>
      </c>
      <c r="C184" s="10" t="s">
        <v>76</v>
      </c>
      <c r="D184" s="11">
        <v>2024</v>
      </c>
      <c r="E184" s="10" t="s">
        <v>124</v>
      </c>
      <c r="F184" s="10" t="s">
        <v>83</v>
      </c>
      <c r="G184" s="10" t="s">
        <v>84</v>
      </c>
      <c r="H184" s="12">
        <v>16383.5</v>
      </c>
      <c r="I184" s="11">
        <v>2433</v>
      </c>
      <c r="J184" s="11">
        <v>2183</v>
      </c>
      <c r="K184" s="11">
        <v>47740</v>
      </c>
      <c r="L184" s="11">
        <v>0.148503067110202</v>
      </c>
      <c r="M184" s="11">
        <f t="shared" si="0"/>
        <v>14.850306711020234</v>
      </c>
      <c r="N184" s="11">
        <v>0.89724619810933004</v>
      </c>
      <c r="O184" s="11">
        <v>2.9139072847682099</v>
      </c>
      <c r="P184" s="11">
        <v>0.81081081081081097</v>
      </c>
      <c r="Q184" s="11">
        <v>0.92307692307692302</v>
      </c>
      <c r="R184" s="11">
        <v>0.72930648769575002</v>
      </c>
      <c r="S184" s="10" t="s">
        <v>84</v>
      </c>
      <c r="T184" s="10" t="s">
        <v>84</v>
      </c>
      <c r="U184" s="10"/>
      <c r="V184" s="10"/>
      <c r="W184" s="10"/>
      <c r="X184" s="10"/>
      <c r="Y184" s="10"/>
      <c r="Z184" s="10"/>
      <c r="AA184" s="10"/>
    </row>
    <row r="185" spans="1:27" ht="12.5" x14ac:dyDescent="0.25">
      <c r="A185" s="10" t="s">
        <v>12</v>
      </c>
      <c r="B185" s="10" t="s">
        <v>475</v>
      </c>
      <c r="C185" s="10" t="s">
        <v>76</v>
      </c>
      <c r="D185" s="11">
        <v>2024</v>
      </c>
      <c r="E185" s="10" t="s">
        <v>81</v>
      </c>
      <c r="F185" s="10" t="s">
        <v>83</v>
      </c>
      <c r="G185" s="10" t="s">
        <v>84</v>
      </c>
      <c r="H185" s="12">
        <v>2627.0833333333298</v>
      </c>
      <c r="I185" s="11">
        <v>388</v>
      </c>
      <c r="J185" s="11">
        <v>360</v>
      </c>
      <c r="K185" s="11">
        <v>4330</v>
      </c>
      <c r="L185" s="11">
        <v>0.14769230769230801</v>
      </c>
      <c r="M185" s="11">
        <f t="shared" si="0"/>
        <v>14.76923076923079</v>
      </c>
      <c r="N185" s="11">
        <v>0.92783505154639201</v>
      </c>
      <c r="O185" s="11">
        <v>1.6482157018239501</v>
      </c>
      <c r="P185" s="11">
        <v>0.80996621621621601</v>
      </c>
      <c r="Q185" s="11">
        <v>0.77777777777777801</v>
      </c>
      <c r="R185" s="11">
        <v>0.85271317829457405</v>
      </c>
      <c r="S185" s="10" t="s">
        <v>84</v>
      </c>
      <c r="T185" s="10" t="s">
        <v>84</v>
      </c>
      <c r="U185" s="10"/>
      <c r="V185" s="10"/>
      <c r="W185" s="10"/>
      <c r="X185" s="10"/>
      <c r="Y185" s="10"/>
      <c r="Z185" s="10"/>
      <c r="AA185" s="10"/>
    </row>
    <row r="186" spans="1:27" ht="12.5" x14ac:dyDescent="0.25">
      <c r="A186" s="10" t="s">
        <v>52</v>
      </c>
      <c r="B186" s="10" t="s">
        <v>553</v>
      </c>
      <c r="C186" s="10" t="s">
        <v>76</v>
      </c>
      <c r="D186" s="11">
        <v>2024</v>
      </c>
      <c r="E186" s="10" t="s">
        <v>124</v>
      </c>
      <c r="F186" s="10" t="s">
        <v>83</v>
      </c>
      <c r="G186" s="10" t="s">
        <v>84</v>
      </c>
      <c r="H186" s="12">
        <v>9043.4166666666697</v>
      </c>
      <c r="I186" s="11">
        <v>1335</v>
      </c>
      <c r="J186" s="11">
        <v>1029</v>
      </c>
      <c r="K186" s="11">
        <v>1963</v>
      </c>
      <c r="L186" s="11">
        <v>0.14762119774052901</v>
      </c>
      <c r="M186" s="11">
        <f t="shared" si="0"/>
        <v>14.762119774052943</v>
      </c>
      <c r="N186" s="11">
        <v>0.77078651685393296</v>
      </c>
      <c r="O186" s="11">
        <v>0.21706397840049399</v>
      </c>
      <c r="P186" s="11">
        <v>0.80912162162162204</v>
      </c>
      <c r="Q186" s="11">
        <v>0.74468085106382997</v>
      </c>
      <c r="R186" s="11">
        <v>0.72706935123042504</v>
      </c>
      <c r="S186" s="10" t="s">
        <v>84</v>
      </c>
      <c r="T186" s="10" t="s">
        <v>84</v>
      </c>
      <c r="U186" s="10"/>
      <c r="V186" s="10"/>
      <c r="W186" s="10"/>
      <c r="X186" s="10"/>
      <c r="Y186" s="10"/>
      <c r="Z186" s="10"/>
      <c r="AA186" s="10"/>
    </row>
    <row r="187" spans="1:27" ht="12.5" x14ac:dyDescent="0.25">
      <c r="A187" s="10" t="s">
        <v>14</v>
      </c>
      <c r="B187" s="10" t="s">
        <v>477</v>
      </c>
      <c r="C187" s="10" t="s">
        <v>76</v>
      </c>
      <c r="D187" s="11">
        <v>2024</v>
      </c>
      <c r="E187" s="10" t="s">
        <v>81</v>
      </c>
      <c r="F187" s="10" t="s">
        <v>83</v>
      </c>
      <c r="G187" s="10" t="s">
        <v>84</v>
      </c>
      <c r="H187" s="12">
        <v>30287.833333333299</v>
      </c>
      <c r="I187" s="11">
        <v>4471</v>
      </c>
      <c r="J187" s="11">
        <v>2735</v>
      </c>
      <c r="K187" s="11">
        <v>83654</v>
      </c>
      <c r="L187" s="11">
        <v>0.14761702994051501</v>
      </c>
      <c r="M187" s="11">
        <f t="shared" si="0"/>
        <v>14.761702994051534</v>
      </c>
      <c r="N187" s="11">
        <v>0.61171997316036697</v>
      </c>
      <c r="O187" s="11">
        <v>2.7619671265139498</v>
      </c>
      <c r="P187" s="11">
        <v>0.80827702702702697</v>
      </c>
      <c r="Q187" s="11">
        <v>0.53571428571428603</v>
      </c>
      <c r="R187" s="11">
        <v>0.85077519379845001</v>
      </c>
      <c r="S187" s="10" t="s">
        <v>84</v>
      </c>
      <c r="T187" s="10" t="s">
        <v>84</v>
      </c>
      <c r="U187" s="10"/>
      <c r="V187" s="10"/>
      <c r="W187" s="10"/>
      <c r="X187" s="10"/>
      <c r="Y187" s="10"/>
      <c r="Z187" s="10"/>
      <c r="AA187" s="10"/>
    </row>
    <row r="188" spans="1:27" ht="12.5" x14ac:dyDescent="0.25">
      <c r="A188" s="10" t="s">
        <v>109</v>
      </c>
      <c r="B188" s="10" t="s">
        <v>480</v>
      </c>
      <c r="C188" s="10" t="s">
        <v>76</v>
      </c>
      <c r="D188" s="11">
        <v>2024</v>
      </c>
      <c r="E188" s="10" t="s">
        <v>81</v>
      </c>
      <c r="F188" s="10" t="s">
        <v>83</v>
      </c>
      <c r="G188" s="10" t="s">
        <v>84</v>
      </c>
      <c r="H188" s="12">
        <v>25421.25</v>
      </c>
      <c r="I188" s="11">
        <v>3738</v>
      </c>
      <c r="J188" s="11">
        <v>3748</v>
      </c>
      <c r="K188" s="11">
        <v>7964</v>
      </c>
      <c r="L188" s="11">
        <v>0.14704233662782101</v>
      </c>
      <c r="M188" s="11">
        <f t="shared" si="0"/>
        <v>14.704233662782121</v>
      </c>
      <c r="N188" s="11">
        <v>1.00267522739433</v>
      </c>
      <c r="O188" s="11">
        <v>0.31328121158479599</v>
      </c>
      <c r="P188" s="11">
        <v>0.80658783783783805</v>
      </c>
      <c r="Q188" s="11">
        <v>0.88888888888888895</v>
      </c>
      <c r="R188" s="11">
        <v>0.84883720930232598</v>
      </c>
      <c r="S188" s="10" t="s">
        <v>84</v>
      </c>
      <c r="T188" s="10" t="s">
        <v>84</v>
      </c>
      <c r="U188" s="10"/>
      <c r="V188" s="10"/>
      <c r="W188" s="10"/>
      <c r="X188" s="10"/>
      <c r="Y188" s="10"/>
      <c r="Z188" s="10"/>
      <c r="AA188" s="10"/>
    </row>
    <row r="189" spans="1:27" ht="12.5" x14ac:dyDescent="0.25">
      <c r="A189" s="10" t="s">
        <v>12</v>
      </c>
      <c r="B189" s="10" t="s">
        <v>393</v>
      </c>
      <c r="C189" s="10" t="s">
        <v>76</v>
      </c>
      <c r="D189" s="11">
        <v>2024</v>
      </c>
      <c r="E189" s="10" t="s">
        <v>81</v>
      </c>
      <c r="F189" s="10" t="s">
        <v>83</v>
      </c>
      <c r="G189" s="10" t="s">
        <v>84</v>
      </c>
      <c r="H189" s="12">
        <v>1946.8333333333301</v>
      </c>
      <c r="I189" s="11">
        <v>285</v>
      </c>
      <c r="J189" s="11">
        <v>239</v>
      </c>
      <c r="K189" s="11">
        <v>1768</v>
      </c>
      <c r="L189" s="11">
        <v>0.14639157606369299</v>
      </c>
      <c r="M189" s="11">
        <f t="shared" si="0"/>
        <v>14.639157606369343</v>
      </c>
      <c r="N189" s="11">
        <v>0.83859649122807001</v>
      </c>
      <c r="O189" s="11">
        <v>0.90814142624775296</v>
      </c>
      <c r="P189" s="11">
        <v>0.80574324324324298</v>
      </c>
      <c r="Q189" s="11">
        <v>0.76388888888888895</v>
      </c>
      <c r="R189" s="11">
        <v>0.84689922480620194</v>
      </c>
      <c r="S189" s="10" t="s">
        <v>84</v>
      </c>
      <c r="T189" s="10" t="s">
        <v>84</v>
      </c>
      <c r="U189" s="10"/>
      <c r="V189" s="10"/>
      <c r="W189" s="10"/>
      <c r="X189" s="10"/>
      <c r="Y189" s="10"/>
      <c r="Z189" s="10"/>
      <c r="AA189" s="10"/>
    </row>
    <row r="190" spans="1:27" ht="12.5" x14ac:dyDescent="0.25">
      <c r="A190" s="10" t="s">
        <v>118</v>
      </c>
      <c r="B190" s="10" t="s">
        <v>556</v>
      </c>
      <c r="C190" s="10" t="s">
        <v>76</v>
      </c>
      <c r="D190" s="11">
        <v>2024</v>
      </c>
      <c r="E190" s="10" t="s">
        <v>124</v>
      </c>
      <c r="F190" s="10" t="s">
        <v>83</v>
      </c>
      <c r="G190" s="10" t="s">
        <v>84</v>
      </c>
      <c r="H190" s="12">
        <v>34914.416666666701</v>
      </c>
      <c r="I190" s="11">
        <v>5099</v>
      </c>
      <c r="J190" s="11">
        <v>4989</v>
      </c>
      <c r="K190" s="11">
        <v>42681</v>
      </c>
      <c r="L190" s="11">
        <v>0.14604282376191299</v>
      </c>
      <c r="M190" s="11">
        <f t="shared" si="0"/>
        <v>14.604282376191291</v>
      </c>
      <c r="N190" s="11">
        <v>0.97842714257697605</v>
      </c>
      <c r="O190" s="11">
        <v>1.22244631515635</v>
      </c>
      <c r="P190" s="11">
        <v>0.80489864864864902</v>
      </c>
      <c r="Q190" s="11">
        <v>0.92857142857142905</v>
      </c>
      <c r="R190" s="11">
        <v>0.72483221476510096</v>
      </c>
      <c r="S190" s="10" t="s">
        <v>84</v>
      </c>
      <c r="T190" s="10" t="s">
        <v>84</v>
      </c>
      <c r="U190" s="10"/>
      <c r="V190" s="10"/>
      <c r="W190" s="10"/>
      <c r="X190" s="10"/>
      <c r="Y190" s="10"/>
      <c r="Z190" s="10"/>
      <c r="AA190" s="10"/>
    </row>
    <row r="191" spans="1:27" ht="12.5" x14ac:dyDescent="0.25">
      <c r="A191" s="10" t="s">
        <v>10</v>
      </c>
      <c r="B191" s="10" t="s">
        <v>559</v>
      </c>
      <c r="C191" s="10" t="s">
        <v>76</v>
      </c>
      <c r="D191" s="11">
        <v>2024</v>
      </c>
      <c r="E191" s="10" t="s">
        <v>124</v>
      </c>
      <c r="F191" s="10" t="s">
        <v>125</v>
      </c>
      <c r="G191" s="10" t="s">
        <v>84</v>
      </c>
      <c r="H191" s="12">
        <v>1142.5833333333301</v>
      </c>
      <c r="I191" s="11">
        <v>166</v>
      </c>
      <c r="J191" s="11">
        <v>151</v>
      </c>
      <c r="K191" s="11">
        <v>166</v>
      </c>
      <c r="L191" s="11">
        <v>0.14528480781854</v>
      </c>
      <c r="M191" s="11">
        <f t="shared" si="0"/>
        <v>14.528480781854029</v>
      </c>
      <c r="N191" s="11">
        <v>0.90963855421686701</v>
      </c>
      <c r="O191" s="11">
        <v>0.14528480781854</v>
      </c>
      <c r="P191" s="11">
        <v>0.80405405405405395</v>
      </c>
      <c r="Q191" s="11">
        <v>0.76666666666666705</v>
      </c>
      <c r="R191" s="11">
        <v>0.72259507829977598</v>
      </c>
      <c r="S191" s="10" t="s">
        <v>84</v>
      </c>
      <c r="T191" s="10" t="s">
        <v>84</v>
      </c>
      <c r="U191" s="10"/>
      <c r="V191" s="10"/>
      <c r="W191" s="10"/>
      <c r="X191" s="10"/>
      <c r="Y191" s="10"/>
      <c r="Z191" s="10"/>
      <c r="AA191" s="10"/>
    </row>
    <row r="192" spans="1:27" ht="12.5" x14ac:dyDescent="0.25">
      <c r="A192" s="10" t="s">
        <v>12</v>
      </c>
      <c r="B192" s="10" t="s">
        <v>561</v>
      </c>
      <c r="C192" s="10" t="s">
        <v>76</v>
      </c>
      <c r="D192" s="11">
        <v>2024</v>
      </c>
      <c r="E192" s="10" t="s">
        <v>124</v>
      </c>
      <c r="F192" s="10" t="s">
        <v>83</v>
      </c>
      <c r="G192" s="10" t="s">
        <v>84</v>
      </c>
      <c r="H192" s="12">
        <v>66968.166666666701</v>
      </c>
      <c r="I192" s="11">
        <v>9638</v>
      </c>
      <c r="J192" s="11">
        <v>8272</v>
      </c>
      <c r="K192" s="11">
        <v>40448</v>
      </c>
      <c r="L192" s="11">
        <v>0.14391912575377899</v>
      </c>
      <c r="M192" s="11">
        <f t="shared" si="0"/>
        <v>14.391912575377846</v>
      </c>
      <c r="N192" s="11">
        <v>0.85826935048765296</v>
      </c>
      <c r="O192" s="11">
        <v>0.60398846217979196</v>
      </c>
      <c r="P192" s="11">
        <v>0.80236486486486502</v>
      </c>
      <c r="Q192" s="11">
        <v>0.75</v>
      </c>
      <c r="R192" s="11">
        <v>0.72035794183445201</v>
      </c>
      <c r="S192" s="10" t="s">
        <v>84</v>
      </c>
      <c r="T192" s="10" t="s">
        <v>84</v>
      </c>
      <c r="U192" s="10"/>
      <c r="V192" s="10"/>
      <c r="W192" s="10"/>
      <c r="X192" s="10"/>
      <c r="Y192" s="10"/>
      <c r="Z192" s="10"/>
      <c r="AA192" s="10"/>
    </row>
    <row r="193" spans="1:27" ht="12.5" x14ac:dyDescent="0.25">
      <c r="A193" s="10" t="s">
        <v>10</v>
      </c>
      <c r="B193" s="10" t="s">
        <v>484</v>
      </c>
      <c r="C193" s="10" t="s">
        <v>76</v>
      </c>
      <c r="D193" s="11">
        <v>2024</v>
      </c>
      <c r="E193" s="10" t="s">
        <v>81</v>
      </c>
      <c r="F193" s="10" t="s">
        <v>83</v>
      </c>
      <c r="G193" s="10" t="s">
        <v>84</v>
      </c>
      <c r="H193" s="12">
        <v>30532.666666666701</v>
      </c>
      <c r="I193" s="11">
        <v>4373</v>
      </c>
      <c r="J193" s="11">
        <v>3585</v>
      </c>
      <c r="K193" s="11">
        <v>21696</v>
      </c>
      <c r="L193" s="11">
        <v>0.14322365117142299</v>
      </c>
      <c r="M193" s="11">
        <f t="shared" si="0"/>
        <v>14.322365117142279</v>
      </c>
      <c r="N193" s="11">
        <v>0.81980333866910604</v>
      </c>
      <c r="O193" s="11">
        <v>0.71058320050656099</v>
      </c>
      <c r="P193" s="11">
        <v>0.80152027027026995</v>
      </c>
      <c r="Q193" s="11">
        <v>0.73333333333333295</v>
      </c>
      <c r="R193" s="11">
        <v>0.84496124031007702</v>
      </c>
      <c r="S193" s="10" t="s">
        <v>84</v>
      </c>
      <c r="T193" s="10" t="s">
        <v>84</v>
      </c>
      <c r="U193" s="10"/>
      <c r="V193" s="10"/>
      <c r="W193" s="10"/>
      <c r="X193" s="10"/>
      <c r="Y193" s="10"/>
      <c r="Z193" s="10"/>
      <c r="AA193" s="10"/>
    </row>
    <row r="194" spans="1:27" ht="12.5" x14ac:dyDescent="0.25">
      <c r="A194" s="10" t="s">
        <v>40</v>
      </c>
      <c r="B194" s="10" t="s">
        <v>563</v>
      </c>
      <c r="C194" s="10" t="s">
        <v>76</v>
      </c>
      <c r="D194" s="11">
        <v>2024</v>
      </c>
      <c r="E194" s="10" t="s">
        <v>124</v>
      </c>
      <c r="F194" s="10" t="s">
        <v>83</v>
      </c>
      <c r="G194" s="10" t="s">
        <v>84</v>
      </c>
      <c r="H194" s="12">
        <v>25025.416666666701</v>
      </c>
      <c r="I194" s="11">
        <v>3580</v>
      </c>
      <c r="J194" s="11">
        <v>3018</v>
      </c>
      <c r="K194" s="11">
        <v>5217</v>
      </c>
      <c r="L194" s="11">
        <v>0.14305456119611701</v>
      </c>
      <c r="M194" s="11">
        <f t="shared" si="0"/>
        <v>14.305456119611708</v>
      </c>
      <c r="N194" s="11">
        <v>0.84301675977653601</v>
      </c>
      <c r="O194" s="11">
        <v>0.20846805747490099</v>
      </c>
      <c r="P194" s="11">
        <v>0.80067567567567599</v>
      </c>
      <c r="Q194" s="11">
        <v>0.75</v>
      </c>
      <c r="R194" s="11">
        <v>0.71812080536912704</v>
      </c>
      <c r="S194" s="10" t="s">
        <v>84</v>
      </c>
      <c r="T194" s="10" t="s">
        <v>84</v>
      </c>
      <c r="U194" s="10"/>
      <c r="V194" s="10"/>
      <c r="W194" s="10"/>
      <c r="X194" s="10"/>
      <c r="Y194" s="10"/>
      <c r="Z194" s="10"/>
      <c r="AA194" s="10"/>
    </row>
    <row r="195" spans="1:27" ht="12.5" x14ac:dyDescent="0.25">
      <c r="A195" s="10" t="s">
        <v>52</v>
      </c>
      <c r="B195" s="10" t="s">
        <v>566</v>
      </c>
      <c r="C195" s="10" t="s">
        <v>76</v>
      </c>
      <c r="D195" s="11">
        <v>2024</v>
      </c>
      <c r="E195" s="10" t="s">
        <v>124</v>
      </c>
      <c r="F195" s="10" t="s">
        <v>125</v>
      </c>
      <c r="G195" s="10" t="s">
        <v>84</v>
      </c>
      <c r="H195" s="12">
        <v>828.16666666666697</v>
      </c>
      <c r="I195" s="11">
        <v>118</v>
      </c>
      <c r="J195" s="11">
        <v>103</v>
      </c>
      <c r="K195" s="11">
        <v>76</v>
      </c>
      <c r="L195" s="11">
        <v>0.14248339706178301</v>
      </c>
      <c r="M195" s="11">
        <f t="shared" si="0"/>
        <v>14.248339706178301</v>
      </c>
      <c r="N195" s="11">
        <v>0.87288135593220295</v>
      </c>
      <c r="O195" s="11">
        <v>9.1768967599114501E-2</v>
      </c>
      <c r="P195" s="11">
        <v>0.79983108108108103</v>
      </c>
      <c r="Q195" s="11">
        <v>0.72340425531914898</v>
      </c>
      <c r="R195" s="11">
        <v>0.71588366890380295</v>
      </c>
      <c r="S195" s="10" t="s">
        <v>84</v>
      </c>
      <c r="T195" s="10" t="s">
        <v>84</v>
      </c>
      <c r="U195" s="10"/>
      <c r="V195" s="10"/>
      <c r="W195" s="10"/>
      <c r="X195" s="10"/>
      <c r="Y195" s="10"/>
      <c r="Z195" s="10"/>
      <c r="AA195" s="10"/>
    </row>
    <row r="196" spans="1:27" ht="12.5" x14ac:dyDescent="0.25">
      <c r="A196" s="10" t="s">
        <v>29</v>
      </c>
      <c r="B196" s="10" t="s">
        <v>569</v>
      </c>
      <c r="C196" s="10" t="s">
        <v>76</v>
      </c>
      <c r="D196" s="11">
        <v>2024</v>
      </c>
      <c r="E196" s="10" t="s">
        <v>124</v>
      </c>
      <c r="F196" s="10" t="s">
        <v>83</v>
      </c>
      <c r="G196" s="10" t="s">
        <v>84</v>
      </c>
      <c r="H196" s="12">
        <v>4437.3333333333303</v>
      </c>
      <c r="I196" s="11">
        <v>631</v>
      </c>
      <c r="J196" s="11">
        <v>558</v>
      </c>
      <c r="K196" s="11">
        <v>625</v>
      </c>
      <c r="L196" s="11">
        <v>0.14220252403846201</v>
      </c>
      <c r="M196" s="11">
        <f t="shared" si="0"/>
        <v>14.220252403846164</v>
      </c>
      <c r="N196" s="11">
        <v>0.88431061806656097</v>
      </c>
      <c r="O196" s="11">
        <v>0.14085036057692299</v>
      </c>
      <c r="P196" s="11">
        <v>0.79898648648648696</v>
      </c>
      <c r="Q196" s="11">
        <v>0.63265306122449005</v>
      </c>
      <c r="R196" s="11">
        <v>0.71364653243847898</v>
      </c>
      <c r="S196" s="10" t="s">
        <v>84</v>
      </c>
      <c r="T196" s="10" t="s">
        <v>84</v>
      </c>
      <c r="U196" s="10"/>
      <c r="V196" s="10"/>
      <c r="W196" s="10"/>
      <c r="X196" s="10"/>
      <c r="Y196" s="10"/>
      <c r="Z196" s="10"/>
      <c r="AA196" s="10"/>
    </row>
    <row r="197" spans="1:27" ht="12.5" x14ac:dyDescent="0.25">
      <c r="A197" s="10" t="s">
        <v>104</v>
      </c>
      <c r="B197" s="10" t="s">
        <v>488</v>
      </c>
      <c r="C197" s="10" t="s">
        <v>76</v>
      </c>
      <c r="D197" s="11">
        <v>2024</v>
      </c>
      <c r="E197" s="10" t="s">
        <v>81</v>
      </c>
      <c r="F197" s="10" t="s">
        <v>83</v>
      </c>
      <c r="G197" s="10" t="s">
        <v>84</v>
      </c>
      <c r="H197" s="12">
        <v>56420.583333333299</v>
      </c>
      <c r="I197" s="11">
        <v>8010</v>
      </c>
      <c r="J197" s="11">
        <v>7672</v>
      </c>
      <c r="K197" s="11">
        <v>24022</v>
      </c>
      <c r="L197" s="11">
        <v>0.14196946445372299</v>
      </c>
      <c r="M197" s="11">
        <f t="shared" si="0"/>
        <v>14.196946445372339</v>
      </c>
      <c r="N197" s="11">
        <v>0.95780274656679198</v>
      </c>
      <c r="O197" s="11">
        <v>0.42576660113699599</v>
      </c>
      <c r="P197" s="11">
        <v>0.79729729729729704</v>
      </c>
      <c r="Q197" s="11">
        <v>0.86206896551724099</v>
      </c>
      <c r="R197" s="11">
        <v>0.84108527131782995</v>
      </c>
      <c r="S197" s="10" t="s">
        <v>84</v>
      </c>
      <c r="T197" s="10" t="s">
        <v>84</v>
      </c>
      <c r="U197" s="10"/>
      <c r="V197" s="10"/>
      <c r="W197" s="10"/>
      <c r="X197" s="10"/>
      <c r="Y197" s="10"/>
      <c r="Z197" s="10"/>
      <c r="AA197" s="10"/>
    </row>
    <row r="198" spans="1:27" ht="12.5" x14ac:dyDescent="0.25">
      <c r="A198" s="10" t="s">
        <v>96</v>
      </c>
      <c r="B198" s="10" t="s">
        <v>571</v>
      </c>
      <c r="C198" s="10" t="s">
        <v>76</v>
      </c>
      <c r="D198" s="11">
        <v>2024</v>
      </c>
      <c r="E198" s="10" t="s">
        <v>124</v>
      </c>
      <c r="F198" s="10" t="s">
        <v>83</v>
      </c>
      <c r="G198" s="10" t="s">
        <v>84</v>
      </c>
      <c r="H198" s="12">
        <v>11274</v>
      </c>
      <c r="I198" s="11">
        <v>1596</v>
      </c>
      <c r="J198" s="11">
        <v>1056</v>
      </c>
      <c r="K198" s="11">
        <v>7560</v>
      </c>
      <c r="L198" s="11">
        <v>0.141564662054284</v>
      </c>
      <c r="M198" s="11">
        <f t="shared" si="0"/>
        <v>14.156466205428419</v>
      </c>
      <c r="N198" s="11">
        <v>0.66165413533834605</v>
      </c>
      <c r="O198" s="11">
        <v>0.67056945183608296</v>
      </c>
      <c r="P198" s="11">
        <v>0.79645270270270296</v>
      </c>
      <c r="Q198" s="11">
        <v>1</v>
      </c>
      <c r="R198" s="11">
        <v>0.711409395973154</v>
      </c>
      <c r="S198" s="10" t="s">
        <v>84</v>
      </c>
      <c r="T198" s="10" t="s">
        <v>84</v>
      </c>
      <c r="U198" s="10"/>
      <c r="V198" s="10"/>
      <c r="W198" s="10"/>
      <c r="X198" s="10"/>
      <c r="Y198" s="10"/>
      <c r="Z198" s="10"/>
      <c r="AA198" s="10"/>
    </row>
    <row r="199" spans="1:27" ht="12.5" x14ac:dyDescent="0.25">
      <c r="A199" s="10" t="s">
        <v>52</v>
      </c>
      <c r="B199" s="10" t="s">
        <v>490</v>
      </c>
      <c r="C199" s="10" t="s">
        <v>76</v>
      </c>
      <c r="D199" s="11">
        <v>2024</v>
      </c>
      <c r="E199" s="10" t="s">
        <v>81</v>
      </c>
      <c r="F199" s="10" t="s">
        <v>83</v>
      </c>
      <c r="G199" s="10" t="s">
        <v>84</v>
      </c>
      <c r="H199" s="12">
        <v>44495.5</v>
      </c>
      <c r="I199" s="11">
        <v>6198</v>
      </c>
      <c r="J199" s="11">
        <v>2007</v>
      </c>
      <c r="K199" s="11">
        <v>45870</v>
      </c>
      <c r="L199" s="11">
        <v>0.139294984886112</v>
      </c>
      <c r="M199" s="11">
        <f t="shared" si="0"/>
        <v>13.929498488611209</v>
      </c>
      <c r="N199" s="11">
        <v>0.32381413359148098</v>
      </c>
      <c r="O199" s="11">
        <v>1.0308907642345899</v>
      </c>
      <c r="P199" s="11">
        <v>0.795608108108108</v>
      </c>
      <c r="Q199" s="11">
        <v>0.70212765957446799</v>
      </c>
      <c r="R199" s="11">
        <v>0.83914728682170503</v>
      </c>
      <c r="S199" s="10" t="s">
        <v>84</v>
      </c>
      <c r="T199" s="10" t="s">
        <v>84</v>
      </c>
      <c r="U199" s="10"/>
      <c r="V199" s="10"/>
      <c r="W199" s="10"/>
      <c r="X199" s="10"/>
      <c r="Y199" s="10"/>
      <c r="Z199" s="10"/>
      <c r="AA199" s="10"/>
    </row>
    <row r="200" spans="1:27" ht="12.5" x14ac:dyDescent="0.25">
      <c r="A200" s="10" t="s">
        <v>29</v>
      </c>
      <c r="B200" s="10" t="s">
        <v>574</v>
      </c>
      <c r="C200" s="10" t="s">
        <v>76</v>
      </c>
      <c r="D200" s="11">
        <v>2024</v>
      </c>
      <c r="E200" s="10" t="s">
        <v>124</v>
      </c>
      <c r="F200" s="10" t="s">
        <v>83</v>
      </c>
      <c r="G200" s="10" t="s">
        <v>84</v>
      </c>
      <c r="H200" s="12">
        <v>17898.416666666701</v>
      </c>
      <c r="I200" s="11">
        <v>2491</v>
      </c>
      <c r="J200" s="11">
        <v>2172</v>
      </c>
      <c r="K200" s="11">
        <v>41175</v>
      </c>
      <c r="L200" s="11">
        <v>0.13917432175099301</v>
      </c>
      <c r="M200" s="11">
        <f t="shared" si="0"/>
        <v>13.917432175099261</v>
      </c>
      <c r="N200" s="11">
        <v>0.87193898032918504</v>
      </c>
      <c r="O200" s="11">
        <v>2.3004828173814298</v>
      </c>
      <c r="P200" s="11">
        <v>0.79476351351351304</v>
      </c>
      <c r="Q200" s="11">
        <v>0.61224489795918402</v>
      </c>
      <c r="R200" s="11">
        <v>0.70917225950783003</v>
      </c>
      <c r="S200" s="10" t="s">
        <v>84</v>
      </c>
      <c r="T200" s="10" t="s">
        <v>84</v>
      </c>
      <c r="U200" s="10"/>
      <c r="V200" s="10"/>
      <c r="W200" s="10"/>
      <c r="X200" s="10"/>
      <c r="Y200" s="10"/>
      <c r="Z200" s="10"/>
      <c r="AA200" s="10"/>
    </row>
    <row r="201" spans="1:27" ht="12.5" x14ac:dyDescent="0.25">
      <c r="A201" s="10" t="s">
        <v>55</v>
      </c>
      <c r="B201" s="10" t="s">
        <v>577</v>
      </c>
      <c r="C201" s="10" t="s">
        <v>76</v>
      </c>
      <c r="D201" s="11">
        <v>2024</v>
      </c>
      <c r="E201" s="10" t="s">
        <v>124</v>
      </c>
      <c r="F201" s="10" t="s">
        <v>125</v>
      </c>
      <c r="G201" s="10" t="s">
        <v>84</v>
      </c>
      <c r="H201" s="12">
        <v>1452.4166666666699</v>
      </c>
      <c r="I201" s="11">
        <v>202</v>
      </c>
      <c r="J201" s="11">
        <v>176</v>
      </c>
      <c r="K201" s="11">
        <v>2419</v>
      </c>
      <c r="L201" s="11">
        <v>0.139078547248838</v>
      </c>
      <c r="M201" s="11">
        <f t="shared" si="0"/>
        <v>13.907854724883784</v>
      </c>
      <c r="N201" s="11">
        <v>0.87128712871287095</v>
      </c>
      <c r="O201" s="11">
        <v>1.6655000286878201</v>
      </c>
      <c r="P201" s="11">
        <v>0.79391891891891897</v>
      </c>
      <c r="Q201" s="11">
        <v>0.81818181818181801</v>
      </c>
      <c r="R201" s="11">
        <v>0.70693512304250605</v>
      </c>
      <c r="S201" s="10" t="s">
        <v>84</v>
      </c>
      <c r="T201" s="10" t="s">
        <v>84</v>
      </c>
      <c r="U201" s="10"/>
      <c r="V201" s="10"/>
      <c r="W201" s="10"/>
      <c r="X201" s="10"/>
      <c r="Y201" s="10"/>
      <c r="Z201" s="10"/>
      <c r="AA201" s="10"/>
    </row>
    <row r="202" spans="1:27" ht="12.5" x14ac:dyDescent="0.25">
      <c r="A202" s="10" t="s">
        <v>55</v>
      </c>
      <c r="B202" s="10" t="s">
        <v>492</v>
      </c>
      <c r="C202" s="10" t="s">
        <v>76</v>
      </c>
      <c r="D202" s="11">
        <v>2024</v>
      </c>
      <c r="E202" s="10" t="s">
        <v>81</v>
      </c>
      <c r="F202" s="10" t="s">
        <v>83</v>
      </c>
      <c r="G202" s="10" t="s">
        <v>84</v>
      </c>
      <c r="H202" s="12">
        <v>5059.9166666666697</v>
      </c>
      <c r="I202" s="11">
        <v>703</v>
      </c>
      <c r="J202" s="11">
        <v>655</v>
      </c>
      <c r="K202" s="11">
        <v>9813</v>
      </c>
      <c r="L202" s="11">
        <v>0.13893509445148999</v>
      </c>
      <c r="M202" s="11">
        <f t="shared" si="0"/>
        <v>13.893509445148958</v>
      </c>
      <c r="N202" s="11">
        <v>0.93172119487909</v>
      </c>
      <c r="O202" s="11">
        <v>1.9393600026350899</v>
      </c>
      <c r="P202" s="11">
        <v>0.79307432432432401</v>
      </c>
      <c r="Q202" s="11">
        <v>0.77272727272727304</v>
      </c>
      <c r="R202" s="11">
        <v>0.837209302325581</v>
      </c>
      <c r="S202" s="10" t="s">
        <v>84</v>
      </c>
      <c r="T202" s="10" t="s">
        <v>84</v>
      </c>
      <c r="U202" s="10"/>
      <c r="V202" s="10"/>
      <c r="W202" s="10"/>
      <c r="X202" s="10"/>
      <c r="Y202" s="10"/>
      <c r="Z202" s="10"/>
      <c r="AA202" s="10"/>
    </row>
    <row r="203" spans="1:27" ht="12.5" x14ac:dyDescent="0.25">
      <c r="A203" s="10" t="s">
        <v>52</v>
      </c>
      <c r="B203" s="10" t="s">
        <v>579</v>
      </c>
      <c r="C203" s="10" t="s">
        <v>76</v>
      </c>
      <c r="D203" s="11">
        <v>2024</v>
      </c>
      <c r="E203" s="10" t="s">
        <v>124</v>
      </c>
      <c r="F203" s="10" t="s">
        <v>125</v>
      </c>
      <c r="G203" s="10" t="s">
        <v>84</v>
      </c>
      <c r="H203" s="12">
        <v>752.91666666666697</v>
      </c>
      <c r="I203" s="11">
        <v>104</v>
      </c>
      <c r="J203" s="11">
        <v>95</v>
      </c>
      <c r="K203" s="11">
        <v>1202</v>
      </c>
      <c r="L203" s="11">
        <v>0.138129496402878</v>
      </c>
      <c r="M203" s="11">
        <f t="shared" si="0"/>
        <v>13.812949640287764</v>
      </c>
      <c r="N203" s="11">
        <v>0.91346153846153799</v>
      </c>
      <c r="O203" s="11">
        <v>1.5964582180409499</v>
      </c>
      <c r="P203" s="11">
        <v>0.79138513513513498</v>
      </c>
      <c r="Q203" s="11">
        <v>0.680851063829787</v>
      </c>
      <c r="R203" s="11">
        <v>0.70469798657718097</v>
      </c>
      <c r="S203" s="10" t="s">
        <v>84</v>
      </c>
      <c r="T203" s="10" t="s">
        <v>84</v>
      </c>
      <c r="U203" s="10"/>
      <c r="V203" s="10"/>
      <c r="W203" s="10"/>
      <c r="X203" s="10"/>
      <c r="Y203" s="10"/>
      <c r="Z203" s="10"/>
      <c r="AA203" s="10"/>
    </row>
    <row r="204" spans="1:27" ht="12.5" x14ac:dyDescent="0.25">
      <c r="A204" s="10" t="s">
        <v>6</v>
      </c>
      <c r="B204" s="10" t="s">
        <v>581</v>
      </c>
      <c r="C204" s="10" t="s">
        <v>76</v>
      </c>
      <c r="D204" s="11">
        <v>2024</v>
      </c>
      <c r="E204" s="10" t="s">
        <v>124</v>
      </c>
      <c r="F204" s="10" t="s">
        <v>83</v>
      </c>
      <c r="G204" s="10" t="s">
        <v>84</v>
      </c>
      <c r="H204" s="12">
        <v>3814.9166666666702</v>
      </c>
      <c r="I204" s="11">
        <v>526</v>
      </c>
      <c r="J204" s="11">
        <v>577</v>
      </c>
      <c r="K204" s="11">
        <v>3213</v>
      </c>
      <c r="L204" s="11">
        <v>0.13787981388846399</v>
      </c>
      <c r="M204" s="11">
        <f t="shared" si="0"/>
        <v>13.787981388846401</v>
      </c>
      <c r="N204" s="11">
        <v>1.09695817490494</v>
      </c>
      <c r="O204" s="11">
        <v>0.84222023198409801</v>
      </c>
      <c r="P204" s="11">
        <v>0.79054054054054101</v>
      </c>
      <c r="Q204" s="11">
        <v>0.93548387096774199</v>
      </c>
      <c r="R204" s="11">
        <v>0.70246085011185699</v>
      </c>
      <c r="S204" s="10" t="s">
        <v>84</v>
      </c>
      <c r="T204" s="10" t="s">
        <v>84</v>
      </c>
      <c r="U204" s="10"/>
      <c r="V204" s="10"/>
      <c r="W204" s="10"/>
      <c r="X204" s="10"/>
      <c r="Y204" s="10"/>
      <c r="Z204" s="10"/>
      <c r="AA204" s="10"/>
    </row>
    <row r="205" spans="1:27" ht="12.5" x14ac:dyDescent="0.25">
      <c r="A205" s="10" t="s">
        <v>80</v>
      </c>
      <c r="B205" s="10" t="s">
        <v>495</v>
      </c>
      <c r="C205" s="10" t="s">
        <v>76</v>
      </c>
      <c r="D205" s="11">
        <v>2024</v>
      </c>
      <c r="E205" s="10" t="s">
        <v>81</v>
      </c>
      <c r="F205" s="10" t="s">
        <v>83</v>
      </c>
      <c r="G205" s="10" t="s">
        <v>84</v>
      </c>
      <c r="H205" s="12">
        <v>29324.833333333299</v>
      </c>
      <c r="I205" s="11">
        <v>4038</v>
      </c>
      <c r="J205" s="11">
        <v>3994</v>
      </c>
      <c r="K205" s="11">
        <v>7961</v>
      </c>
      <c r="L205" s="11">
        <v>0.13769899232163901</v>
      </c>
      <c r="M205" s="11">
        <f t="shared" si="0"/>
        <v>13.769899232163882</v>
      </c>
      <c r="N205" s="11">
        <v>0.98910351659237306</v>
      </c>
      <c r="O205" s="11">
        <v>0.27147639372772803</v>
      </c>
      <c r="P205" s="11">
        <v>0.78969594594594605</v>
      </c>
      <c r="Q205" s="11">
        <v>0.9</v>
      </c>
      <c r="R205" s="11">
        <v>0.83527131782945696</v>
      </c>
      <c r="S205" s="10" t="s">
        <v>84</v>
      </c>
      <c r="T205" s="10" t="s">
        <v>84</v>
      </c>
      <c r="U205" s="10"/>
      <c r="V205" s="10"/>
      <c r="W205" s="10"/>
      <c r="X205" s="10"/>
      <c r="Y205" s="10"/>
      <c r="Z205" s="10"/>
      <c r="AA205" s="10"/>
    </row>
    <row r="206" spans="1:27" ht="12.5" x14ac:dyDescent="0.25">
      <c r="A206" s="10" t="s">
        <v>14</v>
      </c>
      <c r="B206" s="10" t="s">
        <v>497</v>
      </c>
      <c r="C206" s="10" t="s">
        <v>76</v>
      </c>
      <c r="D206" s="11">
        <v>2024</v>
      </c>
      <c r="E206" s="10" t="s">
        <v>81</v>
      </c>
      <c r="F206" s="10" t="s">
        <v>83</v>
      </c>
      <c r="G206" s="10" t="s">
        <v>84</v>
      </c>
      <c r="H206" s="12">
        <v>17719.166666666701</v>
      </c>
      <c r="I206" s="11">
        <v>2430</v>
      </c>
      <c r="J206" s="11">
        <v>2180</v>
      </c>
      <c r="K206" s="11">
        <v>44016</v>
      </c>
      <c r="L206" s="11">
        <v>0.13713963222499201</v>
      </c>
      <c r="M206" s="11">
        <f t="shared" si="0"/>
        <v>13.713963222499151</v>
      </c>
      <c r="N206" s="11">
        <v>0.89711934156378603</v>
      </c>
      <c r="O206" s="11">
        <v>2.4840897333396001</v>
      </c>
      <c r="P206" s="11">
        <v>0.78800675675675702</v>
      </c>
      <c r="Q206" s="11">
        <v>0.5</v>
      </c>
      <c r="R206" s="11">
        <v>0.83333333333333304</v>
      </c>
      <c r="S206" s="10" t="s">
        <v>84</v>
      </c>
      <c r="T206" s="10" t="s">
        <v>84</v>
      </c>
      <c r="U206" s="10"/>
      <c r="V206" s="10"/>
      <c r="W206" s="10"/>
      <c r="X206" s="10"/>
      <c r="Y206" s="10"/>
      <c r="Z206" s="10"/>
      <c r="AA206" s="10"/>
    </row>
    <row r="207" spans="1:27" ht="12.5" x14ac:dyDescent="0.25">
      <c r="A207" s="10" t="s">
        <v>58</v>
      </c>
      <c r="B207" s="10" t="s">
        <v>584</v>
      </c>
      <c r="C207" s="10" t="s">
        <v>76</v>
      </c>
      <c r="D207" s="11">
        <v>2024</v>
      </c>
      <c r="E207" s="10" t="s">
        <v>124</v>
      </c>
      <c r="F207" s="10" t="s">
        <v>83</v>
      </c>
      <c r="G207" s="10" t="s">
        <v>84</v>
      </c>
      <c r="H207" s="12">
        <v>16955.083333333299</v>
      </c>
      <c r="I207" s="11">
        <v>2318</v>
      </c>
      <c r="J207" s="11">
        <v>2058</v>
      </c>
      <c r="K207" s="11">
        <v>14160</v>
      </c>
      <c r="L207" s="11">
        <v>0.13671416143634399</v>
      </c>
      <c r="M207" s="11">
        <f t="shared" si="0"/>
        <v>13.671416143634435</v>
      </c>
      <c r="N207" s="11">
        <v>0.88783433994823102</v>
      </c>
      <c r="O207" s="11">
        <v>0.83514776787689005</v>
      </c>
      <c r="P207" s="11">
        <v>0.78716216216216195</v>
      </c>
      <c r="Q207" s="11">
        <v>0.891891891891892</v>
      </c>
      <c r="R207" s="11">
        <v>0.70022371364653202</v>
      </c>
      <c r="S207" s="10" t="s">
        <v>84</v>
      </c>
      <c r="T207" s="10" t="s">
        <v>84</v>
      </c>
      <c r="U207" s="10"/>
      <c r="V207" s="10"/>
      <c r="W207" s="10"/>
      <c r="X207" s="10"/>
      <c r="Y207" s="10"/>
      <c r="Z207" s="10"/>
      <c r="AA207" s="10"/>
    </row>
    <row r="208" spans="1:27" ht="12.5" x14ac:dyDescent="0.25">
      <c r="A208" s="10" t="s">
        <v>25</v>
      </c>
      <c r="B208" s="10" t="s">
        <v>500</v>
      </c>
      <c r="C208" s="10" t="s">
        <v>76</v>
      </c>
      <c r="D208" s="11">
        <v>2024</v>
      </c>
      <c r="E208" s="10" t="s">
        <v>81</v>
      </c>
      <c r="F208" s="10" t="s">
        <v>83</v>
      </c>
      <c r="G208" s="10" t="s">
        <v>84</v>
      </c>
      <c r="H208" s="12">
        <v>11441.083333333299</v>
      </c>
      <c r="I208" s="11">
        <v>1564</v>
      </c>
      <c r="J208" s="11">
        <v>1379</v>
      </c>
      <c r="K208" s="11">
        <v>14849</v>
      </c>
      <c r="L208" s="11">
        <v>0.13670034160517999</v>
      </c>
      <c r="M208" s="11">
        <f t="shared" si="0"/>
        <v>13.670034160518057</v>
      </c>
      <c r="N208" s="11">
        <v>0.88171355498721204</v>
      </c>
      <c r="O208" s="11">
        <v>1.2978666064548099</v>
      </c>
      <c r="P208" s="11">
        <v>0.78631756756756799</v>
      </c>
      <c r="Q208" s="11">
        <v>0.875</v>
      </c>
      <c r="R208" s="11">
        <v>0.831395348837209</v>
      </c>
      <c r="S208" s="10" t="s">
        <v>84</v>
      </c>
      <c r="T208" s="10" t="s">
        <v>84</v>
      </c>
      <c r="U208" s="10"/>
      <c r="V208" s="10"/>
      <c r="W208" s="10"/>
      <c r="X208" s="10"/>
      <c r="Y208" s="10"/>
      <c r="Z208" s="10"/>
      <c r="AA208" s="10"/>
    </row>
    <row r="209" spans="1:27" ht="12.5" x14ac:dyDescent="0.25">
      <c r="A209" s="10" t="s">
        <v>86</v>
      </c>
      <c r="B209" s="10" t="s">
        <v>588</v>
      </c>
      <c r="C209" s="10" t="s">
        <v>76</v>
      </c>
      <c r="D209" s="11">
        <v>2024</v>
      </c>
      <c r="E209" s="10" t="s">
        <v>124</v>
      </c>
      <c r="F209" s="10" t="s">
        <v>83</v>
      </c>
      <c r="G209" s="10" t="s">
        <v>84</v>
      </c>
      <c r="H209" s="12">
        <v>14291.75</v>
      </c>
      <c r="I209" s="11">
        <v>1951</v>
      </c>
      <c r="J209" s="11">
        <v>1828</v>
      </c>
      <c r="K209" s="11">
        <v>8812</v>
      </c>
      <c r="L209" s="11">
        <v>0.136512323543303</v>
      </c>
      <c r="M209" s="11">
        <f t="shared" si="0"/>
        <v>13.651232354330295</v>
      </c>
      <c r="N209" s="11">
        <v>0.93695540748334205</v>
      </c>
      <c r="O209" s="11">
        <v>0.61657949516329302</v>
      </c>
      <c r="P209" s="11">
        <v>0.78547297297297303</v>
      </c>
      <c r="Q209" s="11">
        <v>0.565217391304348</v>
      </c>
      <c r="R209" s="11">
        <v>0.69798657718120805</v>
      </c>
      <c r="S209" s="10" t="s">
        <v>84</v>
      </c>
      <c r="T209" s="10" t="s">
        <v>84</v>
      </c>
      <c r="U209" s="10"/>
      <c r="V209" s="10"/>
      <c r="W209" s="10"/>
      <c r="X209" s="10"/>
      <c r="Y209" s="10"/>
      <c r="Z209" s="10"/>
      <c r="AA209" s="10"/>
    </row>
    <row r="210" spans="1:27" ht="12.5" x14ac:dyDescent="0.25">
      <c r="A210" s="10" t="s">
        <v>103</v>
      </c>
      <c r="B210" s="10" t="s">
        <v>590</v>
      </c>
      <c r="C210" s="10" t="s">
        <v>76</v>
      </c>
      <c r="D210" s="11">
        <v>2024</v>
      </c>
      <c r="E210" s="10" t="s">
        <v>124</v>
      </c>
      <c r="F210" s="10" t="s">
        <v>83</v>
      </c>
      <c r="G210" s="10" t="s">
        <v>84</v>
      </c>
      <c r="H210" s="12">
        <v>3133.75</v>
      </c>
      <c r="I210" s="11">
        <v>427</v>
      </c>
      <c r="J210" s="11">
        <v>212</v>
      </c>
      <c r="K210" s="11">
        <v>1249</v>
      </c>
      <c r="L210" s="11">
        <v>0.13625847626645399</v>
      </c>
      <c r="M210" s="11">
        <f t="shared" si="0"/>
        <v>13.625847626645394</v>
      </c>
      <c r="N210" s="11">
        <v>0.496487119437939</v>
      </c>
      <c r="O210" s="11">
        <v>0.39856402074192299</v>
      </c>
      <c r="P210" s="11">
        <v>0.78462837837837796</v>
      </c>
      <c r="Q210" s="11">
        <v>0.95652173913043503</v>
      </c>
      <c r="R210" s="11">
        <v>0.69574944071588396</v>
      </c>
      <c r="S210" s="10" t="s">
        <v>84</v>
      </c>
      <c r="T210" s="10" t="s">
        <v>84</v>
      </c>
      <c r="U210" s="10"/>
      <c r="V210" s="10"/>
      <c r="W210" s="10"/>
      <c r="X210" s="10"/>
      <c r="Y210" s="10"/>
      <c r="Z210" s="10"/>
      <c r="AA210" s="10"/>
    </row>
    <row r="211" spans="1:27" ht="12.5" x14ac:dyDescent="0.25">
      <c r="A211" s="10" t="s">
        <v>42</v>
      </c>
      <c r="B211" s="10" t="s">
        <v>593</v>
      </c>
      <c r="C211" s="10" t="s">
        <v>76</v>
      </c>
      <c r="D211" s="11">
        <v>2024</v>
      </c>
      <c r="E211" s="10" t="s">
        <v>124</v>
      </c>
      <c r="F211" s="10" t="s">
        <v>83</v>
      </c>
      <c r="G211" s="10" t="s">
        <v>84</v>
      </c>
      <c r="H211" s="12">
        <v>6751.25</v>
      </c>
      <c r="I211" s="11">
        <v>918</v>
      </c>
      <c r="J211" s="11">
        <v>995</v>
      </c>
      <c r="K211" s="11">
        <v>7057</v>
      </c>
      <c r="L211" s="11">
        <v>0.13597481947787399</v>
      </c>
      <c r="M211" s="11">
        <f t="shared" si="0"/>
        <v>13.597481947787445</v>
      </c>
      <c r="N211" s="11">
        <v>1.0838779956427</v>
      </c>
      <c r="O211" s="11">
        <v>1.0452879096463601</v>
      </c>
      <c r="P211" s="11">
        <v>0.78378378378378399</v>
      </c>
      <c r="Q211" s="11">
        <v>0.76190476190476197</v>
      </c>
      <c r="R211" s="11">
        <v>0.69351230425055899</v>
      </c>
      <c r="S211" s="10" t="s">
        <v>84</v>
      </c>
      <c r="T211" s="10" t="s">
        <v>84</v>
      </c>
      <c r="U211" s="10"/>
      <c r="V211" s="10"/>
      <c r="W211" s="10"/>
      <c r="X211" s="10"/>
      <c r="Y211" s="10"/>
      <c r="Z211" s="10"/>
      <c r="AA211" s="10"/>
    </row>
    <row r="212" spans="1:27" ht="12.5" x14ac:dyDescent="0.25">
      <c r="A212" s="10" t="s">
        <v>25</v>
      </c>
      <c r="B212" s="10" t="s">
        <v>595</v>
      </c>
      <c r="C212" s="10" t="s">
        <v>76</v>
      </c>
      <c r="D212" s="11">
        <v>2024</v>
      </c>
      <c r="E212" s="10" t="s">
        <v>124</v>
      </c>
      <c r="F212" s="10" t="s">
        <v>83</v>
      </c>
      <c r="G212" s="10" t="s">
        <v>84</v>
      </c>
      <c r="H212" s="12">
        <v>18088.666666666701</v>
      </c>
      <c r="I212" s="11">
        <v>2459</v>
      </c>
      <c r="J212" s="11">
        <v>1991</v>
      </c>
      <c r="K212" s="11">
        <v>20416</v>
      </c>
      <c r="L212" s="11">
        <v>0.13594147348247501</v>
      </c>
      <c r="M212" s="11">
        <f t="shared" si="0"/>
        <v>13.594147348247496</v>
      </c>
      <c r="N212" s="11">
        <v>0.80967873119154099</v>
      </c>
      <c r="O212" s="11">
        <v>1.1286625142815001</v>
      </c>
      <c r="P212" s="11">
        <v>0.78293918918918903</v>
      </c>
      <c r="Q212" s="11">
        <v>0.8125</v>
      </c>
      <c r="R212" s="11">
        <v>0.69127516778523501</v>
      </c>
      <c r="S212" s="10" t="s">
        <v>84</v>
      </c>
      <c r="T212" s="10" t="s">
        <v>84</v>
      </c>
      <c r="U212" s="10"/>
      <c r="V212" s="10"/>
      <c r="W212" s="10"/>
      <c r="X212" s="10"/>
      <c r="Y212" s="10"/>
      <c r="Z212" s="10"/>
      <c r="AA212" s="10"/>
    </row>
    <row r="213" spans="1:27" ht="12.5" x14ac:dyDescent="0.25">
      <c r="A213" s="10" t="s">
        <v>65</v>
      </c>
      <c r="B213" s="10" t="s">
        <v>503</v>
      </c>
      <c r="C213" s="10" t="s">
        <v>76</v>
      </c>
      <c r="D213" s="11">
        <v>2024</v>
      </c>
      <c r="E213" s="10" t="s">
        <v>81</v>
      </c>
      <c r="F213" s="10" t="s">
        <v>83</v>
      </c>
      <c r="G213" s="10" t="s">
        <v>84</v>
      </c>
      <c r="H213" s="12">
        <v>19711.333333333299</v>
      </c>
      <c r="I213" s="11">
        <v>2671</v>
      </c>
      <c r="J213" s="11">
        <v>1663</v>
      </c>
      <c r="K213" s="11">
        <v>1105</v>
      </c>
      <c r="L213" s="11">
        <v>0.13550580038556501</v>
      </c>
      <c r="M213" s="11">
        <f t="shared" si="0"/>
        <v>13.550580038556523</v>
      </c>
      <c r="N213" s="11">
        <v>0.62261325346312202</v>
      </c>
      <c r="O213" s="11">
        <v>5.6059119964825703E-2</v>
      </c>
      <c r="P213" s="11">
        <v>0.78209459459459496</v>
      </c>
      <c r="Q213" s="11">
        <v>0.84615384615384603</v>
      </c>
      <c r="R213" s="11">
        <v>0.82945736434108497</v>
      </c>
      <c r="S213" s="10" t="s">
        <v>84</v>
      </c>
      <c r="T213" s="10" t="s">
        <v>84</v>
      </c>
      <c r="U213" s="10"/>
      <c r="V213" s="10"/>
      <c r="W213" s="10"/>
      <c r="X213" s="10"/>
      <c r="Y213" s="10"/>
      <c r="Z213" s="10"/>
      <c r="AA213" s="10"/>
    </row>
    <row r="214" spans="1:27" ht="12.5" x14ac:dyDescent="0.25">
      <c r="A214" s="10" t="s">
        <v>103</v>
      </c>
      <c r="B214" s="10" t="s">
        <v>597</v>
      </c>
      <c r="C214" s="10" t="s">
        <v>76</v>
      </c>
      <c r="D214" s="11">
        <v>2024</v>
      </c>
      <c r="E214" s="10" t="s">
        <v>124</v>
      </c>
      <c r="F214" s="10" t="s">
        <v>83</v>
      </c>
      <c r="G214" s="10" t="s">
        <v>84</v>
      </c>
      <c r="H214" s="12">
        <v>55337.75</v>
      </c>
      <c r="I214" s="11">
        <v>7495</v>
      </c>
      <c r="J214" s="11">
        <v>7223</v>
      </c>
      <c r="K214" s="11">
        <v>50511</v>
      </c>
      <c r="L214" s="11">
        <v>0.13544099642648999</v>
      </c>
      <c r="M214" s="11">
        <f t="shared" si="0"/>
        <v>13.544099642649005</v>
      </c>
      <c r="N214" s="11">
        <v>0.963709139426284</v>
      </c>
      <c r="O214" s="11">
        <v>0.91277654042674305</v>
      </c>
      <c r="P214" s="11">
        <v>0.78125</v>
      </c>
      <c r="Q214" s="11">
        <v>0.91304347826086996</v>
      </c>
      <c r="R214" s="11">
        <v>0.68903803131991004</v>
      </c>
      <c r="S214" s="10" t="s">
        <v>84</v>
      </c>
      <c r="T214" s="10" t="s">
        <v>84</v>
      </c>
      <c r="U214" s="10"/>
      <c r="V214" s="10"/>
      <c r="W214" s="10"/>
      <c r="X214" s="10"/>
      <c r="Y214" s="10"/>
      <c r="Z214" s="10"/>
      <c r="AA214" s="10"/>
    </row>
    <row r="215" spans="1:27" ht="12.5" x14ac:dyDescent="0.25">
      <c r="A215" s="10" t="s">
        <v>29</v>
      </c>
      <c r="B215" s="10" t="s">
        <v>600</v>
      </c>
      <c r="C215" s="10" t="s">
        <v>76</v>
      </c>
      <c r="D215" s="11">
        <v>2024</v>
      </c>
      <c r="E215" s="10" t="s">
        <v>124</v>
      </c>
      <c r="F215" s="10" t="s">
        <v>83</v>
      </c>
      <c r="G215" s="10" t="s">
        <v>84</v>
      </c>
      <c r="H215" s="12">
        <v>36057.416666666701</v>
      </c>
      <c r="I215" s="11">
        <v>4875</v>
      </c>
      <c r="J215" s="11">
        <v>4586</v>
      </c>
      <c r="K215" s="11">
        <v>63244</v>
      </c>
      <c r="L215" s="11">
        <v>0.13520103353679</v>
      </c>
      <c r="M215" s="11">
        <f t="shared" si="0"/>
        <v>13.520103353678959</v>
      </c>
      <c r="N215" s="11">
        <v>0.940717948717949</v>
      </c>
      <c r="O215" s="11">
        <v>1.7539803415386099</v>
      </c>
      <c r="P215" s="11">
        <v>0.78040540540540504</v>
      </c>
      <c r="Q215" s="11">
        <v>0.59183673469387799</v>
      </c>
      <c r="R215" s="11">
        <v>0.68680089485458595</v>
      </c>
      <c r="S215" s="10" t="s">
        <v>84</v>
      </c>
      <c r="T215" s="10" t="s">
        <v>84</v>
      </c>
      <c r="U215" s="10"/>
      <c r="V215" s="10"/>
      <c r="W215" s="10"/>
      <c r="X215" s="10"/>
      <c r="Y215" s="10"/>
      <c r="Z215" s="10"/>
      <c r="AA215" s="10"/>
    </row>
    <row r="216" spans="1:27" ht="12.5" x14ac:dyDescent="0.25">
      <c r="A216" s="10" t="s">
        <v>67</v>
      </c>
      <c r="B216" s="10" t="s">
        <v>505</v>
      </c>
      <c r="C216" s="10" t="s">
        <v>76</v>
      </c>
      <c r="D216" s="11">
        <v>2024</v>
      </c>
      <c r="E216" s="10" t="s">
        <v>81</v>
      </c>
      <c r="F216" s="10" t="s">
        <v>83</v>
      </c>
      <c r="G216" s="10" t="s">
        <v>84</v>
      </c>
      <c r="H216" s="12">
        <v>20844.75</v>
      </c>
      <c r="I216" s="11">
        <v>2808</v>
      </c>
      <c r="J216" s="11">
        <v>2505</v>
      </c>
      <c r="K216" s="11">
        <v>16311</v>
      </c>
      <c r="L216" s="11">
        <v>0.134710178822006</v>
      </c>
      <c r="M216" s="11">
        <f t="shared" si="0"/>
        <v>13.471017882200552</v>
      </c>
      <c r="N216" s="11">
        <v>0.89209401709401703</v>
      </c>
      <c r="O216" s="11">
        <v>0.78249919044363703</v>
      </c>
      <c r="P216" s="11">
        <v>0.77956081081081097</v>
      </c>
      <c r="Q216" s="11">
        <v>0.90476190476190499</v>
      </c>
      <c r="R216" s="11">
        <v>0.82751937984496104</v>
      </c>
      <c r="S216" s="10" t="s">
        <v>84</v>
      </c>
      <c r="T216" s="10" t="s">
        <v>84</v>
      </c>
      <c r="U216" s="10"/>
      <c r="V216" s="10"/>
      <c r="W216" s="10"/>
      <c r="X216" s="10"/>
      <c r="Y216" s="10"/>
      <c r="Z216" s="10"/>
      <c r="AA216" s="10"/>
    </row>
    <row r="217" spans="1:27" ht="12.5" x14ac:dyDescent="0.25">
      <c r="A217" s="10" t="s">
        <v>91</v>
      </c>
      <c r="B217" s="10" t="s">
        <v>507</v>
      </c>
      <c r="C217" s="10" t="s">
        <v>76</v>
      </c>
      <c r="D217" s="11">
        <v>2024</v>
      </c>
      <c r="E217" s="10" t="s">
        <v>81</v>
      </c>
      <c r="F217" s="10" t="s">
        <v>83</v>
      </c>
      <c r="G217" s="10" t="s">
        <v>84</v>
      </c>
      <c r="H217" s="12">
        <v>11182.916666666701</v>
      </c>
      <c r="I217" s="11">
        <v>1506</v>
      </c>
      <c r="J217" s="11">
        <v>1404</v>
      </c>
      <c r="K217" s="11">
        <v>8677</v>
      </c>
      <c r="L217" s="11">
        <v>0.13466969708260401</v>
      </c>
      <c r="M217" s="11">
        <f t="shared" si="0"/>
        <v>13.466969708260326</v>
      </c>
      <c r="N217" s="11">
        <v>0.93227091633466097</v>
      </c>
      <c r="O217" s="11">
        <v>0.77591564514326195</v>
      </c>
      <c r="P217" s="11">
        <v>0.77871621621621601</v>
      </c>
      <c r="Q217" s="11">
        <v>0.93333333333333302</v>
      </c>
      <c r="R217" s="11">
        <v>0.82558139534883701</v>
      </c>
      <c r="S217" s="10" t="s">
        <v>84</v>
      </c>
      <c r="T217" s="10" t="s">
        <v>84</v>
      </c>
      <c r="U217" s="10"/>
      <c r="V217" s="10"/>
      <c r="W217" s="10"/>
      <c r="X217" s="10"/>
      <c r="Y217" s="10"/>
      <c r="Z217" s="10"/>
      <c r="AA217" s="10"/>
    </row>
    <row r="218" spans="1:27" ht="12.5" x14ac:dyDescent="0.25">
      <c r="A218" s="10" t="s">
        <v>14</v>
      </c>
      <c r="B218" s="10" t="s">
        <v>509</v>
      </c>
      <c r="C218" s="10" t="s">
        <v>76</v>
      </c>
      <c r="D218" s="11">
        <v>2024</v>
      </c>
      <c r="E218" s="10" t="s">
        <v>81</v>
      </c>
      <c r="F218" s="10" t="s">
        <v>83</v>
      </c>
      <c r="G218" s="10" t="s">
        <v>84</v>
      </c>
      <c r="H218" s="12">
        <v>18425.75</v>
      </c>
      <c r="I218" s="11">
        <v>2472</v>
      </c>
      <c r="J218" s="11">
        <v>1713</v>
      </c>
      <c r="K218" s="11">
        <v>0</v>
      </c>
      <c r="L218" s="11">
        <v>0.134160074895187</v>
      </c>
      <c r="M218" s="11">
        <f t="shared" si="0"/>
        <v>13.416007489518744</v>
      </c>
      <c r="N218" s="11">
        <v>0.69296116504854399</v>
      </c>
      <c r="O218" s="11">
        <v>0</v>
      </c>
      <c r="P218" s="11">
        <v>0.77787162162162204</v>
      </c>
      <c r="Q218" s="11">
        <v>0.46428571428571402</v>
      </c>
      <c r="R218" s="11">
        <v>0.82364341085271298</v>
      </c>
      <c r="S218" s="10" t="s">
        <v>84</v>
      </c>
      <c r="T218" s="10" t="s">
        <v>84</v>
      </c>
      <c r="U218" s="10"/>
      <c r="V218" s="10"/>
      <c r="W218" s="10"/>
      <c r="X218" s="10"/>
      <c r="Y218" s="10"/>
      <c r="Z218" s="10"/>
      <c r="AA218" s="10"/>
    </row>
    <row r="219" spans="1:27" ht="12.5" x14ac:dyDescent="0.25">
      <c r="A219" s="10" t="s">
        <v>49</v>
      </c>
      <c r="B219" s="10" t="s">
        <v>602</v>
      </c>
      <c r="C219" s="10" t="s">
        <v>76</v>
      </c>
      <c r="D219" s="11">
        <v>2024</v>
      </c>
      <c r="E219" s="10" t="s">
        <v>124</v>
      </c>
      <c r="F219" s="10" t="s">
        <v>83</v>
      </c>
      <c r="G219" s="10" t="s">
        <v>84</v>
      </c>
      <c r="H219" s="12">
        <v>790.33333333333303</v>
      </c>
      <c r="I219" s="11">
        <v>105</v>
      </c>
      <c r="J219" s="11">
        <v>105</v>
      </c>
      <c r="K219" s="11">
        <v>2399</v>
      </c>
      <c r="L219" s="11">
        <v>0.13285533530156099</v>
      </c>
      <c r="M219" s="11">
        <f t="shared" si="0"/>
        <v>13.285533530156057</v>
      </c>
      <c r="N219" s="11">
        <v>1</v>
      </c>
      <c r="O219" s="11">
        <v>3.0354280894137502</v>
      </c>
      <c r="P219" s="11">
        <v>0.77702702702702697</v>
      </c>
      <c r="Q219" s="11">
        <v>0.92307692307692302</v>
      </c>
      <c r="R219" s="11">
        <v>0.68456375838926198</v>
      </c>
      <c r="S219" s="10" t="s">
        <v>84</v>
      </c>
      <c r="T219" s="10" t="s">
        <v>84</v>
      </c>
      <c r="U219" s="10"/>
      <c r="V219" s="10"/>
      <c r="W219" s="10"/>
      <c r="X219" s="10"/>
      <c r="Y219" s="10"/>
      <c r="Z219" s="10"/>
      <c r="AA219" s="10"/>
    </row>
    <row r="220" spans="1:27" ht="12.5" x14ac:dyDescent="0.25">
      <c r="A220" s="10" t="s">
        <v>32</v>
      </c>
      <c r="B220" s="10" t="s">
        <v>512</v>
      </c>
      <c r="C220" s="10" t="s">
        <v>76</v>
      </c>
      <c r="D220" s="11">
        <v>2024</v>
      </c>
      <c r="E220" s="10" t="s">
        <v>81</v>
      </c>
      <c r="F220" s="10" t="s">
        <v>83</v>
      </c>
      <c r="G220" s="10" t="s">
        <v>84</v>
      </c>
      <c r="H220" s="12">
        <v>33985</v>
      </c>
      <c r="I220" s="11">
        <v>4509</v>
      </c>
      <c r="J220" s="11">
        <v>4277</v>
      </c>
      <c r="K220" s="11">
        <v>9439</v>
      </c>
      <c r="L220" s="11">
        <v>0.13267618066794201</v>
      </c>
      <c r="M220" s="11">
        <f t="shared" si="0"/>
        <v>13.267618066794174</v>
      </c>
      <c r="N220" s="11">
        <v>0.94854734974495503</v>
      </c>
      <c r="O220" s="11">
        <v>0.27774017949095198</v>
      </c>
      <c r="P220" s="11">
        <v>0.77618243243243201</v>
      </c>
      <c r="Q220" s="11">
        <v>0.55172413793103403</v>
      </c>
      <c r="R220" s="11">
        <v>0.82170542635658905</v>
      </c>
      <c r="S220" s="10" t="s">
        <v>84</v>
      </c>
      <c r="T220" s="10" t="s">
        <v>84</v>
      </c>
      <c r="U220" s="10"/>
      <c r="V220" s="10"/>
      <c r="W220" s="10"/>
      <c r="X220" s="10"/>
      <c r="Y220" s="10"/>
      <c r="Z220" s="10"/>
      <c r="AA220" s="10"/>
    </row>
    <row r="221" spans="1:27" ht="12.5" x14ac:dyDescent="0.25">
      <c r="A221" s="10" t="s">
        <v>19</v>
      </c>
      <c r="B221" s="10" t="s">
        <v>515</v>
      </c>
      <c r="C221" s="10" t="s">
        <v>76</v>
      </c>
      <c r="D221" s="11">
        <v>2024</v>
      </c>
      <c r="E221" s="10" t="s">
        <v>81</v>
      </c>
      <c r="F221" s="10" t="s">
        <v>83</v>
      </c>
      <c r="G221" s="10" t="s">
        <v>84</v>
      </c>
      <c r="H221" s="12">
        <v>26087.416666666701</v>
      </c>
      <c r="I221" s="11">
        <v>3435</v>
      </c>
      <c r="J221" s="11">
        <v>3124</v>
      </c>
      <c r="K221" s="11">
        <v>24189</v>
      </c>
      <c r="L221" s="11">
        <v>0.131672677440273</v>
      </c>
      <c r="M221" s="11">
        <f t="shared" si="0"/>
        <v>13.167267744027274</v>
      </c>
      <c r="N221" s="11">
        <v>0.90946142649199402</v>
      </c>
      <c r="O221" s="11">
        <v>0.92722864471696098</v>
      </c>
      <c r="P221" s="11">
        <v>0.77533783783783805</v>
      </c>
      <c r="Q221" s="11">
        <v>0.72222222222222199</v>
      </c>
      <c r="R221" s="11">
        <v>0.81976744186046502</v>
      </c>
      <c r="S221" s="10" t="s">
        <v>84</v>
      </c>
      <c r="T221" s="10" t="s">
        <v>84</v>
      </c>
      <c r="U221" s="10"/>
      <c r="V221" s="10"/>
      <c r="W221" s="10"/>
      <c r="X221" s="10"/>
      <c r="Y221" s="10"/>
      <c r="Z221" s="10"/>
      <c r="AA221" s="10"/>
    </row>
    <row r="222" spans="1:27" ht="12.5" x14ac:dyDescent="0.25">
      <c r="A222" s="10" t="s">
        <v>42</v>
      </c>
      <c r="B222" s="10" t="s">
        <v>517</v>
      </c>
      <c r="C222" s="10" t="s">
        <v>76</v>
      </c>
      <c r="D222" s="11">
        <v>2024</v>
      </c>
      <c r="E222" s="10" t="s">
        <v>81</v>
      </c>
      <c r="F222" s="10" t="s">
        <v>83</v>
      </c>
      <c r="G222" s="10" t="s">
        <v>84</v>
      </c>
      <c r="H222" s="12">
        <v>28526.583333333299</v>
      </c>
      <c r="I222" s="11">
        <v>3755</v>
      </c>
      <c r="J222" s="11">
        <v>3529</v>
      </c>
      <c r="K222" s="11">
        <v>37646</v>
      </c>
      <c r="L222" s="11">
        <v>0.131631606776136</v>
      </c>
      <c r="M222" s="11">
        <f t="shared" si="0"/>
        <v>13.163160677613586</v>
      </c>
      <c r="N222" s="11">
        <v>0.93981358189081199</v>
      </c>
      <c r="O222" s="11">
        <v>1.3196813498520401</v>
      </c>
      <c r="P222" s="11">
        <v>0.77449324324324298</v>
      </c>
      <c r="Q222" s="11">
        <v>0.73809523809523803</v>
      </c>
      <c r="R222" s="11">
        <v>0.81782945736434098</v>
      </c>
      <c r="S222" s="10" t="s">
        <v>84</v>
      </c>
      <c r="T222" s="10" t="s">
        <v>84</v>
      </c>
      <c r="U222" s="10"/>
      <c r="V222" s="10"/>
      <c r="W222" s="10"/>
      <c r="X222" s="10"/>
      <c r="Y222" s="10"/>
      <c r="Z222" s="10"/>
      <c r="AA222" s="10"/>
    </row>
    <row r="223" spans="1:27" ht="12.5" x14ac:dyDescent="0.25">
      <c r="A223" s="10" t="s">
        <v>10</v>
      </c>
      <c r="B223" s="10" t="s">
        <v>604</v>
      </c>
      <c r="C223" s="10" t="s">
        <v>76</v>
      </c>
      <c r="D223" s="11">
        <v>2024</v>
      </c>
      <c r="E223" s="10" t="s">
        <v>124</v>
      </c>
      <c r="F223" s="10" t="s">
        <v>125</v>
      </c>
      <c r="G223" s="10" t="s">
        <v>84</v>
      </c>
      <c r="H223" s="12">
        <v>3976</v>
      </c>
      <c r="I223" s="11">
        <v>522</v>
      </c>
      <c r="J223" s="11">
        <v>403</v>
      </c>
      <c r="K223" s="11">
        <v>5272</v>
      </c>
      <c r="L223" s="11">
        <v>0.131287726358149</v>
      </c>
      <c r="M223" s="11">
        <f t="shared" si="0"/>
        <v>13.12877263581489</v>
      </c>
      <c r="N223" s="11">
        <v>0.77203065134099602</v>
      </c>
      <c r="O223" s="11">
        <v>1.3259557344064401</v>
      </c>
      <c r="P223" s="11">
        <v>0.77364864864864902</v>
      </c>
      <c r="Q223" s="11">
        <v>0.7</v>
      </c>
      <c r="R223" s="11">
        <v>0.682326621923937</v>
      </c>
      <c r="S223" s="10" t="s">
        <v>84</v>
      </c>
      <c r="T223" s="10" t="s">
        <v>84</v>
      </c>
      <c r="U223" s="10"/>
      <c r="V223" s="10"/>
      <c r="W223" s="10"/>
      <c r="X223" s="10"/>
      <c r="Y223" s="10"/>
      <c r="Z223" s="10"/>
      <c r="AA223" s="10"/>
    </row>
    <row r="224" spans="1:27" ht="12.5" x14ac:dyDescent="0.25">
      <c r="A224" s="10" t="s">
        <v>29</v>
      </c>
      <c r="B224" s="10" t="s">
        <v>607</v>
      </c>
      <c r="C224" s="10" t="s">
        <v>76</v>
      </c>
      <c r="D224" s="11">
        <v>2024</v>
      </c>
      <c r="E224" s="10" t="s">
        <v>124</v>
      </c>
      <c r="F224" s="10" t="s">
        <v>83</v>
      </c>
      <c r="G224" s="10" t="s">
        <v>84</v>
      </c>
      <c r="H224" s="12">
        <v>3443.8333333333298</v>
      </c>
      <c r="I224" s="11">
        <v>452</v>
      </c>
      <c r="J224" s="11">
        <v>297</v>
      </c>
      <c r="K224" s="11">
        <v>7708</v>
      </c>
      <c r="L224" s="11">
        <v>0.131249092580942</v>
      </c>
      <c r="M224" s="11">
        <f t="shared" si="0"/>
        <v>13.124909258094192</v>
      </c>
      <c r="N224" s="11">
        <v>0.65707964601769897</v>
      </c>
      <c r="O224" s="11">
        <v>2.23820355224314</v>
      </c>
      <c r="P224" s="11">
        <v>0.77280405405405395</v>
      </c>
      <c r="Q224" s="11">
        <v>0.57142857142857095</v>
      </c>
      <c r="R224" s="11">
        <v>0.68008948545861303</v>
      </c>
      <c r="S224" s="10" t="s">
        <v>84</v>
      </c>
      <c r="T224" s="10" t="s">
        <v>84</v>
      </c>
      <c r="U224" s="10"/>
      <c r="V224" s="10"/>
      <c r="W224" s="10"/>
      <c r="X224" s="10"/>
      <c r="Y224" s="10"/>
      <c r="Z224" s="10"/>
      <c r="AA224" s="10"/>
    </row>
    <row r="225" spans="1:27" ht="12.5" x14ac:dyDescent="0.25">
      <c r="A225" s="10" t="s">
        <v>26</v>
      </c>
      <c r="B225" s="10" t="s">
        <v>462</v>
      </c>
      <c r="C225" s="10" t="s">
        <v>76</v>
      </c>
      <c r="D225" s="11">
        <v>2024</v>
      </c>
      <c r="E225" s="10" t="s">
        <v>81</v>
      </c>
      <c r="F225" s="10" t="s">
        <v>83</v>
      </c>
      <c r="G225" s="10" t="s">
        <v>84</v>
      </c>
      <c r="H225" s="12">
        <v>16875.416666666701</v>
      </c>
      <c r="I225" s="11">
        <v>2212</v>
      </c>
      <c r="J225" s="11">
        <v>1279</v>
      </c>
      <c r="K225" s="11">
        <v>8775</v>
      </c>
      <c r="L225" s="11">
        <v>0.131078244981605</v>
      </c>
      <c r="M225" s="11">
        <f t="shared" si="0"/>
        <v>13.107824498160515</v>
      </c>
      <c r="N225" s="11">
        <v>0.57820976491862597</v>
      </c>
      <c r="O225" s="11">
        <v>0.51998716081084395</v>
      </c>
      <c r="P225" s="11">
        <v>0.77195945945945899</v>
      </c>
      <c r="Q225" s="11">
        <v>0.57692307692307698</v>
      </c>
      <c r="R225" s="11">
        <v>0.81589147286821695</v>
      </c>
      <c r="S225" s="10" t="s">
        <v>84</v>
      </c>
      <c r="T225" s="10" t="s">
        <v>84</v>
      </c>
      <c r="U225" s="10"/>
      <c r="V225" s="10"/>
      <c r="W225" s="10"/>
      <c r="X225" s="10"/>
      <c r="Y225" s="10"/>
      <c r="Z225" s="10"/>
      <c r="AA225" s="10"/>
    </row>
    <row r="226" spans="1:27" ht="12.5" x14ac:dyDescent="0.25">
      <c r="A226" s="10" t="s">
        <v>29</v>
      </c>
      <c r="B226" s="10" t="s">
        <v>610</v>
      </c>
      <c r="C226" s="10" t="s">
        <v>76</v>
      </c>
      <c r="D226" s="11">
        <v>2024</v>
      </c>
      <c r="E226" s="10" t="s">
        <v>124</v>
      </c>
      <c r="F226" s="10" t="s">
        <v>83</v>
      </c>
      <c r="G226" s="10" t="s">
        <v>84</v>
      </c>
      <c r="H226" s="12">
        <v>18404.75</v>
      </c>
      <c r="I226" s="11">
        <v>2396</v>
      </c>
      <c r="J226" s="11">
        <v>2171</v>
      </c>
      <c r="K226" s="11">
        <v>29254</v>
      </c>
      <c r="L226" s="11">
        <v>0.13018378407747999</v>
      </c>
      <c r="M226" s="11">
        <f t="shared" si="0"/>
        <v>13.018378407747999</v>
      </c>
      <c r="N226" s="11">
        <v>0.90609348914858101</v>
      </c>
      <c r="O226" s="11">
        <v>1.5894809763783799</v>
      </c>
      <c r="P226" s="11">
        <v>0.77111486486486502</v>
      </c>
      <c r="Q226" s="11">
        <v>0.55102040816326503</v>
      </c>
      <c r="R226" s="11">
        <v>0.67785234899328894</v>
      </c>
      <c r="S226" s="10" t="s">
        <v>84</v>
      </c>
      <c r="T226" s="10" t="s">
        <v>84</v>
      </c>
      <c r="U226" s="10"/>
      <c r="V226" s="10"/>
      <c r="W226" s="10"/>
      <c r="X226" s="10"/>
      <c r="Y226" s="10"/>
      <c r="Z226" s="10"/>
      <c r="AA226" s="10"/>
    </row>
    <row r="227" spans="1:27" ht="12.5" x14ac:dyDescent="0.25">
      <c r="A227" s="10" t="s">
        <v>86</v>
      </c>
      <c r="B227" s="10" t="s">
        <v>613</v>
      </c>
      <c r="C227" s="10" t="s">
        <v>76</v>
      </c>
      <c r="D227" s="11">
        <v>2024</v>
      </c>
      <c r="E227" s="10" t="s">
        <v>124</v>
      </c>
      <c r="F227" s="10" t="s">
        <v>83</v>
      </c>
      <c r="G227" s="10" t="s">
        <v>84</v>
      </c>
      <c r="H227" s="12">
        <v>21048.916666666701</v>
      </c>
      <c r="I227" s="11">
        <v>2721</v>
      </c>
      <c r="J227" s="11">
        <v>2402</v>
      </c>
      <c r="K227" s="11">
        <v>8192</v>
      </c>
      <c r="L227" s="11">
        <v>0.129270310823597</v>
      </c>
      <c r="M227" s="11">
        <f t="shared" si="0"/>
        <v>12.927031082359722</v>
      </c>
      <c r="N227" s="11">
        <v>0.88276368981991904</v>
      </c>
      <c r="O227" s="11">
        <v>0.389188675585046</v>
      </c>
      <c r="P227" s="11">
        <v>0.77027027027026995</v>
      </c>
      <c r="Q227" s="11">
        <v>0.54347826086956497</v>
      </c>
      <c r="R227" s="11">
        <v>0.67561521252796397</v>
      </c>
      <c r="S227" s="10" t="s">
        <v>84</v>
      </c>
      <c r="T227" s="10" t="s">
        <v>84</v>
      </c>
      <c r="U227" s="10"/>
      <c r="V227" s="10"/>
      <c r="W227" s="10"/>
      <c r="X227" s="10"/>
      <c r="Y227" s="10"/>
      <c r="Z227" s="10"/>
      <c r="AA227" s="10"/>
    </row>
    <row r="228" spans="1:27" ht="12.5" x14ac:dyDescent="0.25">
      <c r="A228" s="10" t="s">
        <v>13</v>
      </c>
      <c r="B228" s="10" t="s">
        <v>520</v>
      </c>
      <c r="C228" s="10" t="s">
        <v>76</v>
      </c>
      <c r="D228" s="11">
        <v>2024</v>
      </c>
      <c r="E228" s="10" t="s">
        <v>81</v>
      </c>
      <c r="F228" s="10" t="s">
        <v>83</v>
      </c>
      <c r="G228" s="10" t="s">
        <v>84</v>
      </c>
      <c r="H228" s="12">
        <v>7354.3333333333303</v>
      </c>
      <c r="I228" s="11">
        <v>949</v>
      </c>
      <c r="J228" s="11">
        <v>821</v>
      </c>
      <c r="K228" s="11">
        <v>20553</v>
      </c>
      <c r="L228" s="11">
        <v>0.12903956850836201</v>
      </c>
      <c r="M228" s="11">
        <f t="shared" si="0"/>
        <v>12.903956850836245</v>
      </c>
      <c r="N228" s="11">
        <v>0.86512118018967299</v>
      </c>
      <c r="O228" s="11">
        <v>2.7946788741331599</v>
      </c>
      <c r="P228" s="11">
        <v>0.76942567567567599</v>
      </c>
      <c r="Q228" s="11">
        <v>0.52380952380952395</v>
      </c>
      <c r="R228" s="11">
        <v>0.81395348837209303</v>
      </c>
      <c r="S228" s="10" t="s">
        <v>84</v>
      </c>
      <c r="T228" s="10" t="s">
        <v>84</v>
      </c>
      <c r="U228" s="10"/>
      <c r="V228" s="10"/>
      <c r="W228" s="10"/>
      <c r="X228" s="10"/>
      <c r="Y228" s="10"/>
      <c r="Z228" s="10"/>
      <c r="AA228" s="10"/>
    </row>
    <row r="229" spans="1:27" ht="12.5" x14ac:dyDescent="0.25">
      <c r="A229" s="10" t="s">
        <v>58</v>
      </c>
      <c r="B229" s="10" t="s">
        <v>522</v>
      </c>
      <c r="C229" s="10" t="s">
        <v>76</v>
      </c>
      <c r="D229" s="11">
        <v>2024</v>
      </c>
      <c r="E229" s="10" t="s">
        <v>81</v>
      </c>
      <c r="F229" s="10" t="s">
        <v>83</v>
      </c>
      <c r="G229" s="10" t="s">
        <v>84</v>
      </c>
      <c r="H229" s="12">
        <v>28177.5</v>
      </c>
      <c r="I229" s="11">
        <v>3610</v>
      </c>
      <c r="J229" s="11">
        <v>3223</v>
      </c>
      <c r="K229" s="11">
        <v>35000</v>
      </c>
      <c r="L229" s="11">
        <v>0.12811640493301399</v>
      </c>
      <c r="M229" s="11">
        <f t="shared" si="0"/>
        <v>12.811640493301393</v>
      </c>
      <c r="N229" s="11">
        <v>0.89279778393351805</v>
      </c>
      <c r="O229" s="11">
        <v>1.24212580959986</v>
      </c>
      <c r="P229" s="11">
        <v>0.76773648648648696</v>
      </c>
      <c r="Q229" s="11">
        <v>0.86486486486486502</v>
      </c>
      <c r="R229" s="11">
        <v>0.81201550387596899</v>
      </c>
      <c r="S229" s="10" t="s">
        <v>84</v>
      </c>
      <c r="T229" s="10" t="s">
        <v>84</v>
      </c>
      <c r="U229" s="10"/>
      <c r="V229" s="10"/>
      <c r="W229" s="10"/>
      <c r="X229" s="10"/>
      <c r="Y229" s="10"/>
      <c r="Z229" s="10"/>
      <c r="AA229" s="10"/>
    </row>
    <row r="230" spans="1:27" ht="12.5" hidden="1" x14ac:dyDescent="0.25">
      <c r="A230" s="10" t="s">
        <v>6</v>
      </c>
      <c r="B230" s="10" t="s">
        <v>514</v>
      </c>
      <c r="C230" s="10" t="s">
        <v>76</v>
      </c>
      <c r="D230" s="11">
        <v>2024</v>
      </c>
      <c r="E230" s="10" t="s">
        <v>257</v>
      </c>
      <c r="F230" s="10" t="s">
        <v>83</v>
      </c>
      <c r="G230" s="10" t="s">
        <v>84</v>
      </c>
      <c r="H230" s="12">
        <v>73528.333333333299</v>
      </c>
      <c r="I230" s="11">
        <v>9410</v>
      </c>
      <c r="J230" s="11">
        <v>8721</v>
      </c>
      <c r="K230" s="11">
        <v>62624</v>
      </c>
      <c r="L230" s="11">
        <v>0.12797787700886301</v>
      </c>
      <c r="M230" s="11">
        <f t="shared" si="0"/>
        <v>12.797787700886284</v>
      </c>
      <c r="N230" s="11">
        <v>0.92678002125398495</v>
      </c>
      <c r="O230" s="11">
        <v>0.85169889158374301</v>
      </c>
      <c r="P230" s="11">
        <v>0.766891891891892</v>
      </c>
      <c r="Q230" s="11">
        <v>0.90322580645161299</v>
      </c>
      <c r="R230" s="11">
        <v>0.88636363636363602</v>
      </c>
      <c r="S230" s="10" t="s">
        <v>84</v>
      </c>
      <c r="T230" s="10" t="s">
        <v>84</v>
      </c>
      <c r="U230" s="10"/>
      <c r="V230" s="10"/>
      <c r="W230" s="10"/>
      <c r="X230" s="10"/>
      <c r="Y230" s="10"/>
      <c r="Z230" s="10"/>
      <c r="AA230" s="10"/>
    </row>
    <row r="231" spans="1:27" ht="12.5" x14ac:dyDescent="0.25">
      <c r="A231" s="10" t="s">
        <v>16</v>
      </c>
      <c r="B231" s="10" t="s">
        <v>524</v>
      </c>
      <c r="C231" s="10" t="s">
        <v>76</v>
      </c>
      <c r="D231" s="11">
        <v>2024</v>
      </c>
      <c r="E231" s="10" t="s">
        <v>81</v>
      </c>
      <c r="F231" s="10" t="s">
        <v>83</v>
      </c>
      <c r="G231" s="10" t="s">
        <v>84</v>
      </c>
      <c r="H231" s="12">
        <v>21178.916666666701</v>
      </c>
      <c r="I231" s="11">
        <v>2709</v>
      </c>
      <c r="J231" s="11">
        <v>2472</v>
      </c>
      <c r="K231" s="11">
        <v>43777</v>
      </c>
      <c r="L231" s="11">
        <v>0.12791022518463699</v>
      </c>
      <c r="M231" s="11">
        <f t="shared" si="0"/>
        <v>12.791022518463704</v>
      </c>
      <c r="N231" s="11">
        <v>0.91251384274640102</v>
      </c>
      <c r="O231" s="11">
        <v>2.0670084636057098</v>
      </c>
      <c r="P231" s="11">
        <v>0.76604729729729704</v>
      </c>
      <c r="Q231" s="11">
        <v>0.4</v>
      </c>
      <c r="R231" s="11">
        <v>0.81007751937984496</v>
      </c>
      <c r="S231" s="10" t="s">
        <v>84</v>
      </c>
      <c r="T231" s="10" t="s">
        <v>84</v>
      </c>
      <c r="U231" s="10"/>
      <c r="V231" s="10"/>
      <c r="W231" s="10"/>
      <c r="X231" s="10"/>
      <c r="Y231" s="10"/>
      <c r="Z231" s="10"/>
      <c r="AA231" s="10"/>
    </row>
    <row r="232" spans="1:27" ht="12.5" x14ac:dyDescent="0.25">
      <c r="A232" s="10" t="s">
        <v>42</v>
      </c>
      <c r="B232" s="10" t="s">
        <v>615</v>
      </c>
      <c r="C232" s="10" t="s">
        <v>76</v>
      </c>
      <c r="D232" s="11">
        <v>2024</v>
      </c>
      <c r="E232" s="10" t="s">
        <v>124</v>
      </c>
      <c r="F232" s="10" t="s">
        <v>83</v>
      </c>
      <c r="G232" s="10" t="s">
        <v>84</v>
      </c>
      <c r="H232" s="12">
        <v>28834.583333333299</v>
      </c>
      <c r="I232" s="11">
        <v>3665</v>
      </c>
      <c r="J232" s="11">
        <v>3285</v>
      </c>
      <c r="K232" s="11">
        <v>69092</v>
      </c>
      <c r="L232" s="11">
        <v>0.127104316286866</v>
      </c>
      <c r="M232" s="11">
        <f t="shared" si="0"/>
        <v>12.710431628686633</v>
      </c>
      <c r="N232" s="11">
        <v>0.89631650750341096</v>
      </c>
      <c r="O232" s="11">
        <v>2.3961504559050901</v>
      </c>
      <c r="P232" s="11">
        <v>0.764358108108108</v>
      </c>
      <c r="Q232" s="11">
        <v>0.71428571428571397</v>
      </c>
      <c r="R232" s="11">
        <v>0.67337807606264</v>
      </c>
      <c r="S232" s="10" t="s">
        <v>84</v>
      </c>
      <c r="T232" s="10" t="s">
        <v>84</v>
      </c>
      <c r="U232" s="10"/>
      <c r="V232" s="10"/>
      <c r="W232" s="10"/>
      <c r="X232" s="10"/>
      <c r="Y232" s="10"/>
      <c r="Z232" s="10"/>
      <c r="AA232" s="10"/>
    </row>
    <row r="233" spans="1:27" ht="12.5" x14ac:dyDescent="0.25">
      <c r="A233" s="10" t="s">
        <v>19</v>
      </c>
      <c r="B233" s="10" t="s">
        <v>526</v>
      </c>
      <c r="C233" s="10" t="s">
        <v>76</v>
      </c>
      <c r="D233" s="11">
        <v>2024</v>
      </c>
      <c r="E233" s="10" t="s">
        <v>81</v>
      </c>
      <c r="F233" s="10" t="s">
        <v>83</v>
      </c>
      <c r="G233" s="10" t="s">
        <v>84</v>
      </c>
      <c r="H233" s="12">
        <v>65010.916666666701</v>
      </c>
      <c r="I233" s="11">
        <v>8263</v>
      </c>
      <c r="J233" s="11">
        <v>6636</v>
      </c>
      <c r="K233" s="11">
        <v>45293</v>
      </c>
      <c r="L233" s="11">
        <v>0.127101730350415</v>
      </c>
      <c r="M233" s="11">
        <f t="shared" si="0"/>
        <v>12.710173035041544</v>
      </c>
      <c r="N233" s="11">
        <v>0.80309814837226201</v>
      </c>
      <c r="O233" s="11">
        <v>0.696698375016504</v>
      </c>
      <c r="P233" s="11">
        <v>0.76351351351351304</v>
      </c>
      <c r="Q233" s="11">
        <v>0.66666666666666696</v>
      </c>
      <c r="R233" s="11">
        <v>0.80813953488372103</v>
      </c>
      <c r="S233" s="10" t="s">
        <v>84</v>
      </c>
      <c r="T233" s="10" t="s">
        <v>84</v>
      </c>
      <c r="U233" s="10"/>
      <c r="V233" s="10"/>
      <c r="W233" s="10"/>
      <c r="X233" s="10"/>
      <c r="Y233" s="10"/>
      <c r="Z233" s="10"/>
      <c r="AA233" s="10"/>
    </row>
    <row r="234" spans="1:27" ht="12.5" x14ac:dyDescent="0.25">
      <c r="A234" s="10" t="s">
        <v>26</v>
      </c>
      <c r="B234" s="10" t="s">
        <v>622</v>
      </c>
      <c r="C234" s="10" t="s">
        <v>76</v>
      </c>
      <c r="D234" s="11">
        <v>2024</v>
      </c>
      <c r="E234" s="10" t="s">
        <v>124</v>
      </c>
      <c r="F234" s="10" t="s">
        <v>83</v>
      </c>
      <c r="G234" s="10" t="s">
        <v>84</v>
      </c>
      <c r="H234" s="12">
        <v>34179.166666666701</v>
      </c>
      <c r="I234" s="11">
        <v>4317</v>
      </c>
      <c r="J234" s="11">
        <v>2850</v>
      </c>
      <c r="K234" s="11">
        <v>113546</v>
      </c>
      <c r="L234" s="11">
        <v>0.12630501036206301</v>
      </c>
      <c r="M234" s="11">
        <f t="shared" si="0"/>
        <v>12.630501036206255</v>
      </c>
      <c r="N234" s="11">
        <v>0.66018068102849203</v>
      </c>
      <c r="O234" s="11">
        <v>3.32208216506156</v>
      </c>
      <c r="P234" s="11">
        <v>0.76182432432432401</v>
      </c>
      <c r="Q234" s="11">
        <v>0.53846153846153799</v>
      </c>
      <c r="R234" s="11">
        <v>0.66890380313199105</v>
      </c>
      <c r="S234" s="10" t="s">
        <v>84</v>
      </c>
      <c r="T234" s="10" t="s">
        <v>84</v>
      </c>
      <c r="U234" s="10"/>
      <c r="V234" s="10"/>
      <c r="W234" s="10"/>
      <c r="X234" s="10"/>
      <c r="Y234" s="10"/>
      <c r="Z234" s="10"/>
      <c r="AA234" s="10"/>
    </row>
    <row r="235" spans="1:27" ht="12.5" x14ac:dyDescent="0.25">
      <c r="A235" s="10" t="s">
        <v>10</v>
      </c>
      <c r="B235" s="10" t="s">
        <v>625</v>
      </c>
      <c r="C235" s="10" t="s">
        <v>76</v>
      </c>
      <c r="D235" s="11">
        <v>2024</v>
      </c>
      <c r="E235" s="10" t="s">
        <v>124</v>
      </c>
      <c r="F235" s="10" t="s">
        <v>83</v>
      </c>
      <c r="G235" s="10" t="s">
        <v>84</v>
      </c>
      <c r="H235" s="12">
        <v>43988.5</v>
      </c>
      <c r="I235" s="11">
        <v>5549</v>
      </c>
      <c r="J235" s="11">
        <v>4979</v>
      </c>
      <c r="K235" s="11">
        <v>11018</v>
      </c>
      <c r="L235" s="11">
        <v>0.126146606499426</v>
      </c>
      <c r="M235" s="11">
        <f t="shared" si="0"/>
        <v>12.6146606499426</v>
      </c>
      <c r="N235" s="11">
        <v>0.89727878897098601</v>
      </c>
      <c r="O235" s="11">
        <v>0.25047455584982398</v>
      </c>
      <c r="P235" s="11">
        <v>0.76097972972973005</v>
      </c>
      <c r="Q235" s="11">
        <v>0.66666666666666696</v>
      </c>
      <c r="R235" s="11">
        <v>0.66666666666666696</v>
      </c>
      <c r="S235" s="10" t="s">
        <v>84</v>
      </c>
      <c r="T235" s="10" t="s">
        <v>84</v>
      </c>
      <c r="U235" s="10"/>
      <c r="V235" s="10"/>
      <c r="W235" s="10"/>
      <c r="X235" s="10"/>
      <c r="Y235" s="10"/>
      <c r="Z235" s="10"/>
      <c r="AA235" s="10"/>
    </row>
    <row r="236" spans="1:27" ht="12.5" x14ac:dyDescent="0.25">
      <c r="A236" s="10" t="s">
        <v>26</v>
      </c>
      <c r="B236" s="10" t="s">
        <v>627</v>
      </c>
      <c r="C236" s="10" t="s">
        <v>76</v>
      </c>
      <c r="D236" s="11">
        <v>2024</v>
      </c>
      <c r="E236" s="10" t="s">
        <v>124</v>
      </c>
      <c r="F236" s="10" t="s">
        <v>83</v>
      </c>
      <c r="G236" s="10" t="s">
        <v>84</v>
      </c>
      <c r="H236" s="12">
        <v>31144.916666666701</v>
      </c>
      <c r="I236" s="11">
        <v>3924</v>
      </c>
      <c r="J236" s="11">
        <v>3924</v>
      </c>
      <c r="K236" s="11">
        <v>90521</v>
      </c>
      <c r="L236" s="11">
        <v>0.12599166798220099</v>
      </c>
      <c r="M236" s="11">
        <f t="shared" si="0"/>
        <v>12.599166798220136</v>
      </c>
      <c r="N236" s="11">
        <v>1</v>
      </c>
      <c r="O236" s="11">
        <v>2.9064454070889001</v>
      </c>
      <c r="P236" s="11">
        <v>0.76013513513513498</v>
      </c>
      <c r="Q236" s="11">
        <v>0.5</v>
      </c>
      <c r="R236" s="11">
        <v>0.66442953020134199</v>
      </c>
      <c r="S236" s="10" t="s">
        <v>84</v>
      </c>
      <c r="T236" s="10" t="s">
        <v>84</v>
      </c>
      <c r="U236" s="10"/>
      <c r="V236" s="10"/>
      <c r="W236" s="10"/>
      <c r="X236" s="10"/>
      <c r="Y236" s="10"/>
      <c r="Z236" s="10"/>
      <c r="AA236" s="10"/>
    </row>
    <row r="237" spans="1:27" ht="12.5" x14ac:dyDescent="0.25">
      <c r="A237" s="10" t="s">
        <v>12</v>
      </c>
      <c r="B237" s="10" t="s">
        <v>631</v>
      </c>
      <c r="C237" s="10" t="s">
        <v>76</v>
      </c>
      <c r="D237" s="11">
        <v>2024</v>
      </c>
      <c r="E237" s="10" t="s">
        <v>124</v>
      </c>
      <c r="F237" s="10" t="s">
        <v>83</v>
      </c>
      <c r="G237" s="10" t="s">
        <v>84</v>
      </c>
      <c r="H237" s="12">
        <v>34219.083333333299</v>
      </c>
      <c r="I237" s="11">
        <v>4308</v>
      </c>
      <c r="J237" s="11">
        <v>3538</v>
      </c>
      <c r="K237" s="11">
        <v>24302</v>
      </c>
      <c r="L237" s="11">
        <v>0.12589466403980201</v>
      </c>
      <c r="M237" s="11">
        <f t="shared" si="0"/>
        <v>12.589466403980248</v>
      </c>
      <c r="N237" s="11">
        <v>0.82126276694521805</v>
      </c>
      <c r="O237" s="11">
        <v>0.71018851566742702</v>
      </c>
      <c r="P237" s="11">
        <v>0.75929054054054101</v>
      </c>
      <c r="Q237" s="11">
        <v>0.72222222222222199</v>
      </c>
      <c r="R237" s="11">
        <v>0.66219239373601801</v>
      </c>
      <c r="S237" s="10" t="s">
        <v>84</v>
      </c>
      <c r="T237" s="10" t="s">
        <v>84</v>
      </c>
      <c r="U237" s="10"/>
      <c r="V237" s="10"/>
      <c r="W237" s="10"/>
      <c r="X237" s="10"/>
      <c r="Y237" s="10"/>
      <c r="Z237" s="10"/>
      <c r="AA237" s="10"/>
    </row>
    <row r="238" spans="1:27" ht="12.5" x14ac:dyDescent="0.25">
      <c r="A238" s="10" t="s">
        <v>58</v>
      </c>
      <c r="B238" s="10" t="s">
        <v>634</v>
      </c>
      <c r="C238" s="10" t="s">
        <v>76</v>
      </c>
      <c r="D238" s="11">
        <v>2024</v>
      </c>
      <c r="E238" s="10" t="s">
        <v>124</v>
      </c>
      <c r="F238" s="10" t="s">
        <v>83</v>
      </c>
      <c r="G238" s="10" t="s">
        <v>84</v>
      </c>
      <c r="H238" s="12">
        <v>25456.583333333299</v>
      </c>
      <c r="I238" s="11">
        <v>3194</v>
      </c>
      <c r="J238" s="11">
        <v>2733</v>
      </c>
      <c r="K238" s="11">
        <v>65062</v>
      </c>
      <c r="L238" s="11">
        <v>0.12546852647808901</v>
      </c>
      <c r="M238" s="11">
        <f t="shared" si="0"/>
        <v>12.546852647808867</v>
      </c>
      <c r="N238" s="11">
        <v>0.85566687539135899</v>
      </c>
      <c r="O238" s="11">
        <v>2.5558025265239199</v>
      </c>
      <c r="P238" s="11">
        <v>0.75844594594594605</v>
      </c>
      <c r="Q238" s="11">
        <v>0.83783783783783805</v>
      </c>
      <c r="R238" s="11">
        <v>0.65995525727069304</v>
      </c>
      <c r="S238" s="10" t="s">
        <v>84</v>
      </c>
      <c r="T238" s="10" t="s">
        <v>84</v>
      </c>
      <c r="U238" s="10"/>
      <c r="V238" s="10"/>
      <c r="W238" s="10"/>
      <c r="X238" s="10"/>
      <c r="Y238" s="10"/>
      <c r="Z238" s="10"/>
      <c r="AA238" s="10"/>
    </row>
    <row r="239" spans="1:27" ht="12.5" x14ac:dyDescent="0.25">
      <c r="A239" s="10" t="s">
        <v>25</v>
      </c>
      <c r="B239" s="10" t="s">
        <v>637</v>
      </c>
      <c r="C239" s="10" t="s">
        <v>76</v>
      </c>
      <c r="D239" s="11">
        <v>2024</v>
      </c>
      <c r="E239" s="10" t="s">
        <v>124</v>
      </c>
      <c r="F239" s="10" t="s">
        <v>83</v>
      </c>
      <c r="G239" s="10" t="s">
        <v>84</v>
      </c>
      <c r="H239" s="12">
        <v>34649.916666666701</v>
      </c>
      <c r="I239" s="11">
        <v>4339</v>
      </c>
      <c r="J239" s="11">
        <v>3717</v>
      </c>
      <c r="K239" s="11">
        <v>45118</v>
      </c>
      <c r="L239" s="11">
        <v>0.12522396638760599</v>
      </c>
      <c r="M239" s="11">
        <f t="shared" si="0"/>
        <v>12.522396638760544</v>
      </c>
      <c r="N239" s="11">
        <v>0.85664899746485401</v>
      </c>
      <c r="O239" s="11">
        <v>1.30210991368426</v>
      </c>
      <c r="P239" s="11">
        <v>0.75760135135135098</v>
      </c>
      <c r="Q239" s="11">
        <v>0.75</v>
      </c>
      <c r="R239" s="11">
        <v>0.65771812080536896</v>
      </c>
      <c r="S239" s="10" t="s">
        <v>84</v>
      </c>
      <c r="T239" s="10" t="s">
        <v>84</v>
      </c>
      <c r="U239" s="10"/>
      <c r="V239" s="10"/>
      <c r="W239" s="10"/>
      <c r="X239" s="10"/>
      <c r="Y239" s="10"/>
      <c r="Z239" s="10"/>
      <c r="AA239" s="10"/>
    </row>
    <row r="240" spans="1:27" ht="12.5" x14ac:dyDescent="0.25">
      <c r="A240" s="10" t="s">
        <v>13</v>
      </c>
      <c r="B240" s="10" t="s">
        <v>639</v>
      </c>
      <c r="C240" s="10" t="s">
        <v>76</v>
      </c>
      <c r="D240" s="11">
        <v>2024</v>
      </c>
      <c r="E240" s="10" t="s">
        <v>124</v>
      </c>
      <c r="F240" s="10" t="s">
        <v>83</v>
      </c>
      <c r="G240" s="10" t="s">
        <v>84</v>
      </c>
      <c r="H240" s="12">
        <v>56433.583333333299</v>
      </c>
      <c r="I240" s="11">
        <v>7061</v>
      </c>
      <c r="J240" s="11">
        <v>6709</v>
      </c>
      <c r="K240" s="11">
        <v>187386</v>
      </c>
      <c r="L240" s="11">
        <v>0.12512053254341801</v>
      </c>
      <c r="M240" s="11">
        <f t="shared" si="0"/>
        <v>12.512053254341762</v>
      </c>
      <c r="N240" s="11">
        <v>0.95014870414955399</v>
      </c>
      <c r="O240" s="11">
        <v>3.3204696376123599</v>
      </c>
      <c r="P240" s="11">
        <v>0.75591216216216195</v>
      </c>
      <c r="Q240" s="11">
        <v>0.476190476190476</v>
      </c>
      <c r="R240" s="11">
        <v>0.65548098434004498</v>
      </c>
      <c r="S240" s="10" t="s">
        <v>84</v>
      </c>
      <c r="T240" s="10" t="s">
        <v>84</v>
      </c>
      <c r="U240" s="10"/>
      <c r="V240" s="10"/>
      <c r="W240" s="10"/>
      <c r="X240" s="10"/>
      <c r="Y240" s="10"/>
      <c r="Z240" s="10"/>
      <c r="AA240" s="10"/>
    </row>
    <row r="241" spans="1:27" ht="12.5" x14ac:dyDescent="0.25">
      <c r="A241" s="10" t="s">
        <v>13</v>
      </c>
      <c r="B241" s="10" t="s">
        <v>641</v>
      </c>
      <c r="C241" s="10" t="s">
        <v>76</v>
      </c>
      <c r="D241" s="11">
        <v>2024</v>
      </c>
      <c r="E241" s="10" t="s">
        <v>124</v>
      </c>
      <c r="F241" s="10" t="s">
        <v>125</v>
      </c>
      <c r="G241" s="10" t="s">
        <v>84</v>
      </c>
      <c r="H241" s="12">
        <v>4536.5</v>
      </c>
      <c r="I241" s="11">
        <v>563</v>
      </c>
      <c r="J241" s="11">
        <v>511</v>
      </c>
      <c r="K241" s="11">
        <v>5845</v>
      </c>
      <c r="L241" s="11">
        <v>0.124104485837099</v>
      </c>
      <c r="M241" s="11">
        <f t="shared" si="0"/>
        <v>12.410448583709908</v>
      </c>
      <c r="N241" s="11">
        <v>0.90763765541740704</v>
      </c>
      <c r="O241" s="11">
        <v>1.2884382232999001</v>
      </c>
      <c r="P241" s="11">
        <v>0.75422297297297303</v>
      </c>
      <c r="Q241" s="11">
        <v>0.42857142857142899</v>
      </c>
      <c r="R241" s="11">
        <v>0.65324384787472001</v>
      </c>
      <c r="S241" s="10" t="s">
        <v>84</v>
      </c>
      <c r="T241" s="10" t="s">
        <v>84</v>
      </c>
      <c r="U241" s="10"/>
      <c r="V241" s="10"/>
      <c r="W241" s="10"/>
      <c r="X241" s="10"/>
      <c r="Y241" s="10"/>
      <c r="Z241" s="10"/>
      <c r="AA241" s="10"/>
    </row>
    <row r="242" spans="1:27" ht="12.5" x14ac:dyDescent="0.25">
      <c r="A242" s="10" t="s">
        <v>12</v>
      </c>
      <c r="B242" s="10" t="s">
        <v>531</v>
      </c>
      <c r="C242" s="10" t="s">
        <v>76</v>
      </c>
      <c r="D242" s="11">
        <v>2024</v>
      </c>
      <c r="E242" s="10" t="s">
        <v>81</v>
      </c>
      <c r="F242" s="10" t="s">
        <v>83</v>
      </c>
      <c r="G242" s="10" t="s">
        <v>84</v>
      </c>
      <c r="H242" s="12">
        <v>2225.75</v>
      </c>
      <c r="I242" s="11">
        <v>275</v>
      </c>
      <c r="J242" s="11">
        <v>232</v>
      </c>
      <c r="K242" s="11">
        <v>2098</v>
      </c>
      <c r="L242" s="11">
        <v>0.123553858250028</v>
      </c>
      <c r="M242" s="11">
        <f t="shared" si="0"/>
        <v>12.355385825002809</v>
      </c>
      <c r="N242" s="11">
        <v>0.84363636363636396</v>
      </c>
      <c r="O242" s="11">
        <v>0.94260361675839599</v>
      </c>
      <c r="P242" s="11">
        <v>0.75337837837837796</v>
      </c>
      <c r="Q242" s="11">
        <v>0.70833333333333304</v>
      </c>
      <c r="R242" s="11">
        <v>0.80232558139534904</v>
      </c>
      <c r="S242" s="10" t="s">
        <v>84</v>
      </c>
      <c r="T242" s="10" t="s">
        <v>84</v>
      </c>
      <c r="U242" s="10"/>
      <c r="V242" s="10"/>
      <c r="W242" s="10"/>
      <c r="X242" s="10"/>
      <c r="Y242" s="10"/>
      <c r="Z242" s="10"/>
      <c r="AA242" s="10"/>
    </row>
    <row r="243" spans="1:27" ht="12.5" x14ac:dyDescent="0.25">
      <c r="A243" s="10" t="s">
        <v>26</v>
      </c>
      <c r="B243" s="10" t="s">
        <v>534</v>
      </c>
      <c r="C243" s="10" t="s">
        <v>76</v>
      </c>
      <c r="D243" s="11">
        <v>2024</v>
      </c>
      <c r="E243" s="10" t="s">
        <v>81</v>
      </c>
      <c r="F243" s="10" t="s">
        <v>83</v>
      </c>
      <c r="G243" s="10" t="s">
        <v>84</v>
      </c>
      <c r="H243" s="12">
        <v>58565.833333333299</v>
      </c>
      <c r="I243" s="11">
        <v>7215</v>
      </c>
      <c r="J243" s="11">
        <v>8003</v>
      </c>
      <c r="K243" s="11">
        <v>103889</v>
      </c>
      <c r="L243" s="11">
        <v>0.12319469542822201</v>
      </c>
      <c r="M243" s="11">
        <f t="shared" si="0"/>
        <v>12.319469542822187</v>
      </c>
      <c r="N243" s="11">
        <v>1.10921690921691</v>
      </c>
      <c r="O243" s="11">
        <v>1.7738840905533699</v>
      </c>
      <c r="P243" s="11">
        <v>0.75253378378378399</v>
      </c>
      <c r="Q243" s="11">
        <v>0.46153846153846201</v>
      </c>
      <c r="R243" s="11">
        <v>0.80038759689922501</v>
      </c>
      <c r="S243" s="10" t="s">
        <v>84</v>
      </c>
      <c r="T243" s="10" t="s">
        <v>84</v>
      </c>
      <c r="U243" s="10"/>
      <c r="V243" s="10"/>
      <c r="W243" s="10"/>
      <c r="X243" s="10"/>
      <c r="Y243" s="10"/>
      <c r="Z243" s="10"/>
      <c r="AA243" s="10"/>
    </row>
    <row r="244" spans="1:27" ht="12.5" x14ac:dyDescent="0.25">
      <c r="A244" s="10" t="s">
        <v>14</v>
      </c>
      <c r="B244" s="10" t="s">
        <v>646</v>
      </c>
      <c r="C244" s="10" t="s">
        <v>76</v>
      </c>
      <c r="D244" s="11">
        <v>2024</v>
      </c>
      <c r="E244" s="10" t="s">
        <v>124</v>
      </c>
      <c r="F244" s="10" t="s">
        <v>83</v>
      </c>
      <c r="G244" s="10" t="s">
        <v>84</v>
      </c>
      <c r="H244" s="12">
        <v>52193.916666666701</v>
      </c>
      <c r="I244" s="11">
        <v>6383</v>
      </c>
      <c r="J244" s="11">
        <v>5230</v>
      </c>
      <c r="K244" s="11">
        <v>81352</v>
      </c>
      <c r="L244" s="11">
        <v>0.122293945494925</v>
      </c>
      <c r="M244" s="11">
        <f t="shared" si="0"/>
        <v>12.229394549492509</v>
      </c>
      <c r="N244" s="11">
        <v>0.81936393545354802</v>
      </c>
      <c r="O244" s="11">
        <v>1.5586490762812399</v>
      </c>
      <c r="P244" s="11">
        <v>0.75084459459459496</v>
      </c>
      <c r="Q244" s="11">
        <v>0.42857142857142899</v>
      </c>
      <c r="R244" s="11">
        <v>0.64876957494407195</v>
      </c>
      <c r="S244" s="10" t="s">
        <v>84</v>
      </c>
      <c r="T244" s="10" t="s">
        <v>84</v>
      </c>
      <c r="U244" s="10"/>
      <c r="V244" s="10"/>
      <c r="W244" s="10"/>
      <c r="X244" s="10"/>
      <c r="Y244" s="10"/>
      <c r="Z244" s="10"/>
      <c r="AA244" s="10"/>
    </row>
    <row r="245" spans="1:27" ht="12.5" x14ac:dyDescent="0.25">
      <c r="A245" s="10" t="s">
        <v>104</v>
      </c>
      <c r="B245" s="10" t="s">
        <v>648</v>
      </c>
      <c r="C245" s="10" t="s">
        <v>76</v>
      </c>
      <c r="D245" s="11">
        <v>2024</v>
      </c>
      <c r="E245" s="10" t="s">
        <v>124</v>
      </c>
      <c r="F245" s="10" t="s">
        <v>83</v>
      </c>
      <c r="G245" s="10" t="s">
        <v>84</v>
      </c>
      <c r="H245" s="12">
        <v>5952.9166666666697</v>
      </c>
      <c r="I245" s="11">
        <v>728</v>
      </c>
      <c r="J245" s="11">
        <v>728</v>
      </c>
      <c r="K245" s="11">
        <v>1423</v>
      </c>
      <c r="L245" s="11">
        <v>0.122292993630573</v>
      </c>
      <c r="M245" s="11">
        <f t="shared" si="0"/>
        <v>12.229299363057319</v>
      </c>
      <c r="N245" s="11">
        <v>1</v>
      </c>
      <c r="O245" s="11">
        <v>0.23904248617624399</v>
      </c>
      <c r="P245" s="11">
        <v>0.75</v>
      </c>
      <c r="Q245" s="11">
        <v>0.79310344827586199</v>
      </c>
      <c r="R245" s="11">
        <v>0.64653243847874697</v>
      </c>
      <c r="S245" s="10" t="s">
        <v>84</v>
      </c>
      <c r="T245" s="10" t="s">
        <v>84</v>
      </c>
      <c r="U245" s="10"/>
      <c r="V245" s="10"/>
      <c r="W245" s="10"/>
      <c r="X245" s="10"/>
      <c r="Y245" s="10"/>
      <c r="Z245" s="10"/>
      <c r="AA245" s="10"/>
    </row>
    <row r="246" spans="1:27" ht="12.5" x14ac:dyDescent="0.25">
      <c r="A246" s="10" t="s">
        <v>58</v>
      </c>
      <c r="B246" s="10" t="s">
        <v>650</v>
      </c>
      <c r="C246" s="10" t="s">
        <v>76</v>
      </c>
      <c r="D246" s="11">
        <v>2024</v>
      </c>
      <c r="E246" s="10" t="s">
        <v>124</v>
      </c>
      <c r="F246" s="10" t="s">
        <v>83</v>
      </c>
      <c r="G246" s="10" t="s">
        <v>84</v>
      </c>
      <c r="H246" s="12">
        <v>1515.9166666666699</v>
      </c>
      <c r="I246" s="11">
        <v>184</v>
      </c>
      <c r="J246" s="11">
        <v>142</v>
      </c>
      <c r="K246" s="11">
        <v>1129</v>
      </c>
      <c r="L246" s="11">
        <v>0.12137870375460399</v>
      </c>
      <c r="M246" s="11">
        <f t="shared" si="0"/>
        <v>12.137870375460366</v>
      </c>
      <c r="N246" s="11">
        <v>0.77173913043478304</v>
      </c>
      <c r="O246" s="11">
        <v>0.74476389423341205</v>
      </c>
      <c r="P246" s="11">
        <v>0.74915540540540504</v>
      </c>
      <c r="Q246" s="11">
        <v>0.81081081081081097</v>
      </c>
      <c r="R246" s="11">
        <v>0.644295302013423</v>
      </c>
      <c r="S246" s="10" t="s">
        <v>84</v>
      </c>
      <c r="T246" s="10" t="s">
        <v>84</v>
      </c>
      <c r="U246" s="10"/>
      <c r="V246" s="10"/>
      <c r="W246" s="10"/>
      <c r="X246" s="10"/>
      <c r="Y246" s="10"/>
      <c r="Z246" s="10"/>
      <c r="AA246" s="10"/>
    </row>
    <row r="247" spans="1:27" ht="12.5" x14ac:dyDescent="0.25">
      <c r="A247" s="10" t="s">
        <v>13</v>
      </c>
      <c r="B247" s="10" t="s">
        <v>653</v>
      </c>
      <c r="C247" s="10" t="s">
        <v>76</v>
      </c>
      <c r="D247" s="11">
        <v>2024</v>
      </c>
      <c r="E247" s="10" t="s">
        <v>124</v>
      </c>
      <c r="F247" s="10" t="s">
        <v>125</v>
      </c>
      <c r="G247" s="10" t="s">
        <v>84</v>
      </c>
      <c r="H247" s="12">
        <v>626.5</v>
      </c>
      <c r="I247" s="11">
        <v>76</v>
      </c>
      <c r="J247" s="11">
        <v>60</v>
      </c>
      <c r="K247" s="11">
        <v>0</v>
      </c>
      <c r="L247" s="11">
        <v>0.121308858739026</v>
      </c>
      <c r="M247" s="11">
        <f t="shared" si="0"/>
        <v>12.130885873902633</v>
      </c>
      <c r="N247" s="11">
        <v>0.78947368421052599</v>
      </c>
      <c r="O247" s="11">
        <v>0</v>
      </c>
      <c r="P247" s="11">
        <v>0.74831081081081097</v>
      </c>
      <c r="Q247" s="11">
        <v>0.38095238095238099</v>
      </c>
      <c r="R247" s="11">
        <v>0.64205816554809803</v>
      </c>
      <c r="S247" s="10" t="s">
        <v>84</v>
      </c>
      <c r="T247" s="10" t="s">
        <v>84</v>
      </c>
      <c r="U247" s="10"/>
      <c r="V247" s="10"/>
      <c r="W247" s="10"/>
      <c r="X247" s="10"/>
      <c r="Y247" s="10"/>
      <c r="Z247" s="10"/>
      <c r="AA247" s="10"/>
    </row>
    <row r="248" spans="1:27" ht="12.5" x14ac:dyDescent="0.25">
      <c r="A248" s="10" t="s">
        <v>52</v>
      </c>
      <c r="B248" s="10" t="s">
        <v>655</v>
      </c>
      <c r="C248" s="10" t="s">
        <v>76</v>
      </c>
      <c r="D248" s="11">
        <v>2024</v>
      </c>
      <c r="E248" s="10" t="s">
        <v>124</v>
      </c>
      <c r="F248" s="10" t="s">
        <v>125</v>
      </c>
      <c r="G248" s="10" t="s">
        <v>84</v>
      </c>
      <c r="H248" s="12">
        <v>2665.0833333333298</v>
      </c>
      <c r="I248" s="11">
        <v>323</v>
      </c>
      <c r="J248" s="11">
        <v>288</v>
      </c>
      <c r="K248" s="11">
        <v>3337</v>
      </c>
      <c r="L248" s="11">
        <v>0.121196960695413</v>
      </c>
      <c r="M248" s="11">
        <f t="shared" si="0"/>
        <v>12.119696069541307</v>
      </c>
      <c r="N248" s="11">
        <v>0.89164086687306499</v>
      </c>
      <c r="O248" s="11">
        <v>1.2521184453269101</v>
      </c>
      <c r="P248" s="11">
        <v>0.74746621621621601</v>
      </c>
      <c r="Q248" s="11">
        <v>0.659574468085106</v>
      </c>
      <c r="R248" s="11">
        <v>0.63982102908277405</v>
      </c>
      <c r="S248" s="10" t="s">
        <v>84</v>
      </c>
      <c r="T248" s="10" t="s">
        <v>84</v>
      </c>
      <c r="U248" s="10"/>
      <c r="V248" s="10"/>
      <c r="W248" s="10"/>
      <c r="X248" s="10"/>
      <c r="Y248" s="10"/>
      <c r="Z248" s="10"/>
      <c r="AA248" s="10"/>
    </row>
    <row r="249" spans="1:27" ht="12.5" x14ac:dyDescent="0.25">
      <c r="A249" s="10" t="s">
        <v>14</v>
      </c>
      <c r="B249" s="10" t="s">
        <v>539</v>
      </c>
      <c r="C249" s="10" t="s">
        <v>76</v>
      </c>
      <c r="D249" s="11">
        <v>2024</v>
      </c>
      <c r="E249" s="10" t="s">
        <v>81</v>
      </c>
      <c r="F249" s="10" t="s">
        <v>83</v>
      </c>
      <c r="G249" s="10" t="s">
        <v>84</v>
      </c>
      <c r="H249" s="12">
        <v>21093.75</v>
      </c>
      <c r="I249" s="11">
        <v>2541</v>
      </c>
      <c r="J249" s="11">
        <v>2441</v>
      </c>
      <c r="K249" s="11">
        <v>7720</v>
      </c>
      <c r="L249" s="11">
        <v>0.120462222222222</v>
      </c>
      <c r="M249" s="11">
        <f t="shared" si="0"/>
        <v>12.046222222222221</v>
      </c>
      <c r="N249" s="11">
        <v>0.96064541519086999</v>
      </c>
      <c r="O249" s="11">
        <v>0.36598518518518502</v>
      </c>
      <c r="P249" s="11">
        <v>0.74577702702702697</v>
      </c>
      <c r="Q249" s="11">
        <v>0.39285714285714302</v>
      </c>
      <c r="R249" s="11">
        <v>0.79651162790697705</v>
      </c>
      <c r="S249" s="10" t="s">
        <v>84</v>
      </c>
      <c r="T249" s="10" t="s">
        <v>84</v>
      </c>
      <c r="U249" s="10"/>
      <c r="V249" s="10"/>
      <c r="W249" s="10"/>
      <c r="X249" s="10"/>
      <c r="Y249" s="10"/>
      <c r="Z249" s="10"/>
      <c r="AA249" s="10"/>
    </row>
    <row r="250" spans="1:27" ht="12.5" x14ac:dyDescent="0.25">
      <c r="A250" s="10" t="s">
        <v>12</v>
      </c>
      <c r="B250" s="10" t="s">
        <v>540</v>
      </c>
      <c r="C250" s="10" t="s">
        <v>76</v>
      </c>
      <c r="D250" s="11">
        <v>2024</v>
      </c>
      <c r="E250" s="10" t="s">
        <v>81</v>
      </c>
      <c r="F250" s="10" t="s">
        <v>83</v>
      </c>
      <c r="G250" s="10" t="s">
        <v>84</v>
      </c>
      <c r="H250" s="12">
        <v>33416</v>
      </c>
      <c r="I250" s="11">
        <v>4006</v>
      </c>
      <c r="J250" s="11">
        <v>223</v>
      </c>
      <c r="K250" s="11">
        <v>56182</v>
      </c>
      <c r="L250" s="11">
        <v>0.119882690926502</v>
      </c>
      <c r="M250" s="11">
        <f t="shared" si="0"/>
        <v>11.988269092650228</v>
      </c>
      <c r="N250" s="11">
        <v>5.5666500249625599E-2</v>
      </c>
      <c r="O250" s="11">
        <v>1.6812903998084701</v>
      </c>
      <c r="P250" s="11">
        <v>0.74493243243243201</v>
      </c>
      <c r="Q250" s="11">
        <v>0.68055555555555602</v>
      </c>
      <c r="R250" s="11">
        <v>0.79457364341085301</v>
      </c>
      <c r="S250" s="10" t="s">
        <v>84</v>
      </c>
      <c r="T250" s="10" t="s">
        <v>84</v>
      </c>
      <c r="U250" s="10"/>
      <c r="V250" s="10"/>
      <c r="W250" s="10"/>
      <c r="X250" s="10"/>
      <c r="Y250" s="10"/>
      <c r="Z250" s="10"/>
      <c r="AA250" s="10"/>
    </row>
    <row r="251" spans="1:27" ht="12.5" x14ac:dyDescent="0.25">
      <c r="A251" s="10" t="s">
        <v>12</v>
      </c>
      <c r="B251" s="10" t="s">
        <v>542</v>
      </c>
      <c r="C251" s="10" t="s">
        <v>76</v>
      </c>
      <c r="D251" s="11">
        <v>2024</v>
      </c>
      <c r="E251" s="10" t="s">
        <v>81</v>
      </c>
      <c r="F251" s="10" t="s">
        <v>83</v>
      </c>
      <c r="G251" s="10" t="s">
        <v>84</v>
      </c>
      <c r="H251" s="12">
        <v>22735.916666666701</v>
      </c>
      <c r="I251" s="11">
        <v>2723</v>
      </c>
      <c r="J251" s="11">
        <v>2163</v>
      </c>
      <c r="K251" s="11">
        <v>19791</v>
      </c>
      <c r="L251" s="11">
        <v>0.11976644882729599</v>
      </c>
      <c r="M251" s="11">
        <f t="shared" si="0"/>
        <v>11.976644882729584</v>
      </c>
      <c r="N251" s="11">
        <v>0.79434447300771205</v>
      </c>
      <c r="O251" s="11">
        <v>0.87047293012890803</v>
      </c>
      <c r="P251" s="11">
        <v>0.74408783783783805</v>
      </c>
      <c r="Q251" s="11">
        <v>0.66666666666666696</v>
      </c>
      <c r="R251" s="11">
        <v>0.79263565891472898</v>
      </c>
      <c r="S251" s="10" t="s">
        <v>84</v>
      </c>
      <c r="T251" s="10" t="s">
        <v>84</v>
      </c>
      <c r="U251" s="10"/>
      <c r="V251" s="10"/>
      <c r="W251" s="10"/>
      <c r="X251" s="10"/>
      <c r="Y251" s="10"/>
      <c r="Z251" s="10"/>
      <c r="AA251" s="10"/>
    </row>
    <row r="252" spans="1:27" ht="12.5" x14ac:dyDescent="0.25">
      <c r="A252" s="10" t="s">
        <v>29</v>
      </c>
      <c r="B252" s="10" t="s">
        <v>660</v>
      </c>
      <c r="C252" s="10" t="s">
        <v>76</v>
      </c>
      <c r="D252" s="11">
        <v>2024</v>
      </c>
      <c r="E252" s="10" t="s">
        <v>124</v>
      </c>
      <c r="F252" s="10" t="s">
        <v>83</v>
      </c>
      <c r="G252" s="10" t="s">
        <v>84</v>
      </c>
      <c r="H252" s="12">
        <v>22570.166666666701</v>
      </c>
      <c r="I252" s="11">
        <v>2695</v>
      </c>
      <c r="J252" s="11">
        <v>2561</v>
      </c>
      <c r="K252" s="11">
        <v>37277</v>
      </c>
      <c r="L252" s="11">
        <v>0.119405409796117</v>
      </c>
      <c r="M252" s="11">
        <f t="shared" si="0"/>
        <v>11.940540979611711</v>
      </c>
      <c r="N252" s="11">
        <v>0.95027829313543599</v>
      </c>
      <c r="O252" s="11">
        <v>1.6516049947940099</v>
      </c>
      <c r="P252" s="11">
        <v>0.74239864864864902</v>
      </c>
      <c r="Q252" s="11">
        <v>0.51020408163265296</v>
      </c>
      <c r="R252" s="11">
        <v>0.63534675615212499</v>
      </c>
      <c r="S252" s="10" t="s">
        <v>84</v>
      </c>
      <c r="T252" s="10" t="s">
        <v>84</v>
      </c>
      <c r="U252" s="10"/>
      <c r="V252" s="10"/>
      <c r="W252" s="10"/>
      <c r="X252" s="10"/>
      <c r="Y252" s="10"/>
      <c r="Z252" s="10"/>
      <c r="AA252" s="10"/>
    </row>
    <row r="253" spans="1:27" ht="12.5" x14ac:dyDescent="0.25">
      <c r="A253" s="10" t="s">
        <v>77</v>
      </c>
      <c r="B253" s="10" t="s">
        <v>662</v>
      </c>
      <c r="C253" s="10" t="s">
        <v>76</v>
      </c>
      <c r="D253" s="11">
        <v>2024</v>
      </c>
      <c r="E253" s="10" t="s">
        <v>124</v>
      </c>
      <c r="F253" s="10" t="s">
        <v>125</v>
      </c>
      <c r="G253" s="10" t="s">
        <v>84</v>
      </c>
      <c r="H253" s="12">
        <v>1311.4166666666699</v>
      </c>
      <c r="I253" s="11">
        <v>156</v>
      </c>
      <c r="J253" s="11">
        <v>157</v>
      </c>
      <c r="K253" s="11">
        <v>636</v>
      </c>
      <c r="L253" s="11">
        <v>0.11895532820740901</v>
      </c>
      <c r="M253" s="11">
        <f t="shared" si="0"/>
        <v>11.895532820740899</v>
      </c>
      <c r="N253" s="11">
        <v>1.0064102564102599</v>
      </c>
      <c r="O253" s="11">
        <v>0.48497172269174599</v>
      </c>
      <c r="P253" s="11">
        <v>0.74155405405405395</v>
      </c>
      <c r="Q253" s="11">
        <v>0.96428571428571397</v>
      </c>
      <c r="R253" s="11">
        <v>0.63310961968680102</v>
      </c>
      <c r="S253" s="10" t="s">
        <v>84</v>
      </c>
      <c r="T253" s="10" t="s">
        <v>84</v>
      </c>
      <c r="U253" s="10"/>
      <c r="V253" s="10"/>
      <c r="W253" s="10"/>
      <c r="X253" s="10"/>
      <c r="Y253" s="10"/>
      <c r="Z253" s="10"/>
      <c r="AA253" s="10"/>
    </row>
    <row r="254" spans="1:27" ht="12.5" x14ac:dyDescent="0.25">
      <c r="A254" s="10" t="s">
        <v>77</v>
      </c>
      <c r="B254" s="10" t="s">
        <v>665</v>
      </c>
      <c r="C254" s="10" t="s">
        <v>76</v>
      </c>
      <c r="D254" s="11">
        <v>2024</v>
      </c>
      <c r="E254" s="10" t="s">
        <v>124</v>
      </c>
      <c r="F254" s="10" t="s">
        <v>125</v>
      </c>
      <c r="G254" s="10" t="s">
        <v>84</v>
      </c>
      <c r="H254" s="12">
        <v>2212.25</v>
      </c>
      <c r="I254" s="11">
        <v>263</v>
      </c>
      <c r="J254" s="11">
        <v>250</v>
      </c>
      <c r="K254" s="11">
        <v>4819</v>
      </c>
      <c r="L254" s="11">
        <v>0.118883489659849</v>
      </c>
      <c r="M254" s="11">
        <f t="shared" si="0"/>
        <v>11.888348965984857</v>
      </c>
      <c r="N254" s="11">
        <v>0.95057034220532299</v>
      </c>
      <c r="O254" s="11">
        <v>2.1783252344897699</v>
      </c>
      <c r="P254" s="11">
        <v>0.74070945945945899</v>
      </c>
      <c r="Q254" s="11">
        <v>0.92857142857142905</v>
      </c>
      <c r="R254" s="11">
        <v>0.63087248322147604</v>
      </c>
      <c r="S254" s="10" t="s">
        <v>84</v>
      </c>
      <c r="T254" s="10" t="s">
        <v>84</v>
      </c>
      <c r="U254" s="10"/>
      <c r="V254" s="10"/>
      <c r="W254" s="10"/>
      <c r="X254" s="10"/>
      <c r="Y254" s="10"/>
      <c r="Z254" s="10"/>
      <c r="AA254" s="10"/>
    </row>
    <row r="255" spans="1:27" ht="12.5" x14ac:dyDescent="0.25">
      <c r="A255" s="10" t="s">
        <v>52</v>
      </c>
      <c r="B255" s="10" t="s">
        <v>544</v>
      </c>
      <c r="C255" s="10" t="s">
        <v>76</v>
      </c>
      <c r="D255" s="11">
        <v>2024</v>
      </c>
      <c r="E255" s="10" t="s">
        <v>81</v>
      </c>
      <c r="F255" s="10" t="s">
        <v>83</v>
      </c>
      <c r="G255" s="10" t="s">
        <v>84</v>
      </c>
      <c r="H255" s="12">
        <v>34909.833333333299</v>
      </c>
      <c r="I255" s="11">
        <v>4146</v>
      </c>
      <c r="J255" s="11">
        <v>3548</v>
      </c>
      <c r="K255" s="11">
        <v>36737</v>
      </c>
      <c r="L255" s="11">
        <v>0.118763099222282</v>
      </c>
      <c r="M255" s="11">
        <f t="shared" si="0"/>
        <v>11.876309922228229</v>
      </c>
      <c r="N255" s="11">
        <v>0.85576459237819602</v>
      </c>
      <c r="O255" s="11">
        <v>1.05233959868041</v>
      </c>
      <c r="P255" s="11">
        <v>0.73986486486486502</v>
      </c>
      <c r="Q255" s="11">
        <v>0.63829787234042601</v>
      </c>
      <c r="R255" s="11">
        <v>0.79069767441860495</v>
      </c>
      <c r="S255" s="10" t="s">
        <v>84</v>
      </c>
      <c r="T255" s="10" t="s">
        <v>84</v>
      </c>
      <c r="U255" s="10"/>
      <c r="V255" s="10"/>
      <c r="W255" s="10"/>
      <c r="X255" s="10"/>
      <c r="Y255" s="10"/>
      <c r="Z255" s="10"/>
      <c r="AA255" s="10"/>
    </row>
    <row r="256" spans="1:27" ht="12.5" x14ac:dyDescent="0.25">
      <c r="A256" s="10" t="s">
        <v>36</v>
      </c>
      <c r="B256" s="10" t="s">
        <v>546</v>
      </c>
      <c r="C256" s="10" t="s">
        <v>76</v>
      </c>
      <c r="D256" s="11">
        <v>2024</v>
      </c>
      <c r="E256" s="10" t="s">
        <v>81</v>
      </c>
      <c r="F256" s="10" t="s">
        <v>125</v>
      </c>
      <c r="G256" s="10" t="s">
        <v>84</v>
      </c>
      <c r="H256" s="12">
        <v>56054.25</v>
      </c>
      <c r="I256" s="11">
        <v>6578</v>
      </c>
      <c r="J256" s="11">
        <v>5048</v>
      </c>
      <c r="K256" s="11">
        <v>113435</v>
      </c>
      <c r="L256" s="11">
        <v>0.11735060231829</v>
      </c>
      <c r="M256" s="11">
        <f t="shared" si="0"/>
        <v>11.735060231828987</v>
      </c>
      <c r="N256" s="11">
        <v>0.76740650653694098</v>
      </c>
      <c r="O256" s="11">
        <v>2.02366457494302</v>
      </c>
      <c r="P256" s="11">
        <v>0.73902027027026995</v>
      </c>
      <c r="Q256" s="11">
        <v>0.48936170212766</v>
      </c>
      <c r="R256" s="11">
        <v>0.78875968992248102</v>
      </c>
      <c r="S256" s="10" t="s">
        <v>84</v>
      </c>
      <c r="T256" s="10" t="s">
        <v>84</v>
      </c>
      <c r="U256" s="10"/>
      <c r="V256" s="10"/>
      <c r="W256" s="10"/>
      <c r="X256" s="10"/>
      <c r="Y256" s="10"/>
      <c r="Z256" s="10"/>
      <c r="AA256" s="10"/>
    </row>
    <row r="257" spans="1:27" ht="12.5" hidden="1" x14ac:dyDescent="0.25">
      <c r="A257" s="10" t="s">
        <v>67</v>
      </c>
      <c r="B257" s="10" t="s">
        <v>1031</v>
      </c>
      <c r="C257" s="10" t="s">
        <v>76</v>
      </c>
      <c r="D257" s="11">
        <v>2024</v>
      </c>
      <c r="E257" s="10" t="s">
        <v>257</v>
      </c>
      <c r="F257" s="10" t="s">
        <v>83</v>
      </c>
      <c r="G257" s="10" t="s">
        <v>84</v>
      </c>
      <c r="H257" s="12">
        <v>35569.833333333299</v>
      </c>
      <c r="I257" s="11">
        <v>4172</v>
      </c>
      <c r="J257" s="11">
        <v>3976</v>
      </c>
      <c r="K257" s="11">
        <v>14767</v>
      </c>
      <c r="L257" s="11">
        <v>0.11729040057352</v>
      </c>
      <c r="M257" s="11">
        <f t="shared" ref="M257:M511" si="1">(I257/H257)*100</f>
        <v>11.72904005735198</v>
      </c>
      <c r="N257" s="11">
        <v>0.95302013422818799</v>
      </c>
      <c r="O257" s="11">
        <v>0.415155164254354</v>
      </c>
      <c r="P257" s="11">
        <v>0.73733108108108103</v>
      </c>
      <c r="Q257" s="11">
        <v>0.85714285714285698</v>
      </c>
      <c r="R257" s="11">
        <v>0.86363636363636398</v>
      </c>
      <c r="S257" s="10" t="s">
        <v>84</v>
      </c>
      <c r="T257" s="10" t="s">
        <v>84</v>
      </c>
      <c r="U257" s="10"/>
      <c r="V257" s="10"/>
      <c r="W257" s="10"/>
      <c r="X257" s="10"/>
      <c r="Y257" s="10"/>
      <c r="Z257" s="10"/>
      <c r="AA257" s="10"/>
    </row>
    <row r="258" spans="1:27" ht="12.5" x14ac:dyDescent="0.25">
      <c r="A258" s="10" t="s">
        <v>109</v>
      </c>
      <c r="B258" s="10" t="s">
        <v>548</v>
      </c>
      <c r="C258" s="10" t="s">
        <v>76</v>
      </c>
      <c r="D258" s="11">
        <v>2024</v>
      </c>
      <c r="E258" s="10" t="s">
        <v>81</v>
      </c>
      <c r="F258" s="10" t="s">
        <v>83</v>
      </c>
      <c r="G258" s="10" t="s">
        <v>84</v>
      </c>
      <c r="H258" s="12">
        <v>5536.1666666666697</v>
      </c>
      <c r="I258" s="11">
        <v>649</v>
      </c>
      <c r="J258" s="11">
        <v>527</v>
      </c>
      <c r="K258" s="11">
        <v>3634</v>
      </c>
      <c r="L258" s="11">
        <v>0.117229129662522</v>
      </c>
      <c r="M258" s="11">
        <f t="shared" si="1"/>
        <v>11.722912966252213</v>
      </c>
      <c r="N258" s="11">
        <v>0.81201848998459203</v>
      </c>
      <c r="O258" s="11">
        <v>0.65641087395008602</v>
      </c>
      <c r="P258" s="11">
        <v>0.73648648648648696</v>
      </c>
      <c r="Q258" s="11">
        <v>0.83333333333333304</v>
      </c>
      <c r="R258" s="11">
        <v>0.78682170542635699</v>
      </c>
      <c r="S258" s="10" t="s">
        <v>84</v>
      </c>
      <c r="T258" s="10" t="s">
        <v>84</v>
      </c>
      <c r="U258" s="10"/>
      <c r="V258" s="10"/>
      <c r="W258" s="10"/>
      <c r="X258" s="10"/>
      <c r="Y258" s="10"/>
      <c r="Z258" s="10"/>
      <c r="AA258" s="10"/>
    </row>
    <row r="259" spans="1:27" ht="12.5" x14ac:dyDescent="0.25">
      <c r="A259" s="10" t="s">
        <v>29</v>
      </c>
      <c r="B259" s="10" t="s">
        <v>549</v>
      </c>
      <c r="C259" s="10" t="s">
        <v>76</v>
      </c>
      <c r="D259" s="11">
        <v>2024</v>
      </c>
      <c r="E259" s="10" t="s">
        <v>81</v>
      </c>
      <c r="F259" s="10" t="s">
        <v>83</v>
      </c>
      <c r="G259" s="10" t="s">
        <v>84</v>
      </c>
      <c r="H259" s="12">
        <v>30212.916666666701</v>
      </c>
      <c r="I259" s="11">
        <v>3535</v>
      </c>
      <c r="J259" s="11">
        <v>3268</v>
      </c>
      <c r="K259" s="11">
        <v>31821</v>
      </c>
      <c r="L259" s="11">
        <v>0.117002937485347</v>
      </c>
      <c r="M259" s="11">
        <f t="shared" si="1"/>
        <v>11.700293748534692</v>
      </c>
      <c r="N259" s="11">
        <v>0.92446958981612404</v>
      </c>
      <c r="O259" s="11">
        <v>1.0532250279268001</v>
      </c>
      <c r="P259" s="11">
        <v>0.735641891891892</v>
      </c>
      <c r="Q259" s="11">
        <v>0.48979591836734698</v>
      </c>
      <c r="R259" s="11">
        <v>0.78488372093023295</v>
      </c>
      <c r="S259" s="10" t="s">
        <v>84</v>
      </c>
      <c r="T259" s="10" t="s">
        <v>84</v>
      </c>
      <c r="U259" s="10"/>
      <c r="V259" s="10"/>
      <c r="W259" s="10"/>
      <c r="X259" s="10"/>
      <c r="Y259" s="10"/>
      <c r="Z259" s="10"/>
      <c r="AA259" s="10"/>
    </row>
    <row r="260" spans="1:27" ht="12.5" x14ac:dyDescent="0.25">
      <c r="A260" s="10" t="s">
        <v>10</v>
      </c>
      <c r="B260" s="10" t="s">
        <v>552</v>
      </c>
      <c r="C260" s="10" t="s">
        <v>76</v>
      </c>
      <c r="D260" s="11">
        <v>2024</v>
      </c>
      <c r="E260" s="10" t="s">
        <v>81</v>
      </c>
      <c r="F260" s="10" t="s">
        <v>83</v>
      </c>
      <c r="G260" s="10" t="s">
        <v>84</v>
      </c>
      <c r="H260" s="12">
        <v>24311.333333333299</v>
      </c>
      <c r="I260" s="11">
        <v>2839</v>
      </c>
      <c r="J260" s="11">
        <v>2510</v>
      </c>
      <c r="K260" s="11">
        <v>26989</v>
      </c>
      <c r="L260" s="11">
        <v>0.11677681191214</v>
      </c>
      <c r="M260" s="11">
        <f t="shared" si="1"/>
        <v>11.67768119121399</v>
      </c>
      <c r="N260" s="11">
        <v>0.88411412469179296</v>
      </c>
      <c r="O260" s="11">
        <v>1.1101406751309399</v>
      </c>
      <c r="P260" s="11">
        <v>0.73479729729729704</v>
      </c>
      <c r="Q260" s="11">
        <v>0.63333333333333297</v>
      </c>
      <c r="R260" s="11">
        <v>0.78294573643410803</v>
      </c>
      <c r="S260" s="10" t="s">
        <v>84</v>
      </c>
      <c r="T260" s="10" t="s">
        <v>84</v>
      </c>
      <c r="U260" s="10"/>
      <c r="V260" s="10"/>
      <c r="W260" s="10"/>
      <c r="X260" s="10"/>
      <c r="Y260" s="10"/>
      <c r="Z260" s="10"/>
      <c r="AA260" s="10"/>
    </row>
    <row r="261" spans="1:27" ht="12.5" x14ac:dyDescent="0.25">
      <c r="A261" s="10" t="s">
        <v>55</v>
      </c>
      <c r="B261" s="10" t="s">
        <v>554</v>
      </c>
      <c r="C261" s="10" t="s">
        <v>76</v>
      </c>
      <c r="D261" s="11">
        <v>2024</v>
      </c>
      <c r="E261" s="10" t="s">
        <v>81</v>
      </c>
      <c r="F261" s="10" t="s">
        <v>83</v>
      </c>
      <c r="G261" s="10" t="s">
        <v>84</v>
      </c>
      <c r="H261" s="12">
        <v>14230.25</v>
      </c>
      <c r="I261" s="11">
        <v>1661</v>
      </c>
      <c r="J261" s="11">
        <v>1530</v>
      </c>
      <c r="K261" s="11">
        <v>34356</v>
      </c>
      <c r="L261" s="11">
        <v>0.11672317773756601</v>
      </c>
      <c r="M261" s="11">
        <f t="shared" si="1"/>
        <v>11.67231777375661</v>
      </c>
      <c r="N261" s="11">
        <v>0.92113184828416605</v>
      </c>
      <c r="O261" s="11">
        <v>2.41429349449237</v>
      </c>
      <c r="P261" s="11">
        <v>0.73395270270270296</v>
      </c>
      <c r="Q261" s="11">
        <v>0.72727272727272696</v>
      </c>
      <c r="R261" s="11">
        <v>0.781007751937985</v>
      </c>
      <c r="S261" s="10" t="s">
        <v>84</v>
      </c>
      <c r="T261" s="10" t="s">
        <v>84</v>
      </c>
      <c r="U261" s="10"/>
      <c r="V261" s="10"/>
      <c r="W261" s="10"/>
      <c r="X261" s="10"/>
      <c r="Y261" s="10"/>
      <c r="Z261" s="10"/>
      <c r="AA261" s="10"/>
    </row>
    <row r="262" spans="1:27" ht="12.5" x14ac:dyDescent="0.25">
      <c r="A262" s="10" t="s">
        <v>14</v>
      </c>
      <c r="B262" s="10" t="s">
        <v>668</v>
      </c>
      <c r="C262" s="10" t="s">
        <v>76</v>
      </c>
      <c r="D262" s="11">
        <v>2024</v>
      </c>
      <c r="E262" s="10" t="s">
        <v>124</v>
      </c>
      <c r="F262" s="10" t="s">
        <v>83</v>
      </c>
      <c r="G262" s="10" t="s">
        <v>84</v>
      </c>
      <c r="H262" s="12">
        <v>46687.416666666701</v>
      </c>
      <c r="I262" s="11">
        <v>5284</v>
      </c>
      <c r="J262" s="11">
        <v>4712</v>
      </c>
      <c r="K262" s="11">
        <v>22712</v>
      </c>
      <c r="L262" s="11">
        <v>0.11317824752922399</v>
      </c>
      <c r="M262" s="11">
        <f t="shared" si="1"/>
        <v>11.317824752922354</v>
      </c>
      <c r="N262" s="11">
        <v>0.89174867524602597</v>
      </c>
      <c r="O262" s="11">
        <v>0.48646940913772302</v>
      </c>
      <c r="P262" s="11">
        <v>0.73057432432432401</v>
      </c>
      <c r="Q262" s="11">
        <v>0.35714285714285698</v>
      </c>
      <c r="R262" s="11">
        <v>0.62863534675615196</v>
      </c>
      <c r="S262" s="10" t="s">
        <v>84</v>
      </c>
      <c r="T262" s="10" t="s">
        <v>84</v>
      </c>
      <c r="U262" s="10"/>
      <c r="V262" s="10"/>
      <c r="W262" s="10"/>
      <c r="X262" s="10"/>
      <c r="Y262" s="10"/>
      <c r="Z262" s="10"/>
      <c r="AA262" s="10"/>
    </row>
    <row r="263" spans="1:27" ht="12.5" x14ac:dyDescent="0.25">
      <c r="A263" s="10" t="s">
        <v>13</v>
      </c>
      <c r="B263" s="10" t="s">
        <v>557</v>
      </c>
      <c r="C263" s="10" t="s">
        <v>76</v>
      </c>
      <c r="D263" s="11">
        <v>2024</v>
      </c>
      <c r="E263" s="10" t="s">
        <v>81</v>
      </c>
      <c r="F263" s="10" t="s">
        <v>83</v>
      </c>
      <c r="G263" s="10" t="s">
        <v>84</v>
      </c>
      <c r="H263" s="12">
        <v>44424.333333333299</v>
      </c>
      <c r="I263" s="11">
        <v>5024</v>
      </c>
      <c r="J263" s="11">
        <v>4234</v>
      </c>
      <c r="K263" s="11">
        <v>83704</v>
      </c>
      <c r="L263" s="11">
        <v>0.113091173756125</v>
      </c>
      <c r="M263" s="11">
        <f t="shared" si="1"/>
        <v>11.309117375612473</v>
      </c>
      <c r="N263" s="11">
        <v>0.84275477707006397</v>
      </c>
      <c r="O263" s="11">
        <v>1.88419259715021</v>
      </c>
      <c r="P263" s="11">
        <v>0.72972972972973005</v>
      </c>
      <c r="Q263" s="11">
        <v>0.33333333333333298</v>
      </c>
      <c r="R263" s="11">
        <v>0.77906976744185996</v>
      </c>
      <c r="S263" s="10" t="s">
        <v>84</v>
      </c>
      <c r="T263" s="10" t="s">
        <v>84</v>
      </c>
      <c r="U263" s="10"/>
      <c r="V263" s="10"/>
      <c r="W263" s="10"/>
      <c r="X263" s="10"/>
      <c r="Y263" s="10"/>
      <c r="Z263" s="10"/>
      <c r="AA263" s="10"/>
    </row>
    <row r="264" spans="1:27" ht="12.5" x14ac:dyDescent="0.25">
      <c r="A264" s="10" t="s">
        <v>58</v>
      </c>
      <c r="B264" s="10" t="s">
        <v>672</v>
      </c>
      <c r="C264" s="10" t="s">
        <v>76</v>
      </c>
      <c r="D264" s="11">
        <v>2024</v>
      </c>
      <c r="E264" s="10" t="s">
        <v>124</v>
      </c>
      <c r="F264" s="10" t="s">
        <v>125</v>
      </c>
      <c r="G264" s="10" t="s">
        <v>84</v>
      </c>
      <c r="H264" s="12">
        <v>1176.5833333333301</v>
      </c>
      <c r="I264" s="11">
        <v>133</v>
      </c>
      <c r="J264" s="11">
        <v>105</v>
      </c>
      <c r="K264" s="11">
        <v>0</v>
      </c>
      <c r="L264" s="11">
        <v>0.11303916707982201</v>
      </c>
      <c r="M264" s="11">
        <f t="shared" si="1"/>
        <v>11.303916707982182</v>
      </c>
      <c r="N264" s="11">
        <v>0.78947368421052599</v>
      </c>
      <c r="O264" s="11">
        <v>0</v>
      </c>
      <c r="P264" s="11">
        <v>0.72888513513513498</v>
      </c>
      <c r="Q264" s="11">
        <v>0.78378378378378399</v>
      </c>
      <c r="R264" s="11">
        <v>0.62639821029082798</v>
      </c>
      <c r="S264" s="10" t="s">
        <v>84</v>
      </c>
      <c r="T264" s="10" t="s">
        <v>84</v>
      </c>
      <c r="U264" s="10"/>
      <c r="V264" s="10"/>
      <c r="W264" s="10"/>
      <c r="X264" s="10"/>
      <c r="Y264" s="10"/>
      <c r="Z264" s="10"/>
      <c r="AA264" s="10"/>
    </row>
    <row r="265" spans="1:27" ht="12.5" x14ac:dyDescent="0.25">
      <c r="A265" s="10" t="s">
        <v>6</v>
      </c>
      <c r="B265" s="10" t="s">
        <v>674</v>
      </c>
      <c r="C265" s="10" t="s">
        <v>76</v>
      </c>
      <c r="D265" s="11">
        <v>2024</v>
      </c>
      <c r="E265" s="10" t="s">
        <v>124</v>
      </c>
      <c r="F265" s="10" t="s">
        <v>83</v>
      </c>
      <c r="G265" s="10" t="s">
        <v>84</v>
      </c>
      <c r="H265" s="12">
        <v>27637.666666666701</v>
      </c>
      <c r="I265" s="11">
        <v>3120</v>
      </c>
      <c r="J265" s="11">
        <v>3080</v>
      </c>
      <c r="K265" s="11">
        <v>17618</v>
      </c>
      <c r="L265" s="11">
        <v>0.112889414205251</v>
      </c>
      <c r="M265" s="11">
        <f t="shared" si="1"/>
        <v>11.288941420525115</v>
      </c>
      <c r="N265" s="11">
        <v>0.987179487179487</v>
      </c>
      <c r="O265" s="11">
        <v>0.63746336521414004</v>
      </c>
      <c r="P265" s="11">
        <v>0.72804054054054101</v>
      </c>
      <c r="Q265" s="11">
        <v>0.87096774193548399</v>
      </c>
      <c r="R265" s="11">
        <v>0.62416107382550301</v>
      </c>
      <c r="S265" s="10" t="s">
        <v>84</v>
      </c>
      <c r="T265" s="10" t="s">
        <v>84</v>
      </c>
      <c r="U265" s="10"/>
      <c r="V265" s="10"/>
      <c r="W265" s="10"/>
      <c r="X265" s="10"/>
      <c r="Y265" s="10"/>
      <c r="Z265" s="10"/>
      <c r="AA265" s="10"/>
    </row>
    <row r="266" spans="1:27" ht="12.5" x14ac:dyDescent="0.25">
      <c r="A266" s="10" t="s">
        <v>62</v>
      </c>
      <c r="B266" s="10" t="s">
        <v>676</v>
      </c>
      <c r="C266" s="10" t="s">
        <v>76</v>
      </c>
      <c r="D266" s="11">
        <v>2024</v>
      </c>
      <c r="E266" s="10" t="s">
        <v>124</v>
      </c>
      <c r="F266" s="10" t="s">
        <v>83</v>
      </c>
      <c r="G266" s="10" t="s">
        <v>84</v>
      </c>
      <c r="H266" s="12">
        <v>11875</v>
      </c>
      <c r="I266" s="11">
        <v>1336</v>
      </c>
      <c r="J266" s="11">
        <v>1037</v>
      </c>
      <c r="K266" s="11">
        <v>9068</v>
      </c>
      <c r="L266" s="11">
        <v>0.112505263157895</v>
      </c>
      <c r="M266" s="11">
        <f t="shared" si="1"/>
        <v>11.250526315789473</v>
      </c>
      <c r="N266" s="11">
        <v>0.77619760479041899</v>
      </c>
      <c r="O266" s="11">
        <v>0.76362105263157898</v>
      </c>
      <c r="P266" s="11">
        <v>0.72719594594594605</v>
      </c>
      <c r="Q266" s="11">
        <v>0.88888888888888895</v>
      </c>
      <c r="R266" s="11">
        <v>0.62192393736017904</v>
      </c>
      <c r="S266" s="10" t="s">
        <v>84</v>
      </c>
      <c r="T266" s="10" t="s">
        <v>84</v>
      </c>
      <c r="U266" s="10"/>
      <c r="V266" s="10"/>
      <c r="W266" s="10"/>
      <c r="X266" s="10"/>
      <c r="Y266" s="10"/>
      <c r="Z266" s="10"/>
      <c r="AA266" s="10"/>
    </row>
    <row r="267" spans="1:27" ht="12.5" hidden="1" x14ac:dyDescent="0.25">
      <c r="A267" s="10" t="s">
        <v>103</v>
      </c>
      <c r="B267" s="10" t="s">
        <v>1056</v>
      </c>
      <c r="C267" s="10" t="s">
        <v>76</v>
      </c>
      <c r="D267" s="11">
        <v>2024</v>
      </c>
      <c r="E267" s="10" t="s">
        <v>257</v>
      </c>
      <c r="F267" s="10" t="s">
        <v>83</v>
      </c>
      <c r="G267" s="10" t="s">
        <v>84</v>
      </c>
      <c r="H267" s="12">
        <v>13140.166666666701</v>
      </c>
      <c r="I267" s="11">
        <v>1460</v>
      </c>
      <c r="J267" s="11">
        <v>1343</v>
      </c>
      <c r="K267" s="11">
        <v>12603</v>
      </c>
      <c r="L267" s="11">
        <v>0.111109701804898</v>
      </c>
      <c r="M267" s="11">
        <f t="shared" si="1"/>
        <v>11.110970180489819</v>
      </c>
      <c r="N267" s="11">
        <v>0.91986301369862999</v>
      </c>
      <c r="O267" s="11">
        <v>0.95912025468981899</v>
      </c>
      <c r="P267" s="11">
        <v>0.72635135135135098</v>
      </c>
      <c r="Q267" s="11">
        <v>0.78260869565217395</v>
      </c>
      <c r="R267" s="11">
        <v>0.84090909090909105</v>
      </c>
      <c r="S267" s="10" t="s">
        <v>84</v>
      </c>
      <c r="T267" s="10" t="s">
        <v>84</v>
      </c>
      <c r="U267" s="10"/>
      <c r="V267" s="10"/>
      <c r="W267" s="10"/>
      <c r="X267" s="10"/>
      <c r="Y267" s="10"/>
      <c r="Z267" s="10"/>
      <c r="AA267" s="10"/>
    </row>
    <row r="268" spans="1:27" ht="12.5" x14ac:dyDescent="0.25">
      <c r="A268" s="10" t="s">
        <v>29</v>
      </c>
      <c r="B268" s="10" t="s">
        <v>679</v>
      </c>
      <c r="C268" s="10" t="s">
        <v>76</v>
      </c>
      <c r="D268" s="11">
        <v>2024</v>
      </c>
      <c r="E268" s="10" t="s">
        <v>124</v>
      </c>
      <c r="F268" s="10" t="s">
        <v>83</v>
      </c>
      <c r="G268" s="10" t="s">
        <v>84</v>
      </c>
      <c r="H268" s="12">
        <v>11986.75</v>
      </c>
      <c r="I268" s="11">
        <v>1314</v>
      </c>
      <c r="J268" s="11">
        <v>1453</v>
      </c>
      <c r="K268" s="11">
        <v>16338</v>
      </c>
      <c r="L268" s="11">
        <v>0.109621039898221</v>
      </c>
      <c r="M268" s="11">
        <f t="shared" si="1"/>
        <v>10.962103989822095</v>
      </c>
      <c r="N268" s="11">
        <v>1.1057838660578401</v>
      </c>
      <c r="O268" s="11">
        <v>1.3630049846705701</v>
      </c>
      <c r="P268" s="11">
        <v>0.72550675675675702</v>
      </c>
      <c r="Q268" s="11">
        <v>0.469387755102041</v>
      </c>
      <c r="R268" s="11">
        <v>0.61968680089485495</v>
      </c>
      <c r="S268" s="10" t="s">
        <v>84</v>
      </c>
      <c r="T268" s="10" t="s">
        <v>84</v>
      </c>
      <c r="U268" s="10"/>
      <c r="V268" s="10"/>
      <c r="W268" s="10"/>
      <c r="X268" s="10"/>
      <c r="Y268" s="10"/>
      <c r="Z268" s="10"/>
      <c r="AA268" s="10"/>
    </row>
    <row r="269" spans="1:27" ht="12.5" x14ac:dyDescent="0.25">
      <c r="A269" s="10" t="s">
        <v>52</v>
      </c>
      <c r="B269" s="10" t="s">
        <v>558</v>
      </c>
      <c r="C269" s="10" t="s">
        <v>76</v>
      </c>
      <c r="D269" s="11">
        <v>2024</v>
      </c>
      <c r="E269" s="10" t="s">
        <v>81</v>
      </c>
      <c r="F269" s="10" t="s">
        <v>83</v>
      </c>
      <c r="G269" s="10" t="s">
        <v>84</v>
      </c>
      <c r="H269" s="12">
        <v>18676.666666666701</v>
      </c>
      <c r="I269" s="11">
        <v>2046</v>
      </c>
      <c r="J269" s="11">
        <v>1774</v>
      </c>
      <c r="K269" s="11">
        <v>16001</v>
      </c>
      <c r="L269" s="11">
        <v>0.109548456184187</v>
      </c>
      <c r="M269" s="11">
        <f t="shared" si="1"/>
        <v>10.954845618418684</v>
      </c>
      <c r="N269" s="11">
        <v>0.86705767350928598</v>
      </c>
      <c r="O269" s="11">
        <v>0.85673746207388901</v>
      </c>
      <c r="P269" s="11">
        <v>0.72466216216216195</v>
      </c>
      <c r="Q269" s="11">
        <v>0.61702127659574502</v>
      </c>
      <c r="R269" s="11">
        <v>0.77713178294573604</v>
      </c>
      <c r="S269" s="10" t="s">
        <v>84</v>
      </c>
      <c r="T269" s="10" t="s">
        <v>84</v>
      </c>
      <c r="U269" s="10"/>
      <c r="V269" s="10"/>
      <c r="W269" s="10"/>
      <c r="X269" s="10"/>
      <c r="Y269" s="10"/>
      <c r="Z269" s="10"/>
      <c r="AA269" s="10"/>
    </row>
    <row r="270" spans="1:27" ht="12.5" x14ac:dyDescent="0.25">
      <c r="A270" s="10" t="s">
        <v>6</v>
      </c>
      <c r="B270" s="10" t="s">
        <v>681</v>
      </c>
      <c r="C270" s="10" t="s">
        <v>76</v>
      </c>
      <c r="D270" s="11">
        <v>2024</v>
      </c>
      <c r="E270" s="10" t="s">
        <v>124</v>
      </c>
      <c r="F270" s="10" t="s">
        <v>83</v>
      </c>
      <c r="G270" s="10" t="s">
        <v>84</v>
      </c>
      <c r="H270" s="12">
        <v>11220.75</v>
      </c>
      <c r="I270" s="11">
        <v>1226</v>
      </c>
      <c r="J270" s="11">
        <v>1021</v>
      </c>
      <c r="K270" s="11">
        <v>12862</v>
      </c>
      <c r="L270" s="11">
        <v>0.10926185861016401</v>
      </c>
      <c r="M270" s="11">
        <f t="shared" si="1"/>
        <v>10.926185861016419</v>
      </c>
      <c r="N270" s="11">
        <v>0.83278955954322997</v>
      </c>
      <c r="O270" s="11">
        <v>1.1462691887797201</v>
      </c>
      <c r="P270" s="11">
        <v>0.72381756756756799</v>
      </c>
      <c r="Q270" s="11">
        <v>0.83870967741935498</v>
      </c>
      <c r="R270" s="11">
        <v>0.61744966442952998</v>
      </c>
      <c r="S270" s="10" t="s">
        <v>84</v>
      </c>
      <c r="T270" s="10" t="s">
        <v>84</v>
      </c>
      <c r="U270" s="10"/>
      <c r="V270" s="10"/>
      <c r="W270" s="10"/>
      <c r="X270" s="10"/>
      <c r="Y270" s="10"/>
      <c r="Z270" s="10"/>
      <c r="AA270" s="10"/>
    </row>
    <row r="271" spans="1:27" ht="12.5" x14ac:dyDescent="0.25">
      <c r="A271" s="10" t="s">
        <v>67</v>
      </c>
      <c r="B271" s="10" t="s">
        <v>560</v>
      </c>
      <c r="C271" s="10" t="s">
        <v>76</v>
      </c>
      <c r="D271" s="11">
        <v>2024</v>
      </c>
      <c r="E271" s="10" t="s">
        <v>81</v>
      </c>
      <c r="F271" s="10" t="s">
        <v>83</v>
      </c>
      <c r="G271" s="10" t="s">
        <v>84</v>
      </c>
      <c r="H271" s="12">
        <v>12619.833333333299</v>
      </c>
      <c r="I271" s="11">
        <v>1378</v>
      </c>
      <c r="J271" s="11">
        <v>1326</v>
      </c>
      <c r="K271" s="11">
        <v>9540</v>
      </c>
      <c r="L271" s="11">
        <v>0.10919320117804</v>
      </c>
      <c r="M271" s="11">
        <f t="shared" si="1"/>
        <v>10.919320117804016</v>
      </c>
      <c r="N271" s="11">
        <v>0.96226415094339601</v>
      </c>
      <c r="O271" s="11">
        <v>0.755952931232584</v>
      </c>
      <c r="P271" s="11">
        <v>0.72297297297297303</v>
      </c>
      <c r="Q271" s="11">
        <v>0.80952380952380998</v>
      </c>
      <c r="R271" s="11">
        <v>0.775193798449612</v>
      </c>
      <c r="S271" s="10" t="s">
        <v>84</v>
      </c>
      <c r="T271" s="10" t="s">
        <v>84</v>
      </c>
      <c r="U271" s="10"/>
      <c r="V271" s="10"/>
      <c r="W271" s="10"/>
      <c r="X271" s="10"/>
      <c r="Y271" s="10"/>
      <c r="Z271" s="10"/>
      <c r="AA271" s="10"/>
    </row>
    <row r="272" spans="1:27" ht="12.5" x14ac:dyDescent="0.25">
      <c r="A272" s="10" t="s">
        <v>32</v>
      </c>
      <c r="B272" s="10" t="s">
        <v>562</v>
      </c>
      <c r="C272" s="10" t="s">
        <v>76</v>
      </c>
      <c r="D272" s="11">
        <v>2024</v>
      </c>
      <c r="E272" s="10" t="s">
        <v>81</v>
      </c>
      <c r="F272" s="10" t="s">
        <v>83</v>
      </c>
      <c r="G272" s="10" t="s">
        <v>84</v>
      </c>
      <c r="H272" s="12">
        <v>56463</v>
      </c>
      <c r="I272" s="11">
        <v>6163</v>
      </c>
      <c r="J272" s="11">
        <v>5266</v>
      </c>
      <c r="K272" s="11">
        <v>79501</v>
      </c>
      <c r="L272" s="11">
        <v>0.109151125515825</v>
      </c>
      <c r="M272" s="11">
        <f t="shared" si="1"/>
        <v>10.915112551582453</v>
      </c>
      <c r="N272" s="11">
        <v>0.85445399967548297</v>
      </c>
      <c r="O272" s="11">
        <v>1.4080194109416799</v>
      </c>
      <c r="P272" s="11">
        <v>0.72212837837837796</v>
      </c>
      <c r="Q272" s="11">
        <v>0.48275862068965503</v>
      </c>
      <c r="R272" s="11">
        <v>0.77325581395348797</v>
      </c>
      <c r="S272" s="10" t="s">
        <v>84</v>
      </c>
      <c r="T272" s="10" t="s">
        <v>84</v>
      </c>
      <c r="U272" s="10"/>
      <c r="V272" s="10"/>
      <c r="W272" s="10"/>
      <c r="X272" s="10"/>
      <c r="Y272" s="10"/>
      <c r="Z272" s="10"/>
      <c r="AA272" s="10"/>
    </row>
    <row r="273" spans="1:27" ht="12.5" x14ac:dyDescent="0.25">
      <c r="A273" s="10" t="s">
        <v>10</v>
      </c>
      <c r="B273" s="10" t="s">
        <v>683</v>
      </c>
      <c r="C273" s="10" t="s">
        <v>76</v>
      </c>
      <c r="D273" s="11">
        <v>2024</v>
      </c>
      <c r="E273" s="10" t="s">
        <v>124</v>
      </c>
      <c r="F273" s="10" t="s">
        <v>125</v>
      </c>
      <c r="G273" s="10" t="s">
        <v>84</v>
      </c>
      <c r="H273" s="12">
        <v>534.08333333333303</v>
      </c>
      <c r="I273" s="11">
        <v>58</v>
      </c>
      <c r="J273" s="11">
        <v>38</v>
      </c>
      <c r="K273" s="11">
        <v>659</v>
      </c>
      <c r="L273" s="11">
        <v>0.108597285067873</v>
      </c>
      <c r="M273" s="11">
        <f t="shared" si="1"/>
        <v>10.859728506787336</v>
      </c>
      <c r="N273" s="11">
        <v>0.65517241379310298</v>
      </c>
      <c r="O273" s="11">
        <v>1.23388984240911</v>
      </c>
      <c r="P273" s="11">
        <v>0.72128378378378399</v>
      </c>
      <c r="Q273" s="11">
        <v>0.6</v>
      </c>
      <c r="R273" s="11">
        <v>0.615212527964206</v>
      </c>
      <c r="S273" s="10" t="s">
        <v>84</v>
      </c>
      <c r="T273" s="10" t="s">
        <v>84</v>
      </c>
      <c r="U273" s="10"/>
      <c r="V273" s="10"/>
      <c r="W273" s="10"/>
      <c r="X273" s="10"/>
      <c r="Y273" s="10"/>
      <c r="Z273" s="10"/>
      <c r="AA273" s="10"/>
    </row>
    <row r="274" spans="1:27" ht="12.5" x14ac:dyDescent="0.25">
      <c r="A274" s="10" t="s">
        <v>91</v>
      </c>
      <c r="B274" s="10" t="s">
        <v>564</v>
      </c>
      <c r="C274" s="10" t="s">
        <v>76</v>
      </c>
      <c r="D274" s="11">
        <v>2024</v>
      </c>
      <c r="E274" s="10" t="s">
        <v>81</v>
      </c>
      <c r="F274" s="10" t="s">
        <v>83</v>
      </c>
      <c r="G274" s="10" t="s">
        <v>84</v>
      </c>
      <c r="H274" s="12">
        <v>10344.666666666701</v>
      </c>
      <c r="I274" s="11">
        <v>1116</v>
      </c>
      <c r="J274" s="11">
        <v>1028</v>
      </c>
      <c r="K274" s="11">
        <v>1200</v>
      </c>
      <c r="L274" s="11">
        <v>0.107881678159438</v>
      </c>
      <c r="M274" s="11">
        <f t="shared" si="1"/>
        <v>10.788167815943767</v>
      </c>
      <c r="N274" s="11">
        <v>0.92114695340501795</v>
      </c>
      <c r="O274" s="11">
        <v>0.116001804472514</v>
      </c>
      <c r="P274" s="11">
        <v>0.72043918918918903</v>
      </c>
      <c r="Q274" s="11">
        <v>0.86666666666666703</v>
      </c>
      <c r="R274" s="11">
        <v>0.77131782945736405</v>
      </c>
      <c r="S274" s="10" t="s">
        <v>84</v>
      </c>
      <c r="T274" s="10" t="s">
        <v>84</v>
      </c>
      <c r="U274" s="10"/>
      <c r="V274" s="10"/>
      <c r="W274" s="10"/>
      <c r="X274" s="10"/>
      <c r="Y274" s="10"/>
      <c r="Z274" s="10"/>
      <c r="AA274" s="10"/>
    </row>
    <row r="275" spans="1:27" ht="12.5" x14ac:dyDescent="0.25">
      <c r="A275" s="10" t="s">
        <v>19</v>
      </c>
      <c r="B275" s="10" t="s">
        <v>686</v>
      </c>
      <c r="C275" s="10" t="s">
        <v>76</v>
      </c>
      <c r="D275" s="11">
        <v>2024</v>
      </c>
      <c r="E275" s="10" t="s">
        <v>124</v>
      </c>
      <c r="F275" s="10" t="s">
        <v>83</v>
      </c>
      <c r="G275" s="10" t="s">
        <v>84</v>
      </c>
      <c r="H275" s="12">
        <v>8153.5</v>
      </c>
      <c r="I275" s="11">
        <v>865</v>
      </c>
      <c r="J275" s="11">
        <v>691</v>
      </c>
      <c r="K275" s="11">
        <v>5530</v>
      </c>
      <c r="L275" s="11">
        <v>0.106089409456062</v>
      </c>
      <c r="M275" s="11">
        <f t="shared" si="1"/>
        <v>10.608940945606181</v>
      </c>
      <c r="N275" s="11">
        <v>0.79884393063583803</v>
      </c>
      <c r="O275" s="11">
        <v>0.67823634022198998</v>
      </c>
      <c r="P275" s="11">
        <v>0.71790540540540504</v>
      </c>
      <c r="Q275" s="11">
        <v>0.61111111111111105</v>
      </c>
      <c r="R275" s="11">
        <v>0.61297539149888103</v>
      </c>
      <c r="S275" s="10" t="s">
        <v>84</v>
      </c>
      <c r="T275" s="10" t="s">
        <v>84</v>
      </c>
      <c r="U275" s="10"/>
      <c r="V275" s="10"/>
      <c r="W275" s="10"/>
      <c r="X275" s="10"/>
      <c r="Y275" s="10"/>
      <c r="Z275" s="10"/>
      <c r="AA275" s="10"/>
    </row>
    <row r="276" spans="1:27" ht="12.5" x14ac:dyDescent="0.25">
      <c r="A276" s="10" t="s">
        <v>86</v>
      </c>
      <c r="B276" s="10" t="s">
        <v>688</v>
      </c>
      <c r="C276" s="10" t="s">
        <v>76</v>
      </c>
      <c r="D276" s="11">
        <v>2024</v>
      </c>
      <c r="E276" s="10" t="s">
        <v>124</v>
      </c>
      <c r="F276" s="10" t="s">
        <v>83</v>
      </c>
      <c r="G276" s="10" t="s">
        <v>84</v>
      </c>
      <c r="H276" s="12">
        <v>11134.083333333299</v>
      </c>
      <c r="I276" s="11">
        <v>1181</v>
      </c>
      <c r="J276" s="11">
        <v>1380</v>
      </c>
      <c r="K276" s="11">
        <v>3788</v>
      </c>
      <c r="L276" s="11">
        <v>0.10607069883016899</v>
      </c>
      <c r="M276" s="11">
        <f t="shared" si="1"/>
        <v>10.607069883016894</v>
      </c>
      <c r="N276" s="11">
        <v>1.1685012701100801</v>
      </c>
      <c r="O276" s="11">
        <v>0.34021660217500299</v>
      </c>
      <c r="P276" s="11">
        <v>0.71706081081081097</v>
      </c>
      <c r="Q276" s="11">
        <v>0.52173913043478304</v>
      </c>
      <c r="R276" s="11">
        <v>0.61073825503355705</v>
      </c>
      <c r="S276" s="10" t="s">
        <v>84</v>
      </c>
      <c r="T276" s="10" t="s">
        <v>84</v>
      </c>
      <c r="U276" s="10"/>
      <c r="V276" s="10"/>
      <c r="W276" s="10"/>
      <c r="X276" s="10"/>
      <c r="Y276" s="10"/>
      <c r="Z276" s="10"/>
      <c r="AA276" s="10"/>
    </row>
    <row r="277" spans="1:27" ht="12.5" x14ac:dyDescent="0.25">
      <c r="A277" s="10" t="s">
        <v>36</v>
      </c>
      <c r="B277" s="10" t="s">
        <v>691</v>
      </c>
      <c r="C277" s="10" t="s">
        <v>76</v>
      </c>
      <c r="D277" s="11">
        <v>2024</v>
      </c>
      <c r="E277" s="10" t="s">
        <v>124</v>
      </c>
      <c r="F277" s="10" t="s">
        <v>83</v>
      </c>
      <c r="G277" s="10" t="s">
        <v>84</v>
      </c>
      <c r="H277" s="12">
        <v>890.58333333333303</v>
      </c>
      <c r="I277" s="11">
        <v>94</v>
      </c>
      <c r="J277" s="11">
        <v>64</v>
      </c>
      <c r="K277" s="11">
        <v>2253</v>
      </c>
      <c r="L277" s="11">
        <v>0.10554879760456599</v>
      </c>
      <c r="M277" s="11">
        <f t="shared" si="1"/>
        <v>10.554879760456632</v>
      </c>
      <c r="N277" s="11">
        <v>0.680851063829787</v>
      </c>
      <c r="O277" s="11">
        <v>2.5298025638626398</v>
      </c>
      <c r="P277" s="11">
        <v>0.71621621621621601</v>
      </c>
      <c r="Q277" s="11">
        <v>0.46808510638297901</v>
      </c>
      <c r="R277" s="11">
        <v>0.60850111856823297</v>
      </c>
      <c r="S277" s="10" t="s">
        <v>84</v>
      </c>
      <c r="T277" s="10" t="s">
        <v>84</v>
      </c>
      <c r="U277" s="10"/>
      <c r="V277" s="10"/>
      <c r="W277" s="10"/>
      <c r="X277" s="10"/>
      <c r="Y277" s="10"/>
      <c r="Z277" s="10"/>
      <c r="AA277" s="10"/>
    </row>
    <row r="278" spans="1:27" ht="12.5" x14ac:dyDescent="0.25">
      <c r="A278" s="10" t="s">
        <v>12</v>
      </c>
      <c r="B278" s="10" t="s">
        <v>693</v>
      </c>
      <c r="C278" s="10" t="s">
        <v>76</v>
      </c>
      <c r="D278" s="11">
        <v>2024</v>
      </c>
      <c r="E278" s="10" t="s">
        <v>124</v>
      </c>
      <c r="F278" s="10" t="s">
        <v>125</v>
      </c>
      <c r="G278" s="10" t="s">
        <v>84</v>
      </c>
      <c r="H278" s="12">
        <v>530.75</v>
      </c>
      <c r="I278" s="11">
        <v>56</v>
      </c>
      <c r="J278" s="11">
        <v>29</v>
      </c>
      <c r="K278" s="11">
        <v>178</v>
      </c>
      <c r="L278" s="11">
        <v>0.105511069241639</v>
      </c>
      <c r="M278" s="11">
        <f t="shared" si="1"/>
        <v>10.551106924163919</v>
      </c>
      <c r="N278" s="11">
        <v>0.51785714285714302</v>
      </c>
      <c r="O278" s="11">
        <v>0.335374470089496</v>
      </c>
      <c r="P278" s="11">
        <v>0.71537162162162204</v>
      </c>
      <c r="Q278" s="11">
        <v>0.63888888888888895</v>
      </c>
      <c r="R278" s="11">
        <v>0.60626398210290799</v>
      </c>
      <c r="S278" s="10" t="s">
        <v>84</v>
      </c>
      <c r="T278" s="10" t="s">
        <v>84</v>
      </c>
      <c r="U278" s="10"/>
      <c r="V278" s="10"/>
      <c r="W278" s="10"/>
      <c r="X278" s="10"/>
      <c r="Y278" s="10"/>
      <c r="Z278" s="10"/>
      <c r="AA278" s="10"/>
    </row>
    <row r="279" spans="1:27" ht="12.5" x14ac:dyDescent="0.25">
      <c r="A279" s="10" t="s">
        <v>6</v>
      </c>
      <c r="B279" s="10" t="s">
        <v>696</v>
      </c>
      <c r="C279" s="10" t="s">
        <v>76</v>
      </c>
      <c r="D279" s="11">
        <v>2024</v>
      </c>
      <c r="E279" s="10" t="s">
        <v>124</v>
      </c>
      <c r="F279" s="10" t="s">
        <v>125</v>
      </c>
      <c r="G279" s="10" t="s">
        <v>84</v>
      </c>
      <c r="H279" s="12">
        <v>4909.5</v>
      </c>
      <c r="I279" s="11">
        <v>518</v>
      </c>
      <c r="J279" s="11">
        <v>463</v>
      </c>
      <c r="K279" s="11">
        <v>7357</v>
      </c>
      <c r="L279" s="11">
        <v>0.10550972604134801</v>
      </c>
      <c r="M279" s="11">
        <f t="shared" si="1"/>
        <v>10.550972604134842</v>
      </c>
      <c r="N279" s="11">
        <v>0.89382239382239403</v>
      </c>
      <c r="O279" s="11">
        <v>1.4985232712088801</v>
      </c>
      <c r="P279" s="11">
        <v>0.71452702702702697</v>
      </c>
      <c r="Q279" s="11">
        <v>0.80645161290322598</v>
      </c>
      <c r="R279" s="11">
        <v>0.60402684563758402</v>
      </c>
      <c r="S279" s="10" t="s">
        <v>84</v>
      </c>
      <c r="T279" s="10" t="s">
        <v>84</v>
      </c>
      <c r="U279" s="10"/>
      <c r="V279" s="10"/>
      <c r="W279" s="10"/>
      <c r="X279" s="10"/>
      <c r="Y279" s="10"/>
      <c r="Z279" s="10"/>
      <c r="AA279" s="10"/>
    </row>
    <row r="280" spans="1:27" ht="12.5" x14ac:dyDescent="0.25">
      <c r="A280" s="10" t="s">
        <v>10</v>
      </c>
      <c r="B280" s="10" t="s">
        <v>568</v>
      </c>
      <c r="C280" s="10" t="s">
        <v>76</v>
      </c>
      <c r="D280" s="11">
        <v>2024</v>
      </c>
      <c r="E280" s="10" t="s">
        <v>81</v>
      </c>
      <c r="F280" s="10" t="s">
        <v>83</v>
      </c>
      <c r="G280" s="10" t="s">
        <v>84</v>
      </c>
      <c r="H280" s="12">
        <v>6504.0833333333303</v>
      </c>
      <c r="I280" s="11">
        <v>686</v>
      </c>
      <c r="J280" s="11">
        <v>542</v>
      </c>
      <c r="K280" s="11">
        <v>20880</v>
      </c>
      <c r="L280" s="11">
        <v>0.105472203359428</v>
      </c>
      <c r="M280" s="11">
        <f t="shared" si="1"/>
        <v>10.547220335942811</v>
      </c>
      <c r="N280" s="11">
        <v>0.790087463556851</v>
      </c>
      <c r="O280" s="11">
        <v>3.2102909710566401</v>
      </c>
      <c r="P280" s="11">
        <v>0.71368243243243201</v>
      </c>
      <c r="Q280" s="11">
        <v>0.56666666666666698</v>
      </c>
      <c r="R280" s="11">
        <v>0.76744186046511598</v>
      </c>
      <c r="S280" s="10" t="s">
        <v>84</v>
      </c>
      <c r="T280" s="10" t="s">
        <v>84</v>
      </c>
      <c r="U280" s="10"/>
      <c r="V280" s="10"/>
      <c r="W280" s="10"/>
      <c r="X280" s="10"/>
      <c r="Y280" s="10"/>
      <c r="Z280" s="10"/>
      <c r="AA280" s="10"/>
    </row>
    <row r="281" spans="1:27" ht="12.5" x14ac:dyDescent="0.25">
      <c r="A281" s="10" t="s">
        <v>86</v>
      </c>
      <c r="B281" s="10" t="s">
        <v>570</v>
      </c>
      <c r="C281" s="10" t="s">
        <v>76</v>
      </c>
      <c r="D281" s="11">
        <v>2024</v>
      </c>
      <c r="E281" s="10" t="s">
        <v>81</v>
      </c>
      <c r="F281" s="10" t="s">
        <v>83</v>
      </c>
      <c r="G281" s="10" t="s">
        <v>84</v>
      </c>
      <c r="H281" s="12">
        <v>78924.25</v>
      </c>
      <c r="I281" s="11">
        <v>8288</v>
      </c>
      <c r="J281" s="11">
        <v>7344</v>
      </c>
      <c r="K281" s="11">
        <v>82854</v>
      </c>
      <c r="L281" s="11">
        <v>0.10501208437204</v>
      </c>
      <c r="M281" s="11">
        <f t="shared" si="1"/>
        <v>10.501208437204028</v>
      </c>
      <c r="N281" s="11">
        <v>0.88610038610038599</v>
      </c>
      <c r="O281" s="11">
        <v>1.0497914139190401</v>
      </c>
      <c r="P281" s="11">
        <v>0.71199324324324298</v>
      </c>
      <c r="Q281" s="11">
        <v>0.5</v>
      </c>
      <c r="R281" s="11">
        <v>0.76550387596899205</v>
      </c>
      <c r="S281" s="10" t="s">
        <v>84</v>
      </c>
      <c r="T281" s="10" t="s">
        <v>84</v>
      </c>
      <c r="U281" s="10"/>
      <c r="V281" s="10"/>
      <c r="W281" s="10"/>
      <c r="X281" s="10"/>
      <c r="Y281" s="10"/>
      <c r="Z281" s="10"/>
      <c r="AA281" s="10"/>
    </row>
    <row r="282" spans="1:27" ht="12.5" x14ac:dyDescent="0.25">
      <c r="A282" s="10" t="s">
        <v>12</v>
      </c>
      <c r="B282" s="10" t="s">
        <v>572</v>
      </c>
      <c r="C282" s="10" t="s">
        <v>76</v>
      </c>
      <c r="D282" s="11">
        <v>2024</v>
      </c>
      <c r="E282" s="10" t="s">
        <v>81</v>
      </c>
      <c r="F282" s="10" t="s">
        <v>83</v>
      </c>
      <c r="G282" s="10" t="s">
        <v>84</v>
      </c>
      <c r="H282" s="12">
        <v>95238</v>
      </c>
      <c r="I282" s="11">
        <v>9982</v>
      </c>
      <c r="J282" s="11">
        <v>8702</v>
      </c>
      <c r="K282" s="11">
        <v>39995</v>
      </c>
      <c r="L282" s="11">
        <v>0.104811104811105</v>
      </c>
      <c r="M282" s="11">
        <f t="shared" si="1"/>
        <v>10.48111048111048</v>
      </c>
      <c r="N282" s="11">
        <v>0.87176918453215801</v>
      </c>
      <c r="O282" s="11">
        <v>0.41994791994792002</v>
      </c>
      <c r="P282" s="11">
        <v>0.71114864864864902</v>
      </c>
      <c r="Q282" s="11">
        <v>0.625</v>
      </c>
      <c r="R282" s="11">
        <v>0.76356589147286802</v>
      </c>
      <c r="S282" s="10" t="s">
        <v>84</v>
      </c>
      <c r="T282" s="10" t="s">
        <v>84</v>
      </c>
      <c r="U282" s="10"/>
      <c r="V282" s="10"/>
      <c r="W282" s="10"/>
      <c r="X282" s="10"/>
      <c r="Y282" s="10"/>
      <c r="Z282" s="10"/>
      <c r="AA282" s="10"/>
    </row>
    <row r="283" spans="1:27" ht="12.5" x14ac:dyDescent="0.25">
      <c r="A283" s="10" t="s">
        <v>104</v>
      </c>
      <c r="B283" s="10" t="s">
        <v>575</v>
      </c>
      <c r="C283" s="10" t="s">
        <v>76</v>
      </c>
      <c r="D283" s="11">
        <v>2024</v>
      </c>
      <c r="E283" s="10" t="s">
        <v>81</v>
      </c>
      <c r="F283" s="10" t="s">
        <v>83</v>
      </c>
      <c r="G283" s="10" t="s">
        <v>84</v>
      </c>
      <c r="H283" s="12">
        <v>32575.25</v>
      </c>
      <c r="I283" s="11">
        <v>3411</v>
      </c>
      <c r="J283" s="11">
        <v>3269</v>
      </c>
      <c r="K283" s="11">
        <v>5937</v>
      </c>
      <c r="L283" s="11">
        <v>0.10471139899156599</v>
      </c>
      <c r="M283" s="11">
        <f t="shared" si="1"/>
        <v>10.471139899156569</v>
      </c>
      <c r="N283" s="11">
        <v>0.95836997947815905</v>
      </c>
      <c r="O283" s="11">
        <v>0.18225493280941801</v>
      </c>
      <c r="P283" s="11">
        <v>0.71030405405405395</v>
      </c>
      <c r="Q283" s="11">
        <v>0.75862068965517204</v>
      </c>
      <c r="R283" s="11">
        <v>0.76162790697674398</v>
      </c>
      <c r="S283" s="10" t="s">
        <v>84</v>
      </c>
      <c r="T283" s="10" t="s">
        <v>84</v>
      </c>
      <c r="U283" s="10"/>
      <c r="V283" s="10"/>
      <c r="W283" s="10"/>
      <c r="X283" s="10"/>
      <c r="Y283" s="10"/>
      <c r="Z283" s="10"/>
      <c r="AA283" s="10"/>
    </row>
    <row r="284" spans="1:27" ht="12.5" x14ac:dyDescent="0.25">
      <c r="A284" s="10" t="s">
        <v>42</v>
      </c>
      <c r="B284" s="10" t="s">
        <v>699</v>
      </c>
      <c r="C284" s="10" t="s">
        <v>76</v>
      </c>
      <c r="D284" s="11">
        <v>2024</v>
      </c>
      <c r="E284" s="10" t="s">
        <v>124</v>
      </c>
      <c r="F284" s="10" t="s">
        <v>83</v>
      </c>
      <c r="G284" s="10" t="s">
        <v>84</v>
      </c>
      <c r="H284" s="12">
        <v>13330.583333333299</v>
      </c>
      <c r="I284" s="11">
        <v>1394</v>
      </c>
      <c r="J284" s="11">
        <v>1268</v>
      </c>
      <c r="K284" s="11">
        <v>25278</v>
      </c>
      <c r="L284" s="11">
        <v>0.104571567885876</v>
      </c>
      <c r="M284" s="11">
        <f t="shared" si="1"/>
        <v>10.457156788587673</v>
      </c>
      <c r="N284" s="11">
        <v>0.90961262553802003</v>
      </c>
      <c r="O284" s="11">
        <v>1.89624109972682</v>
      </c>
      <c r="P284" s="11">
        <v>0.70945945945945899</v>
      </c>
      <c r="Q284" s="11">
        <v>0.69047619047619002</v>
      </c>
      <c r="R284" s="11">
        <v>0.60178970917226005</v>
      </c>
      <c r="S284" s="10" t="s">
        <v>84</v>
      </c>
      <c r="T284" s="10" t="s">
        <v>84</v>
      </c>
      <c r="U284" s="10"/>
      <c r="V284" s="10"/>
      <c r="W284" s="10"/>
      <c r="X284" s="10"/>
      <c r="Y284" s="10"/>
      <c r="Z284" s="10"/>
      <c r="AA284" s="10"/>
    </row>
    <row r="285" spans="1:27" ht="12.5" x14ac:dyDescent="0.25">
      <c r="A285" s="10" t="s">
        <v>62</v>
      </c>
      <c r="B285" s="10" t="s">
        <v>701</v>
      </c>
      <c r="C285" s="10" t="s">
        <v>76</v>
      </c>
      <c r="D285" s="11">
        <v>2024</v>
      </c>
      <c r="E285" s="10" t="s">
        <v>124</v>
      </c>
      <c r="F285" s="10" t="s">
        <v>83</v>
      </c>
      <c r="G285" s="10" t="s">
        <v>84</v>
      </c>
      <c r="H285" s="12">
        <v>14930.833333333299</v>
      </c>
      <c r="I285" s="11">
        <v>1558</v>
      </c>
      <c r="J285" s="11">
        <v>990</v>
      </c>
      <c r="K285" s="11">
        <v>40640</v>
      </c>
      <c r="L285" s="11">
        <v>0.104347826086957</v>
      </c>
      <c r="M285" s="11">
        <f t="shared" si="1"/>
        <v>10.434782608695677</v>
      </c>
      <c r="N285" s="11">
        <v>0.63543003851091096</v>
      </c>
      <c r="O285" s="11">
        <v>2.7218842440140598</v>
      </c>
      <c r="P285" s="11">
        <v>0.70861486486486502</v>
      </c>
      <c r="Q285" s="11">
        <v>0.86111111111111105</v>
      </c>
      <c r="R285" s="11">
        <v>0.59955257270693496</v>
      </c>
      <c r="S285" s="10" t="s">
        <v>84</v>
      </c>
      <c r="T285" s="10" t="s">
        <v>84</v>
      </c>
      <c r="U285" s="10"/>
      <c r="V285" s="10"/>
      <c r="W285" s="10"/>
      <c r="X285" s="10"/>
      <c r="Y285" s="10"/>
      <c r="Z285" s="10"/>
      <c r="AA285" s="10"/>
    </row>
    <row r="286" spans="1:27" ht="12.5" x14ac:dyDescent="0.25">
      <c r="A286" s="10" t="s">
        <v>10</v>
      </c>
      <c r="B286" s="10" t="s">
        <v>576</v>
      </c>
      <c r="C286" s="10" t="s">
        <v>76</v>
      </c>
      <c r="D286" s="11">
        <v>2024</v>
      </c>
      <c r="E286" s="10" t="s">
        <v>81</v>
      </c>
      <c r="F286" s="10" t="s">
        <v>83</v>
      </c>
      <c r="G286" s="10" t="s">
        <v>84</v>
      </c>
      <c r="H286" s="12">
        <v>15976.583333333299</v>
      </c>
      <c r="I286" s="11">
        <v>1654</v>
      </c>
      <c r="J286" s="11">
        <v>1452</v>
      </c>
      <c r="K286" s="11">
        <v>3579</v>
      </c>
      <c r="L286" s="11">
        <v>0.10352651536884699</v>
      </c>
      <c r="M286" s="11">
        <f t="shared" si="1"/>
        <v>10.352651536884734</v>
      </c>
      <c r="N286" s="11">
        <v>0.87787182587666301</v>
      </c>
      <c r="O286" s="11">
        <v>0.224015355807197</v>
      </c>
      <c r="P286" s="11">
        <v>0.70777027027026995</v>
      </c>
      <c r="Q286" s="11">
        <v>0.53333333333333299</v>
      </c>
      <c r="R286" s="11">
        <v>0.75968992248061995</v>
      </c>
      <c r="S286" s="10" t="s">
        <v>84</v>
      </c>
      <c r="T286" s="10" t="s">
        <v>84</v>
      </c>
      <c r="U286" s="10"/>
      <c r="V286" s="10"/>
      <c r="W286" s="10"/>
      <c r="X286" s="10"/>
      <c r="Y286" s="10"/>
      <c r="Z286" s="10"/>
      <c r="AA286" s="10"/>
    </row>
    <row r="287" spans="1:27" ht="12.5" x14ac:dyDescent="0.25">
      <c r="A287" s="10" t="s">
        <v>26</v>
      </c>
      <c r="B287" s="10" t="s">
        <v>578</v>
      </c>
      <c r="C287" s="10" t="s">
        <v>76</v>
      </c>
      <c r="D287" s="11">
        <v>2024</v>
      </c>
      <c r="E287" s="10" t="s">
        <v>81</v>
      </c>
      <c r="F287" s="10" t="s">
        <v>83</v>
      </c>
      <c r="G287" s="10" t="s">
        <v>84</v>
      </c>
      <c r="H287" s="12">
        <v>8384.75</v>
      </c>
      <c r="I287" s="11">
        <v>868</v>
      </c>
      <c r="J287" s="11">
        <v>648</v>
      </c>
      <c r="K287" s="11">
        <v>11949</v>
      </c>
      <c r="L287" s="11">
        <v>0.10352127374101799</v>
      </c>
      <c r="M287" s="11">
        <f t="shared" si="1"/>
        <v>10.352127374101793</v>
      </c>
      <c r="N287" s="11">
        <v>0.74654377880184297</v>
      </c>
      <c r="O287" s="11">
        <v>1.4250872119025599</v>
      </c>
      <c r="P287" s="11">
        <v>0.70692567567567599</v>
      </c>
      <c r="Q287" s="11">
        <v>0.42307692307692302</v>
      </c>
      <c r="R287" s="11">
        <v>0.75775193798449603</v>
      </c>
      <c r="S287" s="10" t="s">
        <v>84</v>
      </c>
      <c r="T287" s="10" t="s">
        <v>84</v>
      </c>
      <c r="U287" s="10"/>
      <c r="V287" s="10"/>
      <c r="W287" s="10"/>
      <c r="X287" s="10"/>
      <c r="Y287" s="10"/>
      <c r="Z287" s="10"/>
      <c r="AA287" s="10"/>
    </row>
    <row r="288" spans="1:27" ht="12.5" x14ac:dyDescent="0.25">
      <c r="A288" s="10" t="s">
        <v>26</v>
      </c>
      <c r="B288" s="10" t="s">
        <v>704</v>
      </c>
      <c r="C288" s="10" t="s">
        <v>76</v>
      </c>
      <c r="D288" s="11">
        <v>2024</v>
      </c>
      <c r="E288" s="10" t="s">
        <v>124</v>
      </c>
      <c r="F288" s="10" t="s">
        <v>125</v>
      </c>
      <c r="G288" s="10" t="s">
        <v>84</v>
      </c>
      <c r="H288" s="12">
        <v>12540.25</v>
      </c>
      <c r="I288" s="11">
        <v>1295</v>
      </c>
      <c r="J288" s="11">
        <v>731</v>
      </c>
      <c r="K288" s="11">
        <v>33472</v>
      </c>
      <c r="L288" s="11">
        <v>0.103267478718526</v>
      </c>
      <c r="M288" s="11">
        <f t="shared" si="1"/>
        <v>10.326747871852634</v>
      </c>
      <c r="N288" s="11">
        <v>0.56447876447876399</v>
      </c>
      <c r="O288" s="11">
        <v>2.66916528777337</v>
      </c>
      <c r="P288" s="11">
        <v>0.70608108108108103</v>
      </c>
      <c r="Q288" s="11">
        <v>0.38461538461538503</v>
      </c>
      <c r="R288" s="11">
        <v>0.59731543624161099</v>
      </c>
      <c r="S288" s="10" t="s">
        <v>84</v>
      </c>
      <c r="T288" s="10" t="s">
        <v>84</v>
      </c>
      <c r="U288" s="10"/>
      <c r="V288" s="10"/>
      <c r="W288" s="10"/>
      <c r="X288" s="10"/>
      <c r="Y288" s="10"/>
      <c r="Z288" s="10"/>
      <c r="AA288" s="10"/>
    </row>
    <row r="289" spans="1:27" ht="12.5" x14ac:dyDescent="0.25">
      <c r="A289" s="10" t="s">
        <v>12</v>
      </c>
      <c r="B289" s="10" t="s">
        <v>580</v>
      </c>
      <c r="C289" s="10" t="s">
        <v>76</v>
      </c>
      <c r="D289" s="11">
        <v>2024</v>
      </c>
      <c r="E289" s="10" t="s">
        <v>81</v>
      </c>
      <c r="F289" s="10" t="s">
        <v>83</v>
      </c>
      <c r="G289" s="10" t="s">
        <v>84</v>
      </c>
      <c r="H289" s="12">
        <v>1455</v>
      </c>
      <c r="I289" s="11">
        <v>150</v>
      </c>
      <c r="J289" s="11">
        <v>143</v>
      </c>
      <c r="K289" s="11">
        <v>179</v>
      </c>
      <c r="L289" s="11">
        <v>0.10309278350515499</v>
      </c>
      <c r="M289" s="11">
        <f t="shared" si="1"/>
        <v>10.309278350515463</v>
      </c>
      <c r="N289" s="11">
        <v>0.95333333333333303</v>
      </c>
      <c r="O289" s="11">
        <v>0.123024054982818</v>
      </c>
      <c r="P289" s="11">
        <v>0.70523648648648696</v>
      </c>
      <c r="Q289" s="11">
        <v>0.61111111111111105</v>
      </c>
      <c r="R289" s="11">
        <v>0.75581395348837199</v>
      </c>
      <c r="S289" s="10" t="s">
        <v>84</v>
      </c>
      <c r="T289" s="10" t="s">
        <v>84</v>
      </c>
      <c r="U289" s="10"/>
      <c r="V289" s="10"/>
      <c r="W289" s="10"/>
      <c r="X289" s="10"/>
      <c r="Y289" s="10"/>
      <c r="Z289" s="10"/>
      <c r="AA289" s="10"/>
    </row>
    <row r="290" spans="1:27" ht="12.5" x14ac:dyDescent="0.25">
      <c r="A290" s="10" t="s">
        <v>19</v>
      </c>
      <c r="B290" s="10" t="s">
        <v>707</v>
      </c>
      <c r="C290" s="10" t="s">
        <v>76</v>
      </c>
      <c r="D290" s="11">
        <v>2024</v>
      </c>
      <c r="E290" s="10" t="s">
        <v>124</v>
      </c>
      <c r="F290" s="10" t="s">
        <v>83</v>
      </c>
      <c r="G290" s="10" t="s">
        <v>84</v>
      </c>
      <c r="H290" s="12">
        <v>2817.5833333333298</v>
      </c>
      <c r="I290" s="11">
        <v>290</v>
      </c>
      <c r="J290" s="11">
        <v>232</v>
      </c>
      <c r="K290" s="11">
        <v>1889</v>
      </c>
      <c r="L290" s="11">
        <v>0.10292508355269001</v>
      </c>
      <c r="M290" s="11">
        <f t="shared" si="1"/>
        <v>10.292508355269007</v>
      </c>
      <c r="N290" s="11">
        <v>0.8</v>
      </c>
      <c r="O290" s="11">
        <v>0.67043269941734895</v>
      </c>
      <c r="P290" s="11">
        <v>0.704391891891892</v>
      </c>
      <c r="Q290" s="11">
        <v>0.55555555555555602</v>
      </c>
      <c r="R290" s="11">
        <v>0.59507829977628601</v>
      </c>
      <c r="S290" s="10" t="s">
        <v>84</v>
      </c>
      <c r="T290" s="10" t="s">
        <v>84</v>
      </c>
      <c r="U290" s="10"/>
      <c r="V290" s="10"/>
      <c r="W290" s="10"/>
      <c r="X290" s="10"/>
      <c r="Y290" s="10"/>
      <c r="Z290" s="10"/>
      <c r="AA290" s="10"/>
    </row>
    <row r="291" spans="1:27" ht="12.5" x14ac:dyDescent="0.25">
      <c r="A291" s="10" t="s">
        <v>10</v>
      </c>
      <c r="B291" s="10" t="s">
        <v>709</v>
      </c>
      <c r="C291" s="10" t="s">
        <v>76</v>
      </c>
      <c r="D291" s="11">
        <v>2024</v>
      </c>
      <c r="E291" s="10" t="s">
        <v>124</v>
      </c>
      <c r="F291" s="10" t="s">
        <v>83</v>
      </c>
      <c r="G291" s="10" t="s">
        <v>84</v>
      </c>
      <c r="H291" s="12">
        <v>19639.583333333299</v>
      </c>
      <c r="I291" s="11">
        <v>1996</v>
      </c>
      <c r="J291" s="11">
        <v>1622</v>
      </c>
      <c r="K291" s="11">
        <v>21489</v>
      </c>
      <c r="L291" s="11">
        <v>0.101631484035218</v>
      </c>
      <c r="M291" s="11">
        <f t="shared" si="1"/>
        <v>10.163148403521816</v>
      </c>
      <c r="N291" s="11">
        <v>0.81262525050100198</v>
      </c>
      <c r="O291" s="11">
        <v>1.0941678158481001</v>
      </c>
      <c r="P291" s="11">
        <v>0.70354729729729704</v>
      </c>
      <c r="Q291" s="11">
        <v>0.5</v>
      </c>
      <c r="R291" s="11">
        <v>0.59284116331096204</v>
      </c>
      <c r="S291" s="10" t="s">
        <v>84</v>
      </c>
      <c r="T291" s="10" t="s">
        <v>84</v>
      </c>
      <c r="U291" s="10"/>
      <c r="V291" s="10"/>
      <c r="W291" s="10"/>
      <c r="X291" s="10"/>
      <c r="Y291" s="10"/>
      <c r="Z291" s="10"/>
      <c r="AA291" s="10"/>
    </row>
    <row r="292" spans="1:27" ht="12.5" x14ac:dyDescent="0.25">
      <c r="A292" s="10" t="s">
        <v>25</v>
      </c>
      <c r="B292" s="10" t="s">
        <v>711</v>
      </c>
      <c r="C292" s="10" t="s">
        <v>76</v>
      </c>
      <c r="D292" s="11">
        <v>2024</v>
      </c>
      <c r="E292" s="10" t="s">
        <v>124</v>
      </c>
      <c r="F292" s="10" t="s">
        <v>83</v>
      </c>
      <c r="G292" s="10" t="s">
        <v>84</v>
      </c>
      <c r="H292" s="12">
        <v>11091</v>
      </c>
      <c r="I292" s="11">
        <v>1126</v>
      </c>
      <c r="J292" s="11">
        <v>1068</v>
      </c>
      <c r="K292" s="11">
        <v>13370</v>
      </c>
      <c r="L292" s="11">
        <v>0.101523758001984</v>
      </c>
      <c r="M292" s="11">
        <f t="shared" si="1"/>
        <v>10.152375800198358</v>
      </c>
      <c r="N292" s="11">
        <v>0.94849023090586104</v>
      </c>
      <c r="O292" s="11">
        <v>1.20548192227933</v>
      </c>
      <c r="P292" s="11">
        <v>0.70270270270270296</v>
      </c>
      <c r="Q292" s="11">
        <v>0.6875</v>
      </c>
      <c r="R292" s="11">
        <v>0.59060402684563795</v>
      </c>
      <c r="S292" s="10" t="s">
        <v>84</v>
      </c>
      <c r="T292" s="10" t="s">
        <v>84</v>
      </c>
      <c r="U292" s="10"/>
      <c r="V292" s="10"/>
      <c r="W292" s="10"/>
      <c r="X292" s="10"/>
      <c r="Y292" s="10"/>
      <c r="Z292" s="10"/>
      <c r="AA292" s="10"/>
    </row>
    <row r="293" spans="1:27" ht="12.5" x14ac:dyDescent="0.25">
      <c r="A293" s="10" t="s">
        <v>19</v>
      </c>
      <c r="B293" s="10" t="s">
        <v>714</v>
      </c>
      <c r="C293" s="10" t="s">
        <v>76</v>
      </c>
      <c r="D293" s="11">
        <v>2024</v>
      </c>
      <c r="E293" s="10" t="s">
        <v>124</v>
      </c>
      <c r="F293" s="10" t="s">
        <v>83</v>
      </c>
      <c r="G293" s="10" t="s">
        <v>84</v>
      </c>
      <c r="H293" s="12">
        <v>2672.5833333333298</v>
      </c>
      <c r="I293" s="11">
        <v>271</v>
      </c>
      <c r="J293" s="11">
        <v>208</v>
      </c>
      <c r="K293" s="11">
        <v>1769</v>
      </c>
      <c r="L293" s="11">
        <v>0.101400018708491</v>
      </c>
      <c r="M293" s="11">
        <f t="shared" si="1"/>
        <v>10.140001870849066</v>
      </c>
      <c r="N293" s="11">
        <v>0.76752767527675303</v>
      </c>
      <c r="O293" s="11">
        <v>0.66190639518568195</v>
      </c>
      <c r="P293" s="11">
        <v>0.701858108108108</v>
      </c>
      <c r="Q293" s="11">
        <v>0.5</v>
      </c>
      <c r="R293" s="11">
        <v>0.58836689038031298</v>
      </c>
      <c r="S293" s="10" t="s">
        <v>84</v>
      </c>
      <c r="T293" s="10" t="s">
        <v>84</v>
      </c>
      <c r="U293" s="10"/>
      <c r="V293" s="10"/>
      <c r="W293" s="10"/>
      <c r="X293" s="10"/>
      <c r="Y293" s="10"/>
      <c r="Z293" s="10"/>
      <c r="AA293" s="10"/>
    </row>
    <row r="294" spans="1:27" ht="12.5" x14ac:dyDescent="0.25">
      <c r="A294" s="10" t="s">
        <v>92</v>
      </c>
      <c r="B294" s="10" t="s">
        <v>716</v>
      </c>
      <c r="C294" s="10" t="s">
        <v>76</v>
      </c>
      <c r="D294" s="11">
        <v>2024</v>
      </c>
      <c r="E294" s="10" t="s">
        <v>124</v>
      </c>
      <c r="F294" s="10" t="s">
        <v>83</v>
      </c>
      <c r="G294" s="10" t="s">
        <v>84</v>
      </c>
      <c r="H294" s="12">
        <v>15040</v>
      </c>
      <c r="I294" s="11">
        <v>1525</v>
      </c>
      <c r="J294" s="11">
        <v>1294</v>
      </c>
      <c r="K294" s="11">
        <v>14463</v>
      </c>
      <c r="L294" s="11">
        <v>0.101396276595745</v>
      </c>
      <c r="M294" s="11">
        <f t="shared" si="1"/>
        <v>10.139627659574469</v>
      </c>
      <c r="N294" s="11">
        <v>0.848524590163934</v>
      </c>
      <c r="O294" s="11">
        <v>0.96163563829787202</v>
      </c>
      <c r="P294" s="11">
        <v>0.70101351351351304</v>
      </c>
      <c r="Q294" s="11">
        <v>1</v>
      </c>
      <c r="R294" s="11">
        <v>0.586129753914989</v>
      </c>
      <c r="S294" s="10" t="s">
        <v>84</v>
      </c>
      <c r="T294" s="10" t="s">
        <v>84</v>
      </c>
      <c r="U294" s="10"/>
      <c r="V294" s="10"/>
      <c r="W294" s="10"/>
      <c r="X294" s="10"/>
      <c r="Y294" s="10"/>
      <c r="Z294" s="10"/>
      <c r="AA294" s="10"/>
    </row>
    <row r="295" spans="1:27" ht="12.5" x14ac:dyDescent="0.25">
      <c r="A295" s="10" t="s">
        <v>77</v>
      </c>
      <c r="B295" s="10" t="s">
        <v>718</v>
      </c>
      <c r="C295" s="10" t="s">
        <v>76</v>
      </c>
      <c r="D295" s="11">
        <v>2024</v>
      </c>
      <c r="E295" s="10" t="s">
        <v>124</v>
      </c>
      <c r="F295" s="10" t="s">
        <v>125</v>
      </c>
      <c r="G295" s="10" t="s">
        <v>84</v>
      </c>
      <c r="H295" s="12">
        <v>1678.0833333333301</v>
      </c>
      <c r="I295" s="11">
        <v>170</v>
      </c>
      <c r="J295" s="11">
        <v>134</v>
      </c>
      <c r="K295" s="11">
        <v>2879</v>
      </c>
      <c r="L295" s="11">
        <v>0.101306053533297</v>
      </c>
      <c r="M295" s="11">
        <f t="shared" si="1"/>
        <v>10.130605353329711</v>
      </c>
      <c r="N295" s="11">
        <v>0.78823529411764703</v>
      </c>
      <c r="O295" s="11">
        <v>1.7156478124844801</v>
      </c>
      <c r="P295" s="11">
        <v>0.70016891891891897</v>
      </c>
      <c r="Q295" s="11">
        <v>0.89285714285714302</v>
      </c>
      <c r="R295" s="11">
        <v>0.58389261744966403</v>
      </c>
      <c r="S295" s="10" t="s">
        <v>84</v>
      </c>
      <c r="T295" s="10" t="s">
        <v>84</v>
      </c>
      <c r="U295" s="10"/>
      <c r="V295" s="10"/>
      <c r="W295" s="10"/>
      <c r="X295" s="10"/>
      <c r="Y295" s="10"/>
      <c r="Z295" s="10"/>
      <c r="AA295" s="10"/>
    </row>
    <row r="296" spans="1:27" ht="12.5" x14ac:dyDescent="0.25">
      <c r="A296" s="10" t="s">
        <v>109</v>
      </c>
      <c r="B296" s="10" t="s">
        <v>721</v>
      </c>
      <c r="C296" s="10" t="s">
        <v>76</v>
      </c>
      <c r="D296" s="11">
        <v>2024</v>
      </c>
      <c r="E296" s="10" t="s">
        <v>124</v>
      </c>
      <c r="F296" s="10" t="s">
        <v>83</v>
      </c>
      <c r="G296" s="10" t="s">
        <v>84</v>
      </c>
      <c r="H296" s="12">
        <v>11633.166666666701</v>
      </c>
      <c r="I296" s="11">
        <v>1178</v>
      </c>
      <c r="J296" s="11">
        <v>451</v>
      </c>
      <c r="K296" s="11">
        <v>12804</v>
      </c>
      <c r="L296" s="11">
        <v>0.101262195733463</v>
      </c>
      <c r="M296" s="11">
        <f t="shared" si="1"/>
        <v>10.126219573346292</v>
      </c>
      <c r="N296" s="11">
        <v>0.38285229202037402</v>
      </c>
      <c r="O296" s="11">
        <v>1.1006461410621899</v>
      </c>
      <c r="P296" s="11">
        <v>0.69932432432432401</v>
      </c>
      <c r="Q296" s="11">
        <v>0.77777777777777801</v>
      </c>
      <c r="R296" s="11">
        <v>0.58165548098433995</v>
      </c>
      <c r="S296" s="10" t="s">
        <v>84</v>
      </c>
      <c r="T296" s="10" t="s">
        <v>84</v>
      </c>
      <c r="U296" s="10"/>
      <c r="V296" s="10"/>
      <c r="W296" s="10"/>
      <c r="X296" s="10"/>
      <c r="Y296" s="10"/>
      <c r="Z296" s="10"/>
      <c r="AA296" s="10"/>
    </row>
    <row r="297" spans="1:27" ht="12.5" x14ac:dyDescent="0.25">
      <c r="A297" s="10" t="s">
        <v>36</v>
      </c>
      <c r="B297" s="10" t="s">
        <v>723</v>
      </c>
      <c r="C297" s="10" t="s">
        <v>76</v>
      </c>
      <c r="D297" s="11">
        <v>2024</v>
      </c>
      <c r="E297" s="10" t="s">
        <v>124</v>
      </c>
      <c r="F297" s="10" t="s">
        <v>125</v>
      </c>
      <c r="G297" s="10" t="s">
        <v>84</v>
      </c>
      <c r="H297" s="12">
        <v>2937</v>
      </c>
      <c r="I297" s="11">
        <v>295</v>
      </c>
      <c r="J297" s="11">
        <v>295</v>
      </c>
      <c r="K297" s="11">
        <v>1003</v>
      </c>
      <c r="L297" s="11">
        <v>0.100442628532516</v>
      </c>
      <c r="M297" s="11">
        <f t="shared" si="1"/>
        <v>10.044262853251617</v>
      </c>
      <c r="N297" s="11">
        <v>1</v>
      </c>
      <c r="O297" s="11">
        <v>0.34150493701055501</v>
      </c>
      <c r="P297" s="11">
        <v>0.69847972972973005</v>
      </c>
      <c r="Q297" s="11">
        <v>0.44680851063829802</v>
      </c>
      <c r="R297" s="11">
        <v>0.57941834451901597</v>
      </c>
      <c r="S297" s="10" t="s">
        <v>84</v>
      </c>
      <c r="T297" s="10" t="s">
        <v>84</v>
      </c>
      <c r="U297" s="10"/>
      <c r="V297" s="10"/>
      <c r="W297" s="10"/>
      <c r="X297" s="10"/>
      <c r="Y297" s="10"/>
      <c r="Z297" s="10"/>
      <c r="AA297" s="10"/>
    </row>
    <row r="298" spans="1:27" ht="12.5" x14ac:dyDescent="0.25">
      <c r="A298" s="10" t="s">
        <v>34</v>
      </c>
      <c r="B298" s="10" t="s">
        <v>725</v>
      </c>
      <c r="C298" s="10" t="s">
        <v>76</v>
      </c>
      <c r="D298" s="11">
        <v>2024</v>
      </c>
      <c r="E298" s="10" t="s">
        <v>124</v>
      </c>
      <c r="F298" s="10" t="s">
        <v>83</v>
      </c>
      <c r="G298" s="10" t="s">
        <v>84</v>
      </c>
      <c r="H298" s="12">
        <v>12188.333333333299</v>
      </c>
      <c r="I298" s="11">
        <v>1222</v>
      </c>
      <c r="J298" s="11">
        <v>1165</v>
      </c>
      <c r="K298" s="11">
        <v>18536</v>
      </c>
      <c r="L298" s="11">
        <v>0.100259811294954</v>
      </c>
      <c r="M298" s="11">
        <f t="shared" si="1"/>
        <v>10.025981129495447</v>
      </c>
      <c r="N298" s="11">
        <v>0.95335515548281502</v>
      </c>
      <c r="O298" s="11">
        <v>1.5207985778750199</v>
      </c>
      <c r="P298" s="11">
        <v>0.69763513513513498</v>
      </c>
      <c r="Q298" s="11">
        <v>1</v>
      </c>
      <c r="R298" s="11">
        <v>0.577181208053691</v>
      </c>
      <c r="S298" s="10" t="s">
        <v>84</v>
      </c>
      <c r="T298" s="10" t="s">
        <v>84</v>
      </c>
      <c r="U298" s="10"/>
      <c r="V298" s="10"/>
      <c r="W298" s="10"/>
      <c r="X298" s="10"/>
      <c r="Y298" s="10"/>
      <c r="Z298" s="10"/>
      <c r="AA298" s="10"/>
    </row>
    <row r="299" spans="1:27" ht="12.5" x14ac:dyDescent="0.25">
      <c r="A299" s="10" t="s">
        <v>58</v>
      </c>
      <c r="B299" s="10" t="s">
        <v>582</v>
      </c>
      <c r="C299" s="10" t="s">
        <v>76</v>
      </c>
      <c r="D299" s="11">
        <v>2024</v>
      </c>
      <c r="E299" s="10" t="s">
        <v>81</v>
      </c>
      <c r="F299" s="10" t="s">
        <v>83</v>
      </c>
      <c r="G299" s="10" t="s">
        <v>84</v>
      </c>
      <c r="H299" s="12">
        <v>63616.166666666701</v>
      </c>
      <c r="I299" s="11">
        <v>6351</v>
      </c>
      <c r="J299" s="11">
        <v>5769</v>
      </c>
      <c r="K299" s="11">
        <v>101142</v>
      </c>
      <c r="L299" s="11">
        <v>9.9833113700133896E-2</v>
      </c>
      <c r="M299" s="11">
        <f t="shared" si="1"/>
        <v>9.9833113700133822</v>
      </c>
      <c r="N299" s="11">
        <v>0.90836088804912596</v>
      </c>
      <c r="O299" s="11">
        <v>1.5898788829883399</v>
      </c>
      <c r="P299" s="11">
        <v>0.69679054054054101</v>
      </c>
      <c r="Q299" s="11">
        <v>0.75675675675675702</v>
      </c>
      <c r="R299" s="11">
        <v>0.75387596899224796</v>
      </c>
      <c r="S299" s="10" t="s">
        <v>84</v>
      </c>
      <c r="T299" s="10" t="s">
        <v>84</v>
      </c>
      <c r="U299" s="10"/>
      <c r="V299" s="10"/>
      <c r="W299" s="10"/>
      <c r="X299" s="10"/>
      <c r="Y299" s="10"/>
      <c r="Z299" s="10"/>
      <c r="AA299" s="10"/>
    </row>
    <row r="300" spans="1:27" ht="12.5" x14ac:dyDescent="0.25">
      <c r="A300" s="10" t="s">
        <v>58</v>
      </c>
      <c r="B300" s="10" t="s">
        <v>585</v>
      </c>
      <c r="C300" s="10" t="s">
        <v>76</v>
      </c>
      <c r="D300" s="11">
        <v>2024</v>
      </c>
      <c r="E300" s="10" t="s">
        <v>81</v>
      </c>
      <c r="F300" s="10" t="s">
        <v>83</v>
      </c>
      <c r="G300" s="10" t="s">
        <v>84</v>
      </c>
      <c r="H300" s="12">
        <v>23887.083333333299</v>
      </c>
      <c r="I300" s="11">
        <v>2371</v>
      </c>
      <c r="J300" s="11">
        <v>2164</v>
      </c>
      <c r="K300" s="11">
        <v>44277</v>
      </c>
      <c r="L300" s="11">
        <v>9.9258664899091201E-2</v>
      </c>
      <c r="M300" s="11">
        <f t="shared" si="1"/>
        <v>9.9258664899091347</v>
      </c>
      <c r="N300" s="11">
        <v>0.91269506537325995</v>
      </c>
      <c r="O300" s="11">
        <v>1.85359591131888</v>
      </c>
      <c r="P300" s="11">
        <v>0.69594594594594605</v>
      </c>
      <c r="Q300" s="11">
        <v>0.72972972972973005</v>
      </c>
      <c r="R300" s="11">
        <v>0.75193798449612403</v>
      </c>
      <c r="S300" s="10" t="s">
        <v>84</v>
      </c>
      <c r="T300" s="10" t="s">
        <v>84</v>
      </c>
      <c r="U300" s="10"/>
      <c r="V300" s="10"/>
      <c r="W300" s="10"/>
      <c r="X300" s="10"/>
      <c r="Y300" s="10"/>
      <c r="Z300" s="10"/>
      <c r="AA300" s="10"/>
    </row>
    <row r="301" spans="1:27" ht="12.5" hidden="1" x14ac:dyDescent="0.25">
      <c r="A301" s="10" t="s">
        <v>110</v>
      </c>
      <c r="B301" s="10" t="s">
        <v>1133</v>
      </c>
      <c r="C301" s="10" t="s">
        <v>76</v>
      </c>
      <c r="D301" s="11">
        <v>2024</v>
      </c>
      <c r="E301" s="10" t="s">
        <v>257</v>
      </c>
      <c r="F301" s="10" t="s">
        <v>83</v>
      </c>
      <c r="G301" s="10" t="s">
        <v>84</v>
      </c>
      <c r="H301" s="12">
        <v>29024.666666666701</v>
      </c>
      <c r="I301" s="11">
        <v>2857</v>
      </c>
      <c r="J301" s="11">
        <v>2744</v>
      </c>
      <c r="K301" s="11">
        <v>59174</v>
      </c>
      <c r="L301" s="11">
        <v>9.8433516319452394E-2</v>
      </c>
      <c r="M301" s="11">
        <f t="shared" si="1"/>
        <v>9.8433516319452306</v>
      </c>
      <c r="N301" s="11">
        <v>0.96044802240112004</v>
      </c>
      <c r="O301" s="11">
        <v>2.0387486505730799</v>
      </c>
      <c r="P301" s="11">
        <v>0.69341216216216195</v>
      </c>
      <c r="Q301" s="11">
        <v>0.84848484848484895</v>
      </c>
      <c r="R301" s="11">
        <v>0.79545454545454497</v>
      </c>
      <c r="S301" s="10" t="s">
        <v>84</v>
      </c>
      <c r="T301" s="10" t="s">
        <v>84</v>
      </c>
      <c r="U301" s="10"/>
      <c r="V301" s="10"/>
      <c r="W301" s="10"/>
      <c r="X301" s="10"/>
      <c r="Y301" s="10"/>
      <c r="Z301" s="10"/>
      <c r="AA301" s="10"/>
    </row>
    <row r="302" spans="1:27" ht="12.5" x14ac:dyDescent="0.25">
      <c r="A302" s="10" t="s">
        <v>29</v>
      </c>
      <c r="B302" s="10" t="s">
        <v>727</v>
      </c>
      <c r="C302" s="10" t="s">
        <v>76</v>
      </c>
      <c r="D302" s="11">
        <v>2024</v>
      </c>
      <c r="E302" s="10" t="s">
        <v>124</v>
      </c>
      <c r="F302" s="10" t="s">
        <v>83</v>
      </c>
      <c r="G302" s="10" t="s">
        <v>84</v>
      </c>
      <c r="H302" s="12">
        <v>24509</v>
      </c>
      <c r="I302" s="11">
        <v>2410</v>
      </c>
      <c r="J302" s="11">
        <v>2304</v>
      </c>
      <c r="K302" s="11">
        <v>20577</v>
      </c>
      <c r="L302" s="11">
        <v>9.8331225264188707E-2</v>
      </c>
      <c r="M302" s="11">
        <f t="shared" si="1"/>
        <v>9.8331225264188671</v>
      </c>
      <c r="N302" s="11">
        <v>0.95601659751037305</v>
      </c>
      <c r="O302" s="11">
        <v>0.83956913786772203</v>
      </c>
      <c r="P302" s="11">
        <v>0.69256756756756799</v>
      </c>
      <c r="Q302" s="11">
        <v>0.42857142857142899</v>
      </c>
      <c r="R302" s="11">
        <v>0.57494407158836702</v>
      </c>
      <c r="S302" s="10" t="s">
        <v>84</v>
      </c>
      <c r="T302" s="10" t="s">
        <v>84</v>
      </c>
      <c r="U302" s="10"/>
      <c r="V302" s="10"/>
      <c r="W302" s="10"/>
      <c r="X302" s="10"/>
      <c r="Y302" s="10"/>
      <c r="Z302" s="10"/>
      <c r="AA302" s="10"/>
    </row>
    <row r="303" spans="1:27" ht="12.5" x14ac:dyDescent="0.25">
      <c r="A303" s="10" t="s">
        <v>58</v>
      </c>
      <c r="B303" s="10" t="s">
        <v>728</v>
      </c>
      <c r="C303" s="10" t="s">
        <v>76</v>
      </c>
      <c r="D303" s="11">
        <v>2024</v>
      </c>
      <c r="E303" s="10" t="s">
        <v>124</v>
      </c>
      <c r="F303" s="10" t="s">
        <v>125</v>
      </c>
      <c r="G303" s="10" t="s">
        <v>84</v>
      </c>
      <c r="H303" s="12">
        <v>4668.25</v>
      </c>
      <c r="I303" s="11">
        <v>458</v>
      </c>
      <c r="J303" s="11">
        <v>336</v>
      </c>
      <c r="K303" s="11">
        <v>1200</v>
      </c>
      <c r="L303" s="11">
        <v>9.8109569967332499E-2</v>
      </c>
      <c r="M303" s="11">
        <f t="shared" si="1"/>
        <v>9.8109569967332515</v>
      </c>
      <c r="N303" s="11">
        <v>0.73362445414847199</v>
      </c>
      <c r="O303" s="11">
        <v>0.25705564183580598</v>
      </c>
      <c r="P303" s="11">
        <v>0.69172297297297303</v>
      </c>
      <c r="Q303" s="11">
        <v>0.67567567567567599</v>
      </c>
      <c r="R303" s="11">
        <v>0.57270693512304205</v>
      </c>
      <c r="S303" s="10" t="s">
        <v>84</v>
      </c>
      <c r="T303" s="10" t="s">
        <v>84</v>
      </c>
      <c r="U303" s="10"/>
      <c r="V303" s="10"/>
      <c r="W303" s="10"/>
      <c r="X303" s="10"/>
      <c r="Y303" s="10"/>
      <c r="Z303" s="10"/>
      <c r="AA303" s="10"/>
    </row>
    <row r="304" spans="1:27" ht="12.5" x14ac:dyDescent="0.25">
      <c r="A304" s="10" t="s">
        <v>58</v>
      </c>
      <c r="B304" s="10" t="s">
        <v>586</v>
      </c>
      <c r="C304" s="10" t="s">
        <v>76</v>
      </c>
      <c r="D304" s="11">
        <v>2024</v>
      </c>
      <c r="E304" s="10" t="s">
        <v>81</v>
      </c>
      <c r="F304" s="10" t="s">
        <v>83</v>
      </c>
      <c r="G304" s="10" t="s">
        <v>84</v>
      </c>
      <c r="H304" s="12">
        <v>32055.583333333299</v>
      </c>
      <c r="I304" s="11">
        <v>3125</v>
      </c>
      <c r="J304" s="11">
        <v>2495</v>
      </c>
      <c r="K304" s="11">
        <v>21200</v>
      </c>
      <c r="L304" s="11">
        <v>9.7486917255704297E-2</v>
      </c>
      <c r="M304" s="11">
        <f t="shared" si="1"/>
        <v>9.7486917255704402</v>
      </c>
      <c r="N304" s="11">
        <v>0.7984</v>
      </c>
      <c r="O304" s="11">
        <v>0.66135124666269796</v>
      </c>
      <c r="P304" s="11">
        <v>0.69087837837837796</v>
      </c>
      <c r="Q304" s="11">
        <v>0.64864864864864902</v>
      </c>
      <c r="R304" s="11">
        <v>0.75</v>
      </c>
      <c r="S304" s="10" t="s">
        <v>84</v>
      </c>
      <c r="T304" s="10" t="s">
        <v>84</v>
      </c>
      <c r="U304" s="10"/>
      <c r="V304" s="10"/>
      <c r="W304" s="10"/>
      <c r="X304" s="10"/>
      <c r="Y304" s="10"/>
      <c r="Z304" s="10"/>
      <c r="AA304" s="10"/>
    </row>
    <row r="305" spans="1:27" ht="12.5" x14ac:dyDescent="0.25">
      <c r="A305" s="10" t="s">
        <v>62</v>
      </c>
      <c r="B305" s="10" t="s">
        <v>730</v>
      </c>
      <c r="C305" s="10" t="s">
        <v>76</v>
      </c>
      <c r="D305" s="11">
        <v>2024</v>
      </c>
      <c r="E305" s="10" t="s">
        <v>124</v>
      </c>
      <c r="F305" s="10" t="s">
        <v>125</v>
      </c>
      <c r="G305" s="10" t="s">
        <v>84</v>
      </c>
      <c r="H305" s="12">
        <v>5577.9166666666697</v>
      </c>
      <c r="I305" s="11">
        <v>543</v>
      </c>
      <c r="J305" s="11">
        <v>498</v>
      </c>
      <c r="K305" s="11">
        <v>4055</v>
      </c>
      <c r="L305" s="11">
        <v>9.7348173601255E-2</v>
      </c>
      <c r="M305" s="11">
        <f t="shared" si="1"/>
        <v>9.7348173601254882</v>
      </c>
      <c r="N305" s="11">
        <v>0.91712707182320397</v>
      </c>
      <c r="O305" s="11">
        <v>0.72697392993202403</v>
      </c>
      <c r="P305" s="11">
        <v>0.69003378378378399</v>
      </c>
      <c r="Q305" s="11">
        <v>0.83333333333333304</v>
      </c>
      <c r="R305" s="11">
        <v>0.57046979865771796</v>
      </c>
      <c r="S305" s="10" t="s">
        <v>84</v>
      </c>
      <c r="T305" s="10" t="s">
        <v>84</v>
      </c>
      <c r="U305" s="10"/>
      <c r="V305" s="10"/>
      <c r="W305" s="10"/>
      <c r="X305" s="10"/>
      <c r="Y305" s="10"/>
      <c r="Z305" s="10"/>
      <c r="AA305" s="10"/>
    </row>
    <row r="306" spans="1:27" ht="12.5" x14ac:dyDescent="0.25">
      <c r="A306" s="10" t="s">
        <v>52</v>
      </c>
      <c r="B306" s="10" t="s">
        <v>589</v>
      </c>
      <c r="C306" s="10" t="s">
        <v>76</v>
      </c>
      <c r="D306" s="11">
        <v>2024</v>
      </c>
      <c r="E306" s="10" t="s">
        <v>81</v>
      </c>
      <c r="F306" s="10" t="s">
        <v>83</v>
      </c>
      <c r="G306" s="10" t="s">
        <v>84</v>
      </c>
      <c r="H306" s="12">
        <v>9993</v>
      </c>
      <c r="I306" s="11">
        <v>960</v>
      </c>
      <c r="J306" s="11">
        <v>859</v>
      </c>
      <c r="K306" s="11">
        <v>10784</v>
      </c>
      <c r="L306" s="11">
        <v>9.6067247072951098E-2</v>
      </c>
      <c r="M306" s="11">
        <f t="shared" si="1"/>
        <v>9.6067247072951076</v>
      </c>
      <c r="N306" s="11">
        <v>0.89479166666666698</v>
      </c>
      <c r="O306" s="11">
        <v>1.0791554087861499</v>
      </c>
      <c r="P306" s="11">
        <v>0.68834459459459496</v>
      </c>
      <c r="Q306" s="11">
        <v>0.59574468085106402</v>
      </c>
      <c r="R306" s="11">
        <v>0.74806201550387597</v>
      </c>
      <c r="S306" s="10" t="s">
        <v>84</v>
      </c>
      <c r="T306" s="10" t="s">
        <v>84</v>
      </c>
      <c r="U306" s="10"/>
      <c r="V306" s="10"/>
      <c r="W306" s="10"/>
      <c r="X306" s="10"/>
      <c r="Y306" s="10"/>
      <c r="Z306" s="10"/>
      <c r="AA306" s="10"/>
    </row>
    <row r="307" spans="1:27" ht="12.5" x14ac:dyDescent="0.25">
      <c r="A307" s="10" t="s">
        <v>77</v>
      </c>
      <c r="B307" s="10" t="s">
        <v>733</v>
      </c>
      <c r="C307" s="10" t="s">
        <v>76</v>
      </c>
      <c r="D307" s="11">
        <v>2024</v>
      </c>
      <c r="E307" s="10" t="s">
        <v>124</v>
      </c>
      <c r="F307" s="10" t="s">
        <v>83</v>
      </c>
      <c r="G307" s="10" t="s">
        <v>84</v>
      </c>
      <c r="H307" s="12">
        <v>58444.083333333299</v>
      </c>
      <c r="I307" s="11">
        <v>5594</v>
      </c>
      <c r="J307" s="11">
        <v>4053</v>
      </c>
      <c r="K307" s="11">
        <v>132761</v>
      </c>
      <c r="L307" s="11">
        <v>9.5715420294897297E-2</v>
      </c>
      <c r="M307" s="11">
        <f t="shared" si="1"/>
        <v>9.5715420294897307</v>
      </c>
      <c r="N307" s="11">
        <v>0.72452627815516601</v>
      </c>
      <c r="O307" s="11">
        <v>2.2715900811174201</v>
      </c>
      <c r="P307" s="11">
        <v>0.6875</v>
      </c>
      <c r="Q307" s="11">
        <v>0.85714285714285698</v>
      </c>
      <c r="R307" s="11">
        <v>0.56823266219239399</v>
      </c>
      <c r="S307" s="10" t="s">
        <v>84</v>
      </c>
      <c r="T307" s="10" t="s">
        <v>84</v>
      </c>
      <c r="U307" s="10"/>
      <c r="V307" s="10"/>
      <c r="W307" s="10"/>
      <c r="X307" s="10"/>
      <c r="Y307" s="10"/>
      <c r="Z307" s="10"/>
      <c r="AA307" s="10"/>
    </row>
    <row r="308" spans="1:27" ht="12.5" x14ac:dyDescent="0.25">
      <c r="A308" s="10" t="s">
        <v>12</v>
      </c>
      <c r="B308" s="10" t="s">
        <v>591</v>
      </c>
      <c r="C308" s="10" t="s">
        <v>76</v>
      </c>
      <c r="D308" s="11">
        <v>2024</v>
      </c>
      <c r="E308" s="10" t="s">
        <v>81</v>
      </c>
      <c r="F308" s="10" t="s">
        <v>83</v>
      </c>
      <c r="G308" s="10" t="s">
        <v>84</v>
      </c>
      <c r="H308" s="12">
        <v>26333.166666666701</v>
      </c>
      <c r="I308" s="11">
        <v>2514</v>
      </c>
      <c r="J308" s="11">
        <v>2387</v>
      </c>
      <c r="K308" s="11">
        <v>6419</v>
      </c>
      <c r="L308" s="11">
        <v>9.5468958664295306E-2</v>
      </c>
      <c r="M308" s="11">
        <f t="shared" si="1"/>
        <v>9.5468958664295229</v>
      </c>
      <c r="N308" s="11">
        <v>0.949482895783612</v>
      </c>
      <c r="O308" s="11">
        <v>0.243761036462256</v>
      </c>
      <c r="P308" s="11">
        <v>0.68665540540540504</v>
      </c>
      <c r="Q308" s="11">
        <v>0.59722222222222199</v>
      </c>
      <c r="R308" s="11">
        <v>0.74612403100775204</v>
      </c>
      <c r="S308" s="10" t="s">
        <v>84</v>
      </c>
      <c r="T308" s="10" t="s">
        <v>84</v>
      </c>
      <c r="U308" s="10"/>
      <c r="V308" s="10"/>
      <c r="W308" s="10"/>
      <c r="X308" s="10"/>
      <c r="Y308" s="10"/>
      <c r="Z308" s="10"/>
      <c r="AA308" s="10"/>
    </row>
    <row r="309" spans="1:27" ht="12.5" x14ac:dyDescent="0.25">
      <c r="A309" s="10" t="s">
        <v>103</v>
      </c>
      <c r="B309" s="10" t="s">
        <v>736</v>
      </c>
      <c r="C309" s="10" t="s">
        <v>76</v>
      </c>
      <c r="D309" s="11">
        <v>2024</v>
      </c>
      <c r="E309" s="10" t="s">
        <v>124</v>
      </c>
      <c r="F309" s="10" t="s">
        <v>83</v>
      </c>
      <c r="G309" s="10" t="s">
        <v>84</v>
      </c>
      <c r="H309" s="12">
        <v>23539.333333333299</v>
      </c>
      <c r="I309" s="11">
        <v>2231</v>
      </c>
      <c r="J309" s="11">
        <v>2085</v>
      </c>
      <c r="K309" s="11">
        <v>22392</v>
      </c>
      <c r="L309" s="11">
        <v>9.4777535472542404E-2</v>
      </c>
      <c r="M309" s="11">
        <f t="shared" si="1"/>
        <v>9.4777535472542542</v>
      </c>
      <c r="N309" s="11">
        <v>0.934558493948902</v>
      </c>
      <c r="O309" s="11">
        <v>0.951258885836472</v>
      </c>
      <c r="P309" s="11">
        <v>0.68496621621621601</v>
      </c>
      <c r="Q309" s="11">
        <v>0.69565217391304301</v>
      </c>
      <c r="R309" s="11">
        <v>0.56599552572706902</v>
      </c>
      <c r="S309" s="10" t="s">
        <v>84</v>
      </c>
      <c r="T309" s="10" t="s">
        <v>84</v>
      </c>
      <c r="U309" s="10"/>
      <c r="V309" s="10"/>
      <c r="W309" s="10"/>
      <c r="X309" s="10"/>
      <c r="Y309" s="10"/>
      <c r="Z309" s="10"/>
      <c r="AA309" s="10"/>
    </row>
    <row r="310" spans="1:27" ht="12.5" x14ac:dyDescent="0.25">
      <c r="A310" s="10" t="s">
        <v>58</v>
      </c>
      <c r="B310" s="10" t="s">
        <v>738</v>
      </c>
      <c r="C310" s="10" t="s">
        <v>76</v>
      </c>
      <c r="D310" s="11">
        <v>2024</v>
      </c>
      <c r="E310" s="10" t="s">
        <v>124</v>
      </c>
      <c r="F310" s="10" t="s">
        <v>83</v>
      </c>
      <c r="G310" s="10" t="s">
        <v>84</v>
      </c>
      <c r="H310" s="12">
        <v>28438.666666666701</v>
      </c>
      <c r="I310" s="11">
        <v>2695</v>
      </c>
      <c r="J310" s="11">
        <v>2695</v>
      </c>
      <c r="K310" s="11">
        <v>17820</v>
      </c>
      <c r="L310" s="11">
        <v>9.4765342960288795E-2</v>
      </c>
      <c r="M310" s="11">
        <f t="shared" si="1"/>
        <v>9.4765342960288699</v>
      </c>
      <c r="N310" s="11">
        <v>1</v>
      </c>
      <c r="O310" s="11">
        <v>0.62661165549252196</v>
      </c>
      <c r="P310" s="11">
        <v>0.68412162162162204</v>
      </c>
      <c r="Q310" s="11">
        <v>0.62162162162162204</v>
      </c>
      <c r="R310" s="11">
        <v>0.56375838926174504</v>
      </c>
      <c r="S310" s="10" t="s">
        <v>84</v>
      </c>
      <c r="T310" s="10" t="s">
        <v>84</v>
      </c>
      <c r="U310" s="10"/>
      <c r="V310" s="10"/>
      <c r="W310" s="10"/>
      <c r="X310" s="10"/>
      <c r="Y310" s="10"/>
      <c r="Z310" s="10"/>
      <c r="AA310" s="10"/>
    </row>
    <row r="311" spans="1:27" ht="12.5" x14ac:dyDescent="0.25">
      <c r="A311" s="10" t="s">
        <v>25</v>
      </c>
      <c r="B311" s="10" t="s">
        <v>742</v>
      </c>
      <c r="C311" s="10" t="s">
        <v>76</v>
      </c>
      <c r="D311" s="11">
        <v>2024</v>
      </c>
      <c r="E311" s="10" t="s">
        <v>124</v>
      </c>
      <c r="F311" s="10" t="s">
        <v>125</v>
      </c>
      <c r="G311" s="10" t="s">
        <v>84</v>
      </c>
      <c r="H311" s="12">
        <v>5948.6666666666697</v>
      </c>
      <c r="I311" s="11">
        <v>560</v>
      </c>
      <c r="J311" s="11">
        <v>464</v>
      </c>
      <c r="K311" s="11">
        <v>7868</v>
      </c>
      <c r="L311" s="11">
        <v>9.4138742575367002E-2</v>
      </c>
      <c r="M311" s="11">
        <f t="shared" si="1"/>
        <v>9.4138742575366994</v>
      </c>
      <c r="N311" s="11">
        <v>0.82857142857142896</v>
      </c>
      <c r="O311" s="11">
        <v>1.32264933318391</v>
      </c>
      <c r="P311" s="11">
        <v>0.68243243243243201</v>
      </c>
      <c r="Q311" s="11">
        <v>0.5625</v>
      </c>
      <c r="R311" s="11">
        <v>0.56152125279642096</v>
      </c>
      <c r="S311" s="10" t="s">
        <v>84</v>
      </c>
      <c r="T311" s="10" t="s">
        <v>84</v>
      </c>
      <c r="U311" s="10"/>
      <c r="V311" s="10"/>
      <c r="W311" s="10"/>
      <c r="X311" s="10"/>
      <c r="Y311" s="10"/>
      <c r="Z311" s="10"/>
      <c r="AA311" s="10"/>
    </row>
    <row r="312" spans="1:27" ht="12.5" x14ac:dyDescent="0.25">
      <c r="A312" s="10" t="s">
        <v>16</v>
      </c>
      <c r="B312" s="10" t="s">
        <v>592</v>
      </c>
      <c r="C312" s="10" t="s">
        <v>76</v>
      </c>
      <c r="D312" s="11">
        <v>2024</v>
      </c>
      <c r="E312" s="10" t="s">
        <v>81</v>
      </c>
      <c r="F312" s="10" t="s">
        <v>83</v>
      </c>
      <c r="G312" s="10" t="s">
        <v>84</v>
      </c>
      <c r="H312" s="12">
        <v>29884.333333333299</v>
      </c>
      <c r="I312" s="11">
        <v>2800</v>
      </c>
      <c r="J312" s="11">
        <v>404</v>
      </c>
      <c r="K312" s="11">
        <v>3047</v>
      </c>
      <c r="L312" s="11">
        <v>9.3694577984005004E-2</v>
      </c>
      <c r="M312" s="11">
        <f t="shared" si="1"/>
        <v>9.3694577984005107</v>
      </c>
      <c r="N312" s="11">
        <v>0.14428571428571399</v>
      </c>
      <c r="O312" s="11">
        <v>0.10195977825616501</v>
      </c>
      <c r="P312" s="11">
        <v>0.68158783783783805</v>
      </c>
      <c r="Q312" s="11">
        <v>0.36666666666666697</v>
      </c>
      <c r="R312" s="11">
        <v>0.74418604651162801</v>
      </c>
      <c r="S312" s="10" t="s">
        <v>84</v>
      </c>
      <c r="T312" s="10" t="s">
        <v>84</v>
      </c>
      <c r="U312" s="10"/>
      <c r="V312" s="10"/>
      <c r="W312" s="10"/>
      <c r="X312" s="10"/>
      <c r="Y312" s="10"/>
      <c r="Z312" s="10"/>
      <c r="AA312" s="10"/>
    </row>
    <row r="313" spans="1:27" ht="12.5" x14ac:dyDescent="0.25">
      <c r="A313" s="10" t="s">
        <v>55</v>
      </c>
      <c r="B313" s="10" t="s">
        <v>744</v>
      </c>
      <c r="C313" s="10" t="s">
        <v>76</v>
      </c>
      <c r="D313" s="11">
        <v>2024</v>
      </c>
      <c r="E313" s="10" t="s">
        <v>124</v>
      </c>
      <c r="F313" s="10" t="s">
        <v>83</v>
      </c>
      <c r="G313" s="10" t="s">
        <v>84</v>
      </c>
      <c r="H313" s="12">
        <v>4553</v>
      </c>
      <c r="I313" s="11">
        <v>426</v>
      </c>
      <c r="J313" s="11">
        <v>266</v>
      </c>
      <c r="K313" s="11">
        <v>9817</v>
      </c>
      <c r="L313" s="11">
        <v>9.3564682626839493E-2</v>
      </c>
      <c r="M313" s="11">
        <f t="shared" si="1"/>
        <v>9.3564682626839453</v>
      </c>
      <c r="N313" s="11">
        <v>0.62441314553990601</v>
      </c>
      <c r="O313" s="11">
        <v>2.1561607731166301</v>
      </c>
      <c r="P313" s="11">
        <v>0.68074324324324298</v>
      </c>
      <c r="Q313" s="11">
        <v>0.63636363636363602</v>
      </c>
      <c r="R313" s="11">
        <v>0.55928411633109598</v>
      </c>
      <c r="S313" s="10" t="s">
        <v>84</v>
      </c>
      <c r="T313" s="10" t="s">
        <v>84</v>
      </c>
      <c r="U313" s="10"/>
      <c r="V313" s="10"/>
      <c r="W313" s="10"/>
      <c r="X313" s="10"/>
      <c r="Y313" s="10"/>
      <c r="Z313" s="10"/>
      <c r="AA313" s="10"/>
    </row>
    <row r="314" spans="1:27" ht="12.5" x14ac:dyDescent="0.25">
      <c r="A314" s="10" t="s">
        <v>26</v>
      </c>
      <c r="B314" s="10" t="s">
        <v>594</v>
      </c>
      <c r="C314" s="10" t="s">
        <v>76</v>
      </c>
      <c r="D314" s="11">
        <v>2024</v>
      </c>
      <c r="E314" s="10" t="s">
        <v>81</v>
      </c>
      <c r="F314" s="10" t="s">
        <v>83</v>
      </c>
      <c r="G314" s="10" t="s">
        <v>84</v>
      </c>
      <c r="H314" s="12">
        <v>36354.666666666701</v>
      </c>
      <c r="I314" s="11">
        <v>3398</v>
      </c>
      <c r="J314" s="11">
        <v>2845</v>
      </c>
      <c r="K314" s="11">
        <v>61949</v>
      </c>
      <c r="L314" s="11">
        <v>9.3468055453678603E-2</v>
      </c>
      <c r="M314" s="11">
        <f t="shared" si="1"/>
        <v>9.3468055453678485</v>
      </c>
      <c r="N314" s="11">
        <v>0.83725721012360199</v>
      </c>
      <c r="O314" s="11">
        <v>1.7040178243966799</v>
      </c>
      <c r="P314" s="11">
        <v>0.67989864864864902</v>
      </c>
      <c r="Q314" s="11">
        <v>0.34615384615384598</v>
      </c>
      <c r="R314" s="11">
        <v>0.74224806201550397</v>
      </c>
      <c r="S314" s="10" t="s">
        <v>84</v>
      </c>
      <c r="T314" s="10" t="s">
        <v>84</v>
      </c>
      <c r="U314" s="10"/>
      <c r="V314" s="10"/>
      <c r="W314" s="10"/>
      <c r="X314" s="10"/>
      <c r="Y314" s="10"/>
      <c r="Z314" s="10"/>
      <c r="AA314" s="10"/>
    </row>
    <row r="315" spans="1:27" ht="12.5" x14ac:dyDescent="0.25">
      <c r="A315" s="10" t="s">
        <v>58</v>
      </c>
      <c r="B315" s="10" t="s">
        <v>747</v>
      </c>
      <c r="C315" s="10" t="s">
        <v>76</v>
      </c>
      <c r="D315" s="11">
        <v>2024</v>
      </c>
      <c r="E315" s="10" t="s">
        <v>124</v>
      </c>
      <c r="F315" s="10" t="s">
        <v>83</v>
      </c>
      <c r="G315" s="10" t="s">
        <v>84</v>
      </c>
      <c r="H315" s="12">
        <v>6915.6666666666697</v>
      </c>
      <c r="I315" s="11">
        <v>646</v>
      </c>
      <c r="J315" s="11">
        <v>523</v>
      </c>
      <c r="K315" s="11">
        <v>4470</v>
      </c>
      <c r="L315" s="11">
        <v>9.3411095580083897E-2</v>
      </c>
      <c r="M315" s="11">
        <f t="shared" si="1"/>
        <v>9.3411095580083821</v>
      </c>
      <c r="N315" s="11">
        <v>0.80959752321981404</v>
      </c>
      <c r="O315" s="11">
        <v>0.64635850966404795</v>
      </c>
      <c r="P315" s="11">
        <v>0.67905405405405395</v>
      </c>
      <c r="Q315" s="11">
        <v>0.59459459459459496</v>
      </c>
      <c r="R315" s="11">
        <v>0.55704697986577201</v>
      </c>
      <c r="S315" s="10" t="s">
        <v>84</v>
      </c>
      <c r="T315" s="10" t="s">
        <v>84</v>
      </c>
      <c r="U315" s="10"/>
      <c r="V315" s="10"/>
      <c r="W315" s="10"/>
      <c r="X315" s="10"/>
      <c r="Y315" s="10"/>
      <c r="Z315" s="10"/>
      <c r="AA315" s="10"/>
    </row>
    <row r="316" spans="1:27" ht="12.5" x14ac:dyDescent="0.25">
      <c r="A316" s="10" t="s">
        <v>109</v>
      </c>
      <c r="B316" s="10" t="s">
        <v>596</v>
      </c>
      <c r="C316" s="10" t="s">
        <v>76</v>
      </c>
      <c r="D316" s="11">
        <v>2024</v>
      </c>
      <c r="E316" s="10" t="s">
        <v>81</v>
      </c>
      <c r="F316" s="10" t="s">
        <v>83</v>
      </c>
      <c r="G316" s="10" t="s">
        <v>84</v>
      </c>
      <c r="H316" s="12">
        <v>20159.916666666701</v>
      </c>
      <c r="I316" s="11">
        <v>1879</v>
      </c>
      <c r="J316" s="11">
        <v>1864</v>
      </c>
      <c r="K316" s="11">
        <v>2353</v>
      </c>
      <c r="L316" s="11">
        <v>9.3204750350323898E-2</v>
      </c>
      <c r="M316" s="11">
        <f t="shared" si="1"/>
        <v>9.3204750350323717</v>
      </c>
      <c r="N316" s="11">
        <v>0.99201703033528499</v>
      </c>
      <c r="O316" s="11">
        <v>0.11671675230139</v>
      </c>
      <c r="P316" s="11">
        <v>0.67820945945945899</v>
      </c>
      <c r="Q316" s="11">
        <v>0.72222222222222199</v>
      </c>
      <c r="R316" s="11">
        <v>0.74031007751938005</v>
      </c>
      <c r="S316" s="10" t="s">
        <v>84</v>
      </c>
      <c r="T316" s="10" t="s">
        <v>84</v>
      </c>
      <c r="U316" s="10"/>
      <c r="V316" s="10"/>
      <c r="W316" s="10"/>
      <c r="X316" s="10"/>
      <c r="Y316" s="10"/>
      <c r="Z316" s="10"/>
      <c r="AA316" s="10"/>
    </row>
    <row r="317" spans="1:27" ht="12.5" x14ac:dyDescent="0.25">
      <c r="A317" s="10" t="s">
        <v>34</v>
      </c>
      <c r="B317" s="10" t="s">
        <v>749</v>
      </c>
      <c r="C317" s="10" t="s">
        <v>76</v>
      </c>
      <c r="D317" s="11">
        <v>2024</v>
      </c>
      <c r="E317" s="10" t="s">
        <v>124</v>
      </c>
      <c r="F317" s="10" t="s">
        <v>83</v>
      </c>
      <c r="G317" s="10" t="s">
        <v>84</v>
      </c>
      <c r="H317" s="12">
        <v>5038.0833333333303</v>
      </c>
      <c r="I317" s="11">
        <v>468</v>
      </c>
      <c r="J317" s="11">
        <v>464</v>
      </c>
      <c r="K317" s="11">
        <v>15238</v>
      </c>
      <c r="L317" s="11">
        <v>9.2892469027573296E-2</v>
      </c>
      <c r="M317" s="11">
        <f t="shared" si="1"/>
        <v>9.2892469027573359</v>
      </c>
      <c r="N317" s="11">
        <v>0.99145299145299104</v>
      </c>
      <c r="O317" s="11">
        <v>3.0245629124832498</v>
      </c>
      <c r="P317" s="11">
        <v>0.67736486486486502</v>
      </c>
      <c r="Q317" s="11">
        <v>0.97959183673469397</v>
      </c>
      <c r="R317" s="11">
        <v>0.55480984340044703</v>
      </c>
      <c r="S317" s="10" t="s">
        <v>84</v>
      </c>
      <c r="T317" s="10" t="s">
        <v>84</v>
      </c>
      <c r="U317" s="10"/>
      <c r="V317" s="10"/>
      <c r="W317" s="10"/>
      <c r="X317" s="10"/>
      <c r="Y317" s="10"/>
      <c r="Z317" s="10"/>
      <c r="AA317" s="10"/>
    </row>
    <row r="318" spans="1:27" ht="12.5" x14ac:dyDescent="0.25">
      <c r="A318" s="10" t="s">
        <v>45</v>
      </c>
      <c r="B318" s="10" t="s">
        <v>751</v>
      </c>
      <c r="C318" s="10" t="s">
        <v>76</v>
      </c>
      <c r="D318" s="11">
        <v>2024</v>
      </c>
      <c r="E318" s="10" t="s">
        <v>124</v>
      </c>
      <c r="F318" s="10" t="s">
        <v>83</v>
      </c>
      <c r="G318" s="10" t="s">
        <v>84</v>
      </c>
      <c r="H318" s="12">
        <v>18868.333333333299</v>
      </c>
      <c r="I318" s="11">
        <v>1748</v>
      </c>
      <c r="J318" s="11">
        <v>1429</v>
      </c>
      <c r="K318" s="11">
        <v>11347</v>
      </c>
      <c r="L318" s="11">
        <v>9.2641992756823596E-2</v>
      </c>
      <c r="M318" s="11">
        <f t="shared" si="1"/>
        <v>9.2641992756823761</v>
      </c>
      <c r="N318" s="11">
        <v>0.81750572082379902</v>
      </c>
      <c r="O318" s="11">
        <v>0.60137797014397998</v>
      </c>
      <c r="P318" s="11">
        <v>0.67652027027026995</v>
      </c>
      <c r="Q318" s="11">
        <v>0.8</v>
      </c>
      <c r="R318" s="11">
        <v>0.55257270693512295</v>
      </c>
      <c r="S318" s="10" t="s">
        <v>84</v>
      </c>
      <c r="T318" s="10" t="s">
        <v>84</v>
      </c>
      <c r="U318" s="10"/>
      <c r="V318" s="10"/>
      <c r="W318" s="10"/>
      <c r="X318" s="10"/>
      <c r="Y318" s="10"/>
      <c r="Z318" s="10"/>
      <c r="AA318" s="10"/>
    </row>
    <row r="319" spans="1:27" ht="12.5" x14ac:dyDescent="0.25">
      <c r="A319" s="10" t="s">
        <v>58</v>
      </c>
      <c r="B319" s="10" t="s">
        <v>598</v>
      </c>
      <c r="C319" s="10" t="s">
        <v>76</v>
      </c>
      <c r="D319" s="11">
        <v>2024</v>
      </c>
      <c r="E319" s="10" t="s">
        <v>81</v>
      </c>
      <c r="F319" s="10" t="s">
        <v>83</v>
      </c>
      <c r="G319" s="10" t="s">
        <v>84</v>
      </c>
      <c r="H319" s="12">
        <v>23979.166666666701</v>
      </c>
      <c r="I319" s="11">
        <v>2218</v>
      </c>
      <c r="J319" s="11">
        <v>1876</v>
      </c>
      <c r="K319" s="11">
        <v>52608</v>
      </c>
      <c r="L319" s="11">
        <v>9.2496959165942694E-2</v>
      </c>
      <c r="M319" s="11">
        <f t="shared" si="1"/>
        <v>9.2496959165942521</v>
      </c>
      <c r="N319" s="11">
        <v>0.84580703336339003</v>
      </c>
      <c r="O319" s="11">
        <v>2.1939044309296301</v>
      </c>
      <c r="P319" s="11">
        <v>0.67567567567567599</v>
      </c>
      <c r="Q319" s="11">
        <v>0.56756756756756799</v>
      </c>
      <c r="R319" s="11">
        <v>0.73837209302325602</v>
      </c>
      <c r="S319" s="10" t="s">
        <v>84</v>
      </c>
      <c r="T319" s="10" t="s">
        <v>84</v>
      </c>
      <c r="U319" s="10"/>
      <c r="V319" s="10"/>
      <c r="W319" s="10"/>
      <c r="X319" s="10"/>
      <c r="Y319" s="10"/>
      <c r="Z319" s="10"/>
      <c r="AA319" s="10"/>
    </row>
    <row r="320" spans="1:27" ht="12.5" x14ac:dyDescent="0.25">
      <c r="A320" s="10" t="s">
        <v>52</v>
      </c>
      <c r="B320" s="10" t="s">
        <v>599</v>
      </c>
      <c r="C320" s="10" t="s">
        <v>76</v>
      </c>
      <c r="D320" s="11">
        <v>2024</v>
      </c>
      <c r="E320" s="10" t="s">
        <v>81</v>
      </c>
      <c r="F320" s="10" t="s">
        <v>83</v>
      </c>
      <c r="G320" s="10" t="s">
        <v>84</v>
      </c>
      <c r="H320" s="12">
        <v>72974</v>
      </c>
      <c r="I320" s="11">
        <v>6739</v>
      </c>
      <c r="J320" s="11">
        <v>6471</v>
      </c>
      <c r="K320" s="11">
        <v>15869</v>
      </c>
      <c r="L320" s="11">
        <v>9.2347959547236E-2</v>
      </c>
      <c r="M320" s="11">
        <f t="shared" si="1"/>
        <v>9.2347959547235998</v>
      </c>
      <c r="N320" s="11">
        <v>0.96023148835138705</v>
      </c>
      <c r="O320" s="11">
        <v>0.217461013511662</v>
      </c>
      <c r="P320" s="11">
        <v>0.67483108108108103</v>
      </c>
      <c r="Q320" s="11">
        <v>0.57446808510638303</v>
      </c>
      <c r="R320" s="11">
        <v>0.73643410852713198</v>
      </c>
      <c r="S320" s="10" t="s">
        <v>84</v>
      </c>
      <c r="T320" s="10" t="s">
        <v>84</v>
      </c>
      <c r="U320" s="10"/>
      <c r="V320" s="10"/>
      <c r="W320" s="10"/>
      <c r="X320" s="10"/>
      <c r="Y320" s="10"/>
      <c r="Z320" s="10"/>
      <c r="AA320" s="10"/>
    </row>
    <row r="321" spans="1:27" ht="12.5" x14ac:dyDescent="0.25">
      <c r="A321" s="10" t="s">
        <v>29</v>
      </c>
      <c r="B321" s="10" t="s">
        <v>754</v>
      </c>
      <c r="C321" s="10" t="s">
        <v>76</v>
      </c>
      <c r="D321" s="11">
        <v>2024</v>
      </c>
      <c r="E321" s="10" t="s">
        <v>124</v>
      </c>
      <c r="F321" s="10" t="s">
        <v>83</v>
      </c>
      <c r="G321" s="10" t="s">
        <v>84</v>
      </c>
      <c r="H321" s="12">
        <v>24081.25</v>
      </c>
      <c r="I321" s="11">
        <v>2220</v>
      </c>
      <c r="J321" s="11">
        <v>3789</v>
      </c>
      <c r="K321" s="11">
        <v>36022</v>
      </c>
      <c r="L321" s="11">
        <v>9.2187905528159905E-2</v>
      </c>
      <c r="M321" s="11">
        <f t="shared" si="1"/>
        <v>9.218790552815987</v>
      </c>
      <c r="N321" s="11">
        <v>1.7067567567567601</v>
      </c>
      <c r="O321" s="11">
        <v>1.49585258240332</v>
      </c>
      <c r="P321" s="11">
        <v>0.67398648648648696</v>
      </c>
      <c r="Q321" s="11">
        <v>0.40816326530612201</v>
      </c>
      <c r="R321" s="11">
        <v>0.55033557046979897</v>
      </c>
      <c r="S321" s="10" t="s">
        <v>84</v>
      </c>
      <c r="T321" s="10" t="s">
        <v>84</v>
      </c>
      <c r="U321" s="10"/>
      <c r="V321" s="10"/>
      <c r="W321" s="10"/>
      <c r="X321" s="10"/>
      <c r="Y321" s="10"/>
      <c r="Z321" s="10"/>
      <c r="AA321" s="10"/>
    </row>
    <row r="322" spans="1:27" ht="12.5" x14ac:dyDescent="0.25">
      <c r="A322" s="10" t="s">
        <v>62</v>
      </c>
      <c r="B322" s="10" t="s">
        <v>601</v>
      </c>
      <c r="C322" s="10" t="s">
        <v>76</v>
      </c>
      <c r="D322" s="11">
        <v>2024</v>
      </c>
      <c r="E322" s="10" t="s">
        <v>81</v>
      </c>
      <c r="F322" s="10" t="s">
        <v>83</v>
      </c>
      <c r="G322" s="10" t="s">
        <v>84</v>
      </c>
      <c r="H322" s="12">
        <v>11780.916666666701</v>
      </c>
      <c r="I322" s="11">
        <v>1081</v>
      </c>
      <c r="J322" s="11">
        <v>1016</v>
      </c>
      <c r="K322" s="11">
        <v>7075</v>
      </c>
      <c r="L322" s="11">
        <v>9.1758564344879806E-2</v>
      </c>
      <c r="M322" s="11">
        <f t="shared" si="1"/>
        <v>9.175856434487951</v>
      </c>
      <c r="N322" s="11">
        <v>0.93987049028677105</v>
      </c>
      <c r="O322" s="11">
        <v>0.60054749559669196</v>
      </c>
      <c r="P322" s="11">
        <v>0.67145270270270296</v>
      </c>
      <c r="Q322" s="11">
        <v>0.80555555555555602</v>
      </c>
      <c r="R322" s="11">
        <v>0.73449612403100795</v>
      </c>
      <c r="S322" s="10" t="s">
        <v>84</v>
      </c>
      <c r="T322" s="10" t="s">
        <v>84</v>
      </c>
      <c r="U322" s="10"/>
      <c r="V322" s="10"/>
      <c r="W322" s="10"/>
      <c r="X322" s="10"/>
      <c r="Y322" s="10"/>
      <c r="Z322" s="10"/>
      <c r="AA322" s="10"/>
    </row>
    <row r="323" spans="1:27" ht="12.5" x14ac:dyDescent="0.25">
      <c r="A323" s="10" t="s">
        <v>58</v>
      </c>
      <c r="B323" s="10" t="s">
        <v>603</v>
      </c>
      <c r="C323" s="10" t="s">
        <v>76</v>
      </c>
      <c r="D323" s="11">
        <v>2024</v>
      </c>
      <c r="E323" s="10" t="s">
        <v>81</v>
      </c>
      <c r="F323" s="10" t="s">
        <v>125</v>
      </c>
      <c r="G323" s="10" t="s">
        <v>84</v>
      </c>
      <c r="H323" s="12">
        <v>13891</v>
      </c>
      <c r="I323" s="11">
        <v>1273</v>
      </c>
      <c r="J323" s="11">
        <v>1171</v>
      </c>
      <c r="K323" s="11">
        <v>19562</v>
      </c>
      <c r="L323" s="11">
        <v>9.1642070405298398E-2</v>
      </c>
      <c r="M323" s="11">
        <f t="shared" si="1"/>
        <v>9.1642070405298401</v>
      </c>
      <c r="N323" s="11">
        <v>0.91987431264729003</v>
      </c>
      <c r="O323" s="11">
        <v>1.4082499460082101</v>
      </c>
      <c r="P323" s="11">
        <v>0.670608108108108</v>
      </c>
      <c r="Q323" s="11">
        <v>0.54054054054054101</v>
      </c>
      <c r="R323" s="11">
        <v>0.73255813953488402</v>
      </c>
      <c r="S323" s="10" t="s">
        <v>84</v>
      </c>
      <c r="T323" s="10" t="s">
        <v>84</v>
      </c>
      <c r="U323" s="10"/>
      <c r="V323" s="10"/>
      <c r="W323" s="10"/>
      <c r="X323" s="10"/>
      <c r="Y323" s="10"/>
      <c r="Z323" s="10"/>
      <c r="AA323" s="10"/>
    </row>
    <row r="324" spans="1:27" ht="12.5" x14ac:dyDescent="0.25">
      <c r="A324" s="10" t="s">
        <v>92</v>
      </c>
      <c r="B324" s="10" t="s">
        <v>756</v>
      </c>
      <c r="C324" s="10" t="s">
        <v>76</v>
      </c>
      <c r="D324" s="11">
        <v>2024</v>
      </c>
      <c r="E324" s="10" t="s">
        <v>124</v>
      </c>
      <c r="F324" s="10" t="s">
        <v>83</v>
      </c>
      <c r="G324" s="10" t="s">
        <v>84</v>
      </c>
      <c r="H324" s="12">
        <v>23198.25</v>
      </c>
      <c r="I324" s="11">
        <v>2119</v>
      </c>
      <c r="J324" s="11">
        <v>2119</v>
      </c>
      <c r="K324" s="11">
        <v>43803</v>
      </c>
      <c r="L324" s="11">
        <v>9.13430970008514E-2</v>
      </c>
      <c r="M324" s="11">
        <f t="shared" si="1"/>
        <v>9.1343097000851365</v>
      </c>
      <c r="N324" s="11">
        <v>1</v>
      </c>
      <c r="O324" s="11">
        <v>1.88820277391614</v>
      </c>
      <c r="P324" s="11">
        <v>0.66976351351351304</v>
      </c>
      <c r="Q324" s="11">
        <v>0.94444444444444398</v>
      </c>
      <c r="R324" s="11">
        <v>0.548098434004474</v>
      </c>
      <c r="S324" s="10" t="s">
        <v>84</v>
      </c>
      <c r="T324" s="10" t="s">
        <v>84</v>
      </c>
      <c r="U324" s="10"/>
      <c r="V324" s="10"/>
      <c r="W324" s="10"/>
      <c r="X324" s="10"/>
      <c r="Y324" s="10"/>
      <c r="Z324" s="10"/>
      <c r="AA324" s="10"/>
    </row>
    <row r="325" spans="1:27" ht="12.5" x14ac:dyDescent="0.25">
      <c r="A325" s="10" t="s">
        <v>58</v>
      </c>
      <c r="B325" s="10" t="s">
        <v>759</v>
      </c>
      <c r="C325" s="10" t="s">
        <v>76</v>
      </c>
      <c r="D325" s="11">
        <v>2024</v>
      </c>
      <c r="E325" s="10" t="s">
        <v>124</v>
      </c>
      <c r="F325" s="10" t="s">
        <v>83</v>
      </c>
      <c r="G325" s="10" t="s">
        <v>84</v>
      </c>
      <c r="H325" s="12">
        <v>4815.6666666666697</v>
      </c>
      <c r="I325" s="11">
        <v>439</v>
      </c>
      <c r="J325" s="11">
        <v>364</v>
      </c>
      <c r="K325" s="11">
        <v>2970</v>
      </c>
      <c r="L325" s="11">
        <v>9.11607946286426E-2</v>
      </c>
      <c r="M325" s="11">
        <f t="shared" si="1"/>
        <v>9.1160794628642563</v>
      </c>
      <c r="N325" s="11">
        <v>0.82915717539863298</v>
      </c>
      <c r="O325" s="11">
        <v>0.61673703883159103</v>
      </c>
      <c r="P325" s="11">
        <v>0.66891891891891897</v>
      </c>
      <c r="Q325" s="11">
        <v>0.51351351351351304</v>
      </c>
      <c r="R325" s="11">
        <v>0.54586129753915003</v>
      </c>
      <c r="S325" s="10" t="s">
        <v>84</v>
      </c>
      <c r="T325" s="10" t="s">
        <v>84</v>
      </c>
      <c r="U325" s="10"/>
      <c r="V325" s="10"/>
      <c r="W325" s="10"/>
      <c r="X325" s="10"/>
      <c r="Y325" s="10"/>
      <c r="Z325" s="10"/>
      <c r="AA325" s="10"/>
    </row>
    <row r="326" spans="1:27" ht="12.5" x14ac:dyDescent="0.25">
      <c r="A326" s="10" t="s">
        <v>58</v>
      </c>
      <c r="B326" s="10" t="s">
        <v>760</v>
      </c>
      <c r="C326" s="10" t="s">
        <v>76</v>
      </c>
      <c r="D326" s="11">
        <v>2024</v>
      </c>
      <c r="E326" s="10" t="s">
        <v>124</v>
      </c>
      <c r="F326" s="10" t="s">
        <v>125</v>
      </c>
      <c r="G326" s="10" t="s">
        <v>84</v>
      </c>
      <c r="H326" s="12">
        <v>2600.9166666666702</v>
      </c>
      <c r="I326" s="11">
        <v>237</v>
      </c>
      <c r="J326" s="11">
        <v>198</v>
      </c>
      <c r="K326" s="11">
        <v>5289</v>
      </c>
      <c r="L326" s="11">
        <v>9.1121719906443202E-2</v>
      </c>
      <c r="M326" s="11">
        <f t="shared" si="1"/>
        <v>9.1121719906443115</v>
      </c>
      <c r="N326" s="11">
        <v>0.835443037974684</v>
      </c>
      <c r="O326" s="11">
        <v>2.03351382525392</v>
      </c>
      <c r="P326" s="11">
        <v>0.66807432432432401</v>
      </c>
      <c r="Q326" s="11">
        <v>0.48648648648648701</v>
      </c>
      <c r="R326" s="11">
        <v>0.54362416107382505</v>
      </c>
      <c r="S326" s="10" t="s">
        <v>84</v>
      </c>
      <c r="T326" s="10" t="s">
        <v>84</v>
      </c>
      <c r="U326" s="10"/>
      <c r="V326" s="10"/>
      <c r="W326" s="10"/>
      <c r="X326" s="10"/>
      <c r="Y326" s="10"/>
      <c r="Z326" s="10"/>
      <c r="AA326" s="10"/>
    </row>
    <row r="327" spans="1:27" ht="12.5" x14ac:dyDescent="0.25">
      <c r="A327" s="10" t="s">
        <v>36</v>
      </c>
      <c r="B327" s="10" t="s">
        <v>605</v>
      </c>
      <c r="C327" s="10" t="s">
        <v>76</v>
      </c>
      <c r="D327" s="11">
        <v>2024</v>
      </c>
      <c r="E327" s="10" t="s">
        <v>81</v>
      </c>
      <c r="F327" s="10" t="s">
        <v>83</v>
      </c>
      <c r="G327" s="10" t="s">
        <v>84</v>
      </c>
      <c r="H327" s="12">
        <v>10676.166666666701</v>
      </c>
      <c r="I327" s="11">
        <v>972</v>
      </c>
      <c r="J327" s="11">
        <v>851</v>
      </c>
      <c r="K327" s="11">
        <v>0</v>
      </c>
      <c r="L327" s="11">
        <v>9.1043914014081198E-2</v>
      </c>
      <c r="M327" s="11">
        <f t="shared" si="1"/>
        <v>9.1043914014080922</v>
      </c>
      <c r="N327" s="11">
        <v>0.875514403292181</v>
      </c>
      <c r="O327" s="11">
        <v>0</v>
      </c>
      <c r="P327" s="11">
        <v>0.66722972972973005</v>
      </c>
      <c r="Q327" s="11">
        <v>0.42553191489361702</v>
      </c>
      <c r="R327" s="11">
        <v>0.73062015503875999</v>
      </c>
      <c r="S327" s="10" t="s">
        <v>84</v>
      </c>
      <c r="T327" s="10" t="s">
        <v>84</v>
      </c>
      <c r="U327" s="10"/>
      <c r="V327" s="10"/>
      <c r="W327" s="10"/>
      <c r="X327" s="10"/>
      <c r="Y327" s="10"/>
      <c r="Z327" s="10"/>
      <c r="AA327" s="10"/>
    </row>
    <row r="328" spans="1:27" ht="12.5" x14ac:dyDescent="0.25">
      <c r="A328" s="10" t="s">
        <v>49</v>
      </c>
      <c r="B328" s="10" t="s">
        <v>762</v>
      </c>
      <c r="C328" s="10" t="s">
        <v>76</v>
      </c>
      <c r="D328" s="11">
        <v>2024</v>
      </c>
      <c r="E328" s="10" t="s">
        <v>124</v>
      </c>
      <c r="F328" s="10" t="s">
        <v>83</v>
      </c>
      <c r="G328" s="10" t="s">
        <v>84</v>
      </c>
      <c r="H328" s="12">
        <v>11794.416666666701</v>
      </c>
      <c r="I328" s="11">
        <v>1073</v>
      </c>
      <c r="J328" s="11">
        <v>831</v>
      </c>
      <c r="K328" s="11">
        <v>14692</v>
      </c>
      <c r="L328" s="11">
        <v>9.0975249588435197E-2</v>
      </c>
      <c r="M328" s="11">
        <f t="shared" si="1"/>
        <v>9.0975249588434952</v>
      </c>
      <c r="N328" s="11">
        <v>0.774464119291705</v>
      </c>
      <c r="O328" s="11">
        <v>1.2456741537309299</v>
      </c>
      <c r="P328" s="11">
        <v>0.66638513513513498</v>
      </c>
      <c r="Q328" s="11">
        <v>0.80769230769230804</v>
      </c>
      <c r="R328" s="11">
        <v>0.54138702460850097</v>
      </c>
      <c r="S328" s="10" t="s">
        <v>84</v>
      </c>
      <c r="T328" s="10" t="s">
        <v>84</v>
      </c>
      <c r="U328" s="10"/>
      <c r="V328" s="10"/>
      <c r="W328" s="10"/>
      <c r="X328" s="10"/>
      <c r="Y328" s="10"/>
      <c r="Z328" s="10"/>
      <c r="AA328" s="10"/>
    </row>
    <row r="329" spans="1:27" ht="12.5" x14ac:dyDescent="0.25">
      <c r="A329" s="10" t="s">
        <v>55</v>
      </c>
      <c r="B329" s="10" t="s">
        <v>765</v>
      </c>
      <c r="C329" s="10" t="s">
        <v>76</v>
      </c>
      <c r="D329" s="11">
        <v>2024</v>
      </c>
      <c r="E329" s="10" t="s">
        <v>124</v>
      </c>
      <c r="F329" s="10" t="s">
        <v>125</v>
      </c>
      <c r="G329" s="10" t="s">
        <v>84</v>
      </c>
      <c r="H329" s="12">
        <v>1549.25</v>
      </c>
      <c r="I329" s="11">
        <v>140</v>
      </c>
      <c r="J329" s="11">
        <v>85</v>
      </c>
      <c r="K329" s="11">
        <v>2553</v>
      </c>
      <c r="L329" s="11">
        <v>9.0366306277230898E-2</v>
      </c>
      <c r="M329" s="11">
        <f t="shared" si="1"/>
        <v>9.0366306277230919</v>
      </c>
      <c r="N329" s="11">
        <v>0.60714285714285698</v>
      </c>
      <c r="O329" s="11">
        <v>1.64789414232693</v>
      </c>
      <c r="P329" s="11">
        <v>0.66469594594594605</v>
      </c>
      <c r="Q329" s="11">
        <v>0.59090909090909105</v>
      </c>
      <c r="R329" s="11">
        <v>0.53914988814317699</v>
      </c>
      <c r="S329" s="10" t="s">
        <v>84</v>
      </c>
      <c r="T329" s="10" t="s">
        <v>84</v>
      </c>
      <c r="U329" s="10"/>
      <c r="V329" s="10"/>
      <c r="W329" s="10"/>
      <c r="X329" s="10"/>
      <c r="Y329" s="10"/>
      <c r="Z329" s="10"/>
      <c r="AA329" s="10"/>
    </row>
    <row r="330" spans="1:27" ht="12.5" x14ac:dyDescent="0.25">
      <c r="A330" s="10" t="s">
        <v>58</v>
      </c>
      <c r="B330" s="10" t="s">
        <v>768</v>
      </c>
      <c r="C330" s="10" t="s">
        <v>76</v>
      </c>
      <c r="D330" s="11">
        <v>2024</v>
      </c>
      <c r="E330" s="10" t="s">
        <v>124</v>
      </c>
      <c r="F330" s="10" t="s">
        <v>83</v>
      </c>
      <c r="G330" s="10" t="s">
        <v>84</v>
      </c>
      <c r="H330" s="12">
        <v>18857.583333333299</v>
      </c>
      <c r="I330" s="11">
        <v>1701</v>
      </c>
      <c r="J330" s="11">
        <v>1385</v>
      </c>
      <c r="K330" s="11">
        <v>41139</v>
      </c>
      <c r="L330" s="11">
        <v>9.02024384531422E-2</v>
      </c>
      <c r="M330" s="11">
        <f t="shared" si="1"/>
        <v>9.0202438453142353</v>
      </c>
      <c r="N330" s="11">
        <v>0.81422692533803598</v>
      </c>
      <c r="O330" s="11">
        <v>2.1815626781445099</v>
      </c>
      <c r="P330" s="11">
        <v>0.66385135135135098</v>
      </c>
      <c r="Q330" s="11">
        <v>0.45945945945945998</v>
      </c>
      <c r="R330" s="11">
        <v>0.53691275167785202</v>
      </c>
      <c r="S330" s="10" t="s">
        <v>84</v>
      </c>
      <c r="T330" s="10" t="s">
        <v>84</v>
      </c>
      <c r="U330" s="10"/>
      <c r="V330" s="10"/>
      <c r="W330" s="10"/>
      <c r="X330" s="10"/>
      <c r="Y330" s="10"/>
      <c r="Z330" s="10"/>
      <c r="AA330" s="10"/>
    </row>
    <row r="331" spans="1:27" ht="12.5" x14ac:dyDescent="0.25">
      <c r="A331" s="10" t="s">
        <v>12</v>
      </c>
      <c r="B331" s="10" t="s">
        <v>608</v>
      </c>
      <c r="C331" s="10" t="s">
        <v>76</v>
      </c>
      <c r="D331" s="11">
        <v>2024</v>
      </c>
      <c r="E331" s="10" t="s">
        <v>81</v>
      </c>
      <c r="F331" s="10" t="s">
        <v>83</v>
      </c>
      <c r="G331" s="10" t="s">
        <v>84</v>
      </c>
      <c r="H331" s="12">
        <v>2917</v>
      </c>
      <c r="I331" s="11">
        <v>263</v>
      </c>
      <c r="J331" s="11">
        <v>257</v>
      </c>
      <c r="K331" s="11">
        <v>4918</v>
      </c>
      <c r="L331" s="11">
        <v>9.0161124442920806E-2</v>
      </c>
      <c r="M331" s="11">
        <f t="shared" si="1"/>
        <v>9.0161124442920801</v>
      </c>
      <c r="N331" s="11">
        <v>0.97718631178707205</v>
      </c>
      <c r="O331" s="11">
        <v>1.68597874528625</v>
      </c>
      <c r="P331" s="11">
        <v>0.66300675675675702</v>
      </c>
      <c r="Q331" s="11">
        <v>0.58333333333333304</v>
      </c>
      <c r="R331" s="11">
        <v>0.72674418604651203</v>
      </c>
      <c r="S331" s="10" t="s">
        <v>84</v>
      </c>
      <c r="T331" s="10" t="s">
        <v>84</v>
      </c>
      <c r="U331" s="10"/>
      <c r="V331" s="10"/>
      <c r="W331" s="10"/>
      <c r="X331" s="10"/>
      <c r="Y331" s="10"/>
      <c r="Z331" s="10"/>
      <c r="AA331" s="10"/>
    </row>
    <row r="332" spans="1:27" ht="12.5" x14ac:dyDescent="0.25">
      <c r="A332" s="10" t="s">
        <v>42</v>
      </c>
      <c r="B332" s="10" t="s">
        <v>770</v>
      </c>
      <c r="C332" s="10" t="s">
        <v>76</v>
      </c>
      <c r="D332" s="11">
        <v>2024</v>
      </c>
      <c r="E332" s="10" t="s">
        <v>124</v>
      </c>
      <c r="F332" s="10" t="s">
        <v>83</v>
      </c>
      <c r="G332" s="10" t="s">
        <v>84</v>
      </c>
      <c r="H332" s="12">
        <v>4989.25</v>
      </c>
      <c r="I332" s="11">
        <v>448</v>
      </c>
      <c r="J332" s="11">
        <v>379</v>
      </c>
      <c r="K332" s="11">
        <v>9580</v>
      </c>
      <c r="L332" s="11">
        <v>8.9793055068397007E-2</v>
      </c>
      <c r="M332" s="11">
        <f t="shared" si="1"/>
        <v>8.9793055068397045</v>
      </c>
      <c r="N332" s="11">
        <v>0.84598214285714302</v>
      </c>
      <c r="O332" s="11">
        <v>1.9201282757929501</v>
      </c>
      <c r="P332" s="11">
        <v>0.66216216216216195</v>
      </c>
      <c r="Q332" s="11">
        <v>0.66666666666666696</v>
      </c>
      <c r="R332" s="11">
        <v>0.53467561521252804</v>
      </c>
      <c r="S332" s="10" t="s">
        <v>84</v>
      </c>
      <c r="T332" s="10" t="s">
        <v>84</v>
      </c>
      <c r="U332" s="10"/>
      <c r="V332" s="10"/>
      <c r="W332" s="10"/>
      <c r="X332" s="10"/>
      <c r="Y332" s="10"/>
      <c r="Z332" s="10"/>
      <c r="AA332" s="10"/>
    </row>
    <row r="333" spans="1:27" ht="12.5" x14ac:dyDescent="0.25">
      <c r="A333" s="10" t="s">
        <v>14</v>
      </c>
      <c r="B333" s="10" t="s">
        <v>772</v>
      </c>
      <c r="C333" s="10" t="s">
        <v>76</v>
      </c>
      <c r="D333" s="11">
        <v>2024</v>
      </c>
      <c r="E333" s="10" t="s">
        <v>124</v>
      </c>
      <c r="F333" s="10" t="s">
        <v>83</v>
      </c>
      <c r="G333" s="10" t="s">
        <v>84</v>
      </c>
      <c r="H333" s="12">
        <v>71737.166666666701</v>
      </c>
      <c r="I333" s="11">
        <v>6423</v>
      </c>
      <c r="J333" s="11">
        <v>6557</v>
      </c>
      <c r="K333" s="11">
        <v>0</v>
      </c>
      <c r="L333" s="11">
        <v>8.95351781851806E-2</v>
      </c>
      <c r="M333" s="11">
        <f t="shared" si="1"/>
        <v>8.9535178185180584</v>
      </c>
      <c r="N333" s="11">
        <v>1.0208625252996999</v>
      </c>
      <c r="O333" s="11">
        <v>0</v>
      </c>
      <c r="P333" s="11">
        <v>0.66131756756756799</v>
      </c>
      <c r="Q333" s="11">
        <v>0.32142857142857101</v>
      </c>
      <c r="R333" s="11">
        <v>0.53243847874720396</v>
      </c>
      <c r="S333" s="10" t="s">
        <v>84</v>
      </c>
      <c r="T333" s="10" t="s">
        <v>84</v>
      </c>
      <c r="U333" s="10"/>
      <c r="V333" s="10"/>
      <c r="W333" s="10"/>
      <c r="X333" s="10"/>
      <c r="Y333" s="10"/>
      <c r="Z333" s="10"/>
      <c r="AA333" s="10"/>
    </row>
    <row r="334" spans="1:27" ht="12.5" x14ac:dyDescent="0.25">
      <c r="A334" s="10" t="s">
        <v>86</v>
      </c>
      <c r="B334" s="10" t="s">
        <v>611</v>
      </c>
      <c r="C334" s="10" t="s">
        <v>76</v>
      </c>
      <c r="D334" s="11">
        <v>2024</v>
      </c>
      <c r="E334" s="10" t="s">
        <v>81</v>
      </c>
      <c r="F334" s="10" t="s">
        <v>83</v>
      </c>
      <c r="G334" s="10" t="s">
        <v>84</v>
      </c>
      <c r="H334" s="12">
        <v>41496.166666666701</v>
      </c>
      <c r="I334" s="11">
        <v>3693</v>
      </c>
      <c r="J334" s="11">
        <v>3289</v>
      </c>
      <c r="K334" s="11">
        <v>79029</v>
      </c>
      <c r="L334" s="11">
        <v>8.8996172337203805E-2</v>
      </c>
      <c r="M334" s="11">
        <f t="shared" si="1"/>
        <v>8.8996172337203756</v>
      </c>
      <c r="N334" s="11">
        <v>0.890603845112375</v>
      </c>
      <c r="O334" s="11">
        <v>1.9044891696823401</v>
      </c>
      <c r="P334" s="11">
        <v>0.66047297297297303</v>
      </c>
      <c r="Q334" s="11">
        <v>0.47826086956521702</v>
      </c>
      <c r="R334" s="11">
        <v>0.724806201550388</v>
      </c>
      <c r="S334" s="10" t="s">
        <v>84</v>
      </c>
      <c r="T334" s="10" t="s">
        <v>84</v>
      </c>
      <c r="U334" s="10"/>
      <c r="V334" s="10"/>
      <c r="W334" s="10"/>
      <c r="X334" s="10"/>
      <c r="Y334" s="10"/>
      <c r="Z334" s="10"/>
      <c r="AA334" s="10"/>
    </row>
    <row r="335" spans="1:27" ht="12.5" x14ac:dyDescent="0.25">
      <c r="A335" s="10" t="s">
        <v>32</v>
      </c>
      <c r="B335" s="10" t="s">
        <v>775</v>
      </c>
      <c r="C335" s="10" t="s">
        <v>76</v>
      </c>
      <c r="D335" s="11">
        <v>2024</v>
      </c>
      <c r="E335" s="10" t="s">
        <v>124</v>
      </c>
      <c r="F335" s="10" t="s">
        <v>125</v>
      </c>
      <c r="G335" s="10" t="s">
        <v>84</v>
      </c>
      <c r="H335" s="12">
        <v>2663.0833333333298</v>
      </c>
      <c r="I335" s="11">
        <v>236</v>
      </c>
      <c r="J335" s="11">
        <v>181</v>
      </c>
      <c r="K335" s="11">
        <v>55</v>
      </c>
      <c r="L335" s="11">
        <v>8.8619081891291404E-2</v>
      </c>
      <c r="M335" s="11">
        <f t="shared" si="1"/>
        <v>8.8619081891291547</v>
      </c>
      <c r="N335" s="11">
        <v>0.76694915254237295</v>
      </c>
      <c r="O335" s="11">
        <v>2.0652752135682299E-2</v>
      </c>
      <c r="P335" s="11">
        <v>0.65962837837837796</v>
      </c>
      <c r="Q335" s="11">
        <v>0.41379310344827602</v>
      </c>
      <c r="R335" s="11">
        <v>0.53020134228187898</v>
      </c>
      <c r="S335" s="10" t="s">
        <v>84</v>
      </c>
      <c r="T335" s="10" t="s">
        <v>84</v>
      </c>
      <c r="U335" s="10"/>
      <c r="V335" s="10"/>
      <c r="W335" s="10"/>
      <c r="X335" s="10"/>
      <c r="Y335" s="10"/>
      <c r="Z335" s="10"/>
      <c r="AA335" s="10"/>
    </row>
    <row r="336" spans="1:27" ht="12.5" x14ac:dyDescent="0.25">
      <c r="A336" s="10" t="s">
        <v>36</v>
      </c>
      <c r="B336" s="10" t="s">
        <v>612</v>
      </c>
      <c r="C336" s="10" t="s">
        <v>76</v>
      </c>
      <c r="D336" s="11">
        <v>2024</v>
      </c>
      <c r="E336" s="10" t="s">
        <v>81</v>
      </c>
      <c r="F336" s="10" t="s">
        <v>83</v>
      </c>
      <c r="G336" s="10" t="s">
        <v>84</v>
      </c>
      <c r="H336" s="12">
        <v>15199.833333333299</v>
      </c>
      <c r="I336" s="11">
        <v>1343</v>
      </c>
      <c r="J336" s="11">
        <v>1176</v>
      </c>
      <c r="K336" s="11">
        <v>38838</v>
      </c>
      <c r="L336" s="11">
        <v>8.83562319762278E-2</v>
      </c>
      <c r="M336" s="11">
        <f t="shared" si="1"/>
        <v>8.8356231976228017</v>
      </c>
      <c r="N336" s="11">
        <v>0.87565152643335797</v>
      </c>
      <c r="O336" s="11">
        <v>2.5551595960481999</v>
      </c>
      <c r="P336" s="11">
        <v>0.65878378378378399</v>
      </c>
      <c r="Q336" s="11">
        <v>0.40425531914893598</v>
      </c>
      <c r="R336" s="11">
        <v>0.72286821705426396</v>
      </c>
      <c r="S336" s="10" t="s">
        <v>84</v>
      </c>
      <c r="T336" s="10" t="s">
        <v>84</v>
      </c>
      <c r="U336" s="10"/>
      <c r="V336" s="10"/>
      <c r="W336" s="10"/>
      <c r="X336" s="10"/>
      <c r="Y336" s="10"/>
      <c r="Z336" s="10"/>
      <c r="AA336" s="10"/>
    </row>
    <row r="337" spans="1:27" ht="12.5" x14ac:dyDescent="0.25">
      <c r="A337" s="10" t="s">
        <v>19</v>
      </c>
      <c r="B337" s="10" t="s">
        <v>614</v>
      </c>
      <c r="C337" s="10" t="s">
        <v>76</v>
      </c>
      <c r="D337" s="11">
        <v>2024</v>
      </c>
      <c r="E337" s="10" t="s">
        <v>81</v>
      </c>
      <c r="F337" s="10" t="s">
        <v>83</v>
      </c>
      <c r="G337" s="10" t="s">
        <v>84</v>
      </c>
      <c r="H337" s="12">
        <v>9488</v>
      </c>
      <c r="I337" s="11">
        <v>838</v>
      </c>
      <c r="J337" s="11">
        <v>620</v>
      </c>
      <c r="K337" s="11">
        <v>0</v>
      </c>
      <c r="L337" s="11">
        <v>8.8322091062394595E-2</v>
      </c>
      <c r="M337" s="11">
        <f t="shared" si="1"/>
        <v>8.8322091062394605</v>
      </c>
      <c r="N337" s="11">
        <v>0.73985680190930803</v>
      </c>
      <c r="O337" s="11">
        <v>0</v>
      </c>
      <c r="P337" s="11">
        <v>0.65793918918918903</v>
      </c>
      <c r="Q337" s="11">
        <v>0.44444444444444398</v>
      </c>
      <c r="R337" s="11">
        <v>0.72093023255814004</v>
      </c>
      <c r="S337" s="10" t="s">
        <v>84</v>
      </c>
      <c r="T337" s="10" t="s">
        <v>84</v>
      </c>
      <c r="U337" s="10"/>
      <c r="V337" s="10"/>
      <c r="W337" s="10"/>
      <c r="X337" s="10"/>
      <c r="Y337" s="10"/>
      <c r="Z337" s="10"/>
      <c r="AA337" s="10"/>
    </row>
    <row r="338" spans="1:27" ht="12.5" x14ac:dyDescent="0.25">
      <c r="A338" s="10" t="s">
        <v>98</v>
      </c>
      <c r="B338" s="10" t="s">
        <v>778</v>
      </c>
      <c r="C338" s="10" t="s">
        <v>76</v>
      </c>
      <c r="D338" s="11">
        <v>2024</v>
      </c>
      <c r="E338" s="10" t="s">
        <v>124</v>
      </c>
      <c r="F338" s="10" t="s">
        <v>83</v>
      </c>
      <c r="G338" s="10" t="s">
        <v>84</v>
      </c>
      <c r="H338" s="12">
        <v>15076.166666666701</v>
      </c>
      <c r="I338" s="11">
        <v>1331</v>
      </c>
      <c r="J338" s="11">
        <v>1093</v>
      </c>
      <c r="K338" s="11">
        <v>1455</v>
      </c>
      <c r="L338" s="11">
        <v>8.8285041511436402E-2</v>
      </c>
      <c r="M338" s="11">
        <f t="shared" si="1"/>
        <v>8.8285041511436173</v>
      </c>
      <c r="N338" s="11">
        <v>0.82118707738542496</v>
      </c>
      <c r="O338" s="11">
        <v>9.6509943951269703E-2</v>
      </c>
      <c r="P338" s="11">
        <v>0.65709459459459496</v>
      </c>
      <c r="Q338" s="11">
        <v>1</v>
      </c>
      <c r="R338" s="11">
        <v>0.52796420581655501</v>
      </c>
      <c r="S338" s="10" t="s">
        <v>84</v>
      </c>
      <c r="T338" s="10" t="s">
        <v>84</v>
      </c>
      <c r="U338" s="10"/>
      <c r="V338" s="10"/>
      <c r="W338" s="10"/>
      <c r="X338" s="10"/>
      <c r="Y338" s="10"/>
      <c r="Z338" s="10"/>
      <c r="AA338" s="10"/>
    </row>
    <row r="339" spans="1:27" ht="12.5" x14ac:dyDescent="0.25">
      <c r="A339" s="10" t="s">
        <v>109</v>
      </c>
      <c r="B339" s="10" t="s">
        <v>781</v>
      </c>
      <c r="C339" s="10" t="s">
        <v>76</v>
      </c>
      <c r="D339" s="11">
        <v>2024</v>
      </c>
      <c r="E339" s="10" t="s">
        <v>124</v>
      </c>
      <c r="F339" s="10" t="s">
        <v>83</v>
      </c>
      <c r="G339" s="10" t="s">
        <v>84</v>
      </c>
      <c r="H339" s="12">
        <v>2803.5833333333298</v>
      </c>
      <c r="I339" s="11">
        <v>247</v>
      </c>
      <c r="J339" s="11">
        <v>213</v>
      </c>
      <c r="K339" s="11">
        <v>1489</v>
      </c>
      <c r="L339" s="11">
        <v>8.8101536723835597E-2</v>
      </c>
      <c r="M339" s="11">
        <f t="shared" si="1"/>
        <v>8.8101536723835672</v>
      </c>
      <c r="N339" s="11">
        <v>0.86234817813765197</v>
      </c>
      <c r="O339" s="11">
        <v>0.53110602502749504</v>
      </c>
      <c r="P339" s="11">
        <v>0.65625</v>
      </c>
      <c r="Q339" s="11">
        <v>0.66666666666666696</v>
      </c>
      <c r="R339" s="11">
        <v>0.52572706935123004</v>
      </c>
      <c r="S339" s="10" t="s">
        <v>84</v>
      </c>
      <c r="T339" s="10" t="s">
        <v>84</v>
      </c>
      <c r="U339" s="10"/>
      <c r="V339" s="10"/>
      <c r="W339" s="10"/>
      <c r="X339" s="10"/>
      <c r="Y339" s="10"/>
      <c r="Z339" s="10"/>
      <c r="AA339" s="10"/>
    </row>
    <row r="340" spans="1:27" ht="12.5" x14ac:dyDescent="0.25">
      <c r="A340" s="10" t="s">
        <v>110</v>
      </c>
      <c r="B340" s="10" t="s">
        <v>783</v>
      </c>
      <c r="C340" s="10" t="s">
        <v>76</v>
      </c>
      <c r="D340" s="11">
        <v>2024</v>
      </c>
      <c r="E340" s="10" t="s">
        <v>124</v>
      </c>
      <c r="F340" s="10" t="s">
        <v>83</v>
      </c>
      <c r="G340" s="10" t="s">
        <v>84</v>
      </c>
      <c r="H340" s="12">
        <v>29002.416666666701</v>
      </c>
      <c r="I340" s="11">
        <v>2532</v>
      </c>
      <c r="J340" s="11">
        <v>2266</v>
      </c>
      <c r="K340" s="11">
        <v>8073</v>
      </c>
      <c r="L340" s="11">
        <v>8.73030695717886E-2</v>
      </c>
      <c r="M340" s="11">
        <f t="shared" si="1"/>
        <v>8.730306957178847</v>
      </c>
      <c r="N340" s="11">
        <v>0.89494470774091595</v>
      </c>
      <c r="O340" s="11">
        <v>0.278356114001994</v>
      </c>
      <c r="P340" s="11">
        <v>0.65540540540540504</v>
      </c>
      <c r="Q340" s="11">
        <v>0.81818181818181801</v>
      </c>
      <c r="R340" s="11">
        <v>0.52348993288590595</v>
      </c>
      <c r="S340" s="10" t="s">
        <v>84</v>
      </c>
      <c r="T340" s="10" t="s">
        <v>84</v>
      </c>
      <c r="U340" s="10"/>
      <c r="V340" s="10"/>
      <c r="W340" s="10"/>
      <c r="X340" s="10"/>
      <c r="Y340" s="10"/>
      <c r="Z340" s="10"/>
      <c r="AA340" s="10"/>
    </row>
    <row r="341" spans="1:27" ht="12.5" x14ac:dyDescent="0.25">
      <c r="A341" s="10" t="s">
        <v>12</v>
      </c>
      <c r="B341" s="10" t="s">
        <v>617</v>
      </c>
      <c r="C341" s="10" t="s">
        <v>76</v>
      </c>
      <c r="D341" s="11">
        <v>2024</v>
      </c>
      <c r="E341" s="10" t="s">
        <v>81</v>
      </c>
      <c r="F341" s="10" t="s">
        <v>83</v>
      </c>
      <c r="G341" s="10" t="s">
        <v>84</v>
      </c>
      <c r="H341" s="12">
        <v>14015.333333333299</v>
      </c>
      <c r="I341" s="11">
        <v>1223</v>
      </c>
      <c r="J341" s="11">
        <v>1260</v>
      </c>
      <c r="K341" s="11">
        <v>1446</v>
      </c>
      <c r="L341" s="11">
        <v>8.7261570660704904E-2</v>
      </c>
      <c r="M341" s="11">
        <f t="shared" si="1"/>
        <v>8.726157066070515</v>
      </c>
      <c r="N341" s="11">
        <v>1.0302534750613199</v>
      </c>
      <c r="O341" s="11">
        <v>0.10317271559720299</v>
      </c>
      <c r="P341" s="11">
        <v>0.65456081081081097</v>
      </c>
      <c r="Q341" s="11">
        <v>0.56944444444444398</v>
      </c>
      <c r="R341" s="11">
        <v>0.718992248062015</v>
      </c>
      <c r="S341" s="10" t="s">
        <v>84</v>
      </c>
      <c r="T341" s="10" t="s">
        <v>84</v>
      </c>
      <c r="U341" s="10"/>
      <c r="V341" s="10"/>
      <c r="W341" s="10"/>
      <c r="X341" s="10"/>
      <c r="Y341" s="10"/>
      <c r="Z341" s="10"/>
      <c r="AA341" s="10"/>
    </row>
    <row r="342" spans="1:27" ht="12.5" x14ac:dyDescent="0.25">
      <c r="A342" s="10" t="s">
        <v>42</v>
      </c>
      <c r="B342" s="10" t="s">
        <v>619</v>
      </c>
      <c r="C342" s="10" t="s">
        <v>76</v>
      </c>
      <c r="D342" s="11">
        <v>2024</v>
      </c>
      <c r="E342" s="10" t="s">
        <v>81</v>
      </c>
      <c r="F342" s="10" t="s">
        <v>83</v>
      </c>
      <c r="G342" s="10" t="s">
        <v>84</v>
      </c>
      <c r="H342" s="12">
        <v>23220.916666666701</v>
      </c>
      <c r="I342" s="11">
        <v>2018</v>
      </c>
      <c r="J342" s="11">
        <v>1939</v>
      </c>
      <c r="K342" s="11">
        <v>0</v>
      </c>
      <c r="L342" s="11">
        <v>8.69044073051954E-2</v>
      </c>
      <c r="M342" s="11">
        <f t="shared" si="1"/>
        <v>8.6904407305195264</v>
      </c>
      <c r="N342" s="11">
        <v>0.96085232903865203</v>
      </c>
      <c r="O342" s="11">
        <v>0</v>
      </c>
      <c r="P342" s="11">
        <v>0.65371621621621601</v>
      </c>
      <c r="Q342" s="11">
        <v>0.64285714285714302</v>
      </c>
      <c r="R342" s="11">
        <v>0.71705426356589197</v>
      </c>
      <c r="S342" s="10" t="s">
        <v>84</v>
      </c>
      <c r="T342" s="10" t="s">
        <v>84</v>
      </c>
      <c r="U342" s="10"/>
      <c r="V342" s="10"/>
      <c r="W342" s="10"/>
      <c r="X342" s="10"/>
      <c r="Y342" s="10"/>
      <c r="Z342" s="10"/>
      <c r="AA342" s="10"/>
    </row>
    <row r="343" spans="1:27" ht="12.5" x14ac:dyDescent="0.25">
      <c r="A343" s="10" t="s">
        <v>36</v>
      </c>
      <c r="B343" s="10" t="s">
        <v>786</v>
      </c>
      <c r="C343" s="10" t="s">
        <v>76</v>
      </c>
      <c r="D343" s="11">
        <v>2024</v>
      </c>
      <c r="E343" s="10" t="s">
        <v>124</v>
      </c>
      <c r="F343" s="10" t="s">
        <v>83</v>
      </c>
      <c r="G343" s="10" t="s">
        <v>84</v>
      </c>
      <c r="H343" s="12">
        <v>4062.5833333333298</v>
      </c>
      <c r="I343" s="11">
        <v>353</v>
      </c>
      <c r="J343" s="11">
        <v>353</v>
      </c>
      <c r="K343" s="11">
        <v>0</v>
      </c>
      <c r="L343" s="11">
        <v>8.6890525322557505E-2</v>
      </c>
      <c r="M343" s="11">
        <f t="shared" si="1"/>
        <v>8.6890525322557561</v>
      </c>
      <c r="N343" s="11">
        <v>1</v>
      </c>
      <c r="O343" s="11">
        <v>0</v>
      </c>
      <c r="P343" s="11">
        <v>0.65287162162162204</v>
      </c>
      <c r="Q343" s="11">
        <v>0.38297872340425498</v>
      </c>
      <c r="R343" s="11">
        <v>0.52125279642058198</v>
      </c>
      <c r="S343" s="10" t="s">
        <v>84</v>
      </c>
      <c r="T343" s="10" t="s">
        <v>84</v>
      </c>
      <c r="U343" s="10"/>
      <c r="V343" s="10"/>
      <c r="W343" s="10"/>
      <c r="X343" s="10"/>
      <c r="Y343" s="10"/>
      <c r="Z343" s="10"/>
      <c r="AA343" s="10"/>
    </row>
    <row r="344" spans="1:27" ht="12.5" x14ac:dyDescent="0.25">
      <c r="A344" s="10" t="s">
        <v>12</v>
      </c>
      <c r="B344" s="10" t="s">
        <v>621</v>
      </c>
      <c r="C344" s="10" t="s">
        <v>76</v>
      </c>
      <c r="D344" s="11">
        <v>2024</v>
      </c>
      <c r="E344" s="10" t="s">
        <v>81</v>
      </c>
      <c r="F344" s="10" t="s">
        <v>83</v>
      </c>
      <c r="G344" s="10" t="s">
        <v>84</v>
      </c>
      <c r="H344" s="12">
        <v>17925.166666666701</v>
      </c>
      <c r="I344" s="11">
        <v>1554</v>
      </c>
      <c r="J344" s="11">
        <v>1295</v>
      </c>
      <c r="K344" s="11">
        <v>9725</v>
      </c>
      <c r="L344" s="11">
        <v>8.6693754590845301E-2</v>
      </c>
      <c r="M344" s="11">
        <f t="shared" si="1"/>
        <v>8.6693754590845113</v>
      </c>
      <c r="N344" s="11">
        <v>0.83333333333333304</v>
      </c>
      <c r="O344" s="11">
        <v>0.54253330977861702</v>
      </c>
      <c r="P344" s="11">
        <v>0.65202702702702697</v>
      </c>
      <c r="Q344" s="11">
        <v>0.55555555555555602</v>
      </c>
      <c r="R344" s="11">
        <v>0.71511627906976705</v>
      </c>
      <c r="S344" s="10" t="s">
        <v>84</v>
      </c>
      <c r="T344" s="10" t="s">
        <v>84</v>
      </c>
      <c r="U344" s="10"/>
      <c r="V344" s="10"/>
      <c r="W344" s="10"/>
      <c r="X344" s="10"/>
      <c r="Y344" s="10"/>
      <c r="Z344" s="10"/>
      <c r="AA344" s="10"/>
    </row>
    <row r="345" spans="1:27" ht="12.5" x14ac:dyDescent="0.25">
      <c r="A345" s="10" t="s">
        <v>62</v>
      </c>
      <c r="B345" s="10" t="s">
        <v>624</v>
      </c>
      <c r="C345" s="10" t="s">
        <v>76</v>
      </c>
      <c r="D345" s="11">
        <v>2024</v>
      </c>
      <c r="E345" s="10" t="s">
        <v>81</v>
      </c>
      <c r="F345" s="10" t="s">
        <v>83</v>
      </c>
      <c r="G345" s="10" t="s">
        <v>84</v>
      </c>
      <c r="H345" s="12">
        <v>16087.666666666701</v>
      </c>
      <c r="I345" s="11">
        <v>1392</v>
      </c>
      <c r="J345" s="11">
        <v>1175</v>
      </c>
      <c r="K345" s="11">
        <v>12843</v>
      </c>
      <c r="L345" s="11">
        <v>8.65259101174813E-2</v>
      </c>
      <c r="M345" s="11">
        <f t="shared" si="1"/>
        <v>8.6525910117481111</v>
      </c>
      <c r="N345" s="11">
        <v>0.84410919540229901</v>
      </c>
      <c r="O345" s="11">
        <v>0.79831340778650295</v>
      </c>
      <c r="P345" s="11">
        <v>0.65118243243243201</v>
      </c>
      <c r="Q345" s="11">
        <v>0.77777777777777801</v>
      </c>
      <c r="R345" s="11">
        <v>0.71317829457364301</v>
      </c>
      <c r="S345" s="10" t="s">
        <v>84</v>
      </c>
      <c r="T345" s="10" t="s">
        <v>84</v>
      </c>
      <c r="U345" s="10"/>
      <c r="V345" s="10"/>
      <c r="W345" s="10"/>
      <c r="X345" s="10"/>
      <c r="Y345" s="10"/>
      <c r="Z345" s="10"/>
      <c r="AA345" s="10"/>
    </row>
    <row r="346" spans="1:27" ht="12.5" x14ac:dyDescent="0.25">
      <c r="A346" s="10" t="s">
        <v>42</v>
      </c>
      <c r="B346" s="10" t="s">
        <v>626</v>
      </c>
      <c r="C346" s="10" t="s">
        <v>76</v>
      </c>
      <c r="D346" s="11">
        <v>2024</v>
      </c>
      <c r="E346" s="10" t="s">
        <v>81</v>
      </c>
      <c r="F346" s="10" t="s">
        <v>83</v>
      </c>
      <c r="G346" s="10" t="s">
        <v>84</v>
      </c>
      <c r="H346" s="12">
        <v>35779.333333333299</v>
      </c>
      <c r="I346" s="11">
        <v>3072</v>
      </c>
      <c r="J346" s="11">
        <v>2185</v>
      </c>
      <c r="K346" s="11">
        <v>224</v>
      </c>
      <c r="L346" s="11">
        <v>8.5859621010266604E-2</v>
      </c>
      <c r="M346" s="11">
        <f t="shared" si="1"/>
        <v>8.5859621010266718</v>
      </c>
      <c r="N346" s="11">
        <v>0.71126302083333304</v>
      </c>
      <c r="O346" s="11">
        <v>6.2605973653319397E-3</v>
      </c>
      <c r="P346" s="11">
        <v>0.65033783783783805</v>
      </c>
      <c r="Q346" s="11">
        <v>0.61904761904761896</v>
      </c>
      <c r="R346" s="11">
        <v>0.71124031007751898</v>
      </c>
      <c r="S346" s="10" t="s">
        <v>84</v>
      </c>
      <c r="T346" s="10" t="s">
        <v>84</v>
      </c>
      <c r="U346" s="10"/>
      <c r="V346" s="10"/>
      <c r="W346" s="10"/>
      <c r="X346" s="10"/>
      <c r="Y346" s="10"/>
      <c r="Z346" s="10"/>
      <c r="AA346" s="10"/>
    </row>
    <row r="347" spans="1:27" ht="12.5" x14ac:dyDescent="0.25">
      <c r="A347" s="10" t="s">
        <v>6</v>
      </c>
      <c r="B347" s="10" t="s">
        <v>788</v>
      </c>
      <c r="C347" s="10" t="s">
        <v>76</v>
      </c>
      <c r="D347" s="11">
        <v>2024</v>
      </c>
      <c r="E347" s="10" t="s">
        <v>124</v>
      </c>
      <c r="F347" s="10" t="s">
        <v>125</v>
      </c>
      <c r="G347" s="10" t="s">
        <v>84</v>
      </c>
      <c r="H347" s="12">
        <v>2096.9166666666702</v>
      </c>
      <c r="I347" s="11">
        <v>177</v>
      </c>
      <c r="J347" s="11">
        <v>142</v>
      </c>
      <c r="K347" s="11">
        <v>2922</v>
      </c>
      <c r="L347" s="11">
        <v>8.4409649087946598E-2</v>
      </c>
      <c r="M347" s="11">
        <f t="shared" si="1"/>
        <v>8.4409649087946441</v>
      </c>
      <c r="N347" s="11">
        <v>0.80225988700564999</v>
      </c>
      <c r="O347" s="11">
        <v>1.3934745459603399</v>
      </c>
      <c r="P347" s="11">
        <v>0.64949324324324298</v>
      </c>
      <c r="Q347" s="11">
        <v>0.77419354838709697</v>
      </c>
      <c r="R347" s="11">
        <v>0.519015659955257</v>
      </c>
      <c r="S347" s="10" t="s">
        <v>84</v>
      </c>
      <c r="T347" s="10" t="s">
        <v>84</v>
      </c>
      <c r="U347" s="10"/>
      <c r="V347" s="10"/>
      <c r="W347" s="10"/>
      <c r="X347" s="10"/>
      <c r="Y347" s="10"/>
      <c r="Z347" s="10"/>
      <c r="AA347" s="10"/>
    </row>
    <row r="348" spans="1:27" ht="12.5" x14ac:dyDescent="0.25">
      <c r="A348" s="10" t="s">
        <v>82</v>
      </c>
      <c r="B348" s="10" t="s">
        <v>790</v>
      </c>
      <c r="C348" s="10" t="s">
        <v>76</v>
      </c>
      <c r="D348" s="11">
        <v>2024</v>
      </c>
      <c r="E348" s="10" t="s">
        <v>124</v>
      </c>
      <c r="F348" s="10" t="s">
        <v>83</v>
      </c>
      <c r="G348" s="10" t="s">
        <v>84</v>
      </c>
      <c r="H348" s="12">
        <v>12353.416666666701</v>
      </c>
      <c r="I348" s="11">
        <v>1041</v>
      </c>
      <c r="J348" s="11">
        <v>981</v>
      </c>
      <c r="K348" s="11">
        <v>4854</v>
      </c>
      <c r="L348" s="11">
        <v>8.4268184915104502E-2</v>
      </c>
      <c r="M348" s="11">
        <f t="shared" si="1"/>
        <v>8.4268184915104225</v>
      </c>
      <c r="N348" s="11">
        <v>0.94236311239193105</v>
      </c>
      <c r="O348" s="11">
        <v>0.39292773254362801</v>
      </c>
      <c r="P348" s="11">
        <v>0.64864864864864902</v>
      </c>
      <c r="Q348" s="11">
        <v>0.96551724137931005</v>
      </c>
      <c r="R348" s="11">
        <v>0.51677852348993303</v>
      </c>
      <c r="S348" s="10" t="s">
        <v>84</v>
      </c>
      <c r="T348" s="10" t="s">
        <v>84</v>
      </c>
      <c r="U348" s="10"/>
      <c r="V348" s="10"/>
      <c r="W348" s="10"/>
      <c r="X348" s="10"/>
      <c r="Y348" s="10"/>
      <c r="Z348" s="10"/>
      <c r="AA348" s="10"/>
    </row>
    <row r="349" spans="1:27" ht="12.5" x14ac:dyDescent="0.25">
      <c r="A349" s="10" t="s">
        <v>65</v>
      </c>
      <c r="B349" s="10" t="s">
        <v>630</v>
      </c>
      <c r="C349" s="10" t="s">
        <v>76</v>
      </c>
      <c r="D349" s="11">
        <v>2024</v>
      </c>
      <c r="E349" s="10" t="s">
        <v>81</v>
      </c>
      <c r="F349" s="10" t="s">
        <v>83</v>
      </c>
      <c r="G349" s="10" t="s">
        <v>84</v>
      </c>
      <c r="H349" s="12">
        <v>16434</v>
      </c>
      <c r="I349" s="11">
        <v>1383</v>
      </c>
      <c r="J349" s="11">
        <v>1102</v>
      </c>
      <c r="K349" s="11">
        <v>12787</v>
      </c>
      <c r="L349" s="11">
        <v>8.4154801022270895E-2</v>
      </c>
      <c r="M349" s="11">
        <f t="shared" si="1"/>
        <v>8.4154801022270913</v>
      </c>
      <c r="N349" s="11">
        <v>0.79681851048445396</v>
      </c>
      <c r="O349" s="11">
        <v>0.77808202506997703</v>
      </c>
      <c r="P349" s="11">
        <v>0.64695945945945899</v>
      </c>
      <c r="Q349" s="11">
        <v>0.76923076923076905</v>
      </c>
      <c r="R349" s="11">
        <v>0.70736434108527102</v>
      </c>
      <c r="S349" s="10" t="s">
        <v>84</v>
      </c>
      <c r="T349" s="10" t="s">
        <v>84</v>
      </c>
      <c r="U349" s="10"/>
      <c r="V349" s="10"/>
      <c r="W349" s="10"/>
      <c r="X349" s="10"/>
      <c r="Y349" s="10"/>
      <c r="Z349" s="10"/>
      <c r="AA349" s="10"/>
    </row>
    <row r="350" spans="1:27" ht="12.5" x14ac:dyDescent="0.25">
      <c r="A350" s="10" t="s">
        <v>12</v>
      </c>
      <c r="B350" s="10" t="s">
        <v>793</v>
      </c>
      <c r="C350" s="10" t="s">
        <v>76</v>
      </c>
      <c r="D350" s="11">
        <v>2024</v>
      </c>
      <c r="E350" s="10" t="s">
        <v>124</v>
      </c>
      <c r="F350" s="10" t="s">
        <v>83</v>
      </c>
      <c r="G350" s="10" t="s">
        <v>84</v>
      </c>
      <c r="H350" s="12">
        <v>17915.416666666701</v>
      </c>
      <c r="I350" s="11">
        <v>1497</v>
      </c>
      <c r="J350" s="11">
        <v>1621</v>
      </c>
      <c r="K350" s="11">
        <v>2206</v>
      </c>
      <c r="L350" s="11">
        <v>8.3559318091959905E-2</v>
      </c>
      <c r="M350" s="11">
        <f t="shared" si="1"/>
        <v>8.3559318091959742</v>
      </c>
      <c r="N350" s="11">
        <v>1.08283233132933</v>
      </c>
      <c r="O350" s="11">
        <v>0.123134172151545</v>
      </c>
      <c r="P350" s="11">
        <v>0.64527027027026995</v>
      </c>
      <c r="Q350" s="11">
        <v>0.54166666666666696</v>
      </c>
      <c r="R350" s="11">
        <v>0.51454138702460805</v>
      </c>
      <c r="S350" s="10" t="s">
        <v>84</v>
      </c>
      <c r="T350" s="10" t="s">
        <v>84</v>
      </c>
      <c r="U350" s="10"/>
      <c r="V350" s="10"/>
      <c r="W350" s="10"/>
      <c r="X350" s="10"/>
      <c r="Y350" s="10"/>
      <c r="Z350" s="10"/>
      <c r="AA350" s="10"/>
    </row>
    <row r="351" spans="1:27" ht="12.5" x14ac:dyDescent="0.25">
      <c r="A351" s="10" t="s">
        <v>34</v>
      </c>
      <c r="B351" s="10" t="s">
        <v>795</v>
      </c>
      <c r="C351" s="10" t="s">
        <v>76</v>
      </c>
      <c r="D351" s="11">
        <v>2024</v>
      </c>
      <c r="E351" s="10" t="s">
        <v>124</v>
      </c>
      <c r="F351" s="10" t="s">
        <v>83</v>
      </c>
      <c r="G351" s="10" t="s">
        <v>84</v>
      </c>
      <c r="H351" s="12">
        <v>10776.666666666701</v>
      </c>
      <c r="I351" s="11">
        <v>900</v>
      </c>
      <c r="J351" s="11">
        <v>885</v>
      </c>
      <c r="K351" s="11">
        <v>6378</v>
      </c>
      <c r="L351" s="11">
        <v>8.3513764305598495E-2</v>
      </c>
      <c r="M351" s="11">
        <f t="shared" si="1"/>
        <v>8.3513764305598244</v>
      </c>
      <c r="N351" s="11">
        <v>0.98333333333333295</v>
      </c>
      <c r="O351" s="11">
        <v>0.59183420971234102</v>
      </c>
      <c r="P351" s="11">
        <v>0.64442567567567599</v>
      </c>
      <c r="Q351" s="11">
        <v>0.95918367346938804</v>
      </c>
      <c r="R351" s="11">
        <v>0.51230425055928397</v>
      </c>
      <c r="S351" s="10" t="s">
        <v>84</v>
      </c>
      <c r="T351" s="10" t="s">
        <v>84</v>
      </c>
      <c r="U351" s="10"/>
      <c r="V351" s="10"/>
      <c r="W351" s="10"/>
      <c r="X351" s="10"/>
      <c r="Y351" s="10"/>
      <c r="Z351" s="10"/>
      <c r="AA351" s="10"/>
    </row>
    <row r="352" spans="1:27" ht="12.5" x14ac:dyDescent="0.25">
      <c r="A352" s="10" t="s">
        <v>55</v>
      </c>
      <c r="B352" s="10" t="s">
        <v>632</v>
      </c>
      <c r="C352" s="10" t="s">
        <v>76</v>
      </c>
      <c r="D352" s="11">
        <v>2024</v>
      </c>
      <c r="E352" s="10" t="s">
        <v>81</v>
      </c>
      <c r="F352" s="10" t="s">
        <v>83</v>
      </c>
      <c r="G352" s="10" t="s">
        <v>84</v>
      </c>
      <c r="H352" s="12">
        <v>5758.0833333333303</v>
      </c>
      <c r="I352" s="11">
        <v>476</v>
      </c>
      <c r="J352" s="11">
        <v>423</v>
      </c>
      <c r="K352" s="11">
        <v>2228</v>
      </c>
      <c r="L352" s="11">
        <v>8.2666396515044094E-2</v>
      </c>
      <c r="M352" s="11">
        <f t="shared" si="1"/>
        <v>8.2666396515044109</v>
      </c>
      <c r="N352" s="11">
        <v>0.88865546218487401</v>
      </c>
      <c r="O352" s="11">
        <v>0.38693430973848397</v>
      </c>
      <c r="P352" s="11">
        <v>0.64358108108108103</v>
      </c>
      <c r="Q352" s="11">
        <v>0.54545454545454497</v>
      </c>
      <c r="R352" s="11">
        <v>0.70542635658914699</v>
      </c>
      <c r="S352" s="10" t="s">
        <v>84</v>
      </c>
      <c r="T352" s="10" t="s">
        <v>84</v>
      </c>
      <c r="U352" s="10"/>
      <c r="V352" s="10"/>
      <c r="W352" s="10"/>
      <c r="X352" s="10"/>
      <c r="Y352" s="10"/>
      <c r="Z352" s="10"/>
      <c r="AA352" s="10"/>
    </row>
    <row r="353" spans="1:27" ht="12.5" x14ac:dyDescent="0.25">
      <c r="A353" s="10" t="s">
        <v>10</v>
      </c>
      <c r="B353" s="10" t="s">
        <v>635</v>
      </c>
      <c r="C353" s="10" t="s">
        <v>76</v>
      </c>
      <c r="D353" s="11">
        <v>2024</v>
      </c>
      <c r="E353" s="10" t="s">
        <v>81</v>
      </c>
      <c r="F353" s="10" t="s">
        <v>83</v>
      </c>
      <c r="G353" s="10" t="s">
        <v>84</v>
      </c>
      <c r="H353" s="12">
        <v>14842</v>
      </c>
      <c r="I353" s="11">
        <v>1221</v>
      </c>
      <c r="J353" s="11">
        <v>1093</v>
      </c>
      <c r="K353" s="11">
        <v>25684</v>
      </c>
      <c r="L353" s="11">
        <v>8.2266540897453194E-2</v>
      </c>
      <c r="M353" s="11">
        <f t="shared" si="1"/>
        <v>8.2266540897453186</v>
      </c>
      <c r="N353" s="11">
        <v>0.89516789516789497</v>
      </c>
      <c r="O353" s="11">
        <v>1.73049454251449</v>
      </c>
      <c r="P353" s="11">
        <v>0.64273648648648696</v>
      </c>
      <c r="Q353" s="11">
        <v>0.46666666666666701</v>
      </c>
      <c r="R353" s="11">
        <v>0.70348837209302295</v>
      </c>
      <c r="S353" s="10" t="s">
        <v>84</v>
      </c>
      <c r="T353" s="10" t="s">
        <v>84</v>
      </c>
      <c r="U353" s="10"/>
      <c r="V353" s="10"/>
      <c r="W353" s="10"/>
      <c r="X353" s="10"/>
      <c r="Y353" s="10"/>
      <c r="Z353" s="10"/>
      <c r="AA353" s="10"/>
    </row>
    <row r="354" spans="1:27" ht="12.5" x14ac:dyDescent="0.25">
      <c r="A354" s="10" t="s">
        <v>82</v>
      </c>
      <c r="B354" s="10" t="s">
        <v>799</v>
      </c>
      <c r="C354" s="10" t="s">
        <v>76</v>
      </c>
      <c r="D354" s="11">
        <v>2024</v>
      </c>
      <c r="E354" s="10" t="s">
        <v>124</v>
      </c>
      <c r="F354" s="10" t="s">
        <v>83</v>
      </c>
      <c r="G354" s="10" t="s">
        <v>84</v>
      </c>
      <c r="H354" s="12">
        <v>4117.1666666666697</v>
      </c>
      <c r="I354" s="11">
        <v>338</v>
      </c>
      <c r="J354" s="11">
        <v>223</v>
      </c>
      <c r="K354" s="11">
        <v>1426</v>
      </c>
      <c r="L354" s="11">
        <v>8.2095292069789105E-2</v>
      </c>
      <c r="M354" s="11">
        <f t="shared" si="1"/>
        <v>8.2095292069789032</v>
      </c>
      <c r="N354" s="11">
        <v>0.65976331360946705</v>
      </c>
      <c r="O354" s="11">
        <v>0.34635469376189099</v>
      </c>
      <c r="P354" s="11">
        <v>0.641891891891892</v>
      </c>
      <c r="Q354" s="11">
        <v>0.94827586206896597</v>
      </c>
      <c r="R354" s="11">
        <v>0.51006711409395999</v>
      </c>
      <c r="S354" s="10" t="s">
        <v>84</v>
      </c>
      <c r="T354" s="10" t="s">
        <v>84</v>
      </c>
      <c r="U354" s="10"/>
      <c r="V354" s="10"/>
      <c r="W354" s="10"/>
      <c r="X354" s="10"/>
      <c r="Y354" s="10"/>
      <c r="Z354" s="10"/>
      <c r="AA354" s="10"/>
    </row>
    <row r="355" spans="1:27" ht="12.5" x14ac:dyDescent="0.25">
      <c r="A355" s="10" t="s">
        <v>58</v>
      </c>
      <c r="B355" s="10" t="s">
        <v>636</v>
      </c>
      <c r="C355" s="10" t="s">
        <v>76</v>
      </c>
      <c r="D355" s="11">
        <v>2024</v>
      </c>
      <c r="E355" s="10" t="s">
        <v>81</v>
      </c>
      <c r="F355" s="10" t="s">
        <v>83</v>
      </c>
      <c r="G355" s="10" t="s">
        <v>84</v>
      </c>
      <c r="H355" s="12">
        <v>16233.666666666701</v>
      </c>
      <c r="I355" s="11">
        <v>1328</v>
      </c>
      <c r="J355" s="11">
        <v>1126</v>
      </c>
      <c r="K355" s="11">
        <v>9990</v>
      </c>
      <c r="L355" s="11">
        <v>8.1805301739184003E-2</v>
      </c>
      <c r="M355" s="11">
        <f t="shared" si="1"/>
        <v>8.1805301739183829</v>
      </c>
      <c r="N355" s="11">
        <v>0.84789156626506001</v>
      </c>
      <c r="O355" s="11">
        <v>0.61538777437835002</v>
      </c>
      <c r="P355" s="11">
        <v>0.64104729729729704</v>
      </c>
      <c r="Q355" s="11">
        <v>0.43243243243243201</v>
      </c>
      <c r="R355" s="11">
        <v>0.70155038759689903</v>
      </c>
      <c r="S355" s="10" t="s">
        <v>84</v>
      </c>
      <c r="T355" s="10" t="s">
        <v>84</v>
      </c>
      <c r="U355" s="10"/>
      <c r="V355" s="10"/>
      <c r="W355" s="10"/>
      <c r="X355" s="10"/>
      <c r="Y355" s="10"/>
      <c r="Z355" s="10"/>
      <c r="AA355" s="10"/>
    </row>
    <row r="356" spans="1:27" ht="12.5" x14ac:dyDescent="0.25">
      <c r="A356" s="10" t="s">
        <v>58</v>
      </c>
      <c r="B356" s="10" t="s">
        <v>638</v>
      </c>
      <c r="C356" s="10" t="s">
        <v>76</v>
      </c>
      <c r="D356" s="11">
        <v>2024</v>
      </c>
      <c r="E356" s="10" t="s">
        <v>81</v>
      </c>
      <c r="F356" s="10" t="s">
        <v>83</v>
      </c>
      <c r="G356" s="10" t="s">
        <v>84</v>
      </c>
      <c r="H356" s="12">
        <v>48398.583333333299</v>
      </c>
      <c r="I356" s="11">
        <v>3958</v>
      </c>
      <c r="J356" s="11">
        <v>3428</v>
      </c>
      <c r="K356" s="11">
        <v>96205</v>
      </c>
      <c r="L356" s="11">
        <v>8.1779253180620001E-2</v>
      </c>
      <c r="M356" s="11">
        <f t="shared" si="1"/>
        <v>8.1779253180620017</v>
      </c>
      <c r="N356" s="11">
        <v>0.86609398686205197</v>
      </c>
      <c r="O356" s="11">
        <v>1.9877647933909901</v>
      </c>
      <c r="P356" s="11">
        <v>0.64020270270270296</v>
      </c>
      <c r="Q356" s="11">
        <v>0.40540540540540498</v>
      </c>
      <c r="R356" s="11">
        <v>0.69961240310077499</v>
      </c>
      <c r="S356" s="10" t="s">
        <v>84</v>
      </c>
      <c r="T356" s="10" t="s">
        <v>84</v>
      </c>
      <c r="U356" s="10"/>
      <c r="V356" s="10"/>
      <c r="W356" s="10"/>
      <c r="X356" s="10"/>
      <c r="Y356" s="10"/>
      <c r="Z356" s="10"/>
      <c r="AA356" s="10"/>
    </row>
    <row r="357" spans="1:27" ht="12.5" x14ac:dyDescent="0.25">
      <c r="A357" s="10" t="s">
        <v>42</v>
      </c>
      <c r="B357" s="10" t="s">
        <v>640</v>
      </c>
      <c r="C357" s="10" t="s">
        <v>76</v>
      </c>
      <c r="D357" s="11">
        <v>2024</v>
      </c>
      <c r="E357" s="10" t="s">
        <v>81</v>
      </c>
      <c r="F357" s="10" t="s">
        <v>83</v>
      </c>
      <c r="G357" s="10" t="s">
        <v>84</v>
      </c>
      <c r="H357" s="12">
        <v>18897.416666666701</v>
      </c>
      <c r="I357" s="11">
        <v>1544</v>
      </c>
      <c r="J357" s="11">
        <v>1509</v>
      </c>
      <c r="K357" s="11">
        <v>3854</v>
      </c>
      <c r="L357" s="11">
        <v>8.1704289386997295E-2</v>
      </c>
      <c r="M357" s="11">
        <f t="shared" si="1"/>
        <v>8.17042893869972</v>
      </c>
      <c r="N357" s="11">
        <v>0.97733160621761705</v>
      </c>
      <c r="O357" s="11">
        <v>0.20394321975225899</v>
      </c>
      <c r="P357" s="11">
        <v>0.639358108108108</v>
      </c>
      <c r="Q357" s="11">
        <v>0.59523809523809501</v>
      </c>
      <c r="R357" s="11">
        <v>0.69767441860465096</v>
      </c>
      <c r="S357" s="10" t="s">
        <v>84</v>
      </c>
      <c r="T357" s="10" t="s">
        <v>84</v>
      </c>
      <c r="U357" s="10"/>
      <c r="V357" s="10"/>
      <c r="W357" s="10"/>
      <c r="X357" s="10"/>
      <c r="Y357" s="10"/>
      <c r="Z357" s="10"/>
      <c r="AA357" s="10"/>
    </row>
    <row r="358" spans="1:27" ht="12.5" x14ac:dyDescent="0.25">
      <c r="A358" s="10" t="s">
        <v>42</v>
      </c>
      <c r="B358" s="10" t="s">
        <v>802</v>
      </c>
      <c r="C358" s="10" t="s">
        <v>76</v>
      </c>
      <c r="D358" s="11">
        <v>2024</v>
      </c>
      <c r="E358" s="10" t="s">
        <v>124</v>
      </c>
      <c r="F358" s="10" t="s">
        <v>83</v>
      </c>
      <c r="G358" s="10" t="s">
        <v>84</v>
      </c>
      <c r="H358" s="12">
        <v>9640.5833333333303</v>
      </c>
      <c r="I358" s="11">
        <v>787</v>
      </c>
      <c r="J358" s="11">
        <v>12</v>
      </c>
      <c r="K358" s="11">
        <v>18936</v>
      </c>
      <c r="L358" s="11">
        <v>8.1634064328749104E-2</v>
      </c>
      <c r="M358" s="11">
        <f t="shared" si="1"/>
        <v>8.1634064328749147</v>
      </c>
      <c r="N358" s="11">
        <v>1.52477763659466E-2</v>
      </c>
      <c r="O358" s="11">
        <v>1.96419649571689</v>
      </c>
      <c r="P358" s="11">
        <v>0.63851351351351304</v>
      </c>
      <c r="Q358" s="11">
        <v>0.57142857142857095</v>
      </c>
      <c r="R358" s="11">
        <v>0.50782997762863502</v>
      </c>
      <c r="S358" s="10" t="s">
        <v>84</v>
      </c>
      <c r="T358" s="10" t="s">
        <v>84</v>
      </c>
      <c r="U358" s="10"/>
      <c r="V358" s="10"/>
      <c r="W358" s="10"/>
      <c r="X358" s="10"/>
      <c r="Y358" s="10"/>
      <c r="Z358" s="10"/>
      <c r="AA358" s="10"/>
    </row>
    <row r="359" spans="1:27" ht="12.5" x14ac:dyDescent="0.25">
      <c r="A359" s="10" t="s">
        <v>10</v>
      </c>
      <c r="B359" s="10" t="s">
        <v>462</v>
      </c>
      <c r="C359" s="10" t="s">
        <v>76</v>
      </c>
      <c r="D359" s="11">
        <v>2024</v>
      </c>
      <c r="E359" s="10" t="s">
        <v>81</v>
      </c>
      <c r="F359" s="10" t="s">
        <v>83</v>
      </c>
      <c r="G359" s="10" t="s">
        <v>84</v>
      </c>
      <c r="H359" s="12">
        <v>134.916666666667</v>
      </c>
      <c r="I359" s="11">
        <v>11</v>
      </c>
      <c r="J359" s="11">
        <v>4</v>
      </c>
      <c r="K359" s="11">
        <v>75</v>
      </c>
      <c r="L359" s="11">
        <v>8.1531809759110604E-2</v>
      </c>
      <c r="M359" s="11">
        <f t="shared" si="1"/>
        <v>8.1531809759110363</v>
      </c>
      <c r="N359" s="11">
        <v>0.36363636363636398</v>
      </c>
      <c r="O359" s="11">
        <v>0.55589870290302701</v>
      </c>
      <c r="P359" s="11">
        <v>0.63766891891891897</v>
      </c>
      <c r="Q359" s="11">
        <v>0.43333333333333302</v>
      </c>
      <c r="R359" s="11">
        <v>0.69573643410852704</v>
      </c>
      <c r="S359" s="10" t="s">
        <v>84</v>
      </c>
      <c r="T359" s="10" t="s">
        <v>84</v>
      </c>
      <c r="U359" s="10"/>
      <c r="V359" s="10"/>
      <c r="W359" s="10"/>
      <c r="X359" s="10"/>
      <c r="Y359" s="10"/>
      <c r="Z359" s="10"/>
      <c r="AA359" s="10"/>
    </row>
    <row r="360" spans="1:27" ht="12.5" x14ac:dyDescent="0.25">
      <c r="A360" s="10" t="s">
        <v>55</v>
      </c>
      <c r="B360" s="10" t="s">
        <v>805</v>
      </c>
      <c r="C360" s="10" t="s">
        <v>76</v>
      </c>
      <c r="D360" s="11">
        <v>2024</v>
      </c>
      <c r="E360" s="10" t="s">
        <v>124</v>
      </c>
      <c r="F360" s="10" t="s">
        <v>83</v>
      </c>
      <c r="G360" s="10" t="s">
        <v>84</v>
      </c>
      <c r="H360" s="12">
        <v>7433.25</v>
      </c>
      <c r="I360" s="11">
        <v>606</v>
      </c>
      <c r="J360" s="11">
        <v>575</v>
      </c>
      <c r="K360" s="11">
        <v>6670</v>
      </c>
      <c r="L360" s="11">
        <v>8.1525577641005001E-2</v>
      </c>
      <c r="M360" s="11">
        <f t="shared" si="1"/>
        <v>8.1525577641004947</v>
      </c>
      <c r="N360" s="11">
        <v>0.94884488448844895</v>
      </c>
      <c r="O360" s="11">
        <v>0.89731947667574796</v>
      </c>
      <c r="P360" s="11">
        <v>0.63682432432432401</v>
      </c>
      <c r="Q360" s="11">
        <v>0.5</v>
      </c>
      <c r="R360" s="11">
        <v>0.50559284116331105</v>
      </c>
      <c r="S360" s="10" t="s">
        <v>84</v>
      </c>
      <c r="T360" s="10" t="s">
        <v>84</v>
      </c>
      <c r="U360" s="10"/>
      <c r="V360" s="10"/>
      <c r="W360" s="10"/>
      <c r="X360" s="10"/>
      <c r="Y360" s="10"/>
      <c r="Z360" s="10"/>
      <c r="AA360" s="10"/>
    </row>
    <row r="361" spans="1:27" ht="12.5" x14ac:dyDescent="0.25">
      <c r="A361" s="10" t="s">
        <v>12</v>
      </c>
      <c r="B361" s="10" t="s">
        <v>643</v>
      </c>
      <c r="C361" s="10" t="s">
        <v>76</v>
      </c>
      <c r="D361" s="11">
        <v>2024</v>
      </c>
      <c r="E361" s="10" t="s">
        <v>81</v>
      </c>
      <c r="F361" s="10" t="s">
        <v>83</v>
      </c>
      <c r="G361" s="10" t="s">
        <v>84</v>
      </c>
      <c r="H361" s="12">
        <v>26728.5</v>
      </c>
      <c r="I361" s="11">
        <v>2160</v>
      </c>
      <c r="J361" s="11">
        <v>1941</v>
      </c>
      <c r="K361" s="11">
        <v>41212</v>
      </c>
      <c r="L361" s="11">
        <v>8.0812615747236097E-2</v>
      </c>
      <c r="M361" s="11">
        <f t="shared" si="1"/>
        <v>8.0812615747236105</v>
      </c>
      <c r="N361" s="11">
        <v>0.89861111111111103</v>
      </c>
      <c r="O361" s="11">
        <v>1.54187477785884</v>
      </c>
      <c r="P361" s="11">
        <v>0.63597972972973005</v>
      </c>
      <c r="Q361" s="11">
        <v>0.52777777777777801</v>
      </c>
      <c r="R361" s="11">
        <v>0.693798449612403</v>
      </c>
      <c r="S361" s="10" t="s">
        <v>84</v>
      </c>
      <c r="T361" s="10" t="s">
        <v>84</v>
      </c>
      <c r="U361" s="10"/>
      <c r="V361" s="10"/>
      <c r="W361" s="10"/>
      <c r="X361" s="10"/>
      <c r="Y361" s="10"/>
      <c r="Z361" s="10"/>
      <c r="AA361" s="10"/>
    </row>
    <row r="362" spans="1:27" ht="12.5" x14ac:dyDescent="0.25">
      <c r="A362" s="10" t="s">
        <v>65</v>
      </c>
      <c r="B362" s="10" t="s">
        <v>645</v>
      </c>
      <c r="C362" s="10" t="s">
        <v>76</v>
      </c>
      <c r="D362" s="11">
        <v>2024</v>
      </c>
      <c r="E362" s="10" t="s">
        <v>81</v>
      </c>
      <c r="F362" s="10" t="s">
        <v>83</v>
      </c>
      <c r="G362" s="10" t="s">
        <v>84</v>
      </c>
      <c r="H362" s="12">
        <v>3883.5833333333298</v>
      </c>
      <c r="I362" s="11">
        <v>313</v>
      </c>
      <c r="J362" s="11">
        <v>244</v>
      </c>
      <c r="K362" s="11">
        <v>3570</v>
      </c>
      <c r="L362" s="11">
        <v>8.0595669806664799E-2</v>
      </c>
      <c r="M362" s="11">
        <f t="shared" si="1"/>
        <v>8.0595669806664887</v>
      </c>
      <c r="N362" s="11">
        <v>0.77955271565495199</v>
      </c>
      <c r="O362" s="11">
        <v>0.919254125270905</v>
      </c>
      <c r="P362" s="11">
        <v>0.63513513513513498</v>
      </c>
      <c r="Q362" s="11">
        <v>0.69230769230769196</v>
      </c>
      <c r="R362" s="11">
        <v>0.69186046511627897</v>
      </c>
      <c r="S362" s="10" t="s">
        <v>84</v>
      </c>
      <c r="T362" s="10" t="s">
        <v>84</v>
      </c>
      <c r="U362" s="10"/>
      <c r="V362" s="10"/>
      <c r="W362" s="10"/>
      <c r="X362" s="10"/>
      <c r="Y362" s="10"/>
      <c r="Z362" s="10"/>
      <c r="AA362" s="10"/>
    </row>
    <row r="363" spans="1:27" ht="12.5" x14ac:dyDescent="0.25">
      <c r="A363" s="10" t="s">
        <v>58</v>
      </c>
      <c r="B363" s="10" t="s">
        <v>647</v>
      </c>
      <c r="C363" s="10" t="s">
        <v>76</v>
      </c>
      <c r="D363" s="11">
        <v>2024</v>
      </c>
      <c r="E363" s="10" t="s">
        <v>81</v>
      </c>
      <c r="F363" s="10" t="s">
        <v>83</v>
      </c>
      <c r="G363" s="10" t="s">
        <v>84</v>
      </c>
      <c r="H363" s="12">
        <v>59189.416666666701</v>
      </c>
      <c r="I363" s="11">
        <v>4760</v>
      </c>
      <c r="J363" s="11">
        <v>4178</v>
      </c>
      <c r="K363" s="11">
        <v>80922</v>
      </c>
      <c r="L363" s="11">
        <v>8.0419782252739394E-2</v>
      </c>
      <c r="M363" s="11">
        <f t="shared" si="1"/>
        <v>8.0419782252739402</v>
      </c>
      <c r="N363" s="11">
        <v>0.877731092436975</v>
      </c>
      <c r="O363" s="11">
        <v>1.36717008812105</v>
      </c>
      <c r="P363" s="11">
        <v>0.63429054054054101</v>
      </c>
      <c r="Q363" s="11">
        <v>0.37837837837837801</v>
      </c>
      <c r="R363" s="11">
        <v>0.68992248062015504</v>
      </c>
      <c r="S363" s="10" t="s">
        <v>84</v>
      </c>
      <c r="T363" s="10" t="s">
        <v>84</v>
      </c>
      <c r="U363" s="10"/>
      <c r="V363" s="10"/>
      <c r="W363" s="10"/>
      <c r="X363" s="10"/>
      <c r="Y363" s="10"/>
      <c r="Z363" s="10"/>
      <c r="AA363" s="10"/>
    </row>
    <row r="364" spans="1:27" ht="12.5" x14ac:dyDescent="0.25">
      <c r="A364" s="10" t="s">
        <v>12</v>
      </c>
      <c r="B364" s="10" t="s">
        <v>649</v>
      </c>
      <c r="C364" s="10" t="s">
        <v>76</v>
      </c>
      <c r="D364" s="11">
        <v>2024</v>
      </c>
      <c r="E364" s="10" t="s">
        <v>81</v>
      </c>
      <c r="F364" s="10" t="s">
        <v>83</v>
      </c>
      <c r="G364" s="10" t="s">
        <v>84</v>
      </c>
      <c r="H364" s="12">
        <v>11518.916666666701</v>
      </c>
      <c r="I364" s="11">
        <v>924</v>
      </c>
      <c r="J364" s="11">
        <v>828</v>
      </c>
      <c r="K364" s="11">
        <v>27508</v>
      </c>
      <c r="L364" s="11">
        <v>8.0215876782394196E-2</v>
      </c>
      <c r="M364" s="11">
        <f t="shared" si="1"/>
        <v>8.0215876782393956</v>
      </c>
      <c r="N364" s="11">
        <v>0.89610389610389596</v>
      </c>
      <c r="O364" s="11">
        <v>2.3880717949460002</v>
      </c>
      <c r="P364" s="11">
        <v>0.63344594594594605</v>
      </c>
      <c r="Q364" s="11">
        <v>0.51388888888888895</v>
      </c>
      <c r="R364" s="11">
        <v>0.68798449612403101</v>
      </c>
      <c r="S364" s="10" t="s">
        <v>84</v>
      </c>
      <c r="T364" s="10" t="s">
        <v>84</v>
      </c>
      <c r="U364" s="10"/>
      <c r="V364" s="10"/>
      <c r="W364" s="10"/>
      <c r="X364" s="10"/>
      <c r="Y364" s="10"/>
      <c r="Z364" s="10"/>
      <c r="AA364" s="10"/>
    </row>
    <row r="365" spans="1:27" ht="12.5" x14ac:dyDescent="0.25">
      <c r="A365" s="10" t="s">
        <v>65</v>
      </c>
      <c r="B365" s="10" t="s">
        <v>652</v>
      </c>
      <c r="C365" s="10" t="s">
        <v>76</v>
      </c>
      <c r="D365" s="11">
        <v>2024</v>
      </c>
      <c r="E365" s="10" t="s">
        <v>81</v>
      </c>
      <c r="F365" s="10" t="s">
        <v>83</v>
      </c>
      <c r="G365" s="10" t="s">
        <v>84</v>
      </c>
      <c r="H365" s="12">
        <v>20441.916666666701</v>
      </c>
      <c r="I365" s="11">
        <v>1638</v>
      </c>
      <c r="J365" s="11">
        <v>1115</v>
      </c>
      <c r="K365" s="11">
        <v>58266</v>
      </c>
      <c r="L365" s="11">
        <v>8.0129472529891596E-2</v>
      </c>
      <c r="M365" s="11">
        <f t="shared" si="1"/>
        <v>8.0129472529891466</v>
      </c>
      <c r="N365" s="11">
        <v>0.68070818070818095</v>
      </c>
      <c r="O365" s="11">
        <v>2.8503198085632899</v>
      </c>
      <c r="P365" s="11">
        <v>0.63260135135135098</v>
      </c>
      <c r="Q365" s="11">
        <v>0.61538461538461497</v>
      </c>
      <c r="R365" s="11">
        <v>0.68604651162790697</v>
      </c>
      <c r="S365" s="10" t="s">
        <v>84</v>
      </c>
      <c r="T365" s="10" t="s">
        <v>84</v>
      </c>
      <c r="U365" s="10"/>
      <c r="V365" s="10"/>
      <c r="W365" s="10"/>
      <c r="X365" s="10"/>
      <c r="Y365" s="10"/>
      <c r="Z365" s="10"/>
      <c r="AA365" s="10"/>
    </row>
    <row r="366" spans="1:27" ht="12.5" x14ac:dyDescent="0.25">
      <c r="A366" s="10" t="s">
        <v>19</v>
      </c>
      <c r="B366" s="10" t="s">
        <v>654</v>
      </c>
      <c r="C366" s="10" t="s">
        <v>76</v>
      </c>
      <c r="D366" s="11">
        <v>2024</v>
      </c>
      <c r="E366" s="10" t="s">
        <v>81</v>
      </c>
      <c r="F366" s="10" t="s">
        <v>83</v>
      </c>
      <c r="G366" s="10" t="s">
        <v>84</v>
      </c>
      <c r="H366" s="12">
        <v>10969.083333333299</v>
      </c>
      <c r="I366" s="11">
        <v>877</v>
      </c>
      <c r="J366" s="11">
        <v>468</v>
      </c>
      <c r="K366" s="11">
        <v>4334</v>
      </c>
      <c r="L366" s="11">
        <v>7.9951986264424998E-2</v>
      </c>
      <c r="M366" s="11">
        <f t="shared" si="1"/>
        <v>7.9951986264425265</v>
      </c>
      <c r="N366" s="11">
        <v>0.53363740022804995</v>
      </c>
      <c r="O366" s="11">
        <v>0.39511049996581299</v>
      </c>
      <c r="P366" s="11">
        <v>0.63175675675675702</v>
      </c>
      <c r="Q366" s="11">
        <v>0.38888888888888901</v>
      </c>
      <c r="R366" s="11">
        <v>0.68410852713178305</v>
      </c>
      <c r="S366" s="10" t="s">
        <v>84</v>
      </c>
      <c r="T366" s="10" t="s">
        <v>84</v>
      </c>
      <c r="U366" s="10"/>
      <c r="V366" s="10"/>
      <c r="W366" s="10"/>
      <c r="X366" s="10"/>
      <c r="Y366" s="10"/>
      <c r="Z366" s="10"/>
      <c r="AA366" s="10"/>
    </row>
    <row r="367" spans="1:27" ht="12.5" x14ac:dyDescent="0.25">
      <c r="A367" s="10" t="s">
        <v>29</v>
      </c>
      <c r="B367" s="10" t="s">
        <v>807</v>
      </c>
      <c r="C367" s="10" t="s">
        <v>76</v>
      </c>
      <c r="D367" s="11">
        <v>2024</v>
      </c>
      <c r="E367" s="10" t="s">
        <v>124</v>
      </c>
      <c r="F367" s="10" t="s">
        <v>83</v>
      </c>
      <c r="G367" s="10" t="s">
        <v>84</v>
      </c>
      <c r="H367" s="12">
        <v>16607.166666666701</v>
      </c>
      <c r="I367" s="11">
        <v>1327</v>
      </c>
      <c r="J367" s="11">
        <v>1167</v>
      </c>
      <c r="K367" s="11">
        <v>26135</v>
      </c>
      <c r="L367" s="11">
        <v>7.99052617845709E-2</v>
      </c>
      <c r="M367" s="11">
        <f t="shared" si="1"/>
        <v>7.9905261784570758</v>
      </c>
      <c r="N367" s="11">
        <v>0.87942727957799505</v>
      </c>
      <c r="O367" s="11">
        <v>1.57371817388075</v>
      </c>
      <c r="P367" s="11">
        <v>0.63091216216216195</v>
      </c>
      <c r="Q367" s="11">
        <v>0.38775510204081598</v>
      </c>
      <c r="R367" s="11">
        <v>0.50335570469798696</v>
      </c>
      <c r="S367" s="10" t="s">
        <v>84</v>
      </c>
      <c r="T367" s="10" t="s">
        <v>84</v>
      </c>
      <c r="U367" s="10"/>
      <c r="V367" s="10"/>
      <c r="W367" s="10"/>
      <c r="X367" s="10"/>
      <c r="Y367" s="10"/>
      <c r="Z367" s="10"/>
      <c r="AA367" s="10"/>
    </row>
    <row r="368" spans="1:27" ht="12.5" x14ac:dyDescent="0.25">
      <c r="A368" s="10" t="s">
        <v>58</v>
      </c>
      <c r="B368" s="10" t="s">
        <v>810</v>
      </c>
      <c r="C368" s="10" t="s">
        <v>76</v>
      </c>
      <c r="D368" s="11">
        <v>2024</v>
      </c>
      <c r="E368" s="10" t="s">
        <v>124</v>
      </c>
      <c r="F368" s="10" t="s">
        <v>83</v>
      </c>
      <c r="G368" s="10" t="s">
        <v>84</v>
      </c>
      <c r="H368" s="12">
        <v>12260.083333333299</v>
      </c>
      <c r="I368" s="11">
        <v>974</v>
      </c>
      <c r="J368" s="11">
        <v>685</v>
      </c>
      <c r="K368" s="11">
        <v>34149</v>
      </c>
      <c r="L368" s="11">
        <v>7.9444810734021695E-2</v>
      </c>
      <c r="M368" s="11">
        <f t="shared" si="1"/>
        <v>7.9444810734021871</v>
      </c>
      <c r="N368" s="11">
        <v>0.70328542094455804</v>
      </c>
      <c r="O368" s="11">
        <v>2.7853807410227001</v>
      </c>
      <c r="P368" s="11">
        <v>0.63006756756756799</v>
      </c>
      <c r="Q368" s="11">
        <v>0.35135135135135098</v>
      </c>
      <c r="R368" s="11">
        <v>0.50111856823266199</v>
      </c>
      <c r="S368" s="10" t="s">
        <v>84</v>
      </c>
      <c r="T368" s="10" t="s">
        <v>84</v>
      </c>
      <c r="U368" s="10"/>
      <c r="V368" s="10"/>
      <c r="W368" s="10"/>
      <c r="X368" s="10"/>
      <c r="Y368" s="10"/>
      <c r="Z368" s="10"/>
      <c r="AA368" s="10"/>
    </row>
    <row r="369" spans="1:27" ht="12.5" x14ac:dyDescent="0.25">
      <c r="A369" s="10" t="s">
        <v>29</v>
      </c>
      <c r="B369" s="10" t="s">
        <v>813</v>
      </c>
      <c r="C369" s="10" t="s">
        <v>76</v>
      </c>
      <c r="D369" s="11">
        <v>2024</v>
      </c>
      <c r="E369" s="10" t="s">
        <v>124</v>
      </c>
      <c r="F369" s="10" t="s">
        <v>83</v>
      </c>
      <c r="G369" s="10" t="s">
        <v>84</v>
      </c>
      <c r="H369" s="12">
        <v>35935</v>
      </c>
      <c r="I369" s="11">
        <v>2837</v>
      </c>
      <c r="J369" s="11">
        <v>1996</v>
      </c>
      <c r="K369" s="11">
        <v>57450</v>
      </c>
      <c r="L369" s="11">
        <v>7.89481007374426E-2</v>
      </c>
      <c r="M369" s="11">
        <f t="shared" si="1"/>
        <v>7.8948100737442601</v>
      </c>
      <c r="N369" s="11">
        <v>0.70356009869580505</v>
      </c>
      <c r="O369" s="11">
        <v>1.5987199109503301</v>
      </c>
      <c r="P369" s="11">
        <v>0.62837837837837796</v>
      </c>
      <c r="Q369" s="11">
        <v>0.36734693877551</v>
      </c>
      <c r="R369" s="11">
        <v>0.49888143176733801</v>
      </c>
      <c r="S369" s="10" t="s">
        <v>84</v>
      </c>
      <c r="T369" s="10" t="s">
        <v>84</v>
      </c>
      <c r="U369" s="10"/>
      <c r="V369" s="10"/>
      <c r="W369" s="10"/>
      <c r="X369" s="10"/>
      <c r="Y369" s="10"/>
      <c r="Z369" s="10"/>
      <c r="AA369" s="10"/>
    </row>
    <row r="370" spans="1:27" ht="12.5" x14ac:dyDescent="0.25">
      <c r="A370" s="10" t="s">
        <v>26</v>
      </c>
      <c r="B370" s="10" t="s">
        <v>656</v>
      </c>
      <c r="C370" s="10" t="s">
        <v>76</v>
      </c>
      <c r="D370" s="11">
        <v>2024</v>
      </c>
      <c r="E370" s="10" t="s">
        <v>81</v>
      </c>
      <c r="F370" s="10" t="s">
        <v>83</v>
      </c>
      <c r="G370" s="10" t="s">
        <v>84</v>
      </c>
      <c r="H370" s="12">
        <v>12124.666666666701</v>
      </c>
      <c r="I370" s="11">
        <v>956</v>
      </c>
      <c r="J370" s="11">
        <v>651</v>
      </c>
      <c r="K370" s="11">
        <v>22293</v>
      </c>
      <c r="L370" s="11">
        <v>7.8847528454390498E-2</v>
      </c>
      <c r="M370" s="11">
        <f t="shared" si="1"/>
        <v>7.8847528454390279</v>
      </c>
      <c r="N370" s="11">
        <v>0.68096234309623405</v>
      </c>
      <c r="O370" s="11">
        <v>1.83864848518172</v>
      </c>
      <c r="P370" s="11">
        <v>0.62668918918918903</v>
      </c>
      <c r="Q370" s="11">
        <v>0.30769230769230799</v>
      </c>
      <c r="R370" s="11">
        <v>0.68217054263565902</v>
      </c>
      <c r="S370" s="10" t="s">
        <v>84</v>
      </c>
      <c r="T370" s="10" t="s">
        <v>84</v>
      </c>
      <c r="U370" s="10"/>
      <c r="V370" s="10"/>
      <c r="W370" s="10"/>
      <c r="X370" s="10"/>
      <c r="Y370" s="10"/>
      <c r="Z370" s="10"/>
      <c r="AA370" s="10"/>
    </row>
    <row r="371" spans="1:27" ht="12.5" x14ac:dyDescent="0.25">
      <c r="A371" s="10" t="s">
        <v>29</v>
      </c>
      <c r="B371" s="10" t="s">
        <v>816</v>
      </c>
      <c r="C371" s="10" t="s">
        <v>76</v>
      </c>
      <c r="D371" s="11">
        <v>2024</v>
      </c>
      <c r="E371" s="10" t="s">
        <v>124</v>
      </c>
      <c r="F371" s="10" t="s">
        <v>83</v>
      </c>
      <c r="G371" s="10" t="s">
        <v>84</v>
      </c>
      <c r="H371" s="12">
        <v>12124.666666666701</v>
      </c>
      <c r="I371" s="11">
        <v>956</v>
      </c>
      <c r="J371" s="11">
        <v>651</v>
      </c>
      <c r="K371" s="11">
        <v>22293</v>
      </c>
      <c r="L371" s="11">
        <v>7.8847528454390498E-2</v>
      </c>
      <c r="M371" s="11">
        <f t="shared" si="1"/>
        <v>7.8847528454390279</v>
      </c>
      <c r="N371" s="11">
        <v>0.68096234309623405</v>
      </c>
      <c r="O371" s="11">
        <v>1.83864848518172</v>
      </c>
      <c r="P371" s="11">
        <v>0.62668918918918903</v>
      </c>
      <c r="Q371" s="11">
        <v>0.34693877551020402</v>
      </c>
      <c r="R371" s="11">
        <v>0.49664429530201298</v>
      </c>
      <c r="S371" s="10" t="s">
        <v>84</v>
      </c>
      <c r="T371" s="10" t="s">
        <v>84</v>
      </c>
      <c r="U371" s="10"/>
      <c r="V371" s="10"/>
      <c r="W371" s="10"/>
      <c r="X371" s="10"/>
      <c r="Y371" s="10"/>
      <c r="Z371" s="10"/>
      <c r="AA371" s="10"/>
    </row>
    <row r="372" spans="1:27" ht="12.5" x14ac:dyDescent="0.25">
      <c r="A372" s="10" t="s">
        <v>29</v>
      </c>
      <c r="B372" s="10" t="s">
        <v>818</v>
      </c>
      <c r="C372" s="10" t="s">
        <v>76</v>
      </c>
      <c r="D372" s="11">
        <v>2024</v>
      </c>
      <c r="E372" s="10" t="s">
        <v>124</v>
      </c>
      <c r="F372" s="10" t="s">
        <v>83</v>
      </c>
      <c r="G372" s="10" t="s">
        <v>84</v>
      </c>
      <c r="H372" s="12">
        <v>11612.416666666701</v>
      </c>
      <c r="I372" s="11">
        <v>914</v>
      </c>
      <c r="J372" s="11">
        <v>639</v>
      </c>
      <c r="K372" s="11">
        <v>5151</v>
      </c>
      <c r="L372" s="11">
        <v>7.87088533107521E-2</v>
      </c>
      <c r="M372" s="11">
        <f t="shared" si="1"/>
        <v>7.8708853310751907</v>
      </c>
      <c r="N372" s="11">
        <v>0.69912472647702395</v>
      </c>
      <c r="O372" s="11">
        <v>0.44357691838477498</v>
      </c>
      <c r="P372" s="11">
        <v>0.62584459459459496</v>
      </c>
      <c r="Q372" s="11">
        <v>0.32653061224489799</v>
      </c>
      <c r="R372" s="11">
        <v>0.49440715883668901</v>
      </c>
      <c r="S372" s="10" t="s">
        <v>84</v>
      </c>
      <c r="T372" s="10" t="s">
        <v>84</v>
      </c>
      <c r="U372" s="10"/>
      <c r="V372" s="10"/>
      <c r="W372" s="10"/>
      <c r="X372" s="10"/>
      <c r="Y372" s="10"/>
      <c r="Z372" s="10"/>
      <c r="AA372" s="10"/>
    </row>
    <row r="373" spans="1:27" ht="12.5" x14ac:dyDescent="0.25">
      <c r="A373" s="10" t="s">
        <v>6</v>
      </c>
      <c r="B373" s="10" t="s">
        <v>820</v>
      </c>
      <c r="C373" s="10" t="s">
        <v>76</v>
      </c>
      <c r="D373" s="11">
        <v>2024</v>
      </c>
      <c r="E373" s="10" t="s">
        <v>124</v>
      </c>
      <c r="F373" s="10" t="s">
        <v>83</v>
      </c>
      <c r="G373" s="10" t="s">
        <v>84</v>
      </c>
      <c r="H373" s="12">
        <v>13526.333333333299</v>
      </c>
      <c r="I373" s="11">
        <v>1062</v>
      </c>
      <c r="J373" s="11">
        <v>847</v>
      </c>
      <c r="K373" s="11">
        <v>21848</v>
      </c>
      <c r="L373" s="11">
        <v>7.8513516843687597E-2</v>
      </c>
      <c r="M373" s="11">
        <f t="shared" si="1"/>
        <v>7.8513516843687823</v>
      </c>
      <c r="N373" s="11">
        <v>0.79755178907721302</v>
      </c>
      <c r="O373" s="11">
        <v>1.61521969491609</v>
      </c>
      <c r="P373" s="11">
        <v>0.625</v>
      </c>
      <c r="Q373" s="11">
        <v>0.74193548387096797</v>
      </c>
      <c r="R373" s="11">
        <v>0.49217002237136498</v>
      </c>
      <c r="S373" s="10" t="s">
        <v>84</v>
      </c>
      <c r="T373" s="10" t="s">
        <v>84</v>
      </c>
      <c r="U373" s="10"/>
      <c r="V373" s="10"/>
      <c r="W373" s="10"/>
      <c r="X373" s="10"/>
      <c r="Y373" s="10"/>
      <c r="Z373" s="10"/>
      <c r="AA373" s="10"/>
    </row>
    <row r="374" spans="1:27" ht="12.5" x14ac:dyDescent="0.25">
      <c r="A374" s="10" t="s">
        <v>12</v>
      </c>
      <c r="B374" s="10" t="s">
        <v>659</v>
      </c>
      <c r="C374" s="10" t="s">
        <v>76</v>
      </c>
      <c r="D374" s="11">
        <v>2024</v>
      </c>
      <c r="E374" s="10" t="s">
        <v>81</v>
      </c>
      <c r="F374" s="10" t="s">
        <v>83</v>
      </c>
      <c r="G374" s="10" t="s">
        <v>84</v>
      </c>
      <c r="H374" s="12">
        <v>47693</v>
      </c>
      <c r="I374" s="11">
        <v>3717</v>
      </c>
      <c r="J374" s="11">
        <v>3297</v>
      </c>
      <c r="K374" s="11">
        <v>62833</v>
      </c>
      <c r="L374" s="11">
        <v>7.7935965445662905E-2</v>
      </c>
      <c r="M374" s="11">
        <f t="shared" si="1"/>
        <v>7.7935965445662889</v>
      </c>
      <c r="N374" s="11">
        <v>0.88700564971751406</v>
      </c>
      <c r="O374" s="11">
        <v>1.3174470048015401</v>
      </c>
      <c r="P374" s="11">
        <v>0.62331081081081097</v>
      </c>
      <c r="Q374" s="11">
        <v>0.48611111111111099</v>
      </c>
      <c r="R374" s="11">
        <v>0.67829457364341095</v>
      </c>
      <c r="S374" s="10" t="s">
        <v>84</v>
      </c>
      <c r="T374" s="10" t="s">
        <v>84</v>
      </c>
      <c r="U374" s="10"/>
      <c r="V374" s="10"/>
      <c r="W374" s="10"/>
      <c r="X374" s="10"/>
      <c r="Y374" s="10"/>
      <c r="Z374" s="10"/>
      <c r="AA374" s="10"/>
    </row>
    <row r="375" spans="1:27" ht="12.5" x14ac:dyDescent="0.25">
      <c r="A375" s="10" t="s">
        <v>12</v>
      </c>
      <c r="B375" s="10" t="s">
        <v>661</v>
      </c>
      <c r="C375" s="10" t="s">
        <v>76</v>
      </c>
      <c r="D375" s="11">
        <v>2024</v>
      </c>
      <c r="E375" s="10" t="s">
        <v>81</v>
      </c>
      <c r="F375" s="10" t="s">
        <v>83</v>
      </c>
      <c r="G375" s="10" t="s">
        <v>84</v>
      </c>
      <c r="H375" s="12">
        <v>18274.75</v>
      </c>
      <c r="I375" s="11">
        <v>1423</v>
      </c>
      <c r="J375" s="11">
        <v>1300</v>
      </c>
      <c r="K375" s="11">
        <v>16590</v>
      </c>
      <c r="L375" s="11">
        <v>7.7867002284572995E-2</v>
      </c>
      <c r="M375" s="11">
        <f t="shared" si="1"/>
        <v>7.7867002284572981</v>
      </c>
      <c r="N375" s="11">
        <v>0.91356289529163703</v>
      </c>
      <c r="O375" s="11">
        <v>0.90780995636055195</v>
      </c>
      <c r="P375" s="11">
        <v>0.62246621621621601</v>
      </c>
      <c r="Q375" s="11">
        <v>0.47222222222222199</v>
      </c>
      <c r="R375" s="11">
        <v>0.67635658914728702</v>
      </c>
      <c r="S375" s="10" t="s">
        <v>84</v>
      </c>
      <c r="T375" s="10" t="s">
        <v>84</v>
      </c>
      <c r="U375" s="10"/>
      <c r="V375" s="10"/>
      <c r="W375" s="10"/>
      <c r="X375" s="10"/>
      <c r="Y375" s="10"/>
      <c r="Z375" s="10"/>
      <c r="AA375" s="10"/>
    </row>
    <row r="376" spans="1:27" ht="12.5" x14ac:dyDescent="0.25">
      <c r="A376" s="10" t="s">
        <v>12</v>
      </c>
      <c r="B376" s="10" t="s">
        <v>663</v>
      </c>
      <c r="C376" s="10" t="s">
        <v>76</v>
      </c>
      <c r="D376" s="11">
        <v>2024</v>
      </c>
      <c r="E376" s="10" t="s">
        <v>81</v>
      </c>
      <c r="F376" s="10" t="s">
        <v>83</v>
      </c>
      <c r="G376" s="10" t="s">
        <v>84</v>
      </c>
      <c r="H376" s="12">
        <v>21752.166666666701</v>
      </c>
      <c r="I376" s="11">
        <v>1687</v>
      </c>
      <c r="J376" s="11">
        <v>1343</v>
      </c>
      <c r="K376" s="11">
        <v>34461</v>
      </c>
      <c r="L376" s="11">
        <v>7.7555492556297095E-2</v>
      </c>
      <c r="M376" s="11">
        <f t="shared" si="1"/>
        <v>7.7555492556296954</v>
      </c>
      <c r="N376" s="11">
        <v>0.79608772969768804</v>
      </c>
      <c r="O376" s="11">
        <v>1.5842559745006199</v>
      </c>
      <c r="P376" s="11">
        <v>0.62077702702702697</v>
      </c>
      <c r="Q376" s="11">
        <v>0.45833333333333298</v>
      </c>
      <c r="R376" s="11">
        <v>0.67441860465116299</v>
      </c>
      <c r="S376" s="10" t="s">
        <v>84</v>
      </c>
      <c r="T376" s="10" t="s">
        <v>84</v>
      </c>
      <c r="U376" s="10"/>
      <c r="V376" s="10"/>
      <c r="W376" s="10"/>
      <c r="X376" s="10"/>
      <c r="Y376" s="10"/>
      <c r="Z376" s="10"/>
      <c r="AA376" s="10"/>
    </row>
    <row r="377" spans="1:27" ht="12.5" x14ac:dyDescent="0.25">
      <c r="A377" s="10" t="s">
        <v>26</v>
      </c>
      <c r="B377" s="10" t="s">
        <v>664</v>
      </c>
      <c r="C377" s="10" t="s">
        <v>76</v>
      </c>
      <c r="D377" s="11">
        <v>2024</v>
      </c>
      <c r="E377" s="10" t="s">
        <v>81</v>
      </c>
      <c r="F377" s="10" t="s">
        <v>83</v>
      </c>
      <c r="G377" s="10" t="s">
        <v>84</v>
      </c>
      <c r="H377" s="12">
        <v>21415.083333333299</v>
      </c>
      <c r="I377" s="11">
        <v>1654</v>
      </c>
      <c r="J377" s="11">
        <v>1278</v>
      </c>
      <c r="K377" s="11">
        <v>12424</v>
      </c>
      <c r="L377" s="11">
        <v>7.7235281985827797E-2</v>
      </c>
      <c r="M377" s="11">
        <f t="shared" si="1"/>
        <v>7.7235281985827866</v>
      </c>
      <c r="N377" s="11">
        <v>0.77267230955260002</v>
      </c>
      <c r="O377" s="11">
        <v>0.58015184001930098</v>
      </c>
      <c r="P377" s="11">
        <v>0.61993243243243201</v>
      </c>
      <c r="Q377" s="11">
        <v>0.269230769230769</v>
      </c>
      <c r="R377" s="11">
        <v>0.67248062015503896</v>
      </c>
      <c r="S377" s="10" t="s">
        <v>84</v>
      </c>
      <c r="T377" s="10" t="s">
        <v>84</v>
      </c>
      <c r="U377" s="10"/>
      <c r="V377" s="10"/>
      <c r="W377" s="10"/>
      <c r="X377" s="10"/>
      <c r="Y377" s="10"/>
      <c r="Z377" s="10"/>
      <c r="AA377" s="10"/>
    </row>
    <row r="378" spans="1:27" ht="12.5" x14ac:dyDescent="0.25">
      <c r="A378" s="10" t="s">
        <v>82</v>
      </c>
      <c r="B378" s="10" t="s">
        <v>824</v>
      </c>
      <c r="C378" s="10" t="s">
        <v>76</v>
      </c>
      <c r="D378" s="11">
        <v>2024</v>
      </c>
      <c r="E378" s="10" t="s">
        <v>124</v>
      </c>
      <c r="F378" s="10" t="s">
        <v>83</v>
      </c>
      <c r="G378" s="10" t="s">
        <v>84</v>
      </c>
      <c r="H378" s="12">
        <v>964.58333333333303</v>
      </c>
      <c r="I378" s="11">
        <v>74</v>
      </c>
      <c r="J378" s="11">
        <v>71</v>
      </c>
      <c r="K378" s="11">
        <v>236</v>
      </c>
      <c r="L378" s="11">
        <v>7.6717062634989203E-2</v>
      </c>
      <c r="M378" s="11">
        <f t="shared" si="1"/>
        <v>7.6717062634989226</v>
      </c>
      <c r="N378" s="11">
        <v>0.95945945945945899</v>
      </c>
      <c r="O378" s="11">
        <v>0.24466522678185701</v>
      </c>
      <c r="P378" s="11">
        <v>0.61824324324324298</v>
      </c>
      <c r="Q378" s="11">
        <v>0.931034482758621</v>
      </c>
      <c r="R378" s="11">
        <v>0.48769574944071598</v>
      </c>
      <c r="S378" s="10" t="s">
        <v>84</v>
      </c>
      <c r="T378" s="10" t="s">
        <v>84</v>
      </c>
      <c r="U378" s="10"/>
      <c r="V378" s="10"/>
      <c r="W378" s="10"/>
      <c r="X378" s="10"/>
      <c r="Y378" s="10"/>
      <c r="Z378" s="10"/>
      <c r="AA378" s="10"/>
    </row>
    <row r="379" spans="1:27" ht="12.5" x14ac:dyDescent="0.25">
      <c r="A379" s="10" t="s">
        <v>86</v>
      </c>
      <c r="B379" s="10" t="s">
        <v>667</v>
      </c>
      <c r="C379" s="10" t="s">
        <v>76</v>
      </c>
      <c r="D379" s="11">
        <v>2024</v>
      </c>
      <c r="E379" s="10" t="s">
        <v>81</v>
      </c>
      <c r="F379" s="10" t="s">
        <v>83</v>
      </c>
      <c r="G379" s="10" t="s">
        <v>84</v>
      </c>
      <c r="H379" s="12">
        <v>65660.666666666701</v>
      </c>
      <c r="I379" s="11">
        <v>5017</v>
      </c>
      <c r="J379" s="11">
        <v>4115</v>
      </c>
      <c r="K379" s="11">
        <v>15841</v>
      </c>
      <c r="L379" s="11">
        <v>7.64079966697465E-2</v>
      </c>
      <c r="M379" s="11">
        <f t="shared" si="1"/>
        <v>7.640799666974643</v>
      </c>
      <c r="N379" s="11">
        <v>0.82021128164241597</v>
      </c>
      <c r="O379" s="11">
        <v>0.24125554619203801</v>
      </c>
      <c r="P379" s="11">
        <v>0.61739864864864902</v>
      </c>
      <c r="Q379" s="11">
        <v>0.45652173913043498</v>
      </c>
      <c r="R379" s="11">
        <v>0.67054263565891503</v>
      </c>
      <c r="S379" s="10" t="s">
        <v>84</v>
      </c>
      <c r="T379" s="10" t="s">
        <v>84</v>
      </c>
      <c r="U379" s="10"/>
      <c r="V379" s="10"/>
      <c r="W379" s="10"/>
      <c r="X379" s="10"/>
      <c r="Y379" s="10"/>
      <c r="Z379" s="10"/>
      <c r="AA379" s="10"/>
    </row>
    <row r="380" spans="1:27" ht="12.5" hidden="1" x14ac:dyDescent="0.25">
      <c r="A380" s="10" t="s">
        <v>103</v>
      </c>
      <c r="B380" s="10" t="s">
        <v>1300</v>
      </c>
      <c r="C380" s="10" t="s">
        <v>76</v>
      </c>
      <c r="D380" s="11">
        <v>2024</v>
      </c>
      <c r="E380" s="10" t="s">
        <v>257</v>
      </c>
      <c r="F380" s="10" t="s">
        <v>83</v>
      </c>
      <c r="G380" s="10" t="s">
        <v>84</v>
      </c>
      <c r="H380" s="12">
        <v>76382.75</v>
      </c>
      <c r="I380" s="11">
        <v>5812</v>
      </c>
      <c r="J380" s="11">
        <v>5369</v>
      </c>
      <c r="K380" s="11">
        <v>92167</v>
      </c>
      <c r="L380" s="11">
        <v>7.6090478543912099E-2</v>
      </c>
      <c r="M380" s="11">
        <f t="shared" si="1"/>
        <v>7.609047854391207</v>
      </c>
      <c r="N380" s="11">
        <v>0.92377838953888503</v>
      </c>
      <c r="O380" s="11">
        <v>1.2066467887055601</v>
      </c>
      <c r="P380" s="11">
        <v>0.61655405405405395</v>
      </c>
      <c r="Q380" s="11">
        <v>0.60869565217391297</v>
      </c>
      <c r="R380" s="11">
        <v>0.75</v>
      </c>
      <c r="S380" s="10" t="s">
        <v>84</v>
      </c>
      <c r="T380" s="10" t="s">
        <v>84</v>
      </c>
      <c r="U380" s="10"/>
      <c r="V380" s="10"/>
      <c r="W380" s="10"/>
      <c r="X380" s="10"/>
      <c r="Y380" s="10"/>
      <c r="Z380" s="10"/>
      <c r="AA380" s="10"/>
    </row>
    <row r="381" spans="1:27" ht="12.5" x14ac:dyDescent="0.25">
      <c r="A381" s="10" t="s">
        <v>12</v>
      </c>
      <c r="B381" s="10" t="s">
        <v>827</v>
      </c>
      <c r="C381" s="10" t="s">
        <v>76</v>
      </c>
      <c r="D381" s="11">
        <v>2024</v>
      </c>
      <c r="E381" s="10" t="s">
        <v>124</v>
      </c>
      <c r="F381" s="10" t="s">
        <v>83</v>
      </c>
      <c r="G381" s="10" t="s">
        <v>84</v>
      </c>
      <c r="H381" s="12">
        <v>52154.916666666701</v>
      </c>
      <c r="I381" s="11">
        <v>3947</v>
      </c>
      <c r="J381" s="11">
        <v>2753</v>
      </c>
      <c r="K381" s="11">
        <v>7462</v>
      </c>
      <c r="L381" s="11">
        <v>7.5678387624049506E-2</v>
      </c>
      <c r="M381" s="11">
        <f t="shared" si="1"/>
        <v>7.5678387624049455</v>
      </c>
      <c r="N381" s="11">
        <v>0.69749176589814998</v>
      </c>
      <c r="O381" s="11">
        <v>0.14307375942504599</v>
      </c>
      <c r="P381" s="11">
        <v>0.61570945945945899</v>
      </c>
      <c r="Q381" s="11">
        <v>0.44444444444444398</v>
      </c>
      <c r="R381" s="11">
        <v>0.485458612975392</v>
      </c>
      <c r="S381" s="10" t="s">
        <v>84</v>
      </c>
      <c r="T381" s="10" t="s">
        <v>84</v>
      </c>
      <c r="U381" s="10"/>
      <c r="V381" s="10"/>
      <c r="W381" s="10"/>
      <c r="X381" s="10"/>
      <c r="Y381" s="10"/>
      <c r="Z381" s="10"/>
      <c r="AA381" s="10"/>
    </row>
    <row r="382" spans="1:27" ht="12.5" x14ac:dyDescent="0.25">
      <c r="A382" s="10" t="s">
        <v>26</v>
      </c>
      <c r="B382" s="10" t="s">
        <v>829</v>
      </c>
      <c r="C382" s="10" t="s">
        <v>76</v>
      </c>
      <c r="D382" s="11">
        <v>2024</v>
      </c>
      <c r="E382" s="10" t="s">
        <v>124</v>
      </c>
      <c r="F382" s="10" t="s">
        <v>83</v>
      </c>
      <c r="G382" s="10" t="s">
        <v>84</v>
      </c>
      <c r="H382" s="12">
        <v>28709.416666666701</v>
      </c>
      <c r="I382" s="11">
        <v>2171</v>
      </c>
      <c r="J382" s="11">
        <v>1919</v>
      </c>
      <c r="K382" s="11">
        <v>34219</v>
      </c>
      <c r="L382" s="11">
        <v>7.5619787932530796E-2</v>
      </c>
      <c r="M382" s="11">
        <f t="shared" si="1"/>
        <v>7.5619787932530755</v>
      </c>
      <c r="N382" s="11">
        <v>0.883924458774758</v>
      </c>
      <c r="O382" s="11">
        <v>1.19190857819589</v>
      </c>
      <c r="P382" s="11">
        <v>0.61486486486486502</v>
      </c>
      <c r="Q382" s="11">
        <v>0.230769230769231</v>
      </c>
      <c r="R382" s="11">
        <v>0.48322147651006703</v>
      </c>
      <c r="S382" s="10" t="s">
        <v>84</v>
      </c>
      <c r="T382" s="10" t="s">
        <v>84</v>
      </c>
      <c r="U382" s="10"/>
      <c r="V382" s="10"/>
      <c r="W382" s="10"/>
      <c r="X382" s="10"/>
      <c r="Y382" s="10"/>
      <c r="Z382" s="10"/>
      <c r="AA382" s="10"/>
    </row>
    <row r="383" spans="1:27" ht="12.5" x14ac:dyDescent="0.25">
      <c r="A383" s="10" t="s">
        <v>49</v>
      </c>
      <c r="B383" s="10" t="s">
        <v>831</v>
      </c>
      <c r="C383" s="10" t="s">
        <v>76</v>
      </c>
      <c r="D383" s="11">
        <v>2024</v>
      </c>
      <c r="E383" s="10" t="s">
        <v>124</v>
      </c>
      <c r="F383" s="10" t="s">
        <v>83</v>
      </c>
      <c r="G383" s="10" t="s">
        <v>84</v>
      </c>
      <c r="H383" s="12">
        <v>6094</v>
      </c>
      <c r="I383" s="11">
        <v>460</v>
      </c>
      <c r="J383" s="11">
        <v>407</v>
      </c>
      <c r="K383" s="11">
        <v>3344</v>
      </c>
      <c r="L383" s="11">
        <v>7.5484082704299293E-2</v>
      </c>
      <c r="M383" s="11">
        <f t="shared" si="1"/>
        <v>7.5484082704299311</v>
      </c>
      <c r="N383" s="11">
        <v>0.88478260869565195</v>
      </c>
      <c r="O383" s="11">
        <v>0.54873646209386295</v>
      </c>
      <c r="P383" s="11">
        <v>0.61402027027026995</v>
      </c>
      <c r="Q383" s="11">
        <v>0.76923076923076905</v>
      </c>
      <c r="R383" s="11">
        <v>0.480984340044743</v>
      </c>
      <c r="S383" s="10" t="s">
        <v>84</v>
      </c>
      <c r="T383" s="10" t="s">
        <v>84</v>
      </c>
      <c r="U383" s="10"/>
      <c r="V383" s="10"/>
      <c r="W383" s="10"/>
      <c r="X383" s="10"/>
      <c r="Y383" s="10"/>
      <c r="Z383" s="10"/>
      <c r="AA383" s="10"/>
    </row>
    <row r="384" spans="1:27" ht="12.5" x14ac:dyDescent="0.25">
      <c r="A384" s="10" t="s">
        <v>16</v>
      </c>
      <c r="B384" s="10" t="s">
        <v>834</v>
      </c>
      <c r="C384" s="10" t="s">
        <v>76</v>
      </c>
      <c r="D384" s="11">
        <v>2024</v>
      </c>
      <c r="E384" s="10" t="s">
        <v>124</v>
      </c>
      <c r="F384" s="10" t="s">
        <v>125</v>
      </c>
      <c r="G384" s="10" t="s">
        <v>84</v>
      </c>
      <c r="H384" s="12">
        <v>1749.25</v>
      </c>
      <c r="I384" s="11">
        <v>132</v>
      </c>
      <c r="J384" s="11">
        <v>75</v>
      </c>
      <c r="K384" s="11">
        <v>0</v>
      </c>
      <c r="L384" s="11">
        <v>7.5460911819351106E-2</v>
      </c>
      <c r="M384" s="11">
        <f t="shared" si="1"/>
        <v>7.5460911819351146</v>
      </c>
      <c r="N384" s="11">
        <v>0.56818181818181801</v>
      </c>
      <c r="O384" s="11">
        <v>0</v>
      </c>
      <c r="P384" s="11">
        <v>0.61317567567567599</v>
      </c>
      <c r="Q384" s="11">
        <v>0.3</v>
      </c>
      <c r="R384" s="11">
        <v>0.47874720357941802</v>
      </c>
      <c r="S384" s="10" t="s">
        <v>84</v>
      </c>
      <c r="T384" s="10" t="s">
        <v>84</v>
      </c>
      <c r="U384" s="10"/>
      <c r="V384" s="10"/>
      <c r="W384" s="10"/>
      <c r="X384" s="10"/>
      <c r="Y384" s="10"/>
      <c r="Z384" s="10"/>
      <c r="AA384" s="10"/>
    </row>
    <row r="385" spans="1:27" ht="12.5" x14ac:dyDescent="0.25">
      <c r="A385" s="10" t="s">
        <v>86</v>
      </c>
      <c r="B385" s="10" t="s">
        <v>836</v>
      </c>
      <c r="C385" s="10" t="s">
        <v>76</v>
      </c>
      <c r="D385" s="11">
        <v>2024</v>
      </c>
      <c r="E385" s="10" t="s">
        <v>124</v>
      </c>
      <c r="F385" s="10" t="s">
        <v>83</v>
      </c>
      <c r="G385" s="10" t="s">
        <v>84</v>
      </c>
      <c r="H385" s="12">
        <v>8737.0833333333303</v>
      </c>
      <c r="I385" s="11">
        <v>658</v>
      </c>
      <c r="J385" s="11">
        <v>624</v>
      </c>
      <c r="K385" s="11">
        <v>4149</v>
      </c>
      <c r="L385" s="11">
        <v>7.5311173637274104E-2</v>
      </c>
      <c r="M385" s="11">
        <f t="shared" si="1"/>
        <v>7.53111736372741</v>
      </c>
      <c r="N385" s="11">
        <v>0.948328267477204</v>
      </c>
      <c r="O385" s="11">
        <v>0.47487243073107899</v>
      </c>
      <c r="P385" s="11">
        <v>0.61233108108108103</v>
      </c>
      <c r="Q385" s="11">
        <v>0.434782608695652</v>
      </c>
      <c r="R385" s="11">
        <v>0.47651006711409399</v>
      </c>
      <c r="S385" s="10" t="s">
        <v>84</v>
      </c>
      <c r="T385" s="10" t="s">
        <v>84</v>
      </c>
      <c r="U385" s="10"/>
      <c r="V385" s="10"/>
      <c r="W385" s="10"/>
      <c r="X385" s="10"/>
      <c r="Y385" s="10"/>
      <c r="Z385" s="10"/>
      <c r="AA385" s="10"/>
    </row>
    <row r="386" spans="1:27" ht="12.5" x14ac:dyDescent="0.25">
      <c r="A386" s="10" t="s">
        <v>19</v>
      </c>
      <c r="B386" s="10" t="s">
        <v>669</v>
      </c>
      <c r="C386" s="10" t="s">
        <v>76</v>
      </c>
      <c r="D386" s="11">
        <v>2024</v>
      </c>
      <c r="E386" s="10" t="s">
        <v>81</v>
      </c>
      <c r="F386" s="10" t="s">
        <v>83</v>
      </c>
      <c r="G386" s="10" t="s">
        <v>84</v>
      </c>
      <c r="H386" s="12">
        <v>28934.416666666701</v>
      </c>
      <c r="I386" s="11">
        <v>2175</v>
      </c>
      <c r="J386" s="11">
        <v>1835</v>
      </c>
      <c r="K386" s="11">
        <v>3124</v>
      </c>
      <c r="L386" s="11">
        <v>7.5169996515107404E-2</v>
      </c>
      <c r="M386" s="11">
        <f t="shared" si="1"/>
        <v>7.5169996515107345</v>
      </c>
      <c r="N386" s="11">
        <v>0.84367816091953995</v>
      </c>
      <c r="O386" s="11">
        <v>0.10796830763825099</v>
      </c>
      <c r="P386" s="11">
        <v>0.61148648648648696</v>
      </c>
      <c r="Q386" s="11">
        <v>0.33333333333333298</v>
      </c>
      <c r="R386" s="11">
        <v>0.668604651162791</v>
      </c>
      <c r="S386" s="10" t="s">
        <v>84</v>
      </c>
      <c r="T386" s="10" t="s">
        <v>84</v>
      </c>
      <c r="U386" s="10"/>
      <c r="V386" s="10"/>
      <c r="W386" s="10"/>
      <c r="X386" s="10"/>
      <c r="Y386" s="10"/>
      <c r="Z386" s="10"/>
      <c r="AA386" s="10"/>
    </row>
    <row r="387" spans="1:27" ht="12.5" hidden="1" x14ac:dyDescent="0.25">
      <c r="A387" s="10" t="s">
        <v>110</v>
      </c>
      <c r="B387" s="10" t="s">
        <v>1323</v>
      </c>
      <c r="C387" s="10" t="s">
        <v>76</v>
      </c>
      <c r="D387" s="11">
        <v>2024</v>
      </c>
      <c r="E387" s="10" t="s">
        <v>257</v>
      </c>
      <c r="F387" s="10" t="s">
        <v>83</v>
      </c>
      <c r="G387" s="10" t="s">
        <v>84</v>
      </c>
      <c r="H387" s="12">
        <v>48262.833333333299</v>
      </c>
      <c r="I387" s="11">
        <v>3627</v>
      </c>
      <c r="J387" s="11">
        <v>3289</v>
      </c>
      <c r="K387" s="11">
        <v>42648</v>
      </c>
      <c r="L387" s="11">
        <v>7.5150996108116305E-2</v>
      </c>
      <c r="M387" s="11">
        <f t="shared" si="1"/>
        <v>7.515099610811637</v>
      </c>
      <c r="N387" s="11">
        <v>0.90681003584229403</v>
      </c>
      <c r="O387" s="11">
        <v>0.88366134050701495</v>
      </c>
      <c r="P387" s="11">
        <v>0.610641891891892</v>
      </c>
      <c r="Q387" s="11">
        <v>0.78787878787878796</v>
      </c>
      <c r="R387" s="11">
        <v>0.72727272727272696</v>
      </c>
      <c r="S387" s="10" t="s">
        <v>84</v>
      </c>
      <c r="T387" s="10" t="s">
        <v>84</v>
      </c>
      <c r="U387" s="10"/>
      <c r="V387" s="10"/>
      <c r="W387" s="10"/>
      <c r="X387" s="10"/>
      <c r="Y387" s="10"/>
      <c r="Z387" s="10"/>
      <c r="AA387" s="10"/>
    </row>
    <row r="388" spans="1:27" ht="12.5" x14ac:dyDescent="0.25">
      <c r="A388" s="10" t="s">
        <v>104</v>
      </c>
      <c r="B388" s="10" t="s">
        <v>839</v>
      </c>
      <c r="C388" s="10" t="s">
        <v>76</v>
      </c>
      <c r="D388" s="11">
        <v>2024</v>
      </c>
      <c r="E388" s="10" t="s">
        <v>124</v>
      </c>
      <c r="F388" s="10" t="s">
        <v>125</v>
      </c>
      <c r="G388" s="10" t="s">
        <v>84</v>
      </c>
      <c r="H388" s="12">
        <v>4021.3333333333298</v>
      </c>
      <c r="I388" s="11">
        <v>302</v>
      </c>
      <c r="J388" s="11">
        <v>290</v>
      </c>
      <c r="K388" s="11">
        <v>6718</v>
      </c>
      <c r="L388" s="11">
        <v>7.5099469496021198E-2</v>
      </c>
      <c r="M388" s="11">
        <f t="shared" si="1"/>
        <v>7.5099469496021278</v>
      </c>
      <c r="N388" s="11">
        <v>0.96026490066225201</v>
      </c>
      <c r="O388" s="11">
        <v>1.6705901856763901</v>
      </c>
      <c r="P388" s="11">
        <v>0.60979729729729704</v>
      </c>
      <c r="Q388" s="11">
        <v>0.72413793103448298</v>
      </c>
      <c r="R388" s="11">
        <v>0.47427293064877002</v>
      </c>
      <c r="S388" s="10" t="s">
        <v>84</v>
      </c>
      <c r="T388" s="10" t="s">
        <v>84</v>
      </c>
      <c r="U388" s="10"/>
      <c r="V388" s="10"/>
      <c r="W388" s="10"/>
      <c r="X388" s="10"/>
      <c r="Y388" s="10"/>
      <c r="Z388" s="10"/>
      <c r="AA388" s="10"/>
    </row>
    <row r="389" spans="1:27" ht="12.5" x14ac:dyDescent="0.25">
      <c r="A389" s="10" t="s">
        <v>49</v>
      </c>
      <c r="B389" s="10" t="s">
        <v>842</v>
      </c>
      <c r="C389" s="10" t="s">
        <v>76</v>
      </c>
      <c r="D389" s="11">
        <v>2024</v>
      </c>
      <c r="E389" s="10" t="s">
        <v>124</v>
      </c>
      <c r="F389" s="10" t="s">
        <v>83</v>
      </c>
      <c r="G389" s="10" t="s">
        <v>84</v>
      </c>
      <c r="H389" s="12">
        <v>26586.5</v>
      </c>
      <c r="I389" s="11">
        <v>1996</v>
      </c>
      <c r="J389" s="11">
        <v>1849</v>
      </c>
      <c r="K389" s="11">
        <v>38501</v>
      </c>
      <c r="L389" s="11">
        <v>7.5075696312038101E-2</v>
      </c>
      <c r="M389" s="11">
        <f t="shared" si="1"/>
        <v>7.5075696312038058</v>
      </c>
      <c r="N389" s="11">
        <v>0.92635270541082204</v>
      </c>
      <c r="O389" s="11">
        <v>1.44814097380249</v>
      </c>
      <c r="P389" s="11">
        <v>0.60895270270270296</v>
      </c>
      <c r="Q389" s="11">
        <v>0.73076923076923095</v>
      </c>
      <c r="R389" s="11">
        <v>0.47203579418344499</v>
      </c>
      <c r="S389" s="10" t="s">
        <v>84</v>
      </c>
      <c r="T389" s="10" t="s">
        <v>84</v>
      </c>
      <c r="U389" s="10"/>
      <c r="V389" s="10"/>
      <c r="W389" s="10"/>
      <c r="X389" s="10"/>
      <c r="Y389" s="10"/>
      <c r="Z389" s="10"/>
      <c r="AA389" s="10"/>
    </row>
    <row r="390" spans="1:27" ht="12.5" x14ac:dyDescent="0.25">
      <c r="A390" s="10" t="s">
        <v>42</v>
      </c>
      <c r="B390" s="10" t="s">
        <v>843</v>
      </c>
      <c r="C390" s="10" t="s">
        <v>76</v>
      </c>
      <c r="D390" s="11">
        <v>2024</v>
      </c>
      <c r="E390" s="10" t="s">
        <v>124</v>
      </c>
      <c r="F390" s="10" t="s">
        <v>83</v>
      </c>
      <c r="G390" s="10" t="s">
        <v>84</v>
      </c>
      <c r="H390" s="12">
        <v>11682.666666666701</v>
      </c>
      <c r="I390" s="11">
        <v>872</v>
      </c>
      <c r="J390" s="11">
        <v>725</v>
      </c>
      <c r="K390" s="11">
        <v>8410</v>
      </c>
      <c r="L390" s="11">
        <v>7.4640493038119093E-2</v>
      </c>
      <c r="M390" s="11">
        <f t="shared" si="1"/>
        <v>7.464049303811894</v>
      </c>
      <c r="N390" s="11">
        <v>0.83142201834862395</v>
      </c>
      <c r="O390" s="11">
        <v>0.71986989271855695</v>
      </c>
      <c r="P390" s="11">
        <v>0.608108108108108</v>
      </c>
      <c r="Q390" s="11">
        <v>0.547619047619048</v>
      </c>
      <c r="R390" s="11">
        <v>0.46979865771812102</v>
      </c>
      <c r="S390" s="10" t="s">
        <v>84</v>
      </c>
      <c r="T390" s="10" t="s">
        <v>84</v>
      </c>
      <c r="U390" s="10"/>
      <c r="V390" s="10"/>
      <c r="W390" s="10"/>
      <c r="X390" s="10"/>
      <c r="Y390" s="10"/>
      <c r="Z390" s="10"/>
      <c r="AA390" s="10"/>
    </row>
    <row r="391" spans="1:27" ht="12.5" x14ac:dyDescent="0.25">
      <c r="A391" s="10" t="s">
        <v>12</v>
      </c>
      <c r="B391" s="10" t="s">
        <v>671</v>
      </c>
      <c r="C391" s="10" t="s">
        <v>76</v>
      </c>
      <c r="D391" s="11">
        <v>2024</v>
      </c>
      <c r="E391" s="10" t="s">
        <v>81</v>
      </c>
      <c r="F391" s="10" t="s">
        <v>83</v>
      </c>
      <c r="G391" s="10" t="s">
        <v>84</v>
      </c>
      <c r="H391" s="12">
        <v>7568</v>
      </c>
      <c r="I391" s="11">
        <v>563</v>
      </c>
      <c r="J391" s="11">
        <v>464</v>
      </c>
      <c r="K391" s="11">
        <v>4659</v>
      </c>
      <c r="L391" s="11">
        <v>7.4392177589852004E-2</v>
      </c>
      <c r="M391" s="11">
        <f t="shared" si="1"/>
        <v>7.4392177589852002</v>
      </c>
      <c r="N391" s="11">
        <v>0.82415630550621699</v>
      </c>
      <c r="O391" s="11">
        <v>0.61561839323467205</v>
      </c>
      <c r="P391" s="11">
        <v>0.60726351351351304</v>
      </c>
      <c r="Q391" s="11">
        <v>0.43055555555555602</v>
      </c>
      <c r="R391" s="11">
        <v>0.66666666666666696</v>
      </c>
      <c r="S391" s="10" t="s">
        <v>84</v>
      </c>
      <c r="T391" s="10" t="s">
        <v>84</v>
      </c>
      <c r="U391" s="10"/>
      <c r="V391" s="10"/>
      <c r="W391" s="10"/>
      <c r="X391" s="10"/>
      <c r="Y391" s="10"/>
      <c r="Z391" s="10"/>
      <c r="AA391" s="10"/>
    </row>
    <row r="392" spans="1:27" ht="12.5" x14ac:dyDescent="0.25">
      <c r="A392" s="10" t="s">
        <v>34</v>
      </c>
      <c r="B392" s="10" t="s">
        <v>845</v>
      </c>
      <c r="C392" s="10" t="s">
        <v>76</v>
      </c>
      <c r="D392" s="11">
        <v>2024</v>
      </c>
      <c r="E392" s="10" t="s">
        <v>124</v>
      </c>
      <c r="F392" s="10" t="s">
        <v>83</v>
      </c>
      <c r="G392" s="10" t="s">
        <v>84</v>
      </c>
      <c r="H392" s="12">
        <v>6633.0833333333303</v>
      </c>
      <c r="I392" s="11">
        <v>493</v>
      </c>
      <c r="J392" s="11">
        <v>493</v>
      </c>
      <c r="K392" s="11">
        <v>6472</v>
      </c>
      <c r="L392" s="11">
        <v>7.4324409211402404E-2</v>
      </c>
      <c r="M392" s="11">
        <f t="shared" si="1"/>
        <v>7.4324409211402473</v>
      </c>
      <c r="N392" s="11">
        <v>1</v>
      </c>
      <c r="O392" s="11">
        <v>0.97571516514441503</v>
      </c>
      <c r="P392" s="11">
        <v>0.60641891891891897</v>
      </c>
      <c r="Q392" s="11">
        <v>0.93877551020408201</v>
      </c>
      <c r="R392" s="11">
        <v>0.46756152125279599</v>
      </c>
      <c r="S392" s="10" t="s">
        <v>84</v>
      </c>
      <c r="T392" s="10" t="s">
        <v>84</v>
      </c>
      <c r="U392" s="10"/>
      <c r="V392" s="10"/>
      <c r="W392" s="10"/>
      <c r="X392" s="10"/>
      <c r="Y392" s="10"/>
      <c r="Z392" s="10"/>
      <c r="AA392" s="10"/>
    </row>
    <row r="393" spans="1:27" ht="12.5" x14ac:dyDescent="0.25">
      <c r="A393" s="10" t="s">
        <v>12</v>
      </c>
      <c r="B393" s="10" t="s">
        <v>673</v>
      </c>
      <c r="C393" s="10" t="s">
        <v>76</v>
      </c>
      <c r="D393" s="11">
        <v>2024</v>
      </c>
      <c r="E393" s="10" t="s">
        <v>81</v>
      </c>
      <c r="F393" s="10" t="s">
        <v>83</v>
      </c>
      <c r="G393" s="10" t="s">
        <v>84</v>
      </c>
      <c r="H393" s="12">
        <v>19569.25</v>
      </c>
      <c r="I393" s="11">
        <v>1453</v>
      </c>
      <c r="J393" s="11">
        <v>1406</v>
      </c>
      <c r="K393" s="11">
        <v>1550</v>
      </c>
      <c r="L393" s="11">
        <v>7.4249140871520403E-2</v>
      </c>
      <c r="M393" s="11">
        <f t="shared" si="1"/>
        <v>7.4249140871520378</v>
      </c>
      <c r="N393" s="11">
        <v>0.96765313145216802</v>
      </c>
      <c r="O393" s="11">
        <v>7.9205897006783599E-2</v>
      </c>
      <c r="P393" s="11">
        <v>0.60557432432432401</v>
      </c>
      <c r="Q393" s="11">
        <v>0.41666666666666702</v>
      </c>
      <c r="R393" s="11">
        <v>0.66472868217054304</v>
      </c>
      <c r="S393" s="10" t="s">
        <v>84</v>
      </c>
      <c r="T393" s="10" t="s">
        <v>84</v>
      </c>
      <c r="U393" s="10"/>
      <c r="V393" s="10"/>
      <c r="W393" s="10"/>
      <c r="X393" s="10"/>
      <c r="Y393" s="10"/>
      <c r="Z393" s="10"/>
      <c r="AA393" s="10"/>
    </row>
    <row r="394" spans="1:27" ht="12.5" hidden="1" x14ac:dyDescent="0.25">
      <c r="A394" s="10" t="s">
        <v>101</v>
      </c>
      <c r="B394" s="10" t="s">
        <v>1339</v>
      </c>
      <c r="C394" s="10" t="s">
        <v>76</v>
      </c>
      <c r="D394" s="11">
        <v>2024</v>
      </c>
      <c r="E394" s="10" t="s">
        <v>1340</v>
      </c>
      <c r="F394" s="10" t="s">
        <v>83</v>
      </c>
      <c r="G394" s="10" t="s">
        <v>84</v>
      </c>
      <c r="H394" s="12">
        <v>11461.916666666701</v>
      </c>
      <c r="I394" s="11">
        <v>835</v>
      </c>
      <c r="J394" s="11">
        <v>645</v>
      </c>
      <c r="K394" s="11">
        <v>966</v>
      </c>
      <c r="L394" s="11">
        <v>7.2849945108075298E-2</v>
      </c>
      <c r="M394" s="11">
        <f t="shared" si="1"/>
        <v>7.2849945108075076</v>
      </c>
      <c r="N394" s="11">
        <v>0.77245508982035904</v>
      </c>
      <c r="O394" s="11">
        <v>8.4279098172934996E-2</v>
      </c>
      <c r="P394" s="11">
        <v>0.60472972972973005</v>
      </c>
      <c r="Q394" s="11">
        <v>0.71428571428571397</v>
      </c>
      <c r="R394" s="11">
        <v>1</v>
      </c>
      <c r="S394" s="10" t="s">
        <v>84</v>
      </c>
      <c r="T394" s="10" t="s">
        <v>84</v>
      </c>
      <c r="U394" s="10"/>
      <c r="V394" s="10"/>
      <c r="W394" s="10"/>
      <c r="X394" s="10"/>
      <c r="Y394" s="10"/>
      <c r="Z394" s="10"/>
      <c r="AA394" s="10"/>
    </row>
    <row r="395" spans="1:27" ht="12.5" x14ac:dyDescent="0.25">
      <c r="A395" s="10" t="s">
        <v>52</v>
      </c>
      <c r="B395" s="10" t="s">
        <v>847</v>
      </c>
      <c r="C395" s="10" t="s">
        <v>76</v>
      </c>
      <c r="D395" s="11">
        <v>2024</v>
      </c>
      <c r="E395" s="10" t="s">
        <v>124</v>
      </c>
      <c r="F395" s="10" t="s">
        <v>125</v>
      </c>
      <c r="G395" s="10" t="s">
        <v>84</v>
      </c>
      <c r="H395" s="12">
        <v>1363</v>
      </c>
      <c r="I395" s="11">
        <v>99</v>
      </c>
      <c r="J395" s="11">
        <v>96</v>
      </c>
      <c r="K395" s="11">
        <v>261</v>
      </c>
      <c r="L395" s="11">
        <v>7.2633895818048397E-2</v>
      </c>
      <c r="M395" s="11">
        <f t="shared" si="1"/>
        <v>7.2633895818048426</v>
      </c>
      <c r="N395" s="11">
        <v>0.96969696969696995</v>
      </c>
      <c r="O395" s="11">
        <v>0.19148936170212799</v>
      </c>
      <c r="P395" s="11">
        <v>0.60388513513513498</v>
      </c>
      <c r="Q395" s="11">
        <v>0.51063829787234005</v>
      </c>
      <c r="R395" s="11">
        <v>0.46532438478747201</v>
      </c>
      <c r="S395" s="10" t="s">
        <v>84</v>
      </c>
      <c r="T395" s="10" t="s">
        <v>84</v>
      </c>
      <c r="U395" s="10"/>
      <c r="V395" s="10"/>
      <c r="W395" s="10"/>
      <c r="X395" s="10"/>
      <c r="Y395" s="10"/>
      <c r="Z395" s="10"/>
      <c r="AA395" s="10"/>
    </row>
    <row r="396" spans="1:27" ht="12.5" x14ac:dyDescent="0.25">
      <c r="A396" s="10" t="s">
        <v>62</v>
      </c>
      <c r="B396" s="10" t="s">
        <v>849</v>
      </c>
      <c r="C396" s="10" t="s">
        <v>76</v>
      </c>
      <c r="D396" s="11">
        <v>2024</v>
      </c>
      <c r="E396" s="10" t="s">
        <v>124</v>
      </c>
      <c r="F396" s="10" t="s">
        <v>83</v>
      </c>
      <c r="G396" s="10" t="s">
        <v>84</v>
      </c>
      <c r="H396" s="12">
        <v>8118.25</v>
      </c>
      <c r="I396" s="11">
        <v>588</v>
      </c>
      <c r="J396" s="11">
        <v>533</v>
      </c>
      <c r="K396" s="11">
        <v>10653</v>
      </c>
      <c r="L396" s="11">
        <v>7.2429402888553596E-2</v>
      </c>
      <c r="M396" s="11">
        <f t="shared" si="1"/>
        <v>7.2429402888553565</v>
      </c>
      <c r="N396" s="11">
        <v>0.906462585034014</v>
      </c>
      <c r="O396" s="11">
        <v>1.31222862070027</v>
      </c>
      <c r="P396" s="11">
        <v>0.60304054054054101</v>
      </c>
      <c r="Q396" s="11">
        <v>0.72222222222222199</v>
      </c>
      <c r="R396" s="11">
        <v>0.46308724832214798</v>
      </c>
      <c r="S396" s="10" t="s">
        <v>84</v>
      </c>
      <c r="T396" s="10" t="s">
        <v>84</v>
      </c>
      <c r="U396" s="10"/>
      <c r="V396" s="10"/>
      <c r="W396" s="10"/>
      <c r="X396" s="10"/>
      <c r="Y396" s="10"/>
      <c r="Z396" s="10"/>
      <c r="AA396" s="10"/>
    </row>
    <row r="397" spans="1:27" ht="12.5" x14ac:dyDescent="0.25">
      <c r="A397" s="10" t="s">
        <v>109</v>
      </c>
      <c r="B397" s="10" t="s">
        <v>852</v>
      </c>
      <c r="C397" s="10" t="s">
        <v>76</v>
      </c>
      <c r="D397" s="11">
        <v>2024</v>
      </c>
      <c r="E397" s="10" t="s">
        <v>124</v>
      </c>
      <c r="F397" s="10" t="s">
        <v>83</v>
      </c>
      <c r="G397" s="10" t="s">
        <v>84</v>
      </c>
      <c r="H397" s="12">
        <v>7469.6666666666697</v>
      </c>
      <c r="I397" s="11">
        <v>538</v>
      </c>
      <c r="J397" s="11">
        <v>538</v>
      </c>
      <c r="K397" s="11">
        <v>570</v>
      </c>
      <c r="L397" s="11">
        <v>7.2024632959971399E-2</v>
      </c>
      <c r="M397" s="11">
        <f t="shared" si="1"/>
        <v>7.2024632959971413</v>
      </c>
      <c r="N397" s="11">
        <v>1</v>
      </c>
      <c r="O397" s="11">
        <v>7.6308625998482704E-2</v>
      </c>
      <c r="P397" s="11">
        <v>0.60219594594594605</v>
      </c>
      <c r="Q397" s="11">
        <v>0.61111111111111105</v>
      </c>
      <c r="R397" s="11">
        <v>0.46085011185682301</v>
      </c>
      <c r="S397" s="10" t="s">
        <v>84</v>
      </c>
      <c r="T397" s="10" t="s">
        <v>84</v>
      </c>
      <c r="U397" s="10"/>
      <c r="V397" s="10"/>
      <c r="W397" s="10"/>
      <c r="X397" s="10"/>
      <c r="Y397" s="10"/>
      <c r="Z397" s="10"/>
      <c r="AA397" s="10"/>
    </row>
    <row r="398" spans="1:27" ht="12.5" x14ac:dyDescent="0.25">
      <c r="A398" s="10" t="s">
        <v>34</v>
      </c>
      <c r="B398" s="10" t="s">
        <v>677</v>
      </c>
      <c r="C398" s="10" t="s">
        <v>76</v>
      </c>
      <c r="D398" s="11">
        <v>2024</v>
      </c>
      <c r="E398" s="10" t="s">
        <v>81</v>
      </c>
      <c r="F398" s="10" t="s">
        <v>83</v>
      </c>
      <c r="G398" s="10" t="s">
        <v>84</v>
      </c>
      <c r="H398" s="12">
        <v>7789.4166666666697</v>
      </c>
      <c r="I398" s="11">
        <v>559</v>
      </c>
      <c r="J398" s="11">
        <v>497</v>
      </c>
      <c r="K398" s="11">
        <v>6515</v>
      </c>
      <c r="L398" s="11">
        <v>7.1764038813347197E-2</v>
      </c>
      <c r="M398" s="11">
        <f t="shared" si="1"/>
        <v>7.1764038813347142</v>
      </c>
      <c r="N398" s="11">
        <v>0.88908765652951705</v>
      </c>
      <c r="O398" s="11">
        <v>0.836391257368438</v>
      </c>
      <c r="P398" s="11">
        <v>0.60050675675675702</v>
      </c>
      <c r="Q398" s="11">
        <v>0.91836734693877597</v>
      </c>
      <c r="R398" s="11">
        <v>0.66085271317829497</v>
      </c>
      <c r="S398" s="10" t="s">
        <v>84</v>
      </c>
      <c r="T398" s="10" t="s">
        <v>84</v>
      </c>
      <c r="U398" s="10"/>
      <c r="V398" s="10"/>
      <c r="W398" s="10"/>
      <c r="X398" s="10"/>
      <c r="Y398" s="10"/>
      <c r="Z398" s="10"/>
      <c r="AA398" s="10"/>
    </row>
    <row r="399" spans="1:27" ht="12.5" x14ac:dyDescent="0.25">
      <c r="A399" s="10" t="s">
        <v>14</v>
      </c>
      <c r="B399" s="10" t="s">
        <v>678</v>
      </c>
      <c r="C399" s="10" t="s">
        <v>76</v>
      </c>
      <c r="D399" s="11">
        <v>2024</v>
      </c>
      <c r="E399" s="10" t="s">
        <v>81</v>
      </c>
      <c r="F399" s="10" t="s">
        <v>83</v>
      </c>
      <c r="G399" s="10" t="s">
        <v>84</v>
      </c>
      <c r="H399" s="12">
        <v>36747.916666666701</v>
      </c>
      <c r="I399" s="11">
        <v>2624</v>
      </c>
      <c r="J399" s="11">
        <v>2385</v>
      </c>
      <c r="K399" s="11">
        <v>74353</v>
      </c>
      <c r="L399" s="11">
        <v>7.1405408469867898E-2</v>
      </c>
      <c r="M399" s="11">
        <f t="shared" si="1"/>
        <v>7.1405408469867844</v>
      </c>
      <c r="N399" s="11">
        <v>0.90891768292682895</v>
      </c>
      <c r="O399" s="11">
        <v>2.0233255853506402</v>
      </c>
      <c r="P399" s="11">
        <v>0.59966216216216195</v>
      </c>
      <c r="Q399" s="11">
        <v>0.28571428571428598</v>
      </c>
      <c r="R399" s="11">
        <v>0.65891472868217005</v>
      </c>
      <c r="S399" s="10" t="s">
        <v>84</v>
      </c>
      <c r="T399" s="10" t="s">
        <v>84</v>
      </c>
      <c r="U399" s="10"/>
      <c r="V399" s="10"/>
      <c r="W399" s="10"/>
      <c r="X399" s="10"/>
      <c r="Y399" s="10"/>
      <c r="Z399" s="10"/>
      <c r="AA399" s="10"/>
    </row>
    <row r="400" spans="1:27" ht="12.5" x14ac:dyDescent="0.25">
      <c r="A400" s="10" t="s">
        <v>36</v>
      </c>
      <c r="B400" s="10" t="s">
        <v>680</v>
      </c>
      <c r="C400" s="10" t="s">
        <v>76</v>
      </c>
      <c r="D400" s="11">
        <v>2024</v>
      </c>
      <c r="E400" s="10" t="s">
        <v>81</v>
      </c>
      <c r="F400" s="10" t="s">
        <v>125</v>
      </c>
      <c r="G400" s="10" t="s">
        <v>84</v>
      </c>
      <c r="H400" s="12">
        <v>21056</v>
      </c>
      <c r="I400" s="11">
        <v>1502</v>
      </c>
      <c r="J400" s="11">
        <v>1253</v>
      </c>
      <c r="K400" s="11">
        <v>12333</v>
      </c>
      <c r="L400" s="11">
        <v>7.1333586626139797E-2</v>
      </c>
      <c r="M400" s="11">
        <f t="shared" si="1"/>
        <v>7.1333586626139809</v>
      </c>
      <c r="N400" s="11">
        <v>0.83422103861518004</v>
      </c>
      <c r="O400" s="11">
        <v>0.58572378419452897</v>
      </c>
      <c r="P400" s="11">
        <v>0.59881756756756799</v>
      </c>
      <c r="Q400" s="11">
        <v>0.340425531914894</v>
      </c>
      <c r="R400" s="11">
        <v>0.65697674418604601</v>
      </c>
      <c r="S400" s="10" t="s">
        <v>84</v>
      </c>
      <c r="T400" s="10" t="s">
        <v>84</v>
      </c>
      <c r="U400" s="10"/>
      <c r="V400" s="10"/>
      <c r="W400" s="10"/>
      <c r="X400" s="10"/>
      <c r="Y400" s="10"/>
      <c r="Z400" s="10"/>
      <c r="AA400" s="10"/>
    </row>
    <row r="401" spans="1:27" ht="12.5" x14ac:dyDescent="0.25">
      <c r="A401" s="10" t="s">
        <v>86</v>
      </c>
      <c r="B401" s="10" t="s">
        <v>682</v>
      </c>
      <c r="C401" s="10" t="s">
        <v>76</v>
      </c>
      <c r="D401" s="11">
        <v>2024</v>
      </c>
      <c r="E401" s="10" t="s">
        <v>81</v>
      </c>
      <c r="F401" s="10" t="s">
        <v>83</v>
      </c>
      <c r="G401" s="10" t="s">
        <v>84</v>
      </c>
      <c r="H401" s="12">
        <v>10623.333333333299</v>
      </c>
      <c r="I401" s="11">
        <v>748</v>
      </c>
      <c r="J401" s="11">
        <v>660</v>
      </c>
      <c r="K401" s="11">
        <v>27437</v>
      </c>
      <c r="L401" s="11">
        <v>7.0411044869783501E-2</v>
      </c>
      <c r="M401" s="11">
        <f t="shared" si="1"/>
        <v>7.0411044869783721</v>
      </c>
      <c r="N401" s="11">
        <v>0.88235294117647001</v>
      </c>
      <c r="O401" s="11">
        <v>2.5827110134923101</v>
      </c>
      <c r="P401" s="11">
        <v>0.59797297297297303</v>
      </c>
      <c r="Q401" s="11">
        <v>0.41304347826087001</v>
      </c>
      <c r="R401" s="11">
        <v>0.65503875968992298</v>
      </c>
      <c r="S401" s="10" t="s">
        <v>84</v>
      </c>
      <c r="T401" s="10" t="s">
        <v>84</v>
      </c>
      <c r="U401" s="10"/>
      <c r="V401" s="10"/>
      <c r="W401" s="10"/>
      <c r="X401" s="10"/>
      <c r="Y401" s="10"/>
      <c r="Z401" s="10"/>
      <c r="AA401" s="10"/>
    </row>
    <row r="402" spans="1:27" ht="12.5" x14ac:dyDescent="0.25">
      <c r="A402" s="10" t="s">
        <v>62</v>
      </c>
      <c r="B402" s="10" t="s">
        <v>854</v>
      </c>
      <c r="C402" s="10" t="s">
        <v>76</v>
      </c>
      <c r="D402" s="11">
        <v>2024</v>
      </c>
      <c r="E402" s="10" t="s">
        <v>124</v>
      </c>
      <c r="F402" s="10" t="s">
        <v>83</v>
      </c>
      <c r="G402" s="10" t="s">
        <v>84</v>
      </c>
      <c r="H402" s="12">
        <v>29890.5</v>
      </c>
      <c r="I402" s="11">
        <v>2103</v>
      </c>
      <c r="J402" s="11">
        <v>1713</v>
      </c>
      <c r="K402" s="11">
        <v>7770</v>
      </c>
      <c r="L402" s="11">
        <v>7.0356802328499002E-2</v>
      </c>
      <c r="M402" s="11">
        <f t="shared" si="1"/>
        <v>7.0356802328499013</v>
      </c>
      <c r="N402" s="11">
        <v>0.81455064194008597</v>
      </c>
      <c r="O402" s="11">
        <v>0.25994881316806301</v>
      </c>
      <c r="P402" s="11">
        <v>0.59712837837837796</v>
      </c>
      <c r="Q402" s="11">
        <v>0.69444444444444398</v>
      </c>
      <c r="R402" s="11">
        <v>0.45861297539149898</v>
      </c>
      <c r="S402" s="10" t="s">
        <v>84</v>
      </c>
      <c r="T402" s="10" t="s">
        <v>84</v>
      </c>
      <c r="U402" s="10"/>
      <c r="V402" s="10"/>
      <c r="W402" s="10"/>
      <c r="X402" s="10"/>
      <c r="Y402" s="10"/>
      <c r="Z402" s="10"/>
      <c r="AA402" s="10"/>
    </row>
    <row r="403" spans="1:27" ht="12.5" x14ac:dyDescent="0.25">
      <c r="A403" s="10" t="s">
        <v>62</v>
      </c>
      <c r="B403" s="10" t="s">
        <v>857</v>
      </c>
      <c r="C403" s="10" t="s">
        <v>76</v>
      </c>
      <c r="D403" s="11">
        <v>2024</v>
      </c>
      <c r="E403" s="10" t="s">
        <v>124</v>
      </c>
      <c r="F403" s="10" t="s">
        <v>83</v>
      </c>
      <c r="G403" s="10" t="s">
        <v>84</v>
      </c>
      <c r="H403" s="12">
        <v>10832.083333333299</v>
      </c>
      <c r="I403" s="11">
        <v>759</v>
      </c>
      <c r="J403" s="11">
        <v>689</v>
      </c>
      <c r="K403" s="11">
        <v>20759</v>
      </c>
      <c r="L403" s="11">
        <v>7.0069623418086702E-2</v>
      </c>
      <c r="M403" s="11">
        <f t="shared" si="1"/>
        <v>7.0069623418086922</v>
      </c>
      <c r="N403" s="11">
        <v>0.90777338603425595</v>
      </c>
      <c r="O403" s="11">
        <v>1.91643651190522</v>
      </c>
      <c r="P403" s="11">
        <v>0.59628378378378399</v>
      </c>
      <c r="Q403" s="11">
        <v>0.66666666666666696</v>
      </c>
      <c r="R403" s="11">
        <v>0.456375838926175</v>
      </c>
      <c r="S403" s="10" t="s">
        <v>84</v>
      </c>
      <c r="T403" s="10" t="s">
        <v>84</v>
      </c>
      <c r="U403" s="10"/>
      <c r="V403" s="10"/>
      <c r="W403" s="10"/>
      <c r="X403" s="10"/>
      <c r="Y403" s="10"/>
      <c r="Z403" s="10"/>
      <c r="AA403" s="10"/>
    </row>
    <row r="404" spans="1:27" ht="12.5" x14ac:dyDescent="0.25">
      <c r="A404" s="10" t="s">
        <v>80</v>
      </c>
      <c r="B404" s="10" t="s">
        <v>684</v>
      </c>
      <c r="C404" s="10" t="s">
        <v>76</v>
      </c>
      <c r="D404" s="11">
        <v>2024</v>
      </c>
      <c r="E404" s="10" t="s">
        <v>81</v>
      </c>
      <c r="F404" s="10" t="s">
        <v>83</v>
      </c>
      <c r="G404" s="10" t="s">
        <v>84</v>
      </c>
      <c r="H404" s="12">
        <v>1771.6666666666699</v>
      </c>
      <c r="I404" s="11">
        <v>124</v>
      </c>
      <c r="J404" s="11">
        <v>122</v>
      </c>
      <c r="K404" s="11">
        <v>239</v>
      </c>
      <c r="L404" s="11">
        <v>6.9990592662276599E-2</v>
      </c>
      <c r="M404" s="11">
        <f t="shared" si="1"/>
        <v>6.9990592662276443</v>
      </c>
      <c r="N404" s="11">
        <v>0.98387096774193505</v>
      </c>
      <c r="O404" s="11">
        <v>0.134901222953904</v>
      </c>
      <c r="P404" s="11">
        <v>0.59459459459459496</v>
      </c>
      <c r="Q404" s="11">
        <v>0.7</v>
      </c>
      <c r="R404" s="11">
        <v>0.65310077519379806</v>
      </c>
      <c r="S404" s="10" t="s">
        <v>84</v>
      </c>
      <c r="T404" s="10" t="s">
        <v>84</v>
      </c>
      <c r="U404" s="10"/>
      <c r="V404" s="10"/>
      <c r="W404" s="10"/>
      <c r="X404" s="10"/>
      <c r="Y404" s="10"/>
      <c r="Z404" s="10"/>
      <c r="AA404" s="10"/>
    </row>
    <row r="405" spans="1:27" ht="12.5" x14ac:dyDescent="0.25">
      <c r="A405" s="10" t="s">
        <v>25</v>
      </c>
      <c r="B405" s="10" t="s">
        <v>685</v>
      </c>
      <c r="C405" s="10" t="s">
        <v>76</v>
      </c>
      <c r="D405" s="11">
        <v>2024</v>
      </c>
      <c r="E405" s="10" t="s">
        <v>81</v>
      </c>
      <c r="F405" s="10" t="s">
        <v>83</v>
      </c>
      <c r="G405" s="10" t="s">
        <v>84</v>
      </c>
      <c r="H405" s="12">
        <v>56734.833333333299</v>
      </c>
      <c r="I405" s="11">
        <v>3968</v>
      </c>
      <c r="J405" s="11">
        <v>3630</v>
      </c>
      <c r="K405" s="11">
        <v>95105</v>
      </c>
      <c r="L405" s="11">
        <v>6.9939396431939194E-2</v>
      </c>
      <c r="M405" s="11">
        <f t="shared" si="1"/>
        <v>6.9939396431939267</v>
      </c>
      <c r="N405" s="11">
        <v>0.91481854838709697</v>
      </c>
      <c r="O405" s="11">
        <v>1.6763070306601799</v>
      </c>
      <c r="P405" s="11">
        <v>0.59375</v>
      </c>
      <c r="Q405" s="11">
        <v>0.5</v>
      </c>
      <c r="R405" s="11">
        <v>0.65116279069767402</v>
      </c>
      <c r="S405" s="10" t="s">
        <v>84</v>
      </c>
      <c r="T405" s="10" t="s">
        <v>84</v>
      </c>
      <c r="U405" s="10"/>
      <c r="V405" s="10"/>
      <c r="W405" s="10"/>
      <c r="X405" s="10"/>
      <c r="Y405" s="10"/>
      <c r="Z405" s="10"/>
      <c r="AA405" s="10"/>
    </row>
    <row r="406" spans="1:27" ht="12.5" x14ac:dyDescent="0.25">
      <c r="A406" s="10" t="s">
        <v>118</v>
      </c>
      <c r="B406" s="10" t="s">
        <v>860</v>
      </c>
      <c r="C406" s="10" t="s">
        <v>76</v>
      </c>
      <c r="D406" s="11">
        <v>2024</v>
      </c>
      <c r="E406" s="10" t="s">
        <v>124</v>
      </c>
      <c r="F406" s="10" t="s">
        <v>83</v>
      </c>
      <c r="G406" s="10" t="s">
        <v>84</v>
      </c>
      <c r="H406" s="12">
        <v>16902.666666666701</v>
      </c>
      <c r="I406" s="11">
        <v>1178</v>
      </c>
      <c r="J406" s="11">
        <v>1178</v>
      </c>
      <c r="K406" s="11">
        <v>15879</v>
      </c>
      <c r="L406" s="11">
        <v>6.9693145065867296E-2</v>
      </c>
      <c r="M406" s="11">
        <f t="shared" si="1"/>
        <v>6.9693145065867181</v>
      </c>
      <c r="N406" s="11">
        <v>1</v>
      </c>
      <c r="O406" s="11">
        <v>0.93943756409245105</v>
      </c>
      <c r="P406" s="11">
        <v>0.59206081081081097</v>
      </c>
      <c r="Q406" s="11">
        <v>0.85714285714285698</v>
      </c>
      <c r="R406" s="11">
        <v>0.45413870246084997</v>
      </c>
      <c r="S406" s="10" t="s">
        <v>84</v>
      </c>
      <c r="T406" s="10" t="s">
        <v>84</v>
      </c>
      <c r="U406" s="10"/>
      <c r="V406" s="10"/>
      <c r="W406" s="10"/>
      <c r="X406" s="10"/>
      <c r="Y406" s="10"/>
      <c r="Z406" s="10"/>
      <c r="AA406" s="10"/>
    </row>
    <row r="407" spans="1:27" ht="12.5" x14ac:dyDescent="0.25">
      <c r="A407" s="10" t="s">
        <v>52</v>
      </c>
      <c r="B407" s="10" t="s">
        <v>687</v>
      </c>
      <c r="C407" s="10" t="s">
        <v>76</v>
      </c>
      <c r="D407" s="11">
        <v>2024</v>
      </c>
      <c r="E407" s="10" t="s">
        <v>81</v>
      </c>
      <c r="F407" s="10" t="s">
        <v>83</v>
      </c>
      <c r="G407" s="10" t="s">
        <v>84</v>
      </c>
      <c r="H407" s="12">
        <v>40896.916666666701</v>
      </c>
      <c r="I407" s="11">
        <v>2843</v>
      </c>
      <c r="J407" s="11">
        <v>2365</v>
      </c>
      <c r="K407" s="11">
        <v>70028</v>
      </c>
      <c r="L407" s="11">
        <v>6.9516243074559406E-2</v>
      </c>
      <c r="M407" s="11">
        <f t="shared" si="1"/>
        <v>6.9516243074559352</v>
      </c>
      <c r="N407" s="11">
        <v>0.83186774533942998</v>
      </c>
      <c r="O407" s="11">
        <v>1.7123051248769801</v>
      </c>
      <c r="P407" s="11">
        <v>0.59121621621621601</v>
      </c>
      <c r="Q407" s="11">
        <v>0.48936170212766</v>
      </c>
      <c r="R407" s="11">
        <v>0.64922480620154999</v>
      </c>
      <c r="S407" s="10" t="s">
        <v>84</v>
      </c>
      <c r="T407" s="10" t="s">
        <v>84</v>
      </c>
      <c r="U407" s="10"/>
      <c r="V407" s="10"/>
      <c r="W407" s="10"/>
      <c r="X407" s="10"/>
      <c r="Y407" s="10"/>
      <c r="Z407" s="10"/>
      <c r="AA407" s="10"/>
    </row>
    <row r="408" spans="1:27" ht="12.5" x14ac:dyDescent="0.25">
      <c r="A408" s="10" t="s">
        <v>12</v>
      </c>
      <c r="B408" s="10" t="s">
        <v>863</v>
      </c>
      <c r="C408" s="10" t="s">
        <v>76</v>
      </c>
      <c r="D408" s="11">
        <v>2024</v>
      </c>
      <c r="E408" s="10" t="s">
        <v>124</v>
      </c>
      <c r="F408" s="10" t="s">
        <v>83</v>
      </c>
      <c r="G408" s="10" t="s">
        <v>84</v>
      </c>
      <c r="H408" s="12">
        <v>20206.5</v>
      </c>
      <c r="I408" s="11">
        <v>1393</v>
      </c>
      <c r="J408" s="11">
        <v>1232</v>
      </c>
      <c r="K408" s="11">
        <v>62805</v>
      </c>
      <c r="L408" s="11">
        <v>6.8938212951278E-2</v>
      </c>
      <c r="M408" s="11">
        <f t="shared" si="1"/>
        <v>6.8938212951278057</v>
      </c>
      <c r="N408" s="11">
        <v>0.88442211055276398</v>
      </c>
      <c r="O408" s="11">
        <v>3.1081582659045401</v>
      </c>
      <c r="P408" s="11">
        <v>0.58952702702702697</v>
      </c>
      <c r="Q408" s="11">
        <v>0.40277777777777801</v>
      </c>
      <c r="R408" s="11">
        <v>0.451901565995526</v>
      </c>
      <c r="S408" s="10" t="s">
        <v>84</v>
      </c>
      <c r="T408" s="10" t="s">
        <v>84</v>
      </c>
      <c r="U408" s="10"/>
      <c r="V408" s="10"/>
      <c r="W408" s="10"/>
      <c r="X408" s="10"/>
      <c r="Y408" s="10"/>
      <c r="Z408" s="10"/>
      <c r="AA408" s="10"/>
    </row>
    <row r="409" spans="1:27" ht="12.5" x14ac:dyDescent="0.25">
      <c r="A409" s="10" t="s">
        <v>82</v>
      </c>
      <c r="B409" s="10" t="s">
        <v>866</v>
      </c>
      <c r="C409" s="10" t="s">
        <v>76</v>
      </c>
      <c r="D409" s="11">
        <v>2024</v>
      </c>
      <c r="E409" s="10" t="s">
        <v>124</v>
      </c>
      <c r="F409" s="10" t="s">
        <v>83</v>
      </c>
      <c r="G409" s="10" t="s">
        <v>84</v>
      </c>
      <c r="H409" s="12">
        <v>8609</v>
      </c>
      <c r="I409" s="11">
        <v>590</v>
      </c>
      <c r="J409" s="11">
        <v>570</v>
      </c>
      <c r="K409" s="11">
        <v>18021</v>
      </c>
      <c r="L409" s="11">
        <v>6.8532930653966803E-2</v>
      </c>
      <c r="M409" s="11">
        <f t="shared" si="1"/>
        <v>6.8532930653966773</v>
      </c>
      <c r="N409" s="11">
        <v>0.96610169491525399</v>
      </c>
      <c r="O409" s="11">
        <v>2.0932744801951402</v>
      </c>
      <c r="P409" s="11">
        <v>0.58868243243243201</v>
      </c>
      <c r="Q409" s="11">
        <v>0.91379310344827602</v>
      </c>
      <c r="R409" s="11">
        <v>0.44966442953020103</v>
      </c>
      <c r="S409" s="10" t="s">
        <v>84</v>
      </c>
      <c r="T409" s="10" t="s">
        <v>84</v>
      </c>
      <c r="U409" s="10"/>
      <c r="V409" s="10"/>
      <c r="W409" s="10"/>
      <c r="X409" s="10"/>
      <c r="Y409" s="10"/>
      <c r="Z409" s="10"/>
      <c r="AA409" s="10"/>
    </row>
    <row r="410" spans="1:27" ht="12.5" x14ac:dyDescent="0.25">
      <c r="A410" s="10" t="s">
        <v>58</v>
      </c>
      <c r="B410" s="10" t="s">
        <v>689</v>
      </c>
      <c r="C410" s="10" t="s">
        <v>76</v>
      </c>
      <c r="D410" s="11">
        <v>2024</v>
      </c>
      <c r="E410" s="10" t="s">
        <v>81</v>
      </c>
      <c r="F410" s="10" t="s">
        <v>83</v>
      </c>
      <c r="G410" s="10" t="s">
        <v>84</v>
      </c>
      <c r="H410" s="12">
        <v>24837.833333333299</v>
      </c>
      <c r="I410" s="11">
        <v>1702</v>
      </c>
      <c r="J410" s="11">
        <v>1342</v>
      </c>
      <c r="K410" s="11">
        <v>39401</v>
      </c>
      <c r="L410" s="11">
        <v>6.8524495561207002E-2</v>
      </c>
      <c r="M410" s="11">
        <f t="shared" si="1"/>
        <v>6.852449556120713</v>
      </c>
      <c r="N410" s="11">
        <v>0.78848413631022296</v>
      </c>
      <c r="O410" s="11">
        <v>1.5863299938937201</v>
      </c>
      <c r="P410" s="11">
        <v>0.58783783783783805</v>
      </c>
      <c r="Q410" s="11">
        <v>0.32432432432432401</v>
      </c>
      <c r="R410" s="11">
        <v>0.64728682170542595</v>
      </c>
      <c r="S410" s="10" t="s">
        <v>84</v>
      </c>
      <c r="T410" s="10" t="s">
        <v>84</v>
      </c>
      <c r="U410" s="10"/>
      <c r="V410" s="10"/>
      <c r="W410" s="10"/>
      <c r="X410" s="10"/>
      <c r="Y410" s="10"/>
      <c r="Z410" s="10"/>
      <c r="AA410" s="10"/>
    </row>
    <row r="411" spans="1:27" ht="12.5" x14ac:dyDescent="0.25">
      <c r="A411" s="10" t="s">
        <v>101</v>
      </c>
      <c r="B411" s="10" t="s">
        <v>868</v>
      </c>
      <c r="C411" s="10" t="s">
        <v>76</v>
      </c>
      <c r="D411" s="11">
        <v>2024</v>
      </c>
      <c r="E411" s="10" t="s">
        <v>124</v>
      </c>
      <c r="F411" s="10" t="s">
        <v>83</v>
      </c>
      <c r="G411" s="10" t="s">
        <v>84</v>
      </c>
      <c r="H411" s="12">
        <v>18101.166666666701</v>
      </c>
      <c r="I411" s="11">
        <v>1240</v>
      </c>
      <c r="J411" s="11">
        <v>869</v>
      </c>
      <c r="K411" s="11">
        <v>22344</v>
      </c>
      <c r="L411" s="11">
        <v>6.8503871757805701E-2</v>
      </c>
      <c r="M411" s="11">
        <f t="shared" si="1"/>
        <v>6.8503871757805532</v>
      </c>
      <c r="N411" s="11">
        <v>0.700806451612903</v>
      </c>
      <c r="O411" s="11">
        <v>1.2343955730293601</v>
      </c>
      <c r="P411" s="11">
        <v>0.58699324324324298</v>
      </c>
      <c r="Q411" s="11">
        <v>0.64285714285714302</v>
      </c>
      <c r="R411" s="11">
        <v>0.447427293064877</v>
      </c>
      <c r="S411" s="10" t="s">
        <v>84</v>
      </c>
      <c r="T411" s="10" t="s">
        <v>84</v>
      </c>
      <c r="U411" s="10"/>
      <c r="V411" s="10"/>
      <c r="W411" s="10"/>
      <c r="X411" s="10"/>
      <c r="Y411" s="10"/>
      <c r="Z411" s="10"/>
      <c r="AA411" s="10"/>
    </row>
    <row r="412" spans="1:27" ht="12.5" x14ac:dyDescent="0.25">
      <c r="A412" s="10" t="s">
        <v>25</v>
      </c>
      <c r="B412" s="10" t="s">
        <v>870</v>
      </c>
      <c r="C412" s="10" t="s">
        <v>76</v>
      </c>
      <c r="D412" s="11">
        <v>2024</v>
      </c>
      <c r="E412" s="10" t="s">
        <v>124</v>
      </c>
      <c r="F412" s="10" t="s">
        <v>83</v>
      </c>
      <c r="G412" s="10" t="s">
        <v>84</v>
      </c>
      <c r="H412" s="12">
        <v>13944.333333333299</v>
      </c>
      <c r="I412" s="11">
        <v>952</v>
      </c>
      <c r="J412" s="11">
        <v>933</v>
      </c>
      <c r="K412" s="11">
        <v>27567</v>
      </c>
      <c r="L412" s="11">
        <v>6.8271460330361203E-2</v>
      </c>
      <c r="M412" s="11">
        <f t="shared" si="1"/>
        <v>6.8271460330361373</v>
      </c>
      <c r="N412" s="11">
        <v>0.98004201680672298</v>
      </c>
      <c r="O412" s="11">
        <v>1.9769320871082601</v>
      </c>
      <c r="P412" s="11">
        <v>0.58614864864864902</v>
      </c>
      <c r="Q412" s="11">
        <v>0.4375</v>
      </c>
      <c r="R412" s="11">
        <v>0.44519015659955302</v>
      </c>
      <c r="S412" s="10" t="s">
        <v>84</v>
      </c>
      <c r="T412" s="10" t="s">
        <v>84</v>
      </c>
      <c r="U412" s="10"/>
      <c r="V412" s="10"/>
      <c r="W412" s="10"/>
      <c r="X412" s="10"/>
      <c r="Y412" s="10"/>
      <c r="Z412" s="10"/>
      <c r="AA412" s="10"/>
    </row>
    <row r="413" spans="1:27" ht="12.5" x14ac:dyDescent="0.25">
      <c r="A413" s="10" t="s">
        <v>104</v>
      </c>
      <c r="B413" s="10" t="s">
        <v>873</v>
      </c>
      <c r="C413" s="10" t="s">
        <v>76</v>
      </c>
      <c r="D413" s="11">
        <v>2024</v>
      </c>
      <c r="E413" s="10" t="s">
        <v>124</v>
      </c>
      <c r="F413" s="10" t="s">
        <v>83</v>
      </c>
      <c r="G413" s="10" t="s">
        <v>84</v>
      </c>
      <c r="H413" s="12">
        <v>42364.916666666701</v>
      </c>
      <c r="I413" s="11">
        <v>2880</v>
      </c>
      <c r="J413" s="11">
        <v>2868</v>
      </c>
      <c r="K413" s="11">
        <v>53329</v>
      </c>
      <c r="L413" s="11">
        <v>6.7980778120260696E-2</v>
      </c>
      <c r="M413" s="11">
        <f t="shared" si="1"/>
        <v>6.7980778120260617</v>
      </c>
      <c r="N413" s="11">
        <v>0.99583333333333302</v>
      </c>
      <c r="O413" s="11">
        <v>1.2588010126303399</v>
      </c>
      <c r="P413" s="11">
        <v>0.58361486486486502</v>
      </c>
      <c r="Q413" s="11">
        <v>0.65517241379310298</v>
      </c>
      <c r="R413" s="11">
        <v>0.44295302013422799</v>
      </c>
      <c r="S413" s="10" t="s">
        <v>84</v>
      </c>
      <c r="T413" s="10" t="s">
        <v>84</v>
      </c>
      <c r="U413" s="10"/>
      <c r="V413" s="10"/>
      <c r="W413" s="10"/>
      <c r="X413" s="10"/>
      <c r="Y413" s="10"/>
      <c r="Z413" s="10"/>
      <c r="AA413" s="10"/>
    </row>
    <row r="414" spans="1:27" ht="12.5" x14ac:dyDescent="0.25">
      <c r="A414" s="10" t="s">
        <v>19</v>
      </c>
      <c r="B414" s="10" t="s">
        <v>692</v>
      </c>
      <c r="C414" s="10" t="s">
        <v>76</v>
      </c>
      <c r="D414" s="11">
        <v>2024</v>
      </c>
      <c r="E414" s="10" t="s">
        <v>81</v>
      </c>
      <c r="F414" s="10" t="s">
        <v>83</v>
      </c>
      <c r="G414" s="10" t="s">
        <v>84</v>
      </c>
      <c r="H414" s="12">
        <v>38826.083333333299</v>
      </c>
      <c r="I414" s="11">
        <v>2608</v>
      </c>
      <c r="J414" s="11">
        <v>1964</v>
      </c>
      <c r="K414" s="11">
        <v>79012</v>
      </c>
      <c r="L414" s="11">
        <v>6.7171338855108106E-2</v>
      </c>
      <c r="M414" s="11">
        <f t="shared" si="1"/>
        <v>6.7171338855108207</v>
      </c>
      <c r="N414" s="11">
        <v>0.753067484662577</v>
      </c>
      <c r="O414" s="11">
        <v>2.0350237061425598</v>
      </c>
      <c r="P414" s="11">
        <v>0.58277027027026995</v>
      </c>
      <c r="Q414" s="11">
        <v>0.22222222222222199</v>
      </c>
      <c r="R414" s="11">
        <v>0.64341085271317799</v>
      </c>
      <c r="S414" s="10" t="s">
        <v>84</v>
      </c>
      <c r="T414" s="10" t="s">
        <v>84</v>
      </c>
      <c r="U414" s="10"/>
      <c r="V414" s="10"/>
      <c r="W414" s="10"/>
      <c r="X414" s="10"/>
      <c r="Y414" s="10"/>
      <c r="Z414" s="10"/>
      <c r="AA414" s="10"/>
    </row>
    <row r="415" spans="1:27" ht="12.5" x14ac:dyDescent="0.25">
      <c r="A415" s="10" t="s">
        <v>14</v>
      </c>
      <c r="B415" s="10" t="s">
        <v>695</v>
      </c>
      <c r="C415" s="10" t="s">
        <v>76</v>
      </c>
      <c r="D415" s="11">
        <v>2024</v>
      </c>
      <c r="E415" s="10" t="s">
        <v>81</v>
      </c>
      <c r="F415" s="10" t="s">
        <v>83</v>
      </c>
      <c r="G415" s="10" t="s">
        <v>84</v>
      </c>
      <c r="H415" s="12">
        <v>81881.583333333299</v>
      </c>
      <c r="I415" s="11">
        <v>5488</v>
      </c>
      <c r="J415" s="11">
        <v>4198</v>
      </c>
      <c r="K415" s="11">
        <v>17577</v>
      </c>
      <c r="L415" s="11">
        <v>6.7023618457141901E-2</v>
      </c>
      <c r="M415" s="11">
        <f t="shared" si="1"/>
        <v>6.70236184571419</v>
      </c>
      <c r="N415" s="11">
        <v>0.76494169096209896</v>
      </c>
      <c r="O415" s="11">
        <v>0.21466365554321801</v>
      </c>
      <c r="P415" s="11">
        <v>0.58192567567567599</v>
      </c>
      <c r="Q415" s="11">
        <v>0.25</v>
      </c>
      <c r="R415" s="11">
        <v>0.64147286821705396</v>
      </c>
      <c r="S415" s="10" t="s">
        <v>84</v>
      </c>
      <c r="T415" s="10" t="s">
        <v>84</v>
      </c>
      <c r="U415" s="10"/>
      <c r="V415" s="10"/>
      <c r="W415" s="10"/>
      <c r="X415" s="10"/>
      <c r="Y415" s="10"/>
      <c r="Z415" s="10"/>
      <c r="AA415" s="10"/>
    </row>
    <row r="416" spans="1:27" ht="12.5" x14ac:dyDescent="0.25">
      <c r="A416" s="10" t="s">
        <v>52</v>
      </c>
      <c r="B416" s="10" t="s">
        <v>697</v>
      </c>
      <c r="C416" s="10" t="s">
        <v>76</v>
      </c>
      <c r="D416" s="11">
        <v>2024</v>
      </c>
      <c r="E416" s="10" t="s">
        <v>81</v>
      </c>
      <c r="F416" s="10" t="s">
        <v>83</v>
      </c>
      <c r="G416" s="10" t="s">
        <v>84</v>
      </c>
      <c r="H416" s="12">
        <v>18896.333333333299</v>
      </c>
      <c r="I416" s="11">
        <v>1265</v>
      </c>
      <c r="J416" s="11">
        <v>1056</v>
      </c>
      <c r="K416" s="11">
        <v>3265</v>
      </c>
      <c r="L416" s="11">
        <v>6.6944204342994196E-2</v>
      </c>
      <c r="M416" s="11">
        <f t="shared" si="1"/>
        <v>6.6944204342994347</v>
      </c>
      <c r="N416" s="11">
        <v>0.83478260869565202</v>
      </c>
      <c r="O416" s="11">
        <v>0.17278484362045499</v>
      </c>
      <c r="P416" s="11">
        <v>0.58108108108108103</v>
      </c>
      <c r="Q416" s="11">
        <v>0.46808510638297901</v>
      </c>
      <c r="R416" s="11">
        <v>0.63953488372093004</v>
      </c>
      <c r="S416" s="10" t="s">
        <v>84</v>
      </c>
      <c r="T416" s="10" t="s">
        <v>84</v>
      </c>
      <c r="U416" s="10"/>
      <c r="V416" s="10"/>
      <c r="W416" s="10"/>
      <c r="X416" s="10"/>
      <c r="Y416" s="10"/>
      <c r="Z416" s="10"/>
      <c r="AA416" s="10"/>
    </row>
    <row r="417" spans="1:27" ht="12.5" x14ac:dyDescent="0.25">
      <c r="A417" s="10" t="s">
        <v>118</v>
      </c>
      <c r="B417" s="10" t="s">
        <v>875</v>
      </c>
      <c r="C417" s="10" t="s">
        <v>76</v>
      </c>
      <c r="D417" s="11">
        <v>2024</v>
      </c>
      <c r="E417" s="10" t="s">
        <v>124</v>
      </c>
      <c r="F417" s="10" t="s">
        <v>83</v>
      </c>
      <c r="G417" s="10" t="s">
        <v>84</v>
      </c>
      <c r="H417" s="12">
        <v>34071.583333333299</v>
      </c>
      <c r="I417" s="11">
        <v>2271</v>
      </c>
      <c r="J417" s="11">
        <v>1877</v>
      </c>
      <c r="K417" s="11">
        <v>23839</v>
      </c>
      <c r="L417" s="11">
        <v>6.6653785290283402E-2</v>
      </c>
      <c r="M417" s="11">
        <f t="shared" si="1"/>
        <v>6.6653785290283514</v>
      </c>
      <c r="N417" s="11">
        <v>0.82650814619110502</v>
      </c>
      <c r="O417" s="11">
        <v>0.69967397073318705</v>
      </c>
      <c r="P417" s="11">
        <v>0.58023648648648696</v>
      </c>
      <c r="Q417" s="11">
        <v>0.78571428571428603</v>
      </c>
      <c r="R417" s="11">
        <v>0.44071588366890402</v>
      </c>
      <c r="S417" s="10" t="s">
        <v>84</v>
      </c>
      <c r="T417" s="10" t="s">
        <v>84</v>
      </c>
      <c r="U417" s="10"/>
      <c r="V417" s="10"/>
      <c r="W417" s="10"/>
      <c r="X417" s="10"/>
      <c r="Y417" s="10"/>
      <c r="Z417" s="10"/>
      <c r="AA417" s="10"/>
    </row>
    <row r="418" spans="1:27" ht="12.5" x14ac:dyDescent="0.25">
      <c r="A418" s="10" t="s">
        <v>34</v>
      </c>
      <c r="B418" s="10" t="s">
        <v>480</v>
      </c>
      <c r="C418" s="10" t="s">
        <v>76</v>
      </c>
      <c r="D418" s="11">
        <v>2024</v>
      </c>
      <c r="E418" s="10" t="s">
        <v>81</v>
      </c>
      <c r="F418" s="10" t="s">
        <v>83</v>
      </c>
      <c r="G418" s="10" t="s">
        <v>84</v>
      </c>
      <c r="H418" s="12">
        <v>3894.5</v>
      </c>
      <c r="I418" s="11">
        <v>257</v>
      </c>
      <c r="J418" s="11">
        <v>256</v>
      </c>
      <c r="K418" s="11">
        <v>1158</v>
      </c>
      <c r="L418" s="11">
        <v>6.5990499422262205E-2</v>
      </c>
      <c r="M418" s="11">
        <f t="shared" si="1"/>
        <v>6.5990499422262161</v>
      </c>
      <c r="N418" s="11">
        <v>0.99610894941634198</v>
      </c>
      <c r="O418" s="11">
        <v>0.29734240595711903</v>
      </c>
      <c r="P418" s="11">
        <v>0.579391891891892</v>
      </c>
      <c r="Q418" s="11">
        <v>0.89795918367346905</v>
      </c>
      <c r="R418" s="11">
        <v>0.637596899224806</v>
      </c>
      <c r="S418" s="10" t="s">
        <v>84</v>
      </c>
      <c r="T418" s="10" t="s">
        <v>84</v>
      </c>
      <c r="U418" s="10"/>
      <c r="V418" s="10"/>
      <c r="W418" s="10"/>
      <c r="X418" s="10"/>
      <c r="Y418" s="10"/>
      <c r="Z418" s="10"/>
      <c r="AA418" s="10"/>
    </row>
    <row r="419" spans="1:27" ht="12.5" x14ac:dyDescent="0.25">
      <c r="A419" s="10" t="s">
        <v>82</v>
      </c>
      <c r="B419" s="10" t="s">
        <v>877</v>
      </c>
      <c r="C419" s="10" t="s">
        <v>76</v>
      </c>
      <c r="D419" s="11">
        <v>2024</v>
      </c>
      <c r="E419" s="10" t="s">
        <v>124</v>
      </c>
      <c r="F419" s="10" t="s">
        <v>83</v>
      </c>
      <c r="G419" s="10" t="s">
        <v>84</v>
      </c>
      <c r="H419" s="12">
        <v>18373.666666666701</v>
      </c>
      <c r="I419" s="11">
        <v>1204</v>
      </c>
      <c r="J419" s="11">
        <v>498</v>
      </c>
      <c r="K419" s="11">
        <v>19121</v>
      </c>
      <c r="L419" s="11">
        <v>6.5528564430979097E-2</v>
      </c>
      <c r="M419" s="11">
        <f t="shared" si="1"/>
        <v>6.5528564430978999</v>
      </c>
      <c r="N419" s="11">
        <v>0.41362126245847203</v>
      </c>
      <c r="O419" s="11">
        <v>1.04067415322654</v>
      </c>
      <c r="P419" s="11">
        <v>0.57770270270270296</v>
      </c>
      <c r="Q419" s="11">
        <v>0.89655172413793105</v>
      </c>
      <c r="R419" s="11">
        <v>0.43847874720357899</v>
      </c>
      <c r="S419" s="10" t="s">
        <v>84</v>
      </c>
      <c r="T419" s="10" t="s">
        <v>84</v>
      </c>
      <c r="U419" s="10"/>
      <c r="V419" s="10"/>
      <c r="W419" s="10"/>
      <c r="X419" s="10"/>
      <c r="Y419" s="10"/>
      <c r="Z419" s="10"/>
      <c r="AA419" s="10"/>
    </row>
    <row r="420" spans="1:27" ht="12.5" x14ac:dyDescent="0.25">
      <c r="A420" s="10" t="s">
        <v>14</v>
      </c>
      <c r="B420" s="10" t="s">
        <v>700</v>
      </c>
      <c r="C420" s="10" t="s">
        <v>76</v>
      </c>
      <c r="D420" s="11">
        <v>2024</v>
      </c>
      <c r="E420" s="10" t="s">
        <v>81</v>
      </c>
      <c r="F420" s="10" t="s">
        <v>83</v>
      </c>
      <c r="G420" s="10" t="s">
        <v>84</v>
      </c>
      <c r="H420" s="12">
        <v>20513.666666666701</v>
      </c>
      <c r="I420" s="11">
        <v>1344</v>
      </c>
      <c r="J420" s="11">
        <v>796</v>
      </c>
      <c r="K420" s="11">
        <v>20403</v>
      </c>
      <c r="L420" s="11">
        <v>6.5517297411481795E-2</v>
      </c>
      <c r="M420" s="11">
        <f t="shared" si="1"/>
        <v>6.5517297411481668</v>
      </c>
      <c r="N420" s="11">
        <v>0.59226190476190499</v>
      </c>
      <c r="O420" s="11">
        <v>0.99460522253456995</v>
      </c>
      <c r="P420" s="11">
        <v>0.576858108108108</v>
      </c>
      <c r="Q420" s="11">
        <v>0.214285714285714</v>
      </c>
      <c r="R420" s="11">
        <v>0.63565891472868197</v>
      </c>
      <c r="S420" s="10" t="s">
        <v>84</v>
      </c>
      <c r="T420" s="10" t="s">
        <v>84</v>
      </c>
      <c r="U420" s="10"/>
      <c r="V420" s="10"/>
      <c r="W420" s="10"/>
      <c r="X420" s="10"/>
      <c r="Y420" s="10"/>
      <c r="Z420" s="10"/>
      <c r="AA420" s="10"/>
    </row>
    <row r="421" spans="1:27" ht="12.5" x14ac:dyDescent="0.25">
      <c r="A421" s="10" t="s">
        <v>58</v>
      </c>
      <c r="B421" s="10" t="s">
        <v>702</v>
      </c>
      <c r="C421" s="10" t="s">
        <v>76</v>
      </c>
      <c r="D421" s="11">
        <v>2024</v>
      </c>
      <c r="E421" s="10" t="s">
        <v>81</v>
      </c>
      <c r="F421" s="10" t="s">
        <v>83</v>
      </c>
      <c r="G421" s="10" t="s">
        <v>84</v>
      </c>
      <c r="H421" s="12">
        <v>32951.416666666701</v>
      </c>
      <c r="I421" s="11">
        <v>2157</v>
      </c>
      <c r="J421" s="11">
        <v>1801</v>
      </c>
      <c r="K421" s="11">
        <v>54520</v>
      </c>
      <c r="L421" s="11">
        <v>6.54600080421429E-2</v>
      </c>
      <c r="M421" s="11">
        <f t="shared" si="1"/>
        <v>6.5460008042142785</v>
      </c>
      <c r="N421" s="11">
        <v>0.83495595734816896</v>
      </c>
      <c r="O421" s="11">
        <v>1.65455708783386</v>
      </c>
      <c r="P421" s="11">
        <v>0.57601351351351304</v>
      </c>
      <c r="Q421" s="11">
        <v>0.29729729729729698</v>
      </c>
      <c r="R421" s="11">
        <v>0.63372093023255804</v>
      </c>
      <c r="S421" s="10" t="s">
        <v>84</v>
      </c>
      <c r="T421" s="10" t="s">
        <v>84</v>
      </c>
      <c r="U421" s="10"/>
      <c r="V421" s="10"/>
      <c r="W421" s="10"/>
      <c r="X421" s="10"/>
      <c r="Y421" s="10"/>
      <c r="Z421" s="10"/>
      <c r="AA421" s="10"/>
    </row>
    <row r="422" spans="1:27" ht="12.5" x14ac:dyDescent="0.25">
      <c r="A422" s="10" t="s">
        <v>86</v>
      </c>
      <c r="B422" s="10" t="s">
        <v>705</v>
      </c>
      <c r="C422" s="10" t="s">
        <v>76</v>
      </c>
      <c r="D422" s="11">
        <v>2024</v>
      </c>
      <c r="E422" s="10" t="s">
        <v>81</v>
      </c>
      <c r="F422" s="10" t="s">
        <v>83</v>
      </c>
      <c r="G422" s="10" t="s">
        <v>84</v>
      </c>
      <c r="H422" s="12">
        <v>26981.25</v>
      </c>
      <c r="I422" s="11">
        <v>1759</v>
      </c>
      <c r="J422" s="11">
        <v>1512</v>
      </c>
      <c r="K422" s="11">
        <v>24384</v>
      </c>
      <c r="L422" s="11">
        <v>6.5193421357424106E-2</v>
      </c>
      <c r="M422" s="11">
        <f t="shared" si="1"/>
        <v>6.5193421357424137</v>
      </c>
      <c r="N422" s="11">
        <v>0.85957930642410496</v>
      </c>
      <c r="O422" s="11">
        <v>0.90373870743571905</v>
      </c>
      <c r="P422" s="11">
        <v>0.57516891891891897</v>
      </c>
      <c r="Q422" s="11">
        <v>0.39130434782608697</v>
      </c>
      <c r="R422" s="11">
        <v>0.63178294573643401</v>
      </c>
      <c r="S422" s="10" t="s">
        <v>84</v>
      </c>
      <c r="T422" s="10" t="s">
        <v>84</v>
      </c>
      <c r="U422" s="10"/>
      <c r="V422" s="10"/>
      <c r="W422" s="10"/>
      <c r="X422" s="10"/>
      <c r="Y422" s="10"/>
      <c r="Z422" s="10"/>
      <c r="AA422" s="10"/>
    </row>
    <row r="423" spans="1:27" ht="12.5" x14ac:dyDescent="0.25">
      <c r="A423" s="10" t="s">
        <v>34</v>
      </c>
      <c r="B423" s="10" t="s">
        <v>882</v>
      </c>
      <c r="C423" s="10" t="s">
        <v>76</v>
      </c>
      <c r="D423" s="11">
        <v>2024</v>
      </c>
      <c r="E423" s="10" t="s">
        <v>124</v>
      </c>
      <c r="F423" s="10" t="s">
        <v>83</v>
      </c>
      <c r="G423" s="10" t="s">
        <v>84</v>
      </c>
      <c r="H423" s="12">
        <v>18437.666666666701</v>
      </c>
      <c r="I423" s="11">
        <v>1198</v>
      </c>
      <c r="J423" s="11">
        <v>1122</v>
      </c>
      <c r="K423" s="11">
        <v>7621</v>
      </c>
      <c r="L423" s="11">
        <v>6.4975683835626297E-2</v>
      </c>
      <c r="M423" s="11">
        <f t="shared" si="1"/>
        <v>6.4975683835626228</v>
      </c>
      <c r="N423" s="11">
        <v>0.93656093489148595</v>
      </c>
      <c r="O423" s="11">
        <v>0.413338636486902</v>
      </c>
      <c r="P423" s="11">
        <v>0.57347972972973005</v>
      </c>
      <c r="Q423" s="11">
        <v>0.87755102040816302</v>
      </c>
      <c r="R423" s="11">
        <v>0.43400447427293098</v>
      </c>
      <c r="S423" s="10" t="s">
        <v>84</v>
      </c>
      <c r="T423" s="10" t="s">
        <v>84</v>
      </c>
      <c r="U423" s="10"/>
      <c r="V423" s="10"/>
      <c r="W423" s="10"/>
      <c r="X423" s="10"/>
      <c r="Y423" s="10"/>
      <c r="Z423" s="10"/>
      <c r="AA423" s="10"/>
    </row>
    <row r="424" spans="1:27" ht="12.5" x14ac:dyDescent="0.25">
      <c r="A424" s="10" t="s">
        <v>34</v>
      </c>
      <c r="B424" s="10" t="s">
        <v>885</v>
      </c>
      <c r="C424" s="10" t="s">
        <v>76</v>
      </c>
      <c r="D424" s="11">
        <v>2024</v>
      </c>
      <c r="E424" s="10" t="s">
        <v>124</v>
      </c>
      <c r="F424" s="10" t="s">
        <v>83</v>
      </c>
      <c r="G424" s="10" t="s">
        <v>84</v>
      </c>
      <c r="H424" s="12">
        <v>8729.4166666666697</v>
      </c>
      <c r="I424" s="11">
        <v>567</v>
      </c>
      <c r="J424" s="11">
        <v>564</v>
      </c>
      <c r="K424" s="11">
        <v>4638</v>
      </c>
      <c r="L424" s="11">
        <v>6.4952793714738499E-2</v>
      </c>
      <c r="M424" s="11">
        <f t="shared" si="1"/>
        <v>6.4952793714738455</v>
      </c>
      <c r="N424" s="11">
        <v>0.99470899470899499</v>
      </c>
      <c r="O424" s="11">
        <v>0.53130697927505699</v>
      </c>
      <c r="P424" s="11">
        <v>0.57263513513513498</v>
      </c>
      <c r="Q424" s="11">
        <v>0.85714285714285698</v>
      </c>
      <c r="R424" s="11">
        <v>0.43176733780760601</v>
      </c>
      <c r="S424" s="10" t="s">
        <v>84</v>
      </c>
      <c r="T424" s="10" t="s">
        <v>84</v>
      </c>
      <c r="U424" s="10"/>
      <c r="V424" s="10"/>
      <c r="W424" s="10"/>
      <c r="X424" s="10"/>
      <c r="Y424" s="10"/>
      <c r="Z424" s="10"/>
      <c r="AA424" s="10"/>
    </row>
    <row r="425" spans="1:27" ht="12.5" x14ac:dyDescent="0.25">
      <c r="A425" s="10" t="s">
        <v>53</v>
      </c>
      <c r="B425" s="10" t="s">
        <v>887</v>
      </c>
      <c r="C425" s="10" t="s">
        <v>76</v>
      </c>
      <c r="D425" s="11">
        <v>2024</v>
      </c>
      <c r="E425" s="10" t="s">
        <v>124</v>
      </c>
      <c r="F425" s="10" t="s">
        <v>83</v>
      </c>
      <c r="G425" s="10" t="s">
        <v>84</v>
      </c>
      <c r="H425" s="12">
        <v>2805.25</v>
      </c>
      <c r="I425" s="11">
        <v>182</v>
      </c>
      <c r="J425" s="11">
        <v>167</v>
      </c>
      <c r="K425" s="11">
        <v>4672</v>
      </c>
      <c r="L425" s="11">
        <v>6.4878353087960097E-2</v>
      </c>
      <c r="M425" s="11">
        <f t="shared" si="1"/>
        <v>6.487835308796007</v>
      </c>
      <c r="N425" s="11">
        <v>0.91758241758241799</v>
      </c>
      <c r="O425" s="11">
        <v>1.66544871223599</v>
      </c>
      <c r="P425" s="11">
        <v>0.57179054054054101</v>
      </c>
      <c r="Q425" s="11">
        <v>1</v>
      </c>
      <c r="R425" s="11">
        <v>0.42953020134228198</v>
      </c>
      <c r="S425" s="10" t="s">
        <v>84</v>
      </c>
      <c r="T425" s="10" t="s">
        <v>84</v>
      </c>
      <c r="U425" s="10"/>
      <c r="V425" s="10"/>
      <c r="W425" s="10"/>
      <c r="X425" s="10"/>
      <c r="Y425" s="10"/>
      <c r="Z425" s="10"/>
      <c r="AA425" s="10"/>
    </row>
    <row r="426" spans="1:27" ht="12.5" x14ac:dyDescent="0.25">
      <c r="A426" s="10" t="s">
        <v>92</v>
      </c>
      <c r="B426" s="10" t="s">
        <v>890</v>
      </c>
      <c r="C426" s="10" t="s">
        <v>76</v>
      </c>
      <c r="D426" s="11">
        <v>2024</v>
      </c>
      <c r="E426" s="10" t="s">
        <v>124</v>
      </c>
      <c r="F426" s="10" t="s">
        <v>83</v>
      </c>
      <c r="G426" s="10" t="s">
        <v>84</v>
      </c>
      <c r="H426" s="12">
        <v>22537.25</v>
      </c>
      <c r="I426" s="11">
        <v>1456</v>
      </c>
      <c r="J426" s="11">
        <v>1456</v>
      </c>
      <c r="K426" s="11">
        <v>3766</v>
      </c>
      <c r="L426" s="11">
        <v>6.4604155342821296E-2</v>
      </c>
      <c r="M426" s="11">
        <f t="shared" si="1"/>
        <v>6.4604155342821326</v>
      </c>
      <c r="N426" s="11">
        <v>1</v>
      </c>
      <c r="O426" s="11">
        <v>0.167101132569413</v>
      </c>
      <c r="P426" s="11">
        <v>0.57094594594594605</v>
      </c>
      <c r="Q426" s="11">
        <v>0.88888888888888895</v>
      </c>
      <c r="R426" s="11">
        <v>0.42729306487695801</v>
      </c>
      <c r="S426" s="10" t="s">
        <v>84</v>
      </c>
      <c r="T426" s="10" t="s">
        <v>84</v>
      </c>
      <c r="U426" s="10"/>
      <c r="V426" s="10"/>
      <c r="W426" s="10"/>
      <c r="X426" s="10"/>
      <c r="Y426" s="10"/>
      <c r="Z426" s="10"/>
      <c r="AA426" s="10"/>
    </row>
    <row r="427" spans="1:27" ht="12.5" x14ac:dyDescent="0.25">
      <c r="A427" s="10" t="s">
        <v>77</v>
      </c>
      <c r="B427" s="10" t="s">
        <v>893</v>
      </c>
      <c r="C427" s="10" t="s">
        <v>76</v>
      </c>
      <c r="D427" s="11">
        <v>2024</v>
      </c>
      <c r="E427" s="10" t="s">
        <v>124</v>
      </c>
      <c r="F427" s="10" t="s">
        <v>83</v>
      </c>
      <c r="G427" s="10" t="s">
        <v>84</v>
      </c>
      <c r="H427" s="12">
        <v>9984.5</v>
      </c>
      <c r="I427" s="11">
        <v>641</v>
      </c>
      <c r="J427" s="11">
        <v>637</v>
      </c>
      <c r="K427" s="11">
        <v>6133</v>
      </c>
      <c r="L427" s="11">
        <v>6.4199509239320995E-2</v>
      </c>
      <c r="M427" s="11">
        <f t="shared" si="1"/>
        <v>6.4199509239320953</v>
      </c>
      <c r="N427" s="11">
        <v>0.99375975039001596</v>
      </c>
      <c r="O427" s="11">
        <v>0.61425209074064802</v>
      </c>
      <c r="P427" s="11">
        <v>0.57010135135135098</v>
      </c>
      <c r="Q427" s="11">
        <v>0.78571428571428603</v>
      </c>
      <c r="R427" s="11">
        <v>0.42505592841163298</v>
      </c>
      <c r="S427" s="10" t="s">
        <v>84</v>
      </c>
      <c r="T427" s="10" t="s">
        <v>84</v>
      </c>
      <c r="U427" s="10"/>
      <c r="V427" s="10"/>
      <c r="W427" s="10"/>
      <c r="X427" s="10"/>
      <c r="Y427" s="10"/>
      <c r="Z427" s="10"/>
      <c r="AA427" s="10"/>
    </row>
    <row r="428" spans="1:27" ht="12.5" x14ac:dyDescent="0.25">
      <c r="A428" s="10" t="s">
        <v>49</v>
      </c>
      <c r="B428" s="10" t="s">
        <v>895</v>
      </c>
      <c r="C428" s="10" t="s">
        <v>76</v>
      </c>
      <c r="D428" s="11">
        <v>2024</v>
      </c>
      <c r="E428" s="10" t="s">
        <v>124</v>
      </c>
      <c r="F428" s="10" t="s">
        <v>83</v>
      </c>
      <c r="G428" s="10" t="s">
        <v>84</v>
      </c>
      <c r="H428" s="12">
        <v>13230.833333333299</v>
      </c>
      <c r="I428" s="11">
        <v>841</v>
      </c>
      <c r="J428" s="11">
        <v>716</v>
      </c>
      <c r="K428" s="11">
        <v>9093</v>
      </c>
      <c r="L428" s="11">
        <v>6.3563645524973206E-2</v>
      </c>
      <c r="M428" s="11">
        <f t="shared" si="1"/>
        <v>6.3563645524973396</v>
      </c>
      <c r="N428" s="11">
        <v>0.85136741973840702</v>
      </c>
      <c r="O428" s="11">
        <v>0.68725829816716</v>
      </c>
      <c r="P428" s="11">
        <v>0.56925675675675702</v>
      </c>
      <c r="Q428" s="11">
        <v>0.69230769230769196</v>
      </c>
      <c r="R428" s="11">
        <v>0.422818791946309</v>
      </c>
      <c r="S428" s="10" t="s">
        <v>84</v>
      </c>
      <c r="T428" s="10" t="s">
        <v>84</v>
      </c>
      <c r="U428" s="10"/>
      <c r="V428" s="10"/>
      <c r="W428" s="10"/>
      <c r="X428" s="10"/>
      <c r="Y428" s="10"/>
      <c r="Z428" s="10"/>
      <c r="AA428" s="10"/>
    </row>
    <row r="429" spans="1:27" ht="12.5" x14ac:dyDescent="0.25">
      <c r="A429" s="10" t="s">
        <v>103</v>
      </c>
      <c r="B429" s="10" t="s">
        <v>899</v>
      </c>
      <c r="C429" s="10" t="s">
        <v>76</v>
      </c>
      <c r="D429" s="11">
        <v>2024</v>
      </c>
      <c r="E429" s="10" t="s">
        <v>124</v>
      </c>
      <c r="F429" s="10" t="s">
        <v>83</v>
      </c>
      <c r="G429" s="10" t="s">
        <v>84</v>
      </c>
      <c r="H429" s="12">
        <v>33616.5</v>
      </c>
      <c r="I429" s="11">
        <v>2112</v>
      </c>
      <c r="J429" s="11">
        <v>1480</v>
      </c>
      <c r="K429" s="11">
        <v>25125</v>
      </c>
      <c r="L429" s="11">
        <v>6.2826290660836198E-2</v>
      </c>
      <c r="M429" s="11">
        <f t="shared" si="1"/>
        <v>6.2826290660836195</v>
      </c>
      <c r="N429" s="11">
        <v>0.70075757575757602</v>
      </c>
      <c r="O429" s="11">
        <v>0.74740082994957802</v>
      </c>
      <c r="P429" s="11">
        <v>0.56672297297297303</v>
      </c>
      <c r="Q429" s="11">
        <v>0.52173913043478304</v>
      </c>
      <c r="R429" s="11">
        <v>0.41834451901566</v>
      </c>
      <c r="S429" s="10" t="s">
        <v>84</v>
      </c>
      <c r="T429" s="10" t="s">
        <v>84</v>
      </c>
      <c r="U429" s="10"/>
      <c r="V429" s="10"/>
      <c r="W429" s="10"/>
      <c r="X429" s="10"/>
      <c r="Y429" s="10"/>
      <c r="Z429" s="10"/>
      <c r="AA429" s="10"/>
    </row>
    <row r="430" spans="1:27" ht="12.5" x14ac:dyDescent="0.25">
      <c r="A430" s="10" t="s">
        <v>42</v>
      </c>
      <c r="B430" s="10" t="s">
        <v>708</v>
      </c>
      <c r="C430" s="10" t="s">
        <v>76</v>
      </c>
      <c r="D430" s="11">
        <v>2024</v>
      </c>
      <c r="E430" s="10" t="s">
        <v>81</v>
      </c>
      <c r="F430" s="10" t="s">
        <v>83</v>
      </c>
      <c r="G430" s="10" t="s">
        <v>84</v>
      </c>
      <c r="H430" s="12">
        <v>8070.9166666666697</v>
      </c>
      <c r="I430" s="11">
        <v>504</v>
      </c>
      <c r="J430" s="11">
        <v>363</v>
      </c>
      <c r="K430" s="11">
        <v>3878</v>
      </c>
      <c r="L430" s="11">
        <v>6.2446438343434801E-2</v>
      </c>
      <c r="M430" s="11">
        <f t="shared" si="1"/>
        <v>6.2446438343434743</v>
      </c>
      <c r="N430" s="11">
        <v>0.72023809523809501</v>
      </c>
      <c r="O430" s="11">
        <v>0.48049065058698398</v>
      </c>
      <c r="P430" s="11">
        <v>0.56587837837837796</v>
      </c>
      <c r="Q430" s="11">
        <v>0.52380952380952395</v>
      </c>
      <c r="R430" s="11">
        <v>0.62790697674418605</v>
      </c>
      <c r="S430" s="10" t="s">
        <v>84</v>
      </c>
      <c r="T430" s="10" t="s">
        <v>84</v>
      </c>
      <c r="U430" s="10"/>
      <c r="V430" s="10"/>
      <c r="W430" s="10"/>
      <c r="X430" s="10"/>
      <c r="Y430" s="10"/>
      <c r="Z430" s="10"/>
      <c r="AA430" s="10"/>
    </row>
    <row r="431" spans="1:27" ht="12.5" x14ac:dyDescent="0.25">
      <c r="A431" s="10" t="s">
        <v>29</v>
      </c>
      <c r="B431" s="10" t="s">
        <v>901</v>
      </c>
      <c r="C431" s="10" t="s">
        <v>76</v>
      </c>
      <c r="D431" s="11">
        <v>2024</v>
      </c>
      <c r="E431" s="10" t="s">
        <v>124</v>
      </c>
      <c r="F431" s="10" t="s">
        <v>83</v>
      </c>
      <c r="G431" s="10" t="s">
        <v>84</v>
      </c>
      <c r="H431" s="12">
        <v>10603.75</v>
      </c>
      <c r="I431" s="11">
        <v>660</v>
      </c>
      <c r="J431" s="11">
        <v>608</v>
      </c>
      <c r="K431" s="11">
        <v>7734</v>
      </c>
      <c r="L431" s="11">
        <v>6.2242131321466498E-2</v>
      </c>
      <c r="M431" s="11">
        <f t="shared" si="1"/>
        <v>6.2242131321466463</v>
      </c>
      <c r="N431" s="11">
        <v>0.92121212121212104</v>
      </c>
      <c r="O431" s="11">
        <v>0.729364611576093</v>
      </c>
      <c r="P431" s="11">
        <v>0.56418918918918903</v>
      </c>
      <c r="Q431" s="11">
        <v>0.30612244897959201</v>
      </c>
      <c r="R431" s="11">
        <v>0.41610738255033602</v>
      </c>
      <c r="S431" s="10" t="s">
        <v>84</v>
      </c>
      <c r="T431" s="10" t="s">
        <v>84</v>
      </c>
      <c r="U431" s="10"/>
      <c r="V431" s="10"/>
      <c r="W431" s="10"/>
      <c r="X431" s="10"/>
      <c r="Y431" s="10"/>
      <c r="Z431" s="10"/>
      <c r="AA431" s="10"/>
    </row>
    <row r="432" spans="1:27" ht="12.5" x14ac:dyDescent="0.25">
      <c r="A432" s="10" t="s">
        <v>118</v>
      </c>
      <c r="B432" s="10" t="s">
        <v>905</v>
      </c>
      <c r="C432" s="10" t="s">
        <v>76</v>
      </c>
      <c r="D432" s="11">
        <v>2024</v>
      </c>
      <c r="E432" s="10" t="s">
        <v>124</v>
      </c>
      <c r="F432" s="10" t="s">
        <v>83</v>
      </c>
      <c r="G432" s="10" t="s">
        <v>84</v>
      </c>
      <c r="H432" s="12">
        <v>11828.416666666701</v>
      </c>
      <c r="I432" s="11">
        <v>736</v>
      </c>
      <c r="J432" s="11">
        <v>675</v>
      </c>
      <c r="K432" s="11">
        <v>9480</v>
      </c>
      <c r="L432" s="11">
        <v>6.2223036331997099E-2</v>
      </c>
      <c r="M432" s="11">
        <f t="shared" si="1"/>
        <v>6.2223036331996919</v>
      </c>
      <c r="N432" s="11">
        <v>0.91711956521739102</v>
      </c>
      <c r="O432" s="11">
        <v>0.80145976145018005</v>
      </c>
      <c r="P432" s="11">
        <v>0.56334459459459496</v>
      </c>
      <c r="Q432" s="11">
        <v>0.71428571428571397</v>
      </c>
      <c r="R432" s="11">
        <v>0.413870246085011</v>
      </c>
      <c r="S432" s="10" t="s">
        <v>84</v>
      </c>
      <c r="T432" s="10" t="s">
        <v>84</v>
      </c>
      <c r="U432" s="10"/>
      <c r="V432" s="10"/>
      <c r="W432" s="10"/>
      <c r="X432" s="10"/>
      <c r="Y432" s="10"/>
      <c r="Z432" s="10"/>
      <c r="AA432" s="10"/>
    </row>
    <row r="433" spans="1:27" ht="12.5" x14ac:dyDescent="0.25">
      <c r="A433" s="10" t="s">
        <v>104</v>
      </c>
      <c r="B433" s="10" t="s">
        <v>710</v>
      </c>
      <c r="C433" s="10" t="s">
        <v>76</v>
      </c>
      <c r="D433" s="11">
        <v>2024</v>
      </c>
      <c r="E433" s="10" t="s">
        <v>81</v>
      </c>
      <c r="F433" s="10" t="s">
        <v>83</v>
      </c>
      <c r="G433" s="10" t="s">
        <v>84</v>
      </c>
      <c r="H433" s="12">
        <v>17277.083333333299</v>
      </c>
      <c r="I433" s="11">
        <v>1071</v>
      </c>
      <c r="J433" s="11">
        <v>1062</v>
      </c>
      <c r="K433" s="11">
        <v>1729</v>
      </c>
      <c r="L433" s="11">
        <v>6.1989629808272002E-2</v>
      </c>
      <c r="M433" s="11">
        <f t="shared" si="1"/>
        <v>6.1989629808272158</v>
      </c>
      <c r="N433" s="11">
        <v>0.99159663865546199</v>
      </c>
      <c r="O433" s="11">
        <v>0.100074761847341</v>
      </c>
      <c r="P433" s="11">
        <v>0.5625</v>
      </c>
      <c r="Q433" s="11">
        <v>0.62068965517241403</v>
      </c>
      <c r="R433" s="11">
        <v>0.62596899224806202</v>
      </c>
      <c r="S433" s="10" t="s">
        <v>84</v>
      </c>
      <c r="T433" s="10" t="s">
        <v>84</v>
      </c>
      <c r="U433" s="10"/>
      <c r="V433" s="10"/>
      <c r="W433" s="10"/>
      <c r="X433" s="10"/>
      <c r="Y433" s="10"/>
      <c r="Z433" s="10"/>
      <c r="AA433" s="10"/>
    </row>
    <row r="434" spans="1:27" ht="12.5" x14ac:dyDescent="0.25">
      <c r="A434" s="10" t="s">
        <v>86</v>
      </c>
      <c r="B434" s="10" t="s">
        <v>712</v>
      </c>
      <c r="C434" s="10" t="s">
        <v>76</v>
      </c>
      <c r="D434" s="11">
        <v>2024</v>
      </c>
      <c r="E434" s="10" t="s">
        <v>81</v>
      </c>
      <c r="F434" s="10" t="s">
        <v>83</v>
      </c>
      <c r="G434" s="10" t="s">
        <v>84</v>
      </c>
      <c r="H434" s="12">
        <v>25596</v>
      </c>
      <c r="I434" s="11">
        <v>1579</v>
      </c>
      <c r="J434" s="11">
        <v>1359</v>
      </c>
      <c r="K434" s="11">
        <v>9667</v>
      </c>
      <c r="L434" s="11">
        <v>6.1689326457258997E-2</v>
      </c>
      <c r="M434" s="11">
        <f t="shared" si="1"/>
        <v>6.1689326457258948</v>
      </c>
      <c r="N434" s="11">
        <v>0.86067131095630101</v>
      </c>
      <c r="O434" s="11">
        <v>0.37767619940615699</v>
      </c>
      <c r="P434" s="11">
        <v>0.56165540540540504</v>
      </c>
      <c r="Q434" s="11">
        <v>0.36956521739130399</v>
      </c>
      <c r="R434" s="11">
        <v>0.62403100775193798</v>
      </c>
      <c r="S434" s="10" t="s">
        <v>84</v>
      </c>
      <c r="T434" s="10" t="s">
        <v>84</v>
      </c>
      <c r="U434" s="10"/>
      <c r="V434" s="10"/>
      <c r="W434" s="10"/>
      <c r="X434" s="10"/>
      <c r="Y434" s="10"/>
      <c r="Z434" s="10"/>
      <c r="AA434" s="10"/>
    </row>
    <row r="435" spans="1:27" ht="12.5" x14ac:dyDescent="0.25">
      <c r="A435" s="10" t="s">
        <v>12</v>
      </c>
      <c r="B435" s="10" t="s">
        <v>713</v>
      </c>
      <c r="C435" s="10" t="s">
        <v>76</v>
      </c>
      <c r="D435" s="11">
        <v>2024</v>
      </c>
      <c r="E435" s="10" t="s">
        <v>81</v>
      </c>
      <c r="F435" s="10" t="s">
        <v>83</v>
      </c>
      <c r="G435" s="10" t="s">
        <v>84</v>
      </c>
      <c r="H435" s="12">
        <v>15652.5</v>
      </c>
      <c r="I435" s="11">
        <v>962</v>
      </c>
      <c r="J435" s="11">
        <v>865</v>
      </c>
      <c r="K435" s="11">
        <v>24321</v>
      </c>
      <c r="L435" s="11">
        <v>6.1459830697971597E-2</v>
      </c>
      <c r="M435" s="11">
        <f t="shared" si="1"/>
        <v>6.1459830697971567</v>
      </c>
      <c r="N435" s="11">
        <v>0.89916839916839897</v>
      </c>
      <c r="O435" s="11">
        <v>1.5538092956396701</v>
      </c>
      <c r="P435" s="11">
        <v>0.56081081081081097</v>
      </c>
      <c r="Q435" s="11">
        <v>0.36111111111111099</v>
      </c>
      <c r="R435" s="11">
        <v>0.62209302325581395</v>
      </c>
      <c r="S435" s="10" t="s">
        <v>84</v>
      </c>
      <c r="T435" s="10" t="s">
        <v>84</v>
      </c>
      <c r="U435" s="10"/>
      <c r="V435" s="10"/>
      <c r="W435" s="10"/>
      <c r="X435" s="10"/>
      <c r="Y435" s="10"/>
      <c r="Z435" s="10"/>
      <c r="AA435" s="10"/>
    </row>
    <row r="436" spans="1:27" ht="12.5" x14ac:dyDescent="0.25">
      <c r="A436" s="10" t="s">
        <v>103</v>
      </c>
      <c r="B436" s="10" t="s">
        <v>907</v>
      </c>
      <c r="C436" s="10" t="s">
        <v>76</v>
      </c>
      <c r="D436" s="11">
        <v>2024</v>
      </c>
      <c r="E436" s="10" t="s">
        <v>124</v>
      </c>
      <c r="F436" s="10" t="s">
        <v>83</v>
      </c>
      <c r="G436" s="10" t="s">
        <v>84</v>
      </c>
      <c r="H436" s="12">
        <v>58556</v>
      </c>
      <c r="I436" s="11">
        <v>3596</v>
      </c>
      <c r="J436" s="11">
        <v>2616</v>
      </c>
      <c r="K436" s="11">
        <v>44052</v>
      </c>
      <c r="L436" s="11">
        <v>6.1411298585968999E-2</v>
      </c>
      <c r="M436" s="11">
        <f t="shared" si="1"/>
        <v>6.1411298585968987</v>
      </c>
      <c r="N436" s="11">
        <v>0.72747497219132395</v>
      </c>
      <c r="O436" s="11">
        <v>0.75230548534735997</v>
      </c>
      <c r="P436" s="11">
        <v>0.55996621621621601</v>
      </c>
      <c r="Q436" s="11">
        <v>0.47826086956521702</v>
      </c>
      <c r="R436" s="11">
        <v>0.41163310961968702</v>
      </c>
      <c r="S436" s="10" t="s">
        <v>84</v>
      </c>
      <c r="T436" s="10" t="s">
        <v>84</v>
      </c>
      <c r="U436" s="10"/>
      <c r="V436" s="10"/>
      <c r="W436" s="10"/>
      <c r="X436" s="10"/>
      <c r="Y436" s="10"/>
      <c r="Z436" s="10"/>
      <c r="AA436" s="10"/>
    </row>
    <row r="437" spans="1:27" ht="12.5" x14ac:dyDescent="0.25">
      <c r="A437" s="10" t="s">
        <v>82</v>
      </c>
      <c r="B437" s="10" t="s">
        <v>909</v>
      </c>
      <c r="C437" s="10" t="s">
        <v>76</v>
      </c>
      <c r="D437" s="11">
        <v>2024</v>
      </c>
      <c r="E437" s="10" t="s">
        <v>124</v>
      </c>
      <c r="F437" s="10" t="s">
        <v>83</v>
      </c>
      <c r="G437" s="10" t="s">
        <v>84</v>
      </c>
      <c r="H437" s="12">
        <v>4359.0833333333303</v>
      </c>
      <c r="I437" s="11">
        <v>265</v>
      </c>
      <c r="J437" s="11">
        <v>264</v>
      </c>
      <c r="K437" s="11">
        <v>2125</v>
      </c>
      <c r="L437" s="11">
        <v>6.0792597832113E-2</v>
      </c>
      <c r="M437" s="11">
        <f t="shared" si="1"/>
        <v>6.079259783211306</v>
      </c>
      <c r="N437" s="11">
        <v>0.99622641509433996</v>
      </c>
      <c r="O437" s="11">
        <v>0.48748781280468001</v>
      </c>
      <c r="P437" s="11">
        <v>0.55912162162162204</v>
      </c>
      <c r="Q437" s="11">
        <v>0.87931034482758597</v>
      </c>
      <c r="R437" s="11">
        <v>0.40939597315436199</v>
      </c>
      <c r="S437" s="10" t="s">
        <v>84</v>
      </c>
      <c r="T437" s="10" t="s">
        <v>84</v>
      </c>
      <c r="U437" s="10"/>
      <c r="V437" s="10"/>
      <c r="W437" s="10"/>
      <c r="X437" s="10"/>
      <c r="Y437" s="10"/>
      <c r="Z437" s="10"/>
      <c r="AA437" s="10"/>
    </row>
    <row r="438" spans="1:27" ht="12.5" x14ac:dyDescent="0.25">
      <c r="A438" s="10" t="s">
        <v>91</v>
      </c>
      <c r="B438" s="10" t="s">
        <v>715</v>
      </c>
      <c r="C438" s="10" t="s">
        <v>76</v>
      </c>
      <c r="D438" s="11">
        <v>2024</v>
      </c>
      <c r="E438" s="10" t="s">
        <v>81</v>
      </c>
      <c r="F438" s="10" t="s">
        <v>83</v>
      </c>
      <c r="G438" s="10" t="s">
        <v>84</v>
      </c>
      <c r="H438" s="12">
        <v>7830.25</v>
      </c>
      <c r="I438" s="11">
        <v>474</v>
      </c>
      <c r="J438" s="11">
        <v>368</v>
      </c>
      <c r="K438" s="11">
        <v>5652</v>
      </c>
      <c r="L438" s="11">
        <v>6.0534465693943398E-2</v>
      </c>
      <c r="M438" s="11">
        <f t="shared" si="1"/>
        <v>6.0534465693943362</v>
      </c>
      <c r="N438" s="11">
        <v>0.77637130801687804</v>
      </c>
      <c r="O438" s="11">
        <v>0.72181603397081795</v>
      </c>
      <c r="P438" s="11">
        <v>0.55827702702702697</v>
      </c>
      <c r="Q438" s="11">
        <v>0.8</v>
      </c>
      <c r="R438" s="11">
        <v>0.62015503875969002</v>
      </c>
      <c r="S438" s="10" t="s">
        <v>84</v>
      </c>
      <c r="T438" s="10" t="s">
        <v>84</v>
      </c>
      <c r="U438" s="10"/>
      <c r="V438" s="10"/>
      <c r="W438" s="10"/>
      <c r="X438" s="10"/>
      <c r="Y438" s="10"/>
      <c r="Z438" s="10"/>
      <c r="AA438" s="10"/>
    </row>
    <row r="439" spans="1:27" ht="12.5" x14ac:dyDescent="0.25">
      <c r="A439" s="10" t="s">
        <v>29</v>
      </c>
      <c r="B439" s="10" t="s">
        <v>911</v>
      </c>
      <c r="C439" s="10" t="s">
        <v>76</v>
      </c>
      <c r="D439" s="11">
        <v>2024</v>
      </c>
      <c r="E439" s="10" t="s">
        <v>124</v>
      </c>
      <c r="F439" s="10" t="s">
        <v>83</v>
      </c>
      <c r="G439" s="10" t="s">
        <v>84</v>
      </c>
      <c r="H439" s="12">
        <v>12527.333333333299</v>
      </c>
      <c r="I439" s="11">
        <v>755</v>
      </c>
      <c r="J439" s="11">
        <v>578</v>
      </c>
      <c r="K439" s="11">
        <v>13828</v>
      </c>
      <c r="L439" s="11">
        <v>6.0268213506465898E-2</v>
      </c>
      <c r="M439" s="11">
        <f t="shared" si="1"/>
        <v>6.0268213506466024</v>
      </c>
      <c r="N439" s="11">
        <v>0.76556291390728504</v>
      </c>
      <c r="O439" s="11">
        <v>1.10382629982438</v>
      </c>
      <c r="P439" s="11">
        <v>0.55743243243243201</v>
      </c>
      <c r="Q439" s="11">
        <v>0.28571428571428598</v>
      </c>
      <c r="R439" s="11">
        <v>0.40715883668903802</v>
      </c>
      <c r="S439" s="10" t="s">
        <v>84</v>
      </c>
      <c r="T439" s="10" t="s">
        <v>84</v>
      </c>
      <c r="U439" s="10"/>
      <c r="V439" s="10"/>
      <c r="W439" s="10"/>
      <c r="X439" s="10"/>
      <c r="Y439" s="10"/>
      <c r="Z439" s="10"/>
      <c r="AA439" s="10"/>
    </row>
    <row r="440" spans="1:27" ht="12.5" hidden="1" x14ac:dyDescent="0.25">
      <c r="A440" s="10" t="s">
        <v>86</v>
      </c>
      <c r="B440" s="10" t="s">
        <v>1365</v>
      </c>
      <c r="C440" s="10" t="s">
        <v>76</v>
      </c>
      <c r="D440" s="11">
        <v>2024</v>
      </c>
      <c r="E440" s="10" t="s">
        <v>0</v>
      </c>
      <c r="F440" s="10" t="s">
        <v>83</v>
      </c>
      <c r="G440" s="10" t="s">
        <v>84</v>
      </c>
      <c r="H440" s="12">
        <v>7457.5833333333303</v>
      </c>
      <c r="I440" s="11">
        <v>449</v>
      </c>
      <c r="J440" s="11">
        <v>447</v>
      </c>
      <c r="K440" s="11">
        <v>1541</v>
      </c>
      <c r="L440" s="11">
        <v>6.0207171670894302E-2</v>
      </c>
      <c r="M440" s="11">
        <f t="shared" si="1"/>
        <v>6.0207171670894306</v>
      </c>
      <c r="N440" s="11">
        <v>0.99554565701558995</v>
      </c>
      <c r="O440" s="11">
        <v>0.20663530410879299</v>
      </c>
      <c r="P440" s="11">
        <v>0.55658783783783805</v>
      </c>
      <c r="Q440" s="11">
        <v>0.34782608695652201</v>
      </c>
      <c r="R440" s="11">
        <v>1</v>
      </c>
      <c r="S440" s="10" t="s">
        <v>84</v>
      </c>
      <c r="T440" s="10" t="s">
        <v>84</v>
      </c>
      <c r="U440" s="10"/>
      <c r="V440" s="10"/>
      <c r="W440" s="10"/>
      <c r="X440" s="10"/>
      <c r="Y440" s="10"/>
      <c r="Z440" s="10"/>
      <c r="AA440" s="10"/>
    </row>
    <row r="441" spans="1:27" ht="12.5" x14ac:dyDescent="0.25">
      <c r="A441" s="10" t="s">
        <v>82</v>
      </c>
      <c r="B441" s="10" t="s">
        <v>916</v>
      </c>
      <c r="C441" s="10" t="s">
        <v>76</v>
      </c>
      <c r="D441" s="11">
        <v>2024</v>
      </c>
      <c r="E441" s="10" t="s">
        <v>124</v>
      </c>
      <c r="F441" s="10" t="s">
        <v>83</v>
      </c>
      <c r="G441" s="10" t="s">
        <v>84</v>
      </c>
      <c r="H441" s="12">
        <v>4932.25</v>
      </c>
      <c r="I441" s="11">
        <v>291</v>
      </c>
      <c r="J441" s="11">
        <v>286</v>
      </c>
      <c r="K441" s="11">
        <v>9380</v>
      </c>
      <c r="L441" s="11">
        <v>5.89994424451315E-2</v>
      </c>
      <c r="M441" s="11">
        <f t="shared" si="1"/>
        <v>5.8999442445131534</v>
      </c>
      <c r="N441" s="11">
        <v>0.98281786941580795</v>
      </c>
      <c r="O441" s="11">
        <v>1.90176896953723</v>
      </c>
      <c r="P441" s="11">
        <v>0.55405405405405395</v>
      </c>
      <c r="Q441" s="11">
        <v>0.86206896551724099</v>
      </c>
      <c r="R441" s="11">
        <v>0.40268456375838901</v>
      </c>
      <c r="S441" s="10" t="s">
        <v>84</v>
      </c>
      <c r="T441" s="10" t="s">
        <v>84</v>
      </c>
      <c r="U441" s="10"/>
      <c r="V441" s="10"/>
      <c r="W441" s="10"/>
      <c r="X441" s="10"/>
      <c r="Y441" s="10"/>
      <c r="Z441" s="10"/>
      <c r="AA441" s="10"/>
    </row>
    <row r="442" spans="1:27" ht="12.5" x14ac:dyDescent="0.25">
      <c r="A442" s="10" t="s">
        <v>29</v>
      </c>
      <c r="B442" s="10" t="s">
        <v>918</v>
      </c>
      <c r="C442" s="10" t="s">
        <v>76</v>
      </c>
      <c r="D442" s="11">
        <v>2024</v>
      </c>
      <c r="E442" s="10" t="s">
        <v>124</v>
      </c>
      <c r="F442" s="10" t="s">
        <v>83</v>
      </c>
      <c r="G442" s="10" t="s">
        <v>84</v>
      </c>
      <c r="H442" s="12">
        <v>9791.75</v>
      </c>
      <c r="I442" s="11">
        <v>574</v>
      </c>
      <c r="J442" s="11">
        <v>668</v>
      </c>
      <c r="K442" s="11">
        <v>13806</v>
      </c>
      <c r="L442" s="11">
        <v>5.8620777695509003E-2</v>
      </c>
      <c r="M442" s="11">
        <f t="shared" si="1"/>
        <v>5.8620777695508979</v>
      </c>
      <c r="N442" s="11">
        <v>1.1637630662020899</v>
      </c>
      <c r="O442" s="11">
        <v>1.40996246840452</v>
      </c>
      <c r="P442" s="11">
        <v>0.55320945945945899</v>
      </c>
      <c r="Q442" s="11">
        <v>0.24489795918367299</v>
      </c>
      <c r="R442" s="11">
        <v>0.40044742729306498</v>
      </c>
      <c r="S442" s="10" t="s">
        <v>84</v>
      </c>
      <c r="T442" s="10" t="s">
        <v>84</v>
      </c>
      <c r="U442" s="10"/>
      <c r="V442" s="10"/>
      <c r="W442" s="10"/>
      <c r="X442" s="10"/>
      <c r="Y442" s="10"/>
      <c r="Z442" s="10"/>
      <c r="AA442" s="10"/>
    </row>
    <row r="443" spans="1:27" ht="12.5" x14ac:dyDescent="0.25">
      <c r="A443" s="10" t="s">
        <v>32</v>
      </c>
      <c r="B443" s="10" t="s">
        <v>719</v>
      </c>
      <c r="C443" s="10" t="s">
        <v>76</v>
      </c>
      <c r="D443" s="11">
        <v>2024</v>
      </c>
      <c r="E443" s="10" t="s">
        <v>81</v>
      </c>
      <c r="F443" s="10" t="s">
        <v>83</v>
      </c>
      <c r="G443" s="10" t="s">
        <v>84</v>
      </c>
      <c r="H443" s="12">
        <v>58099.333333333299</v>
      </c>
      <c r="I443" s="11">
        <v>3405</v>
      </c>
      <c r="J443" s="11">
        <v>2920</v>
      </c>
      <c r="K443" s="11">
        <v>95067</v>
      </c>
      <c r="L443" s="11">
        <v>5.8606524458112E-2</v>
      </c>
      <c r="M443" s="11">
        <f t="shared" si="1"/>
        <v>5.8606524458112004</v>
      </c>
      <c r="N443" s="11">
        <v>0.85756240822320096</v>
      </c>
      <c r="O443" s="11">
        <v>1.6362838357296099</v>
      </c>
      <c r="P443" s="11">
        <v>0.55236486486486502</v>
      </c>
      <c r="Q443" s="11">
        <v>0.37931034482758602</v>
      </c>
      <c r="R443" s="11">
        <v>0.61627906976744196</v>
      </c>
      <c r="S443" s="10" t="s">
        <v>84</v>
      </c>
      <c r="T443" s="10" t="s">
        <v>84</v>
      </c>
      <c r="U443" s="10"/>
      <c r="V443" s="10"/>
      <c r="W443" s="10"/>
      <c r="X443" s="10"/>
      <c r="Y443" s="10"/>
      <c r="Z443" s="10"/>
      <c r="AA443" s="10"/>
    </row>
    <row r="444" spans="1:27" ht="12.5" x14ac:dyDescent="0.25">
      <c r="A444" s="10" t="s">
        <v>36</v>
      </c>
      <c r="B444" s="10" t="s">
        <v>720</v>
      </c>
      <c r="C444" s="10" t="s">
        <v>76</v>
      </c>
      <c r="D444" s="11">
        <v>2024</v>
      </c>
      <c r="E444" s="10" t="s">
        <v>81</v>
      </c>
      <c r="F444" s="10" t="s">
        <v>83</v>
      </c>
      <c r="G444" s="10" t="s">
        <v>84</v>
      </c>
      <c r="H444" s="12">
        <v>18918.666666666701</v>
      </c>
      <c r="I444" s="11">
        <v>1107</v>
      </c>
      <c r="J444" s="11">
        <v>940</v>
      </c>
      <c r="K444" s="11">
        <v>36799</v>
      </c>
      <c r="L444" s="11">
        <v>5.8513637324688103E-2</v>
      </c>
      <c r="M444" s="11">
        <f t="shared" si="1"/>
        <v>5.851363732468803</v>
      </c>
      <c r="N444" s="11">
        <v>0.84914182475158095</v>
      </c>
      <c r="O444" s="11">
        <v>1.94511593487913</v>
      </c>
      <c r="P444" s="11">
        <v>0.55067567567567599</v>
      </c>
      <c r="Q444" s="11">
        <v>0.319148936170213</v>
      </c>
      <c r="R444" s="11">
        <v>0.61434108527131803</v>
      </c>
      <c r="S444" s="10" t="s">
        <v>84</v>
      </c>
      <c r="T444" s="10" t="s">
        <v>84</v>
      </c>
      <c r="U444" s="10"/>
      <c r="V444" s="10"/>
      <c r="W444" s="10"/>
      <c r="X444" s="10"/>
      <c r="Y444" s="10"/>
      <c r="Z444" s="10"/>
      <c r="AA444" s="10"/>
    </row>
    <row r="445" spans="1:27" ht="12.5" x14ac:dyDescent="0.25">
      <c r="A445" s="10" t="s">
        <v>98</v>
      </c>
      <c r="B445" s="10" t="s">
        <v>722</v>
      </c>
      <c r="C445" s="10" t="s">
        <v>76</v>
      </c>
      <c r="D445" s="11">
        <v>2024</v>
      </c>
      <c r="E445" s="10" t="s">
        <v>81</v>
      </c>
      <c r="F445" s="10" t="s">
        <v>83</v>
      </c>
      <c r="G445" s="10" t="s">
        <v>84</v>
      </c>
      <c r="H445" s="12">
        <v>50558.083333333299</v>
      </c>
      <c r="I445" s="11">
        <v>2958</v>
      </c>
      <c r="J445" s="11">
        <v>2629</v>
      </c>
      <c r="K445" s="11">
        <v>15332</v>
      </c>
      <c r="L445" s="11">
        <v>5.8506964761652E-2</v>
      </c>
      <c r="M445" s="11">
        <f t="shared" si="1"/>
        <v>5.8506964761652069</v>
      </c>
      <c r="N445" s="11">
        <v>0.88877620013522696</v>
      </c>
      <c r="O445" s="11">
        <v>0.30325516691198401</v>
      </c>
      <c r="P445" s="11">
        <v>0.54983108108108103</v>
      </c>
      <c r="Q445" s="11">
        <v>0.85714285714285698</v>
      </c>
      <c r="R445" s="11">
        <v>0.612403100775194</v>
      </c>
      <c r="S445" s="10" t="s">
        <v>84</v>
      </c>
      <c r="T445" s="10" t="s">
        <v>84</v>
      </c>
      <c r="U445" s="10"/>
      <c r="V445" s="10"/>
      <c r="W445" s="10"/>
      <c r="X445" s="10"/>
      <c r="Y445" s="10"/>
      <c r="Z445" s="10"/>
      <c r="AA445" s="10"/>
    </row>
    <row r="446" spans="1:27" ht="12.5" x14ac:dyDescent="0.25">
      <c r="A446" s="10" t="s">
        <v>14</v>
      </c>
      <c r="B446" s="10" t="s">
        <v>726</v>
      </c>
      <c r="C446" s="10" t="s">
        <v>76</v>
      </c>
      <c r="D446" s="11">
        <v>2024</v>
      </c>
      <c r="E446" s="10" t="s">
        <v>81</v>
      </c>
      <c r="F446" s="10" t="s">
        <v>83</v>
      </c>
      <c r="G446" s="10" t="s">
        <v>84</v>
      </c>
      <c r="H446" s="12">
        <v>20447.75</v>
      </c>
      <c r="I446" s="11">
        <v>1194</v>
      </c>
      <c r="J446" s="11">
        <v>801</v>
      </c>
      <c r="K446" s="11">
        <v>5107</v>
      </c>
      <c r="L446" s="11">
        <v>5.83927326967515E-2</v>
      </c>
      <c r="M446" s="11">
        <f t="shared" si="1"/>
        <v>5.8392732696751475</v>
      </c>
      <c r="N446" s="11">
        <v>0.67085427135678399</v>
      </c>
      <c r="O446" s="11">
        <v>0.24975853088970701</v>
      </c>
      <c r="P446" s="11">
        <v>0.548141891891892</v>
      </c>
      <c r="Q446" s="11">
        <v>0.17857142857142899</v>
      </c>
      <c r="R446" s="11">
        <v>0.60852713178294604</v>
      </c>
      <c r="S446" s="10" t="s">
        <v>84</v>
      </c>
      <c r="T446" s="10" t="s">
        <v>84</v>
      </c>
      <c r="U446" s="10"/>
      <c r="V446" s="10"/>
      <c r="W446" s="10"/>
      <c r="X446" s="10"/>
      <c r="Y446" s="10"/>
      <c r="Z446" s="10"/>
      <c r="AA446" s="10"/>
    </row>
    <row r="447" spans="1:27" ht="12.5" x14ac:dyDescent="0.25">
      <c r="A447" s="10" t="s">
        <v>118</v>
      </c>
      <c r="B447" s="10" t="s">
        <v>469</v>
      </c>
      <c r="C447" s="10" t="s">
        <v>76</v>
      </c>
      <c r="D447" s="11">
        <v>2024</v>
      </c>
      <c r="E447" s="10" t="s">
        <v>81</v>
      </c>
      <c r="F447" s="10" t="s">
        <v>83</v>
      </c>
      <c r="G447" s="10" t="s">
        <v>84</v>
      </c>
      <c r="H447" s="12">
        <v>377.5</v>
      </c>
      <c r="I447" s="11">
        <v>22</v>
      </c>
      <c r="J447" s="11">
        <v>20</v>
      </c>
      <c r="K447" s="11">
        <v>355</v>
      </c>
      <c r="L447" s="11">
        <v>5.82781456953642E-2</v>
      </c>
      <c r="M447" s="11">
        <f t="shared" si="1"/>
        <v>5.8278145695364243</v>
      </c>
      <c r="N447" s="11">
        <v>0.90909090909090895</v>
      </c>
      <c r="O447" s="11">
        <v>0.94039735099337796</v>
      </c>
      <c r="P447" s="11">
        <v>0.54729729729729704</v>
      </c>
      <c r="Q447" s="11">
        <v>0.64285714285714302</v>
      </c>
      <c r="R447" s="11">
        <v>0.60658914728682201</v>
      </c>
      <c r="S447" s="10" t="s">
        <v>84</v>
      </c>
      <c r="T447" s="10" t="s">
        <v>84</v>
      </c>
      <c r="U447" s="10"/>
      <c r="V447" s="10"/>
      <c r="W447" s="10"/>
      <c r="X447" s="10"/>
      <c r="Y447" s="10"/>
      <c r="Z447" s="10"/>
      <c r="AA447" s="10"/>
    </row>
    <row r="448" spans="1:27" ht="12.5" x14ac:dyDescent="0.25">
      <c r="A448" s="10" t="s">
        <v>34</v>
      </c>
      <c r="B448" s="10" t="s">
        <v>921</v>
      </c>
      <c r="C448" s="10" t="s">
        <v>76</v>
      </c>
      <c r="D448" s="11">
        <v>2024</v>
      </c>
      <c r="E448" s="10" t="s">
        <v>124</v>
      </c>
      <c r="F448" s="10" t="s">
        <v>83</v>
      </c>
      <c r="G448" s="10" t="s">
        <v>84</v>
      </c>
      <c r="H448" s="12">
        <v>5856.6666666666697</v>
      </c>
      <c r="I448" s="11">
        <v>339</v>
      </c>
      <c r="J448" s="11">
        <v>324</v>
      </c>
      <c r="K448" s="11">
        <v>8517</v>
      </c>
      <c r="L448" s="11">
        <v>5.7882754695503698E-2</v>
      </c>
      <c r="M448" s="11">
        <f t="shared" si="1"/>
        <v>5.7882754695503671</v>
      </c>
      <c r="N448" s="11">
        <v>0.95575221238938102</v>
      </c>
      <c r="O448" s="11">
        <v>1.4542401821286299</v>
      </c>
      <c r="P448" s="11">
        <v>0.545608108108108</v>
      </c>
      <c r="Q448" s="11">
        <v>0.83673469387755095</v>
      </c>
      <c r="R448" s="11">
        <v>0.39821029082774001</v>
      </c>
      <c r="S448" s="10" t="s">
        <v>84</v>
      </c>
      <c r="T448" s="10" t="s">
        <v>84</v>
      </c>
      <c r="U448" s="10"/>
      <c r="V448" s="10"/>
      <c r="W448" s="10"/>
      <c r="X448" s="10"/>
      <c r="Y448" s="10"/>
      <c r="Z448" s="10"/>
      <c r="AA448" s="10"/>
    </row>
    <row r="449" spans="1:27" ht="12.5" x14ac:dyDescent="0.25">
      <c r="A449" s="10" t="s">
        <v>110</v>
      </c>
      <c r="B449" s="10" t="s">
        <v>684</v>
      </c>
      <c r="C449" s="10" t="s">
        <v>76</v>
      </c>
      <c r="D449" s="11">
        <v>2024</v>
      </c>
      <c r="E449" s="10" t="s">
        <v>81</v>
      </c>
      <c r="F449" s="10" t="s">
        <v>83</v>
      </c>
      <c r="G449" s="10" t="s">
        <v>84</v>
      </c>
      <c r="H449" s="12">
        <v>34130.5</v>
      </c>
      <c r="I449" s="11">
        <v>1975</v>
      </c>
      <c r="J449" s="11">
        <v>1942</v>
      </c>
      <c r="K449" s="11">
        <v>5683</v>
      </c>
      <c r="L449" s="11">
        <v>5.7866131465990803E-2</v>
      </c>
      <c r="M449" s="11">
        <f t="shared" si="1"/>
        <v>5.7866131465990831</v>
      </c>
      <c r="N449" s="11">
        <v>0.98329113924050604</v>
      </c>
      <c r="O449" s="11">
        <v>0.16650796208669699</v>
      </c>
      <c r="P449" s="11">
        <v>0.54476351351351304</v>
      </c>
      <c r="Q449" s="11">
        <v>0.75757575757575801</v>
      </c>
      <c r="R449" s="11">
        <v>0.60465116279069797</v>
      </c>
      <c r="S449" s="10" t="s">
        <v>84</v>
      </c>
      <c r="T449" s="10" t="s">
        <v>84</v>
      </c>
      <c r="U449" s="10"/>
      <c r="V449" s="10"/>
      <c r="W449" s="10"/>
      <c r="X449" s="10"/>
      <c r="Y449" s="10"/>
      <c r="Z449" s="10"/>
      <c r="AA449" s="10"/>
    </row>
    <row r="450" spans="1:27" ht="12.5" x14ac:dyDescent="0.25">
      <c r="A450" s="10" t="s">
        <v>16</v>
      </c>
      <c r="B450" s="10" t="s">
        <v>729</v>
      </c>
      <c r="C450" s="10" t="s">
        <v>76</v>
      </c>
      <c r="D450" s="11">
        <v>2024</v>
      </c>
      <c r="E450" s="10" t="s">
        <v>81</v>
      </c>
      <c r="F450" s="10" t="s">
        <v>83</v>
      </c>
      <c r="G450" s="10" t="s">
        <v>84</v>
      </c>
      <c r="H450" s="12">
        <v>32583.166666666701</v>
      </c>
      <c r="I450" s="11">
        <v>1874</v>
      </c>
      <c r="J450" s="11">
        <v>1555</v>
      </c>
      <c r="K450" s="11">
        <v>5718</v>
      </c>
      <c r="L450" s="11">
        <v>5.7514360687266897E-2</v>
      </c>
      <c r="M450" s="11">
        <f t="shared" si="1"/>
        <v>5.7514360687266883</v>
      </c>
      <c r="N450" s="11">
        <v>0.82977588046958395</v>
      </c>
      <c r="O450" s="11">
        <v>0.17548938869252501</v>
      </c>
      <c r="P450" s="11">
        <v>0.54391891891891897</v>
      </c>
      <c r="Q450" s="11">
        <v>0.233333333333333</v>
      </c>
      <c r="R450" s="11">
        <v>0.60271317829457405</v>
      </c>
      <c r="S450" s="10" t="s">
        <v>84</v>
      </c>
      <c r="T450" s="10" t="s">
        <v>84</v>
      </c>
      <c r="U450" s="10"/>
      <c r="V450" s="10"/>
      <c r="W450" s="10"/>
      <c r="X450" s="10"/>
      <c r="Y450" s="10"/>
      <c r="Z450" s="10"/>
      <c r="AA450" s="10"/>
    </row>
    <row r="451" spans="1:27" ht="12.5" hidden="1" x14ac:dyDescent="0.25">
      <c r="A451" s="10" t="s">
        <v>110</v>
      </c>
      <c r="B451" s="10" t="s">
        <v>1370</v>
      </c>
      <c r="C451" s="10" t="s">
        <v>76</v>
      </c>
      <c r="D451" s="11">
        <v>2024</v>
      </c>
      <c r="E451" s="10" t="s">
        <v>257</v>
      </c>
      <c r="F451" s="10" t="s">
        <v>83</v>
      </c>
      <c r="G451" s="10" t="s">
        <v>84</v>
      </c>
      <c r="H451" s="12">
        <v>12133.416666666701</v>
      </c>
      <c r="I451" s="11">
        <v>697</v>
      </c>
      <c r="J451" s="11">
        <v>412</v>
      </c>
      <c r="K451" s="11">
        <v>23064</v>
      </c>
      <c r="L451" s="11">
        <v>5.7444660407552098E-2</v>
      </c>
      <c r="M451" s="11">
        <f t="shared" si="1"/>
        <v>5.7444660407551984</v>
      </c>
      <c r="N451" s="11">
        <v>0.59110473457675705</v>
      </c>
      <c r="O451" s="11">
        <v>1.90086606548032</v>
      </c>
      <c r="P451" s="11">
        <v>0.54307432432432401</v>
      </c>
      <c r="Q451" s="11">
        <v>0.72727272727272696</v>
      </c>
      <c r="R451" s="11">
        <v>0.70454545454545503</v>
      </c>
      <c r="S451" s="10" t="s">
        <v>84</v>
      </c>
      <c r="T451" s="10" t="s">
        <v>84</v>
      </c>
      <c r="U451" s="10"/>
      <c r="V451" s="10"/>
      <c r="W451" s="10"/>
      <c r="X451" s="10"/>
      <c r="Y451" s="10"/>
      <c r="Z451" s="10"/>
      <c r="AA451" s="10"/>
    </row>
    <row r="452" spans="1:27" ht="12.5" x14ac:dyDescent="0.25">
      <c r="A452" s="10" t="s">
        <v>118</v>
      </c>
      <c r="B452" s="10" t="s">
        <v>923</v>
      </c>
      <c r="C452" s="10" t="s">
        <v>76</v>
      </c>
      <c r="D452" s="11">
        <v>2024</v>
      </c>
      <c r="E452" s="10" t="s">
        <v>124</v>
      </c>
      <c r="F452" s="10" t="s">
        <v>83</v>
      </c>
      <c r="G452" s="10" t="s">
        <v>84</v>
      </c>
      <c r="H452" s="12">
        <v>29374.833333333299</v>
      </c>
      <c r="I452" s="11">
        <v>1668</v>
      </c>
      <c r="J452" s="11">
        <v>1606</v>
      </c>
      <c r="K452" s="11">
        <v>5012</v>
      </c>
      <c r="L452" s="11">
        <v>5.6783300898161103E-2</v>
      </c>
      <c r="M452" s="11">
        <f t="shared" si="1"/>
        <v>5.6783300898161198</v>
      </c>
      <c r="N452" s="11">
        <v>0.96282973621103096</v>
      </c>
      <c r="O452" s="11">
        <v>0.170622244665218</v>
      </c>
      <c r="P452" s="11">
        <v>0.54138513513513498</v>
      </c>
      <c r="Q452" s="11">
        <v>0.57142857142857095</v>
      </c>
      <c r="R452" s="11">
        <v>0.39597315436241598</v>
      </c>
      <c r="S452" s="10" t="s">
        <v>84</v>
      </c>
      <c r="T452" s="10" t="s">
        <v>84</v>
      </c>
      <c r="U452" s="10"/>
      <c r="V452" s="10"/>
      <c r="W452" s="10"/>
      <c r="X452" s="10"/>
      <c r="Y452" s="10"/>
      <c r="Z452" s="10"/>
      <c r="AA452" s="10"/>
    </row>
    <row r="453" spans="1:27" ht="12.5" x14ac:dyDescent="0.25">
      <c r="A453" s="10" t="s">
        <v>32</v>
      </c>
      <c r="B453" s="10" t="s">
        <v>925</v>
      </c>
      <c r="C453" s="10" t="s">
        <v>76</v>
      </c>
      <c r="D453" s="11">
        <v>2024</v>
      </c>
      <c r="E453" s="10" t="s">
        <v>124</v>
      </c>
      <c r="F453" s="10" t="s">
        <v>125</v>
      </c>
      <c r="G453" s="10" t="s">
        <v>84</v>
      </c>
      <c r="H453" s="12">
        <v>5793.5833333333303</v>
      </c>
      <c r="I453" s="11">
        <v>328</v>
      </c>
      <c r="J453" s="11">
        <v>113</v>
      </c>
      <c r="K453" s="11">
        <v>406</v>
      </c>
      <c r="L453" s="11">
        <v>5.6614357838413197E-2</v>
      </c>
      <c r="M453" s="11">
        <f t="shared" si="1"/>
        <v>5.6614357838413216</v>
      </c>
      <c r="N453" s="11">
        <v>0.34451219512195103</v>
      </c>
      <c r="O453" s="11">
        <v>7.0077528299987105E-2</v>
      </c>
      <c r="P453" s="11">
        <v>0.54054054054054101</v>
      </c>
      <c r="Q453" s="11">
        <v>0.34482758620689702</v>
      </c>
      <c r="R453" s="11">
        <v>0.39373601789709201</v>
      </c>
      <c r="S453" s="10" t="s">
        <v>84</v>
      </c>
      <c r="T453" s="10" t="s">
        <v>84</v>
      </c>
      <c r="U453" s="10"/>
      <c r="V453" s="10"/>
      <c r="W453" s="10"/>
      <c r="X453" s="10"/>
      <c r="Y453" s="10"/>
      <c r="Z453" s="10"/>
      <c r="AA453" s="10"/>
    </row>
    <row r="454" spans="1:27" ht="12.5" x14ac:dyDescent="0.25">
      <c r="A454" s="10" t="s">
        <v>80</v>
      </c>
      <c r="B454" s="10" t="s">
        <v>469</v>
      </c>
      <c r="C454" s="10" t="s">
        <v>76</v>
      </c>
      <c r="D454" s="11">
        <v>2024</v>
      </c>
      <c r="E454" s="10" t="s">
        <v>81</v>
      </c>
      <c r="F454" s="10" t="s">
        <v>83</v>
      </c>
      <c r="G454" s="10" t="s">
        <v>84</v>
      </c>
      <c r="H454" s="12">
        <v>1383.9166666666699</v>
      </c>
      <c r="I454" s="11">
        <v>78</v>
      </c>
      <c r="J454" s="11">
        <v>71</v>
      </c>
      <c r="K454" s="11">
        <v>1238</v>
      </c>
      <c r="L454" s="11">
        <v>5.6361775155055097E-2</v>
      </c>
      <c r="M454" s="11">
        <f t="shared" si="1"/>
        <v>5.6361775155054961</v>
      </c>
      <c r="N454" s="11">
        <v>0.91025641025641002</v>
      </c>
      <c r="O454" s="11">
        <v>0.89456253387125895</v>
      </c>
      <c r="P454" s="11">
        <v>0.53969594594594605</v>
      </c>
      <c r="Q454" s="11">
        <v>0.6</v>
      </c>
      <c r="R454" s="11">
        <v>0.59883720930232598</v>
      </c>
      <c r="S454" s="10" t="s">
        <v>84</v>
      </c>
      <c r="T454" s="10" t="s">
        <v>84</v>
      </c>
      <c r="U454" s="10"/>
      <c r="V454" s="10"/>
      <c r="W454" s="10"/>
      <c r="X454" s="10"/>
      <c r="Y454" s="10"/>
      <c r="Z454" s="10"/>
      <c r="AA454" s="10"/>
    </row>
    <row r="455" spans="1:27" ht="12.5" x14ac:dyDescent="0.25">
      <c r="A455" s="10" t="s">
        <v>34</v>
      </c>
      <c r="B455" s="10" t="s">
        <v>927</v>
      </c>
      <c r="C455" s="10" t="s">
        <v>76</v>
      </c>
      <c r="D455" s="11">
        <v>2024</v>
      </c>
      <c r="E455" s="10" t="s">
        <v>124</v>
      </c>
      <c r="F455" s="10" t="s">
        <v>83</v>
      </c>
      <c r="G455" s="10" t="s">
        <v>84</v>
      </c>
      <c r="H455" s="12">
        <v>18197</v>
      </c>
      <c r="I455" s="11">
        <v>1021</v>
      </c>
      <c r="J455" s="11">
        <v>1017</v>
      </c>
      <c r="K455" s="11">
        <v>17954</v>
      </c>
      <c r="L455" s="11">
        <v>5.6108149695004703E-2</v>
      </c>
      <c r="M455" s="11">
        <f t="shared" si="1"/>
        <v>5.610814969500467</v>
      </c>
      <c r="N455" s="11">
        <v>0.99608227228207602</v>
      </c>
      <c r="O455" s="11">
        <v>0.98664615046436199</v>
      </c>
      <c r="P455" s="11">
        <v>0.53800675675675702</v>
      </c>
      <c r="Q455" s="11">
        <v>0.81632653061224503</v>
      </c>
      <c r="R455" s="11">
        <v>0.39149888143176698</v>
      </c>
      <c r="S455" s="10" t="s">
        <v>84</v>
      </c>
      <c r="T455" s="10" t="s">
        <v>84</v>
      </c>
      <c r="U455" s="10"/>
      <c r="V455" s="10"/>
      <c r="W455" s="10"/>
      <c r="X455" s="10"/>
      <c r="Y455" s="10"/>
      <c r="Z455" s="10"/>
      <c r="AA455" s="10"/>
    </row>
    <row r="456" spans="1:27" ht="12.5" x14ac:dyDescent="0.25">
      <c r="A456" s="10" t="s">
        <v>86</v>
      </c>
      <c r="B456" s="10" t="s">
        <v>734</v>
      </c>
      <c r="C456" s="10" t="s">
        <v>76</v>
      </c>
      <c r="D456" s="11">
        <v>2024</v>
      </c>
      <c r="E456" s="10" t="s">
        <v>81</v>
      </c>
      <c r="F456" s="10" t="s">
        <v>83</v>
      </c>
      <c r="G456" s="10" t="s">
        <v>84</v>
      </c>
      <c r="H456" s="12">
        <v>53167.166666666701</v>
      </c>
      <c r="I456" s="11">
        <v>2981</v>
      </c>
      <c r="J456" s="11">
        <v>2733</v>
      </c>
      <c r="K456" s="11">
        <v>17430</v>
      </c>
      <c r="L456" s="11">
        <v>5.6068438227853699E-2</v>
      </c>
      <c r="M456" s="11">
        <f t="shared" si="1"/>
        <v>5.6068438227853621</v>
      </c>
      <c r="N456" s="11">
        <v>0.91680644079168105</v>
      </c>
      <c r="O456" s="11">
        <v>0.32783390751811098</v>
      </c>
      <c r="P456" s="11">
        <v>0.53716216216216195</v>
      </c>
      <c r="Q456" s="11">
        <v>0.30434782608695699</v>
      </c>
      <c r="R456" s="11">
        <v>0.59689922480620194</v>
      </c>
      <c r="S456" s="10" t="s">
        <v>84</v>
      </c>
      <c r="T456" s="10" t="s">
        <v>84</v>
      </c>
      <c r="U456" s="10"/>
      <c r="V456" s="10"/>
      <c r="W456" s="10"/>
      <c r="X456" s="10"/>
      <c r="Y456" s="10"/>
      <c r="Z456" s="10"/>
      <c r="AA456" s="10"/>
    </row>
    <row r="457" spans="1:27" ht="12.5" x14ac:dyDescent="0.25">
      <c r="A457" s="10" t="s">
        <v>42</v>
      </c>
      <c r="B457" s="10" t="s">
        <v>737</v>
      </c>
      <c r="C457" s="10" t="s">
        <v>76</v>
      </c>
      <c r="D457" s="11">
        <v>2024</v>
      </c>
      <c r="E457" s="10" t="s">
        <v>81</v>
      </c>
      <c r="F457" s="10" t="s">
        <v>83</v>
      </c>
      <c r="G457" s="10" t="s">
        <v>84</v>
      </c>
      <c r="H457" s="12">
        <v>9882.6666666666697</v>
      </c>
      <c r="I457" s="11">
        <v>550</v>
      </c>
      <c r="J457" s="11">
        <v>506</v>
      </c>
      <c r="K457" s="11">
        <v>1968</v>
      </c>
      <c r="L457" s="11">
        <v>5.5652995143011301E-2</v>
      </c>
      <c r="M457" s="11">
        <f t="shared" si="1"/>
        <v>5.5652995143011319</v>
      </c>
      <c r="N457" s="11">
        <v>0.92</v>
      </c>
      <c r="O457" s="11">
        <v>0.19913653534808401</v>
      </c>
      <c r="P457" s="11">
        <v>0.53631756756756799</v>
      </c>
      <c r="Q457" s="11">
        <v>0.5</v>
      </c>
      <c r="R457" s="11">
        <v>0.59496124031007702</v>
      </c>
      <c r="S457" s="10" t="s">
        <v>84</v>
      </c>
      <c r="T457" s="10" t="s">
        <v>84</v>
      </c>
      <c r="U457" s="10"/>
      <c r="V457" s="10"/>
      <c r="W457" s="10"/>
      <c r="X457" s="10"/>
      <c r="Y457" s="10"/>
      <c r="Z457" s="10"/>
      <c r="AA457" s="10"/>
    </row>
    <row r="458" spans="1:27" ht="12.5" hidden="1" x14ac:dyDescent="0.25">
      <c r="A458" s="10" t="s">
        <v>25</v>
      </c>
      <c r="B458" s="10" t="s">
        <v>1373</v>
      </c>
      <c r="C458" s="10" t="s">
        <v>76</v>
      </c>
      <c r="D458" s="11">
        <v>2024</v>
      </c>
      <c r="E458" s="10" t="s">
        <v>0</v>
      </c>
      <c r="F458" s="10" t="s">
        <v>83</v>
      </c>
      <c r="G458" s="10" t="s">
        <v>84</v>
      </c>
      <c r="H458" s="12">
        <v>5795.5</v>
      </c>
      <c r="I458" s="11">
        <v>322</v>
      </c>
      <c r="J458" s="11">
        <v>321</v>
      </c>
      <c r="K458" s="11">
        <v>3169</v>
      </c>
      <c r="L458" s="11">
        <v>5.5560348546285901E-2</v>
      </c>
      <c r="M458" s="11">
        <f t="shared" si="1"/>
        <v>5.5560348546285914</v>
      </c>
      <c r="N458" s="11">
        <v>0.99689440993788803</v>
      </c>
      <c r="O458" s="11">
        <v>0.54680355448192597</v>
      </c>
      <c r="P458" s="11">
        <v>0.53547297297297303</v>
      </c>
      <c r="Q458" s="11">
        <v>0.3125</v>
      </c>
      <c r="R458" s="11">
        <v>0.66666666666666696</v>
      </c>
      <c r="S458" s="10" t="s">
        <v>84</v>
      </c>
      <c r="T458" s="10" t="s">
        <v>84</v>
      </c>
      <c r="U458" s="10"/>
      <c r="V458" s="10"/>
      <c r="W458" s="10"/>
      <c r="X458" s="10"/>
      <c r="Y458" s="10"/>
      <c r="Z458" s="10"/>
      <c r="AA458" s="10"/>
    </row>
    <row r="459" spans="1:27" ht="12.5" x14ac:dyDescent="0.25">
      <c r="A459" s="10" t="s">
        <v>36</v>
      </c>
      <c r="B459" s="10" t="s">
        <v>929</v>
      </c>
      <c r="C459" s="10" t="s">
        <v>76</v>
      </c>
      <c r="D459" s="11">
        <v>2024</v>
      </c>
      <c r="E459" s="10" t="s">
        <v>124</v>
      </c>
      <c r="F459" s="10" t="s">
        <v>83</v>
      </c>
      <c r="G459" s="10" t="s">
        <v>84</v>
      </c>
      <c r="H459" s="12">
        <v>12177.083333333299</v>
      </c>
      <c r="I459" s="11">
        <v>676</v>
      </c>
      <c r="J459" s="11">
        <v>467</v>
      </c>
      <c r="K459" s="11">
        <v>970</v>
      </c>
      <c r="L459" s="11">
        <v>5.55141146278871E-2</v>
      </c>
      <c r="M459" s="11">
        <f t="shared" si="1"/>
        <v>5.5514114627887237</v>
      </c>
      <c r="N459" s="11">
        <v>0.69082840236686405</v>
      </c>
      <c r="O459" s="11">
        <v>7.9657827202737397E-2</v>
      </c>
      <c r="P459" s="11">
        <v>0.53462837837837796</v>
      </c>
      <c r="Q459" s="11">
        <v>0.29787234042553201</v>
      </c>
      <c r="R459" s="11">
        <v>0.389261744966443</v>
      </c>
      <c r="S459" s="10" t="s">
        <v>84</v>
      </c>
      <c r="T459" s="10" t="s">
        <v>84</v>
      </c>
      <c r="U459" s="10"/>
      <c r="V459" s="10"/>
      <c r="W459" s="10"/>
      <c r="X459" s="10"/>
      <c r="Y459" s="10"/>
      <c r="Z459" s="10"/>
      <c r="AA459" s="10"/>
    </row>
    <row r="460" spans="1:27" ht="12.5" x14ac:dyDescent="0.25">
      <c r="A460" s="10" t="s">
        <v>65</v>
      </c>
      <c r="B460" s="10" t="s">
        <v>740</v>
      </c>
      <c r="C460" s="10" t="s">
        <v>76</v>
      </c>
      <c r="D460" s="11">
        <v>2024</v>
      </c>
      <c r="E460" s="10" t="s">
        <v>81</v>
      </c>
      <c r="F460" s="10" t="s">
        <v>83</v>
      </c>
      <c r="G460" s="10" t="s">
        <v>84</v>
      </c>
      <c r="H460" s="12">
        <v>31675.75</v>
      </c>
      <c r="I460" s="11">
        <v>1751</v>
      </c>
      <c r="J460" s="11">
        <v>1125</v>
      </c>
      <c r="K460" s="11">
        <v>22954</v>
      </c>
      <c r="L460" s="11">
        <v>5.5278880531637001E-2</v>
      </c>
      <c r="M460" s="11">
        <f t="shared" si="1"/>
        <v>5.5278880531636982</v>
      </c>
      <c r="N460" s="11">
        <v>0.64249000571102199</v>
      </c>
      <c r="O460" s="11">
        <v>0.72465529624397196</v>
      </c>
      <c r="P460" s="11">
        <v>0.53378378378378399</v>
      </c>
      <c r="Q460" s="11">
        <v>0.46153846153846201</v>
      </c>
      <c r="R460" s="11">
        <v>0.59302325581395399</v>
      </c>
      <c r="S460" s="10" t="s">
        <v>84</v>
      </c>
      <c r="T460" s="10" t="s">
        <v>84</v>
      </c>
      <c r="U460" s="10"/>
      <c r="V460" s="10"/>
      <c r="W460" s="10"/>
      <c r="X460" s="10"/>
      <c r="Y460" s="10"/>
      <c r="Z460" s="10"/>
      <c r="AA460" s="10"/>
    </row>
    <row r="461" spans="1:27" ht="12.5" hidden="1" x14ac:dyDescent="0.25">
      <c r="A461" s="10" t="s">
        <v>110</v>
      </c>
      <c r="B461" s="10" t="s">
        <v>1375</v>
      </c>
      <c r="C461" s="10" t="s">
        <v>76</v>
      </c>
      <c r="D461" s="11">
        <v>2024</v>
      </c>
      <c r="E461" s="10" t="s">
        <v>257</v>
      </c>
      <c r="F461" s="10" t="s">
        <v>83</v>
      </c>
      <c r="G461" s="10" t="s">
        <v>84</v>
      </c>
      <c r="H461" s="12">
        <v>30475</v>
      </c>
      <c r="I461" s="11">
        <v>1681</v>
      </c>
      <c r="J461" s="11">
        <v>1610</v>
      </c>
      <c r="K461" s="11">
        <v>22518</v>
      </c>
      <c r="L461" s="11">
        <v>5.5159967186218198E-2</v>
      </c>
      <c r="M461" s="11">
        <f t="shared" si="1"/>
        <v>5.5159967186218211</v>
      </c>
      <c r="N461" s="11">
        <v>0.95776323616894699</v>
      </c>
      <c r="O461" s="11">
        <v>0.73890073831008996</v>
      </c>
      <c r="P461" s="11">
        <v>0.53293918918918903</v>
      </c>
      <c r="Q461" s="11">
        <v>0.69696969696969702</v>
      </c>
      <c r="R461" s="11">
        <v>0.68181818181818199</v>
      </c>
      <c r="S461" s="10" t="s">
        <v>84</v>
      </c>
      <c r="T461" s="10" t="s">
        <v>84</v>
      </c>
      <c r="U461" s="10"/>
      <c r="V461" s="10"/>
      <c r="W461" s="10"/>
      <c r="X461" s="10"/>
      <c r="Y461" s="10"/>
      <c r="Z461" s="10"/>
      <c r="AA461" s="10"/>
    </row>
    <row r="462" spans="1:27" ht="12.5" x14ac:dyDescent="0.25">
      <c r="A462" s="10" t="s">
        <v>34</v>
      </c>
      <c r="B462" s="10" t="s">
        <v>932</v>
      </c>
      <c r="C462" s="10" t="s">
        <v>76</v>
      </c>
      <c r="D462" s="11">
        <v>2024</v>
      </c>
      <c r="E462" s="10" t="s">
        <v>124</v>
      </c>
      <c r="F462" s="10" t="s">
        <v>83</v>
      </c>
      <c r="G462" s="10" t="s">
        <v>84</v>
      </c>
      <c r="H462" s="12">
        <v>10703.333333333299</v>
      </c>
      <c r="I462" s="11">
        <v>588</v>
      </c>
      <c r="J462" s="11">
        <v>459</v>
      </c>
      <c r="K462" s="11">
        <v>5903</v>
      </c>
      <c r="L462" s="11">
        <v>5.4936156960448498E-2</v>
      </c>
      <c r="M462" s="11">
        <f t="shared" si="1"/>
        <v>5.4936156960448628</v>
      </c>
      <c r="N462" s="11">
        <v>0.780612244897959</v>
      </c>
      <c r="O462" s="11">
        <v>0.55151043288695101</v>
      </c>
      <c r="P462" s="11">
        <v>0.53125</v>
      </c>
      <c r="Q462" s="11">
        <v>0.79591836734693899</v>
      </c>
      <c r="R462" s="11">
        <v>0.38702460850111903</v>
      </c>
      <c r="S462" s="10" t="s">
        <v>84</v>
      </c>
      <c r="T462" s="10" t="s">
        <v>84</v>
      </c>
      <c r="U462" s="10"/>
      <c r="V462" s="10"/>
      <c r="W462" s="10"/>
      <c r="X462" s="10"/>
      <c r="Y462" s="10"/>
      <c r="Z462" s="10"/>
      <c r="AA462" s="10"/>
    </row>
    <row r="463" spans="1:27" ht="12.5" x14ac:dyDescent="0.25">
      <c r="A463" s="10" t="s">
        <v>13</v>
      </c>
      <c r="B463" s="10" t="s">
        <v>741</v>
      </c>
      <c r="C463" s="10" t="s">
        <v>76</v>
      </c>
      <c r="D463" s="11">
        <v>2024</v>
      </c>
      <c r="E463" s="10" t="s">
        <v>81</v>
      </c>
      <c r="F463" s="10" t="s">
        <v>83</v>
      </c>
      <c r="G463" s="10" t="s">
        <v>84</v>
      </c>
      <c r="H463" s="12">
        <v>9193.6666666666697</v>
      </c>
      <c r="I463" s="11">
        <v>504</v>
      </c>
      <c r="J463" s="11">
        <v>353</v>
      </c>
      <c r="K463" s="11">
        <v>0</v>
      </c>
      <c r="L463" s="11">
        <v>5.4820347340560502E-2</v>
      </c>
      <c r="M463" s="11">
        <f t="shared" si="1"/>
        <v>5.482034734056052</v>
      </c>
      <c r="N463" s="11">
        <v>0.70039682539682502</v>
      </c>
      <c r="O463" s="11">
        <v>0</v>
      </c>
      <c r="P463" s="11">
        <v>0.52956081081081097</v>
      </c>
      <c r="Q463" s="11">
        <v>0.238095238095238</v>
      </c>
      <c r="R463" s="11">
        <v>0.59108527131782995</v>
      </c>
      <c r="S463" s="10" t="s">
        <v>84</v>
      </c>
      <c r="T463" s="10" t="s">
        <v>84</v>
      </c>
      <c r="U463" s="10"/>
      <c r="V463" s="10"/>
      <c r="W463" s="10"/>
      <c r="X463" s="10"/>
      <c r="Y463" s="10"/>
      <c r="Z463" s="10"/>
      <c r="AA463" s="10"/>
    </row>
    <row r="464" spans="1:27" ht="12.5" x14ac:dyDescent="0.25">
      <c r="A464" s="10" t="s">
        <v>72</v>
      </c>
      <c r="B464" s="10" t="s">
        <v>743</v>
      </c>
      <c r="C464" s="10" t="s">
        <v>76</v>
      </c>
      <c r="D464" s="11">
        <v>2024</v>
      </c>
      <c r="E464" s="10" t="s">
        <v>81</v>
      </c>
      <c r="F464" s="10" t="s">
        <v>83</v>
      </c>
      <c r="G464" s="10" t="s">
        <v>84</v>
      </c>
      <c r="H464" s="12">
        <v>40674.5</v>
      </c>
      <c r="I464" s="11">
        <v>2228</v>
      </c>
      <c r="J464" s="11">
        <v>1575</v>
      </c>
      <c r="K464" s="11">
        <v>19908</v>
      </c>
      <c r="L464" s="11">
        <v>5.4776334066798597E-2</v>
      </c>
      <c r="M464" s="11">
        <f t="shared" si="1"/>
        <v>5.4776334066798613</v>
      </c>
      <c r="N464" s="11">
        <v>0.706912028725314</v>
      </c>
      <c r="O464" s="11">
        <v>0.48944670493798298</v>
      </c>
      <c r="P464" s="11">
        <v>0.52787162162162204</v>
      </c>
      <c r="Q464" s="11">
        <v>0.8</v>
      </c>
      <c r="R464" s="11">
        <v>0.58914728682170503</v>
      </c>
      <c r="S464" s="10" t="s">
        <v>84</v>
      </c>
      <c r="T464" s="10" t="s">
        <v>84</v>
      </c>
      <c r="U464" s="10"/>
      <c r="V464" s="10"/>
      <c r="W464" s="10"/>
      <c r="X464" s="10"/>
      <c r="Y464" s="10"/>
      <c r="Z464" s="10"/>
      <c r="AA464" s="10"/>
    </row>
    <row r="465" spans="1:27" ht="12.5" x14ac:dyDescent="0.25">
      <c r="A465" s="10" t="s">
        <v>10</v>
      </c>
      <c r="B465" s="10" t="s">
        <v>745</v>
      </c>
      <c r="C465" s="10" t="s">
        <v>76</v>
      </c>
      <c r="D465" s="11">
        <v>2024</v>
      </c>
      <c r="E465" s="10" t="s">
        <v>81</v>
      </c>
      <c r="F465" s="10" t="s">
        <v>83</v>
      </c>
      <c r="G465" s="10" t="s">
        <v>84</v>
      </c>
      <c r="H465" s="12">
        <v>64245.75</v>
      </c>
      <c r="I465" s="11">
        <v>3519</v>
      </c>
      <c r="J465" s="11">
        <v>3219</v>
      </c>
      <c r="K465" s="11">
        <v>72842</v>
      </c>
      <c r="L465" s="11">
        <v>5.4774051201830501E-2</v>
      </c>
      <c r="M465" s="11">
        <f t="shared" si="1"/>
        <v>5.4774051201830476</v>
      </c>
      <c r="N465" s="11">
        <v>0.91474850809889197</v>
      </c>
      <c r="O465" s="11">
        <v>1.13380262507637</v>
      </c>
      <c r="P465" s="11">
        <v>0.52702702702702697</v>
      </c>
      <c r="Q465" s="11">
        <v>0.4</v>
      </c>
      <c r="R465" s="11">
        <v>0.587209302325581</v>
      </c>
      <c r="S465" s="10" t="s">
        <v>84</v>
      </c>
      <c r="T465" s="10" t="s">
        <v>84</v>
      </c>
      <c r="U465" s="10"/>
      <c r="V465" s="10"/>
      <c r="W465" s="10"/>
      <c r="X465" s="10"/>
      <c r="Y465" s="10"/>
      <c r="Z465" s="10"/>
      <c r="AA465" s="10"/>
    </row>
    <row r="466" spans="1:27" ht="12.5" x14ac:dyDescent="0.25">
      <c r="A466" s="10" t="s">
        <v>12</v>
      </c>
      <c r="B466" s="10" t="s">
        <v>746</v>
      </c>
      <c r="C466" s="10" t="s">
        <v>76</v>
      </c>
      <c r="D466" s="11">
        <v>2024</v>
      </c>
      <c r="E466" s="10" t="s">
        <v>81</v>
      </c>
      <c r="F466" s="10" t="s">
        <v>83</v>
      </c>
      <c r="G466" s="10" t="s">
        <v>84</v>
      </c>
      <c r="H466" s="12">
        <v>8369.6666666666697</v>
      </c>
      <c r="I466" s="11">
        <v>458</v>
      </c>
      <c r="J466" s="11">
        <v>401</v>
      </c>
      <c r="K466" s="11">
        <v>4436</v>
      </c>
      <c r="L466" s="11">
        <v>5.4721414632203598E-2</v>
      </c>
      <c r="M466" s="11">
        <f t="shared" si="1"/>
        <v>5.4721414632203569</v>
      </c>
      <c r="N466" s="11">
        <v>0.87554585152838404</v>
      </c>
      <c r="O466" s="11">
        <v>0.53000916006212895</v>
      </c>
      <c r="P466" s="11">
        <v>0.52618243243243201</v>
      </c>
      <c r="Q466" s="11">
        <v>0.34722222222222199</v>
      </c>
      <c r="R466" s="11">
        <v>0.58527131782945696</v>
      </c>
      <c r="S466" s="10" t="s">
        <v>84</v>
      </c>
      <c r="T466" s="10" t="s">
        <v>84</v>
      </c>
      <c r="U466" s="10"/>
      <c r="V466" s="10"/>
      <c r="W466" s="10"/>
      <c r="X466" s="10"/>
      <c r="Y466" s="10"/>
      <c r="Z466" s="10"/>
      <c r="AA466" s="10"/>
    </row>
    <row r="467" spans="1:27" ht="12.5" x14ac:dyDescent="0.25">
      <c r="A467" s="10" t="s">
        <v>12</v>
      </c>
      <c r="B467" s="10" t="s">
        <v>748</v>
      </c>
      <c r="C467" s="10" t="s">
        <v>76</v>
      </c>
      <c r="D467" s="11">
        <v>2024</v>
      </c>
      <c r="E467" s="10" t="s">
        <v>81</v>
      </c>
      <c r="F467" s="10" t="s">
        <v>83</v>
      </c>
      <c r="G467" s="10" t="s">
        <v>84</v>
      </c>
      <c r="H467" s="12">
        <v>21500.25</v>
      </c>
      <c r="I467" s="11">
        <v>1176</v>
      </c>
      <c r="J467" s="11">
        <v>1008</v>
      </c>
      <c r="K467" s="11">
        <v>36613</v>
      </c>
      <c r="L467" s="11">
        <v>5.4697038406530202E-2</v>
      </c>
      <c r="M467" s="11">
        <f t="shared" si="1"/>
        <v>5.4697038406530156</v>
      </c>
      <c r="N467" s="11">
        <v>0.85714285714285698</v>
      </c>
      <c r="O467" s="11">
        <v>1.7029104312740599</v>
      </c>
      <c r="P467" s="11">
        <v>0.52449324324324298</v>
      </c>
      <c r="Q467" s="11">
        <v>0.33333333333333298</v>
      </c>
      <c r="R467" s="11">
        <v>0.58333333333333304</v>
      </c>
      <c r="S467" s="10" t="s">
        <v>84</v>
      </c>
      <c r="T467" s="10" t="s">
        <v>84</v>
      </c>
      <c r="U467" s="10"/>
      <c r="V467" s="10"/>
      <c r="W467" s="10"/>
      <c r="X467" s="10"/>
      <c r="Y467" s="10"/>
      <c r="Z467" s="10"/>
      <c r="AA467" s="10"/>
    </row>
    <row r="468" spans="1:27" ht="12.5" x14ac:dyDescent="0.25">
      <c r="A468" s="10" t="s">
        <v>55</v>
      </c>
      <c r="B468" s="10" t="s">
        <v>750</v>
      </c>
      <c r="C468" s="10" t="s">
        <v>76</v>
      </c>
      <c r="D468" s="11">
        <v>2024</v>
      </c>
      <c r="E468" s="10" t="s">
        <v>81</v>
      </c>
      <c r="F468" s="10" t="s">
        <v>83</v>
      </c>
      <c r="G468" s="10" t="s">
        <v>84</v>
      </c>
      <c r="H468" s="12">
        <v>13110.083333333299</v>
      </c>
      <c r="I468" s="11">
        <v>712</v>
      </c>
      <c r="J468" s="11">
        <v>678</v>
      </c>
      <c r="K468" s="11">
        <v>17561</v>
      </c>
      <c r="L468" s="11">
        <v>5.4309342045880699E-2</v>
      </c>
      <c r="M468" s="11">
        <f t="shared" si="1"/>
        <v>5.4309342045880857</v>
      </c>
      <c r="N468" s="11">
        <v>0.952247191011236</v>
      </c>
      <c r="O468" s="11">
        <v>1.33950330852207</v>
      </c>
      <c r="P468" s="11">
        <v>0.52280405405405395</v>
      </c>
      <c r="Q468" s="11">
        <v>0.36363636363636398</v>
      </c>
      <c r="R468" s="11">
        <v>0.581395348837209</v>
      </c>
      <c r="S468" s="10" t="s">
        <v>84</v>
      </c>
      <c r="T468" s="10" t="s">
        <v>84</v>
      </c>
      <c r="U468" s="10"/>
      <c r="V468" s="10"/>
      <c r="W468" s="10"/>
      <c r="X468" s="10"/>
      <c r="Y468" s="10"/>
      <c r="Z468" s="10"/>
      <c r="AA468" s="10"/>
    </row>
    <row r="469" spans="1:27" ht="12.5" x14ac:dyDescent="0.25">
      <c r="A469" s="10" t="s">
        <v>104</v>
      </c>
      <c r="B469" s="10" t="s">
        <v>752</v>
      </c>
      <c r="C469" s="10" t="s">
        <v>76</v>
      </c>
      <c r="D469" s="11">
        <v>2024</v>
      </c>
      <c r="E469" s="10" t="s">
        <v>81</v>
      </c>
      <c r="F469" s="10" t="s">
        <v>83</v>
      </c>
      <c r="G469" s="10" t="s">
        <v>84</v>
      </c>
      <c r="H469" s="12">
        <v>3446.4166666666702</v>
      </c>
      <c r="I469" s="11">
        <v>187</v>
      </c>
      <c r="J469" s="11">
        <v>171</v>
      </c>
      <c r="K469" s="11">
        <v>2621</v>
      </c>
      <c r="L469" s="11">
        <v>5.4259254781536398E-2</v>
      </c>
      <c r="M469" s="11">
        <f t="shared" si="1"/>
        <v>5.4259254781536326</v>
      </c>
      <c r="N469" s="11">
        <v>0.914438502673797</v>
      </c>
      <c r="O469" s="11">
        <v>0.76050003626955498</v>
      </c>
      <c r="P469" s="11">
        <v>0.52195945945945899</v>
      </c>
      <c r="Q469" s="11">
        <v>0.58620689655172398</v>
      </c>
      <c r="R469" s="11">
        <v>0.57945736434108497</v>
      </c>
      <c r="S469" s="10" t="s">
        <v>84</v>
      </c>
      <c r="T469" s="10" t="s">
        <v>84</v>
      </c>
      <c r="U469" s="10"/>
      <c r="V469" s="10"/>
      <c r="W469" s="10"/>
      <c r="X469" s="10"/>
      <c r="Y469" s="10"/>
      <c r="Z469" s="10"/>
      <c r="AA469" s="10"/>
    </row>
    <row r="470" spans="1:27" ht="12.5" x14ac:dyDescent="0.25">
      <c r="A470" s="10" t="s">
        <v>62</v>
      </c>
      <c r="B470" s="10" t="s">
        <v>936</v>
      </c>
      <c r="C470" s="10" t="s">
        <v>76</v>
      </c>
      <c r="D470" s="11">
        <v>2024</v>
      </c>
      <c r="E470" s="10" t="s">
        <v>124</v>
      </c>
      <c r="F470" s="10" t="s">
        <v>83</v>
      </c>
      <c r="G470" s="10" t="s">
        <v>84</v>
      </c>
      <c r="H470" s="12">
        <v>73667.166666666701</v>
      </c>
      <c r="I470" s="11">
        <v>3982</v>
      </c>
      <c r="J470" s="11">
        <v>3325</v>
      </c>
      <c r="K470" s="11">
        <v>5157</v>
      </c>
      <c r="L470" s="11">
        <v>5.40539317606442E-2</v>
      </c>
      <c r="M470" s="11">
        <f t="shared" si="1"/>
        <v>5.4053931760644129</v>
      </c>
      <c r="N470" s="11">
        <v>0.83500753390256199</v>
      </c>
      <c r="O470" s="11">
        <v>7.0004049746268698E-2</v>
      </c>
      <c r="P470" s="11">
        <v>0.52027027027026995</v>
      </c>
      <c r="Q470" s="11">
        <v>0.61111111111111105</v>
      </c>
      <c r="R470" s="11">
        <v>0.38255033557047002</v>
      </c>
      <c r="S470" s="10" t="s">
        <v>84</v>
      </c>
      <c r="T470" s="10" t="s">
        <v>84</v>
      </c>
      <c r="U470" s="10"/>
      <c r="V470" s="10"/>
      <c r="W470" s="10"/>
      <c r="X470" s="10"/>
      <c r="Y470" s="10"/>
      <c r="Z470" s="10"/>
      <c r="AA470" s="10"/>
    </row>
    <row r="471" spans="1:27" ht="12.5" hidden="1" x14ac:dyDescent="0.25">
      <c r="A471" s="10" t="s">
        <v>67</v>
      </c>
      <c r="B471" s="10" t="s">
        <v>1377</v>
      </c>
      <c r="C471" s="10" t="s">
        <v>76</v>
      </c>
      <c r="D471" s="11">
        <v>2024</v>
      </c>
      <c r="E471" s="10" t="s">
        <v>257</v>
      </c>
      <c r="F471" s="10" t="s">
        <v>83</v>
      </c>
      <c r="G471" s="10" t="s">
        <v>84</v>
      </c>
      <c r="H471" s="12">
        <v>20305.833333333299</v>
      </c>
      <c r="I471" s="11">
        <v>1096</v>
      </c>
      <c r="J471" s="11">
        <v>324</v>
      </c>
      <c r="K471" s="11">
        <v>11604</v>
      </c>
      <c r="L471" s="11">
        <v>5.3974637829851901E-2</v>
      </c>
      <c r="M471" s="11">
        <f t="shared" si="1"/>
        <v>5.3974637829851932</v>
      </c>
      <c r="N471" s="11">
        <v>0.29562043795620402</v>
      </c>
      <c r="O471" s="11">
        <v>0.57146140271678902</v>
      </c>
      <c r="P471" s="11">
        <v>0.51942567567567599</v>
      </c>
      <c r="Q471" s="11">
        <v>0.71428571428571397</v>
      </c>
      <c r="R471" s="11">
        <v>0.65909090909090895</v>
      </c>
      <c r="S471" s="10" t="s">
        <v>84</v>
      </c>
      <c r="T471" s="10" t="s">
        <v>84</v>
      </c>
      <c r="U471" s="10"/>
      <c r="V471" s="10"/>
      <c r="W471" s="10"/>
      <c r="X471" s="10"/>
      <c r="Y471" s="10"/>
      <c r="Z471" s="10"/>
      <c r="AA471" s="10"/>
    </row>
    <row r="472" spans="1:27" ht="12.5" x14ac:dyDescent="0.25">
      <c r="A472" s="10" t="s">
        <v>12</v>
      </c>
      <c r="B472" s="10" t="s">
        <v>753</v>
      </c>
      <c r="C472" s="10" t="s">
        <v>76</v>
      </c>
      <c r="D472" s="11">
        <v>2024</v>
      </c>
      <c r="E472" s="10" t="s">
        <v>81</v>
      </c>
      <c r="F472" s="10" t="s">
        <v>83</v>
      </c>
      <c r="G472" s="10" t="s">
        <v>84</v>
      </c>
      <c r="H472" s="12">
        <v>12869.583333333299</v>
      </c>
      <c r="I472" s="11">
        <v>693</v>
      </c>
      <c r="J472" s="11">
        <v>594</v>
      </c>
      <c r="K472" s="11">
        <v>7395</v>
      </c>
      <c r="L472" s="11">
        <v>5.38478971735682E-2</v>
      </c>
      <c r="M472" s="11">
        <f t="shared" si="1"/>
        <v>5.3847897173568313</v>
      </c>
      <c r="N472" s="11">
        <v>0.85714285714285698</v>
      </c>
      <c r="O472" s="11">
        <v>0.57461067763136597</v>
      </c>
      <c r="P472" s="11">
        <v>0.51858108108108103</v>
      </c>
      <c r="Q472" s="11">
        <v>0.31944444444444398</v>
      </c>
      <c r="R472" s="11">
        <v>0.57751937984496104</v>
      </c>
      <c r="S472" s="10" t="s">
        <v>84</v>
      </c>
      <c r="T472" s="10" t="s">
        <v>84</v>
      </c>
      <c r="U472" s="10"/>
      <c r="V472" s="10"/>
      <c r="W472" s="10"/>
      <c r="X472" s="10"/>
      <c r="Y472" s="10"/>
      <c r="Z472" s="10"/>
      <c r="AA472" s="10"/>
    </row>
    <row r="473" spans="1:27" ht="12.5" x14ac:dyDescent="0.25">
      <c r="A473" s="10" t="s">
        <v>14</v>
      </c>
      <c r="B473" s="10" t="s">
        <v>755</v>
      </c>
      <c r="C473" s="10" t="s">
        <v>76</v>
      </c>
      <c r="D473" s="11">
        <v>2024</v>
      </c>
      <c r="E473" s="10" t="s">
        <v>81</v>
      </c>
      <c r="F473" s="10" t="s">
        <v>83</v>
      </c>
      <c r="G473" s="10" t="s">
        <v>84</v>
      </c>
      <c r="H473" s="12">
        <v>20605.416666666701</v>
      </c>
      <c r="I473" s="11">
        <v>1109</v>
      </c>
      <c r="J473" s="11">
        <v>1109</v>
      </c>
      <c r="K473" s="11">
        <v>4800</v>
      </c>
      <c r="L473" s="11">
        <v>5.3820799547044697E-2</v>
      </c>
      <c r="M473" s="11">
        <f t="shared" si="1"/>
        <v>5.3820799547044578</v>
      </c>
      <c r="N473" s="11">
        <v>1</v>
      </c>
      <c r="O473" s="11">
        <v>0.23294845610984199</v>
      </c>
      <c r="P473" s="11">
        <v>0.51773648648648696</v>
      </c>
      <c r="Q473" s="11">
        <v>0.14285714285714299</v>
      </c>
      <c r="R473" s="11">
        <v>0.57558139534883701</v>
      </c>
      <c r="S473" s="10" t="s">
        <v>84</v>
      </c>
      <c r="T473" s="10" t="s">
        <v>84</v>
      </c>
      <c r="U473" s="10"/>
      <c r="V473" s="10"/>
      <c r="W473" s="10"/>
      <c r="X473" s="10"/>
      <c r="Y473" s="10"/>
      <c r="Z473" s="10"/>
      <c r="AA473" s="10"/>
    </row>
    <row r="474" spans="1:27" ht="12.5" x14ac:dyDescent="0.25">
      <c r="A474" s="10" t="s">
        <v>82</v>
      </c>
      <c r="B474" s="10" t="s">
        <v>939</v>
      </c>
      <c r="C474" s="10" t="s">
        <v>76</v>
      </c>
      <c r="D474" s="11">
        <v>2024</v>
      </c>
      <c r="E474" s="10" t="s">
        <v>124</v>
      </c>
      <c r="F474" s="10" t="s">
        <v>83</v>
      </c>
      <c r="G474" s="10" t="s">
        <v>84</v>
      </c>
      <c r="H474" s="12">
        <v>3944.9166666666702</v>
      </c>
      <c r="I474" s="11">
        <v>210</v>
      </c>
      <c r="J474" s="11">
        <v>199</v>
      </c>
      <c r="K474" s="11">
        <v>4322</v>
      </c>
      <c r="L474" s="11">
        <v>5.32330636473098E-2</v>
      </c>
      <c r="M474" s="11">
        <f t="shared" si="1"/>
        <v>5.3233063647309775</v>
      </c>
      <c r="N474" s="11">
        <v>0.94761904761904803</v>
      </c>
      <c r="O474" s="11">
        <v>1.0955871480174899</v>
      </c>
      <c r="P474" s="11">
        <v>0.516891891891892</v>
      </c>
      <c r="Q474" s="11">
        <v>0.81034482758620696</v>
      </c>
      <c r="R474" s="11">
        <v>0.38031319910514499</v>
      </c>
      <c r="S474" s="10" t="s">
        <v>84</v>
      </c>
      <c r="T474" s="10" t="s">
        <v>84</v>
      </c>
      <c r="U474" s="10"/>
      <c r="V474" s="10"/>
      <c r="W474" s="10"/>
      <c r="X474" s="10"/>
      <c r="Y474" s="10"/>
      <c r="Z474" s="10"/>
      <c r="AA474" s="10"/>
    </row>
    <row r="475" spans="1:27" ht="12.5" x14ac:dyDescent="0.25">
      <c r="A475" s="10" t="s">
        <v>58</v>
      </c>
      <c r="B475" s="10" t="s">
        <v>757</v>
      </c>
      <c r="C475" s="10" t="s">
        <v>76</v>
      </c>
      <c r="D475" s="11">
        <v>2024</v>
      </c>
      <c r="E475" s="10" t="s">
        <v>81</v>
      </c>
      <c r="F475" s="10" t="s">
        <v>83</v>
      </c>
      <c r="G475" s="10" t="s">
        <v>84</v>
      </c>
      <c r="H475" s="12">
        <v>12607</v>
      </c>
      <c r="I475" s="11">
        <v>670</v>
      </c>
      <c r="J475" s="11">
        <v>526</v>
      </c>
      <c r="K475" s="11">
        <v>26578</v>
      </c>
      <c r="L475" s="11">
        <v>5.3145078131197003E-2</v>
      </c>
      <c r="M475" s="11">
        <f t="shared" si="1"/>
        <v>5.314507813119695</v>
      </c>
      <c r="N475" s="11">
        <v>0.78507462686567198</v>
      </c>
      <c r="O475" s="11">
        <v>2.1081938605536599</v>
      </c>
      <c r="P475" s="11">
        <v>0.51604729729729704</v>
      </c>
      <c r="Q475" s="11">
        <v>0.27027027027027001</v>
      </c>
      <c r="R475" s="11">
        <v>0.57364341085271298</v>
      </c>
      <c r="S475" s="10" t="s">
        <v>84</v>
      </c>
      <c r="T475" s="10" t="s">
        <v>84</v>
      </c>
      <c r="U475" s="10"/>
      <c r="V475" s="10"/>
      <c r="W475" s="10"/>
      <c r="X475" s="10"/>
      <c r="Y475" s="10"/>
      <c r="Z475" s="10"/>
      <c r="AA475" s="10"/>
    </row>
    <row r="476" spans="1:27" ht="12.5" x14ac:dyDescent="0.25">
      <c r="A476" s="10" t="s">
        <v>52</v>
      </c>
      <c r="B476" s="10" t="s">
        <v>758</v>
      </c>
      <c r="C476" s="10" t="s">
        <v>76</v>
      </c>
      <c r="D476" s="11">
        <v>2024</v>
      </c>
      <c r="E476" s="10" t="s">
        <v>81</v>
      </c>
      <c r="F476" s="10" t="s">
        <v>83</v>
      </c>
      <c r="G476" s="10" t="s">
        <v>84</v>
      </c>
      <c r="H476" s="12">
        <v>24826.416666666701</v>
      </c>
      <c r="I476" s="11">
        <v>1318</v>
      </c>
      <c r="J476" s="11">
        <v>1253</v>
      </c>
      <c r="K476" s="11">
        <v>34511</v>
      </c>
      <c r="L476" s="11">
        <v>5.3088611928825802E-2</v>
      </c>
      <c r="M476" s="11">
        <f t="shared" si="1"/>
        <v>5.3088611928825742</v>
      </c>
      <c r="N476" s="11">
        <v>0.95068285280728404</v>
      </c>
      <c r="O476" s="11">
        <v>1.3900918712258801</v>
      </c>
      <c r="P476" s="11">
        <v>0.51520270270270296</v>
      </c>
      <c r="Q476" s="11">
        <v>0.42553191489361702</v>
      </c>
      <c r="R476" s="11">
        <v>0.57170542635658905</v>
      </c>
      <c r="S476" s="10" t="s">
        <v>84</v>
      </c>
      <c r="T476" s="10" t="s">
        <v>84</v>
      </c>
      <c r="U476" s="10"/>
      <c r="V476" s="10"/>
      <c r="W476" s="10"/>
      <c r="X476" s="10"/>
      <c r="Y476" s="10"/>
      <c r="Z476" s="10"/>
      <c r="AA476" s="10"/>
    </row>
    <row r="477" spans="1:27" ht="12.5" hidden="1" x14ac:dyDescent="0.25">
      <c r="A477" s="10" t="s">
        <v>67</v>
      </c>
      <c r="B477" s="10" t="s">
        <v>1380</v>
      </c>
      <c r="C477" s="10" t="s">
        <v>76</v>
      </c>
      <c r="D477" s="11">
        <v>2024</v>
      </c>
      <c r="E477" s="10" t="s">
        <v>257</v>
      </c>
      <c r="F477" s="10" t="s">
        <v>83</v>
      </c>
      <c r="G477" s="10" t="s">
        <v>84</v>
      </c>
      <c r="H477" s="12">
        <v>5295.3333333333303</v>
      </c>
      <c r="I477" s="11">
        <v>281</v>
      </c>
      <c r="J477" s="11">
        <v>6</v>
      </c>
      <c r="K477" s="11">
        <v>5637</v>
      </c>
      <c r="L477" s="11">
        <v>5.3065592345461397E-2</v>
      </c>
      <c r="M477" s="11">
        <f t="shared" si="1"/>
        <v>5.3065592345461443</v>
      </c>
      <c r="N477" s="11">
        <v>2.1352313167259801E-2</v>
      </c>
      <c r="O477" s="11">
        <v>1.06452222082337</v>
      </c>
      <c r="P477" s="11">
        <v>0.514358108108108</v>
      </c>
      <c r="Q477" s="11">
        <v>0.66666666666666696</v>
      </c>
      <c r="R477" s="11">
        <v>0.63636363636363602</v>
      </c>
      <c r="S477" s="10" t="s">
        <v>84</v>
      </c>
      <c r="T477" s="10" t="s">
        <v>84</v>
      </c>
      <c r="U477" s="10"/>
      <c r="V477" s="10"/>
      <c r="W477" s="10"/>
      <c r="X477" s="10"/>
      <c r="Y477" s="10"/>
      <c r="Z477" s="10"/>
      <c r="AA477" s="10"/>
    </row>
    <row r="478" spans="1:27" ht="12.5" x14ac:dyDescent="0.25">
      <c r="A478" s="10" t="s">
        <v>104</v>
      </c>
      <c r="B478" s="10" t="s">
        <v>761</v>
      </c>
      <c r="C478" s="10" t="s">
        <v>76</v>
      </c>
      <c r="D478" s="11">
        <v>2024</v>
      </c>
      <c r="E478" s="10" t="s">
        <v>81</v>
      </c>
      <c r="F478" s="10" t="s">
        <v>83</v>
      </c>
      <c r="G478" s="10" t="s">
        <v>84</v>
      </c>
      <c r="H478" s="12">
        <v>5145.4166666666697</v>
      </c>
      <c r="I478" s="11">
        <v>273</v>
      </c>
      <c r="J478" s="11">
        <v>231</v>
      </c>
      <c r="K478" s="11">
        <v>6771</v>
      </c>
      <c r="L478" s="11">
        <v>5.3056927686452302E-2</v>
      </c>
      <c r="M478" s="11">
        <f t="shared" si="1"/>
        <v>5.3056927686452315</v>
      </c>
      <c r="N478" s="11">
        <v>0.84615384615384603</v>
      </c>
      <c r="O478" s="11">
        <v>1.3159284152563</v>
      </c>
      <c r="P478" s="11">
        <v>0.51351351351351304</v>
      </c>
      <c r="Q478" s="11">
        <v>0.55172413793103403</v>
      </c>
      <c r="R478" s="11">
        <v>0.56976744186046502</v>
      </c>
      <c r="S478" s="10" t="s">
        <v>84</v>
      </c>
      <c r="T478" s="10" t="s">
        <v>84</v>
      </c>
      <c r="U478" s="10"/>
      <c r="V478" s="10"/>
      <c r="W478" s="10"/>
      <c r="X478" s="10"/>
      <c r="Y478" s="10"/>
      <c r="Z478" s="10"/>
      <c r="AA478" s="10"/>
    </row>
    <row r="479" spans="1:27" ht="12.5" x14ac:dyDescent="0.25">
      <c r="A479" s="10" t="s">
        <v>34</v>
      </c>
      <c r="B479" s="10" t="s">
        <v>942</v>
      </c>
      <c r="C479" s="10" t="s">
        <v>76</v>
      </c>
      <c r="D479" s="11">
        <v>2024</v>
      </c>
      <c r="E479" s="10" t="s">
        <v>124</v>
      </c>
      <c r="F479" s="10" t="s">
        <v>125</v>
      </c>
      <c r="G479" s="10" t="s">
        <v>84</v>
      </c>
      <c r="H479" s="12">
        <v>6522</v>
      </c>
      <c r="I479" s="11">
        <v>346</v>
      </c>
      <c r="J479" s="11">
        <v>337</v>
      </c>
      <c r="K479" s="11">
        <v>7152</v>
      </c>
      <c r="L479" s="11">
        <v>5.3051211284881897E-2</v>
      </c>
      <c r="M479" s="11">
        <f t="shared" si="1"/>
        <v>5.3051211284881941</v>
      </c>
      <c r="N479" s="11">
        <v>0.97398843930635803</v>
      </c>
      <c r="O479" s="11">
        <v>1.09659613615455</v>
      </c>
      <c r="P479" s="11">
        <v>0.51266891891891897</v>
      </c>
      <c r="Q479" s="11">
        <v>0.77551020408163296</v>
      </c>
      <c r="R479" s="11">
        <v>0.37807606263982102</v>
      </c>
      <c r="S479" s="10" t="s">
        <v>84</v>
      </c>
      <c r="T479" s="10" t="s">
        <v>84</v>
      </c>
      <c r="U479" s="10"/>
      <c r="V479" s="10"/>
      <c r="W479" s="10"/>
      <c r="X479" s="10"/>
      <c r="Y479" s="10"/>
      <c r="Z479" s="10"/>
      <c r="AA479" s="10"/>
    </row>
    <row r="480" spans="1:27" ht="12.5" x14ac:dyDescent="0.25">
      <c r="A480" s="10" t="s">
        <v>55</v>
      </c>
      <c r="B480" s="10" t="s">
        <v>763</v>
      </c>
      <c r="C480" s="10" t="s">
        <v>76</v>
      </c>
      <c r="D480" s="11">
        <v>2024</v>
      </c>
      <c r="E480" s="10" t="s">
        <v>81</v>
      </c>
      <c r="F480" s="10" t="s">
        <v>83</v>
      </c>
      <c r="G480" s="10" t="s">
        <v>84</v>
      </c>
      <c r="H480" s="12">
        <v>15345.333333333299</v>
      </c>
      <c r="I480" s="11">
        <v>813</v>
      </c>
      <c r="J480" s="11">
        <v>768</v>
      </c>
      <c r="K480" s="11">
        <v>5323</v>
      </c>
      <c r="L480" s="11">
        <v>5.29802763055E-2</v>
      </c>
      <c r="M480" s="11">
        <f t="shared" si="1"/>
        <v>5.298027630550016</v>
      </c>
      <c r="N480" s="11">
        <v>0.94464944649446503</v>
      </c>
      <c r="O480" s="11">
        <v>0.34688070205925797</v>
      </c>
      <c r="P480" s="11">
        <v>0.51182432432432401</v>
      </c>
      <c r="Q480" s="11">
        <v>0.31818181818181801</v>
      </c>
      <c r="R480" s="11">
        <v>0.56782945736434098</v>
      </c>
      <c r="S480" s="10" t="s">
        <v>84</v>
      </c>
      <c r="T480" s="10" t="s">
        <v>84</v>
      </c>
      <c r="U480" s="10"/>
      <c r="V480" s="10"/>
      <c r="W480" s="10"/>
      <c r="X480" s="10"/>
      <c r="Y480" s="10"/>
      <c r="Z480" s="10"/>
      <c r="AA480" s="10"/>
    </row>
    <row r="481" spans="1:27" ht="12.5" x14ac:dyDescent="0.25">
      <c r="A481" s="10" t="s">
        <v>16</v>
      </c>
      <c r="B481" s="10" t="s">
        <v>944</v>
      </c>
      <c r="C481" s="10" t="s">
        <v>76</v>
      </c>
      <c r="D481" s="11">
        <v>2024</v>
      </c>
      <c r="E481" s="10" t="s">
        <v>124</v>
      </c>
      <c r="F481" s="10" t="s">
        <v>83</v>
      </c>
      <c r="G481" s="10" t="s">
        <v>84</v>
      </c>
      <c r="H481" s="12">
        <v>24600</v>
      </c>
      <c r="I481" s="11">
        <v>1297</v>
      </c>
      <c r="J481" s="11">
        <v>600</v>
      </c>
      <c r="K481" s="11">
        <v>108520</v>
      </c>
      <c r="L481" s="11">
        <v>5.2723577235772402E-2</v>
      </c>
      <c r="M481" s="11">
        <f t="shared" si="1"/>
        <v>5.2723577235772359</v>
      </c>
      <c r="N481" s="11">
        <v>0.46260601387818001</v>
      </c>
      <c r="O481" s="11">
        <v>4.4113821138211398</v>
      </c>
      <c r="P481" s="11">
        <v>0.51097972972973005</v>
      </c>
      <c r="Q481" s="11">
        <v>0.2</v>
      </c>
      <c r="R481" s="11">
        <v>0.37583892617449699</v>
      </c>
      <c r="S481" s="10" t="s">
        <v>84</v>
      </c>
      <c r="T481" s="10" t="s">
        <v>84</v>
      </c>
      <c r="U481" s="10"/>
      <c r="V481" s="10"/>
      <c r="W481" s="10"/>
      <c r="X481" s="10"/>
      <c r="Y481" s="10"/>
      <c r="Z481" s="10"/>
      <c r="AA481" s="10"/>
    </row>
    <row r="482" spans="1:27" ht="12.5" x14ac:dyDescent="0.25">
      <c r="A482" s="10" t="s">
        <v>52</v>
      </c>
      <c r="B482" s="10" t="s">
        <v>764</v>
      </c>
      <c r="C482" s="10" t="s">
        <v>76</v>
      </c>
      <c r="D482" s="11">
        <v>2024</v>
      </c>
      <c r="E482" s="10" t="s">
        <v>81</v>
      </c>
      <c r="F482" s="10" t="s">
        <v>83</v>
      </c>
      <c r="G482" s="10" t="s">
        <v>84</v>
      </c>
      <c r="H482" s="12">
        <v>18770.333333333299</v>
      </c>
      <c r="I482" s="11">
        <v>981</v>
      </c>
      <c r="J482" s="11">
        <v>791</v>
      </c>
      <c r="K482" s="11">
        <v>14787</v>
      </c>
      <c r="L482" s="11">
        <v>5.2263323329367298E-2</v>
      </c>
      <c r="M482" s="11">
        <f t="shared" si="1"/>
        <v>5.2263323329367362</v>
      </c>
      <c r="N482" s="11">
        <v>0.80632008154943902</v>
      </c>
      <c r="O482" s="11">
        <v>0.78778569018486599</v>
      </c>
      <c r="P482" s="11">
        <v>0.50929054054054101</v>
      </c>
      <c r="Q482" s="11">
        <v>0.40425531914893598</v>
      </c>
      <c r="R482" s="11">
        <v>0.56589147286821695</v>
      </c>
      <c r="S482" s="10" t="s">
        <v>84</v>
      </c>
      <c r="T482" s="10" t="s">
        <v>84</v>
      </c>
      <c r="U482" s="10"/>
      <c r="V482" s="10"/>
      <c r="W482" s="10"/>
      <c r="X482" s="10"/>
      <c r="Y482" s="10"/>
      <c r="Z482" s="10"/>
      <c r="AA482" s="10"/>
    </row>
    <row r="483" spans="1:27" ht="12.5" x14ac:dyDescent="0.25">
      <c r="A483" s="10" t="s">
        <v>91</v>
      </c>
      <c r="B483" s="10" t="s">
        <v>766</v>
      </c>
      <c r="C483" s="10" t="s">
        <v>76</v>
      </c>
      <c r="D483" s="11">
        <v>2024</v>
      </c>
      <c r="E483" s="10" t="s">
        <v>81</v>
      </c>
      <c r="F483" s="10" t="s">
        <v>83</v>
      </c>
      <c r="G483" s="10" t="s">
        <v>84</v>
      </c>
      <c r="H483" s="12">
        <v>13576.25</v>
      </c>
      <c r="I483" s="11">
        <v>707</v>
      </c>
      <c r="J483" s="11">
        <v>698</v>
      </c>
      <c r="K483" s="11">
        <v>6632</v>
      </c>
      <c r="L483" s="11">
        <v>5.2076236074026297E-2</v>
      </c>
      <c r="M483" s="11">
        <f t="shared" si="1"/>
        <v>5.207623607402633</v>
      </c>
      <c r="N483" s="11">
        <v>0.98727015558698705</v>
      </c>
      <c r="O483" s="11">
        <v>0.48850013810882997</v>
      </c>
      <c r="P483" s="11">
        <v>0.50760135135135098</v>
      </c>
      <c r="Q483" s="11">
        <v>0.66666666666666696</v>
      </c>
      <c r="R483" s="11">
        <v>0.56395348837209303</v>
      </c>
      <c r="S483" s="10" t="s">
        <v>84</v>
      </c>
      <c r="T483" s="10" t="s">
        <v>84</v>
      </c>
      <c r="U483" s="10"/>
      <c r="V483" s="10"/>
      <c r="W483" s="10"/>
      <c r="X483" s="10"/>
      <c r="Y483" s="10"/>
      <c r="Z483" s="10"/>
      <c r="AA483" s="10"/>
    </row>
    <row r="484" spans="1:27" ht="12.5" x14ac:dyDescent="0.25">
      <c r="A484" s="10" t="s">
        <v>82</v>
      </c>
      <c r="B484" s="10" t="s">
        <v>947</v>
      </c>
      <c r="C484" s="10" t="s">
        <v>76</v>
      </c>
      <c r="D484" s="11">
        <v>2024</v>
      </c>
      <c r="E484" s="10" t="s">
        <v>124</v>
      </c>
      <c r="F484" s="10" t="s">
        <v>83</v>
      </c>
      <c r="G484" s="10" t="s">
        <v>84</v>
      </c>
      <c r="H484" s="12">
        <v>2900.3333333333298</v>
      </c>
      <c r="I484" s="11">
        <v>151</v>
      </c>
      <c r="J484" s="11">
        <v>147</v>
      </c>
      <c r="K484" s="11">
        <v>5785</v>
      </c>
      <c r="L484" s="11">
        <v>5.2062981266521098E-2</v>
      </c>
      <c r="M484" s="11">
        <f t="shared" si="1"/>
        <v>5.2062981266521158</v>
      </c>
      <c r="N484" s="11">
        <v>0.97350993377483397</v>
      </c>
      <c r="O484" s="11">
        <v>1.9945983220319501</v>
      </c>
      <c r="P484" s="11">
        <v>0.50675675675675702</v>
      </c>
      <c r="Q484" s="11">
        <v>0.79310344827586199</v>
      </c>
      <c r="R484" s="11">
        <v>0.37360178970917202</v>
      </c>
      <c r="S484" s="10" t="s">
        <v>84</v>
      </c>
      <c r="T484" s="10" t="s">
        <v>84</v>
      </c>
      <c r="U484" s="10"/>
      <c r="V484" s="10"/>
      <c r="W484" s="10"/>
      <c r="X484" s="10"/>
      <c r="Y484" s="10"/>
      <c r="Z484" s="10"/>
      <c r="AA484" s="10"/>
    </row>
    <row r="485" spans="1:27" ht="12.5" x14ac:dyDescent="0.25">
      <c r="A485" s="10" t="s">
        <v>12</v>
      </c>
      <c r="B485" s="10" t="s">
        <v>769</v>
      </c>
      <c r="C485" s="10" t="s">
        <v>76</v>
      </c>
      <c r="D485" s="11">
        <v>2024</v>
      </c>
      <c r="E485" s="10" t="s">
        <v>81</v>
      </c>
      <c r="F485" s="10" t="s">
        <v>83</v>
      </c>
      <c r="G485" s="10" t="s">
        <v>84</v>
      </c>
      <c r="H485" s="12">
        <v>4860.9166666666697</v>
      </c>
      <c r="I485" s="11">
        <v>252</v>
      </c>
      <c r="J485" s="11">
        <v>166</v>
      </c>
      <c r="K485" s="11">
        <v>13435</v>
      </c>
      <c r="L485" s="11">
        <v>5.1842073682947298E-2</v>
      </c>
      <c r="M485" s="11">
        <f t="shared" si="1"/>
        <v>5.1842073682947287</v>
      </c>
      <c r="N485" s="11">
        <v>0.65873015873015905</v>
      </c>
      <c r="O485" s="11">
        <v>2.76388198385078</v>
      </c>
      <c r="P485" s="11">
        <v>0.50591216216216195</v>
      </c>
      <c r="Q485" s="11">
        <v>0.30555555555555602</v>
      </c>
      <c r="R485" s="11">
        <v>0.56201550387596899</v>
      </c>
      <c r="S485" s="10" t="s">
        <v>84</v>
      </c>
      <c r="T485" s="10" t="s">
        <v>84</v>
      </c>
      <c r="U485" s="10"/>
      <c r="V485" s="10"/>
      <c r="W485" s="10"/>
      <c r="X485" s="10"/>
      <c r="Y485" s="10"/>
      <c r="Z485" s="10"/>
      <c r="AA485" s="10"/>
    </row>
    <row r="486" spans="1:27" ht="12.5" x14ac:dyDescent="0.25">
      <c r="A486" s="10" t="s">
        <v>58</v>
      </c>
      <c r="B486" s="10" t="s">
        <v>771</v>
      </c>
      <c r="C486" s="10" t="s">
        <v>76</v>
      </c>
      <c r="D486" s="11">
        <v>2024</v>
      </c>
      <c r="E486" s="10" t="s">
        <v>81</v>
      </c>
      <c r="F486" s="10" t="s">
        <v>83</v>
      </c>
      <c r="G486" s="10" t="s">
        <v>84</v>
      </c>
      <c r="H486" s="12">
        <v>60641.416666666701</v>
      </c>
      <c r="I486" s="11">
        <v>3141</v>
      </c>
      <c r="J486" s="11">
        <v>2844</v>
      </c>
      <c r="K486" s="11">
        <v>83612</v>
      </c>
      <c r="L486" s="11">
        <v>5.1796283343204699E-2</v>
      </c>
      <c r="M486" s="11">
        <f t="shared" si="1"/>
        <v>5.179628334320463</v>
      </c>
      <c r="N486" s="11">
        <v>0.90544412607449898</v>
      </c>
      <c r="O486" s="11">
        <v>1.3787936462566199</v>
      </c>
      <c r="P486" s="11">
        <v>0.50506756756756799</v>
      </c>
      <c r="Q486" s="11">
        <v>0.24324324324324301</v>
      </c>
      <c r="R486" s="11">
        <v>0.56007751937984496</v>
      </c>
      <c r="S486" s="10" t="s">
        <v>84</v>
      </c>
      <c r="T486" s="10" t="s">
        <v>84</v>
      </c>
      <c r="U486" s="10"/>
      <c r="V486" s="10"/>
      <c r="W486" s="10"/>
      <c r="X486" s="10"/>
      <c r="Y486" s="10"/>
      <c r="Z486" s="10"/>
      <c r="AA486" s="10"/>
    </row>
    <row r="487" spans="1:27" ht="12.5" x14ac:dyDescent="0.25">
      <c r="A487" s="10" t="s">
        <v>52</v>
      </c>
      <c r="B487" s="10" t="s">
        <v>774</v>
      </c>
      <c r="C487" s="10" t="s">
        <v>76</v>
      </c>
      <c r="D487" s="11">
        <v>2024</v>
      </c>
      <c r="E487" s="10" t="s">
        <v>81</v>
      </c>
      <c r="F487" s="10" t="s">
        <v>83</v>
      </c>
      <c r="G487" s="10" t="s">
        <v>84</v>
      </c>
      <c r="H487" s="12">
        <v>22446.166666666701</v>
      </c>
      <c r="I487" s="11">
        <v>1161</v>
      </c>
      <c r="J487" s="11">
        <v>1070</v>
      </c>
      <c r="K487" s="11">
        <v>7455</v>
      </c>
      <c r="L487" s="11">
        <v>5.17237538703713E-2</v>
      </c>
      <c r="M487" s="11">
        <f t="shared" si="1"/>
        <v>5.1723753870371247</v>
      </c>
      <c r="N487" s="11">
        <v>0.92161929371231699</v>
      </c>
      <c r="O487" s="11">
        <v>0.33212798027874102</v>
      </c>
      <c r="P487" s="11">
        <v>0.50422297297297303</v>
      </c>
      <c r="Q487" s="11">
        <v>0.38297872340425498</v>
      </c>
      <c r="R487" s="11">
        <v>0.55813953488372103</v>
      </c>
      <c r="S487" s="10" t="s">
        <v>84</v>
      </c>
      <c r="T487" s="10" t="s">
        <v>84</v>
      </c>
      <c r="U487" s="10"/>
      <c r="V487" s="10"/>
      <c r="W487" s="10"/>
      <c r="X487" s="10"/>
      <c r="Y487" s="10"/>
      <c r="Z487" s="10"/>
      <c r="AA487" s="10"/>
    </row>
    <row r="488" spans="1:27" ht="12.5" x14ac:dyDescent="0.25">
      <c r="A488" s="10" t="s">
        <v>16</v>
      </c>
      <c r="B488" s="10" t="s">
        <v>776</v>
      </c>
      <c r="C488" s="10" t="s">
        <v>76</v>
      </c>
      <c r="D488" s="11">
        <v>2024</v>
      </c>
      <c r="E488" s="10" t="s">
        <v>81</v>
      </c>
      <c r="F488" s="10" t="s">
        <v>83</v>
      </c>
      <c r="G488" s="10" t="s">
        <v>84</v>
      </c>
      <c r="H488" s="12">
        <v>25814.333333333299</v>
      </c>
      <c r="I488" s="11">
        <v>1328</v>
      </c>
      <c r="J488" s="11">
        <v>1197</v>
      </c>
      <c r="K488" s="11">
        <v>23830</v>
      </c>
      <c r="L488" s="11">
        <v>5.14442880570226E-2</v>
      </c>
      <c r="M488" s="11">
        <f t="shared" si="1"/>
        <v>5.1444288057022654</v>
      </c>
      <c r="N488" s="11">
        <v>0.90135542168674698</v>
      </c>
      <c r="O488" s="11">
        <v>0.92313056054130105</v>
      </c>
      <c r="P488" s="11">
        <v>0.50337837837837796</v>
      </c>
      <c r="Q488" s="11">
        <v>0.16666666666666699</v>
      </c>
      <c r="R488" s="11">
        <v>0.556201550387597</v>
      </c>
      <c r="S488" s="10" t="s">
        <v>84</v>
      </c>
      <c r="T488" s="10" t="s">
        <v>84</v>
      </c>
      <c r="U488" s="10"/>
      <c r="V488" s="10"/>
      <c r="W488" s="10"/>
      <c r="X488" s="10"/>
      <c r="Y488" s="10"/>
      <c r="Z488" s="10"/>
      <c r="AA488" s="10"/>
    </row>
    <row r="489" spans="1:27" ht="12.5" x14ac:dyDescent="0.25">
      <c r="A489" s="10" t="s">
        <v>32</v>
      </c>
      <c r="B489" s="10" t="s">
        <v>777</v>
      </c>
      <c r="C489" s="10" t="s">
        <v>76</v>
      </c>
      <c r="D489" s="11">
        <v>2024</v>
      </c>
      <c r="E489" s="10" t="s">
        <v>81</v>
      </c>
      <c r="F489" s="10" t="s">
        <v>83</v>
      </c>
      <c r="G489" s="10" t="s">
        <v>84</v>
      </c>
      <c r="H489" s="12">
        <v>34239.5</v>
      </c>
      <c r="I489" s="11">
        <v>1751</v>
      </c>
      <c r="J489" s="11">
        <v>1709</v>
      </c>
      <c r="K489" s="11">
        <v>256228</v>
      </c>
      <c r="L489" s="11">
        <v>5.11397654755473E-2</v>
      </c>
      <c r="M489" s="11">
        <f t="shared" si="1"/>
        <v>5.1139765475547252</v>
      </c>
      <c r="N489" s="11">
        <v>0.97601370645345498</v>
      </c>
      <c r="O489" s="11">
        <v>7.4834036711984702</v>
      </c>
      <c r="P489" s="11">
        <v>0.50253378378378399</v>
      </c>
      <c r="Q489" s="11">
        <v>0.27586206896551702</v>
      </c>
      <c r="R489" s="11">
        <v>0.55426356589147296</v>
      </c>
      <c r="S489" s="10" t="s">
        <v>84</v>
      </c>
      <c r="T489" s="10" t="s">
        <v>84</v>
      </c>
      <c r="U489" s="10"/>
      <c r="V489" s="10"/>
      <c r="W489" s="10"/>
      <c r="X489" s="10"/>
      <c r="Y489" s="10"/>
      <c r="Z489" s="10"/>
      <c r="AA489" s="10"/>
    </row>
    <row r="490" spans="1:27" ht="12.5" x14ac:dyDescent="0.25">
      <c r="A490" s="10" t="s">
        <v>100</v>
      </c>
      <c r="B490" s="10" t="s">
        <v>949</v>
      </c>
      <c r="C490" s="10" t="s">
        <v>76</v>
      </c>
      <c r="D490" s="11">
        <v>2024</v>
      </c>
      <c r="E490" s="10" t="s">
        <v>124</v>
      </c>
      <c r="F490" s="10" t="s">
        <v>83</v>
      </c>
      <c r="G490" s="10" t="s">
        <v>84</v>
      </c>
      <c r="H490" s="12">
        <v>22728.083333333299</v>
      </c>
      <c r="I490" s="11">
        <v>1150</v>
      </c>
      <c r="J490" s="11">
        <v>1154</v>
      </c>
      <c r="K490" s="11">
        <v>8890</v>
      </c>
      <c r="L490" s="11">
        <v>5.0598195331033199E-2</v>
      </c>
      <c r="M490" s="11">
        <f t="shared" si="1"/>
        <v>5.0598195331033269</v>
      </c>
      <c r="N490" s="11">
        <v>1.00347826086957</v>
      </c>
      <c r="O490" s="11">
        <v>0.391146049124248</v>
      </c>
      <c r="P490" s="11">
        <v>0.50084459459459496</v>
      </c>
      <c r="Q490" s="11">
        <v>1</v>
      </c>
      <c r="R490" s="11">
        <v>0.37136465324384799</v>
      </c>
      <c r="S490" s="10" t="s">
        <v>84</v>
      </c>
      <c r="T490" s="10" t="s">
        <v>84</v>
      </c>
      <c r="U490" s="10"/>
      <c r="V490" s="10"/>
      <c r="W490" s="10"/>
      <c r="X490" s="10"/>
      <c r="Y490" s="10"/>
      <c r="Z490" s="10"/>
      <c r="AA490" s="10"/>
    </row>
    <row r="491" spans="1:27" ht="12.5" x14ac:dyDescent="0.25">
      <c r="A491" s="10" t="s">
        <v>82</v>
      </c>
      <c r="B491" s="10" t="s">
        <v>951</v>
      </c>
      <c r="C491" s="10" t="s">
        <v>76</v>
      </c>
      <c r="D491" s="11">
        <v>2024</v>
      </c>
      <c r="E491" s="10" t="s">
        <v>124</v>
      </c>
      <c r="F491" s="10" t="s">
        <v>83</v>
      </c>
      <c r="G491" s="10" t="s">
        <v>84</v>
      </c>
      <c r="H491" s="12">
        <v>1673.9166666666699</v>
      </c>
      <c r="I491" s="11">
        <v>84</v>
      </c>
      <c r="J491" s="11">
        <v>83</v>
      </c>
      <c r="K491" s="11">
        <v>255</v>
      </c>
      <c r="L491" s="11">
        <v>5.01817095633992E-2</v>
      </c>
      <c r="M491" s="11">
        <f t="shared" si="1"/>
        <v>5.0181709563399117</v>
      </c>
      <c r="N491" s="11">
        <v>0.98809523809523803</v>
      </c>
      <c r="O491" s="11">
        <v>0.152337332603176</v>
      </c>
      <c r="P491" s="11">
        <v>0.49915540540540498</v>
      </c>
      <c r="Q491" s="11">
        <v>0.77586206896551702</v>
      </c>
      <c r="R491" s="11">
        <v>0.36912751677852401</v>
      </c>
      <c r="S491" s="10" t="s">
        <v>84</v>
      </c>
      <c r="T491" s="10" t="s">
        <v>84</v>
      </c>
      <c r="U491" s="10"/>
      <c r="V491" s="10"/>
      <c r="W491" s="10"/>
      <c r="X491" s="10"/>
      <c r="Y491" s="10"/>
      <c r="Z491" s="10"/>
      <c r="AA491" s="10"/>
    </row>
    <row r="492" spans="1:27" ht="12.5" x14ac:dyDescent="0.25">
      <c r="A492" s="10" t="s">
        <v>82</v>
      </c>
      <c r="B492" s="10" t="s">
        <v>953</v>
      </c>
      <c r="C492" s="10" t="s">
        <v>76</v>
      </c>
      <c r="D492" s="11">
        <v>2024</v>
      </c>
      <c r="E492" s="10" t="s">
        <v>124</v>
      </c>
      <c r="F492" s="10" t="s">
        <v>83</v>
      </c>
      <c r="G492" s="10" t="s">
        <v>84</v>
      </c>
      <c r="H492" s="12">
        <v>15713</v>
      </c>
      <c r="I492" s="11">
        <v>788</v>
      </c>
      <c r="J492" s="11">
        <v>779</v>
      </c>
      <c r="K492" s="11">
        <v>19945</v>
      </c>
      <c r="L492" s="11">
        <v>5.0149557691083799E-2</v>
      </c>
      <c r="M492" s="11">
        <f t="shared" si="1"/>
        <v>5.014955769108381</v>
      </c>
      <c r="N492" s="11">
        <v>0.98857868020304596</v>
      </c>
      <c r="O492" s="11">
        <v>1.2693311270922201</v>
      </c>
      <c r="P492" s="11">
        <v>0.49831081081081102</v>
      </c>
      <c r="Q492" s="11">
        <v>0.75862068965517204</v>
      </c>
      <c r="R492" s="11">
        <v>0.36689038031319898</v>
      </c>
      <c r="S492" s="10" t="s">
        <v>84</v>
      </c>
      <c r="T492" s="10" t="s">
        <v>84</v>
      </c>
      <c r="U492" s="10"/>
      <c r="V492" s="10"/>
      <c r="W492" s="10"/>
      <c r="X492" s="10"/>
      <c r="Y492" s="10"/>
      <c r="Z492" s="10"/>
      <c r="AA492" s="10"/>
    </row>
    <row r="493" spans="1:27" ht="12.5" x14ac:dyDescent="0.25">
      <c r="A493" s="10" t="s">
        <v>67</v>
      </c>
      <c r="B493" s="10" t="s">
        <v>956</v>
      </c>
      <c r="C493" s="10" t="s">
        <v>76</v>
      </c>
      <c r="D493" s="11">
        <v>2024</v>
      </c>
      <c r="E493" s="10" t="s">
        <v>124</v>
      </c>
      <c r="F493" s="10" t="s">
        <v>83</v>
      </c>
      <c r="G493" s="10" t="s">
        <v>84</v>
      </c>
      <c r="H493" s="12">
        <v>29660.166666666701</v>
      </c>
      <c r="I493" s="11">
        <v>1470</v>
      </c>
      <c r="J493" s="11">
        <v>1242</v>
      </c>
      <c r="K493" s="11">
        <v>10770</v>
      </c>
      <c r="L493" s="11">
        <v>4.9561420760728503E-2</v>
      </c>
      <c r="M493" s="11">
        <f t="shared" si="1"/>
        <v>4.9561420760728421</v>
      </c>
      <c r="N493" s="11">
        <v>0.84489795918367305</v>
      </c>
      <c r="O493" s="11">
        <v>0.36311326638982699</v>
      </c>
      <c r="P493" s="11">
        <v>0.49577702702702697</v>
      </c>
      <c r="Q493" s="11">
        <v>0.61904761904761896</v>
      </c>
      <c r="R493" s="11">
        <v>0.36465324384787501</v>
      </c>
      <c r="S493" s="10" t="s">
        <v>84</v>
      </c>
      <c r="T493" s="10" t="s">
        <v>84</v>
      </c>
      <c r="U493" s="10"/>
      <c r="V493" s="10"/>
      <c r="W493" s="10"/>
      <c r="X493" s="10"/>
      <c r="Y493" s="10"/>
      <c r="Z493" s="10"/>
      <c r="AA493" s="10"/>
    </row>
    <row r="494" spans="1:27" ht="12.5" x14ac:dyDescent="0.25">
      <c r="A494" s="10" t="s">
        <v>69</v>
      </c>
      <c r="B494" s="10" t="s">
        <v>780</v>
      </c>
      <c r="C494" s="10" t="s">
        <v>76</v>
      </c>
      <c r="D494" s="11">
        <v>2024</v>
      </c>
      <c r="E494" s="10" t="s">
        <v>81</v>
      </c>
      <c r="F494" s="10" t="s">
        <v>83</v>
      </c>
      <c r="G494" s="10" t="s">
        <v>84</v>
      </c>
      <c r="H494" s="12">
        <v>13213.333333333299</v>
      </c>
      <c r="I494" s="11">
        <v>653</v>
      </c>
      <c r="J494" s="11">
        <v>537</v>
      </c>
      <c r="K494" s="11">
        <v>6362</v>
      </c>
      <c r="L494" s="11">
        <v>4.9419778002018203E-2</v>
      </c>
      <c r="M494" s="11">
        <f t="shared" si="1"/>
        <v>4.9419778002018289</v>
      </c>
      <c r="N494" s="11">
        <v>0.82235834609494596</v>
      </c>
      <c r="O494" s="11">
        <v>0.48148335015136201</v>
      </c>
      <c r="P494" s="11">
        <v>0.49493243243243201</v>
      </c>
      <c r="Q494" s="11">
        <v>0.66666666666666696</v>
      </c>
      <c r="R494" s="11">
        <v>0.55232558139534904</v>
      </c>
      <c r="S494" s="10" t="s">
        <v>84</v>
      </c>
      <c r="T494" s="10" t="s">
        <v>84</v>
      </c>
      <c r="U494" s="10"/>
      <c r="V494" s="10"/>
      <c r="W494" s="10"/>
      <c r="X494" s="10"/>
      <c r="Y494" s="10"/>
      <c r="Z494" s="10"/>
      <c r="AA494" s="10"/>
    </row>
    <row r="495" spans="1:27" ht="12.5" x14ac:dyDescent="0.25">
      <c r="A495" s="10" t="s">
        <v>55</v>
      </c>
      <c r="B495" s="10" t="s">
        <v>782</v>
      </c>
      <c r="C495" s="10" t="s">
        <v>76</v>
      </c>
      <c r="D495" s="11">
        <v>2024</v>
      </c>
      <c r="E495" s="10" t="s">
        <v>81</v>
      </c>
      <c r="F495" s="10" t="s">
        <v>83</v>
      </c>
      <c r="G495" s="10" t="s">
        <v>84</v>
      </c>
      <c r="H495" s="12">
        <v>732</v>
      </c>
      <c r="I495" s="11">
        <v>36</v>
      </c>
      <c r="J495" s="11">
        <v>30</v>
      </c>
      <c r="K495" s="11">
        <v>1352</v>
      </c>
      <c r="L495" s="11">
        <v>4.91803278688525E-2</v>
      </c>
      <c r="M495" s="11">
        <f t="shared" si="1"/>
        <v>4.918032786885246</v>
      </c>
      <c r="N495" s="11">
        <v>0.83333333333333304</v>
      </c>
      <c r="O495" s="11">
        <v>1.84699453551913</v>
      </c>
      <c r="P495" s="11">
        <v>0.494087837837838</v>
      </c>
      <c r="Q495" s="11">
        <v>0.27272727272727298</v>
      </c>
      <c r="R495" s="11">
        <v>0.55038759689922501</v>
      </c>
      <c r="S495" s="10" t="s">
        <v>84</v>
      </c>
      <c r="T495" s="10" t="s">
        <v>84</v>
      </c>
      <c r="U495" s="10"/>
      <c r="V495" s="10"/>
      <c r="W495" s="10"/>
      <c r="X495" s="10"/>
      <c r="Y495" s="10"/>
      <c r="Z495" s="10"/>
      <c r="AA495" s="10"/>
    </row>
    <row r="496" spans="1:27" ht="12.5" x14ac:dyDescent="0.25">
      <c r="A496" s="10" t="s">
        <v>12</v>
      </c>
      <c r="B496" s="10" t="s">
        <v>784</v>
      </c>
      <c r="C496" s="10" t="s">
        <v>76</v>
      </c>
      <c r="D496" s="11">
        <v>2024</v>
      </c>
      <c r="E496" s="10" t="s">
        <v>81</v>
      </c>
      <c r="F496" s="10" t="s">
        <v>83</v>
      </c>
      <c r="G496" s="10" t="s">
        <v>84</v>
      </c>
      <c r="H496" s="12">
        <v>41521.166666666701</v>
      </c>
      <c r="I496" s="11">
        <v>2031</v>
      </c>
      <c r="J496" s="11">
        <v>1802</v>
      </c>
      <c r="K496" s="11">
        <v>37080</v>
      </c>
      <c r="L496" s="11">
        <v>4.891481051833E-2</v>
      </c>
      <c r="M496" s="11">
        <f t="shared" si="1"/>
        <v>4.8914810518329963</v>
      </c>
      <c r="N496" s="11">
        <v>0.88724766125061505</v>
      </c>
      <c r="O496" s="11">
        <v>0.89303849040850702</v>
      </c>
      <c r="P496" s="11">
        <v>0.49239864864864902</v>
      </c>
      <c r="Q496" s="11">
        <v>0.29166666666666702</v>
      </c>
      <c r="R496" s="11">
        <v>0.54844961240310097</v>
      </c>
      <c r="S496" s="10" t="s">
        <v>84</v>
      </c>
      <c r="T496" s="10" t="s">
        <v>84</v>
      </c>
      <c r="U496" s="10"/>
      <c r="V496" s="10"/>
      <c r="W496" s="10"/>
      <c r="X496" s="10"/>
      <c r="Y496" s="10"/>
      <c r="Z496" s="10"/>
      <c r="AA496" s="10"/>
    </row>
    <row r="497" spans="1:27" ht="12.5" x14ac:dyDescent="0.25">
      <c r="A497" s="10" t="s">
        <v>62</v>
      </c>
      <c r="B497" s="10" t="s">
        <v>958</v>
      </c>
      <c r="C497" s="10" t="s">
        <v>76</v>
      </c>
      <c r="D497" s="11">
        <v>2024</v>
      </c>
      <c r="E497" s="10" t="s">
        <v>124</v>
      </c>
      <c r="F497" s="10" t="s">
        <v>83</v>
      </c>
      <c r="G497" s="10" t="s">
        <v>84</v>
      </c>
      <c r="H497" s="12">
        <v>13025.916666666701</v>
      </c>
      <c r="I497" s="11">
        <v>636</v>
      </c>
      <c r="J497" s="11">
        <v>632</v>
      </c>
      <c r="K497" s="11">
        <v>11761</v>
      </c>
      <c r="L497" s="11">
        <v>4.8825738431716302E-2</v>
      </c>
      <c r="M497" s="11">
        <f t="shared" si="1"/>
        <v>4.8825738431716132</v>
      </c>
      <c r="N497" s="11">
        <v>0.99371069182389904</v>
      </c>
      <c r="O497" s="11">
        <v>0.90289231084184696</v>
      </c>
      <c r="P497" s="11">
        <v>0.49070945945945998</v>
      </c>
      <c r="Q497" s="11">
        <v>0.55555555555555602</v>
      </c>
      <c r="R497" s="11">
        <v>0.36241610738254998</v>
      </c>
      <c r="S497" s="10" t="s">
        <v>84</v>
      </c>
      <c r="T497" s="10" t="s">
        <v>84</v>
      </c>
      <c r="U497" s="10"/>
      <c r="V497" s="10"/>
      <c r="W497" s="10"/>
      <c r="X497" s="10"/>
      <c r="Y497" s="10"/>
      <c r="Z497" s="10"/>
      <c r="AA497" s="10"/>
    </row>
    <row r="498" spans="1:27" ht="12.5" x14ac:dyDescent="0.25">
      <c r="A498" s="10" t="s">
        <v>42</v>
      </c>
      <c r="B498" s="10" t="s">
        <v>785</v>
      </c>
      <c r="C498" s="10" t="s">
        <v>76</v>
      </c>
      <c r="D498" s="11">
        <v>2024</v>
      </c>
      <c r="E498" s="10" t="s">
        <v>81</v>
      </c>
      <c r="F498" s="10" t="s">
        <v>83</v>
      </c>
      <c r="G498" s="10" t="s">
        <v>84</v>
      </c>
      <c r="H498" s="12">
        <v>7718</v>
      </c>
      <c r="I498" s="11">
        <v>376</v>
      </c>
      <c r="J498" s="11">
        <v>376</v>
      </c>
      <c r="K498" s="11">
        <v>2246</v>
      </c>
      <c r="L498" s="11">
        <v>4.8717284270536398E-2</v>
      </c>
      <c r="M498" s="11">
        <f t="shared" si="1"/>
        <v>4.8717284270536405</v>
      </c>
      <c r="N498" s="11">
        <v>1</v>
      </c>
      <c r="O498" s="11">
        <v>0.29100803316921497</v>
      </c>
      <c r="P498" s="11">
        <v>0.48986486486486502</v>
      </c>
      <c r="Q498" s="11">
        <v>0.476190476190476</v>
      </c>
      <c r="R498" s="11">
        <v>0.54651162790697705</v>
      </c>
      <c r="S498" s="10" t="s">
        <v>84</v>
      </c>
      <c r="T498" s="10" t="s">
        <v>84</v>
      </c>
      <c r="U498" s="10"/>
      <c r="V498" s="10"/>
      <c r="W498" s="10"/>
      <c r="X498" s="10"/>
      <c r="Y498" s="10"/>
      <c r="Z498" s="10"/>
      <c r="AA498" s="10"/>
    </row>
    <row r="499" spans="1:27" ht="12.5" x14ac:dyDescent="0.25">
      <c r="A499" s="10" t="s">
        <v>52</v>
      </c>
      <c r="B499" s="10" t="s">
        <v>787</v>
      </c>
      <c r="C499" s="10" t="s">
        <v>76</v>
      </c>
      <c r="D499" s="11">
        <v>2024</v>
      </c>
      <c r="E499" s="10" t="s">
        <v>81</v>
      </c>
      <c r="F499" s="10" t="s">
        <v>83</v>
      </c>
      <c r="G499" s="10" t="s">
        <v>84</v>
      </c>
      <c r="H499" s="12">
        <v>12648</v>
      </c>
      <c r="I499" s="11">
        <v>614</v>
      </c>
      <c r="J499" s="11">
        <v>545</v>
      </c>
      <c r="K499" s="11">
        <v>11307</v>
      </c>
      <c r="L499" s="11">
        <v>4.8545224541429503E-2</v>
      </c>
      <c r="M499" s="11">
        <f t="shared" si="1"/>
        <v>4.8545224541429475</v>
      </c>
      <c r="N499" s="11">
        <v>0.88762214983713394</v>
      </c>
      <c r="O499" s="11">
        <v>0.89397533206831103</v>
      </c>
      <c r="P499" s="11">
        <v>0.48733108108108097</v>
      </c>
      <c r="Q499" s="11">
        <v>0.36170212765957399</v>
      </c>
      <c r="R499" s="11">
        <v>0.54457364341085301</v>
      </c>
      <c r="S499" s="10" t="s">
        <v>84</v>
      </c>
      <c r="T499" s="10" t="s">
        <v>84</v>
      </c>
      <c r="U499" s="10"/>
      <c r="V499" s="10"/>
      <c r="W499" s="10"/>
      <c r="X499" s="10"/>
      <c r="Y499" s="10"/>
      <c r="Z499" s="10"/>
      <c r="AA499" s="10"/>
    </row>
    <row r="500" spans="1:27" ht="12.5" hidden="1" x14ac:dyDescent="0.25">
      <c r="A500" s="10" t="s">
        <v>6</v>
      </c>
      <c r="B500" s="10" t="s">
        <v>1388</v>
      </c>
      <c r="C500" s="10" t="s">
        <v>76</v>
      </c>
      <c r="D500" s="11">
        <v>2024</v>
      </c>
      <c r="E500" s="10" t="s">
        <v>257</v>
      </c>
      <c r="F500" s="10" t="s">
        <v>83</v>
      </c>
      <c r="G500" s="10" t="s">
        <v>84</v>
      </c>
      <c r="H500" s="12">
        <v>14069.833333333299</v>
      </c>
      <c r="I500" s="11">
        <v>681</v>
      </c>
      <c r="J500" s="11">
        <v>590</v>
      </c>
      <c r="K500" s="11">
        <v>7732</v>
      </c>
      <c r="L500" s="11">
        <v>4.8401426219215997E-2</v>
      </c>
      <c r="M500" s="11">
        <f t="shared" si="1"/>
        <v>4.8401426219216166</v>
      </c>
      <c r="N500" s="11">
        <v>0.86637298091042603</v>
      </c>
      <c r="O500" s="11">
        <v>0.54954453381347801</v>
      </c>
      <c r="P500" s="11">
        <v>0.48648648648648701</v>
      </c>
      <c r="Q500" s="11">
        <v>0.67741935483870996</v>
      </c>
      <c r="R500" s="11">
        <v>0.61363636363636398</v>
      </c>
      <c r="S500" s="10" t="s">
        <v>84</v>
      </c>
      <c r="T500" s="10" t="s">
        <v>84</v>
      </c>
      <c r="U500" s="10"/>
      <c r="V500" s="10"/>
      <c r="W500" s="10"/>
      <c r="X500" s="10"/>
      <c r="Y500" s="10"/>
      <c r="Z500" s="10"/>
      <c r="AA500" s="10"/>
    </row>
    <row r="501" spans="1:27" ht="12.5" x14ac:dyDescent="0.25">
      <c r="A501" s="10" t="s">
        <v>49</v>
      </c>
      <c r="B501" s="10" t="s">
        <v>789</v>
      </c>
      <c r="C501" s="10" t="s">
        <v>76</v>
      </c>
      <c r="D501" s="11">
        <v>2024</v>
      </c>
      <c r="E501" s="10" t="s">
        <v>81</v>
      </c>
      <c r="F501" s="10" t="s">
        <v>83</v>
      </c>
      <c r="G501" s="10" t="s">
        <v>84</v>
      </c>
      <c r="H501" s="12">
        <v>33808.083333333299</v>
      </c>
      <c r="I501" s="11">
        <v>1631</v>
      </c>
      <c r="J501" s="11">
        <v>1518</v>
      </c>
      <c r="K501" s="11">
        <v>12158</v>
      </c>
      <c r="L501" s="11">
        <v>4.82429004897744E-2</v>
      </c>
      <c r="M501" s="11">
        <f t="shared" si="1"/>
        <v>4.8242900489774438</v>
      </c>
      <c r="N501" s="11">
        <v>0.93071735131820998</v>
      </c>
      <c r="O501" s="11">
        <v>0.35961813866013298</v>
      </c>
      <c r="P501" s="11">
        <v>0.485641891891892</v>
      </c>
      <c r="Q501" s="11">
        <v>0.61538461538461497</v>
      </c>
      <c r="R501" s="11">
        <v>0.54263565891472898</v>
      </c>
      <c r="S501" s="10" t="s">
        <v>84</v>
      </c>
      <c r="T501" s="10" t="s">
        <v>84</v>
      </c>
      <c r="U501" s="10"/>
      <c r="V501" s="10"/>
      <c r="W501" s="10"/>
      <c r="X501" s="10"/>
      <c r="Y501" s="10"/>
      <c r="Z501" s="10"/>
      <c r="AA501" s="10"/>
    </row>
    <row r="502" spans="1:27" ht="12.5" x14ac:dyDescent="0.25">
      <c r="A502" s="10" t="s">
        <v>55</v>
      </c>
      <c r="B502" s="10" t="s">
        <v>792</v>
      </c>
      <c r="C502" s="10" t="s">
        <v>76</v>
      </c>
      <c r="D502" s="11">
        <v>2024</v>
      </c>
      <c r="E502" s="10" t="s">
        <v>81</v>
      </c>
      <c r="F502" s="10" t="s">
        <v>83</v>
      </c>
      <c r="G502" s="10" t="s">
        <v>84</v>
      </c>
      <c r="H502" s="12">
        <v>29812.833333333299</v>
      </c>
      <c r="I502" s="11">
        <v>1430</v>
      </c>
      <c r="J502" s="11">
        <v>1171</v>
      </c>
      <c r="K502" s="11">
        <v>27990</v>
      </c>
      <c r="L502" s="11">
        <v>4.7965920716469997E-2</v>
      </c>
      <c r="M502" s="11">
        <f t="shared" si="1"/>
        <v>4.7965920716470034</v>
      </c>
      <c r="N502" s="11">
        <v>0.81888111888111903</v>
      </c>
      <c r="O502" s="11">
        <v>0.93885742717062604</v>
      </c>
      <c r="P502" s="11">
        <v>0.48479729729729698</v>
      </c>
      <c r="Q502" s="11">
        <v>0.22727272727272699</v>
      </c>
      <c r="R502" s="11">
        <v>0.54069767441860495</v>
      </c>
      <c r="S502" s="10" t="s">
        <v>84</v>
      </c>
      <c r="T502" s="10" t="s">
        <v>84</v>
      </c>
      <c r="U502" s="10"/>
      <c r="V502" s="10"/>
      <c r="W502" s="10"/>
      <c r="X502" s="10"/>
      <c r="Y502" s="10"/>
      <c r="Z502" s="10"/>
      <c r="AA502" s="10"/>
    </row>
    <row r="503" spans="1:27" ht="12.5" x14ac:dyDescent="0.25">
      <c r="A503" s="10" t="s">
        <v>19</v>
      </c>
      <c r="B503" s="10" t="s">
        <v>794</v>
      </c>
      <c r="C503" s="10" t="s">
        <v>76</v>
      </c>
      <c r="D503" s="11">
        <v>2024</v>
      </c>
      <c r="E503" s="10" t="s">
        <v>81</v>
      </c>
      <c r="F503" s="10" t="s">
        <v>83</v>
      </c>
      <c r="G503" s="10" t="s">
        <v>84</v>
      </c>
      <c r="H503" s="12">
        <v>82505</v>
      </c>
      <c r="I503" s="11">
        <v>3949</v>
      </c>
      <c r="J503" s="11">
        <v>2465</v>
      </c>
      <c r="K503" s="11">
        <v>91735</v>
      </c>
      <c r="L503" s="11">
        <v>4.7863765832373797E-2</v>
      </c>
      <c r="M503" s="11">
        <f t="shared" si="1"/>
        <v>4.7863765832373799</v>
      </c>
      <c r="N503" s="11">
        <v>0.62420866042036005</v>
      </c>
      <c r="O503" s="11">
        <v>1.11187200775711</v>
      </c>
      <c r="P503" s="11">
        <v>0.48395270270270302</v>
      </c>
      <c r="Q503" s="11">
        <v>0.16666666666666699</v>
      </c>
      <c r="R503" s="11">
        <v>0.53875968992248102</v>
      </c>
      <c r="S503" s="10" t="s">
        <v>84</v>
      </c>
      <c r="T503" s="10" t="s">
        <v>84</v>
      </c>
      <c r="U503" s="10"/>
      <c r="V503" s="10"/>
      <c r="W503" s="10"/>
      <c r="X503" s="10"/>
      <c r="Y503" s="10"/>
      <c r="Z503" s="10"/>
      <c r="AA503" s="10"/>
    </row>
    <row r="504" spans="1:27" ht="12.5" x14ac:dyDescent="0.25">
      <c r="A504" s="10" t="s">
        <v>77</v>
      </c>
      <c r="B504" s="10" t="s">
        <v>961</v>
      </c>
      <c r="C504" s="10" t="s">
        <v>76</v>
      </c>
      <c r="D504" s="11">
        <v>2024</v>
      </c>
      <c r="E504" s="10" t="s">
        <v>124</v>
      </c>
      <c r="F504" s="10" t="s">
        <v>125</v>
      </c>
      <c r="G504" s="10" t="s">
        <v>84</v>
      </c>
      <c r="H504" s="12">
        <v>1327.25</v>
      </c>
      <c r="I504" s="11">
        <v>63</v>
      </c>
      <c r="J504" s="11">
        <v>43</v>
      </c>
      <c r="K504" s="11">
        <v>3610</v>
      </c>
      <c r="L504" s="11">
        <v>4.7466566208325497E-2</v>
      </c>
      <c r="M504" s="11">
        <f t="shared" si="1"/>
        <v>4.7466566208325487</v>
      </c>
      <c r="N504" s="11">
        <v>0.682539682539683</v>
      </c>
      <c r="O504" s="11">
        <v>2.71990958749294</v>
      </c>
      <c r="P504" s="11">
        <v>0.48141891891891903</v>
      </c>
      <c r="Q504" s="11">
        <v>0.75</v>
      </c>
      <c r="R504" s="11">
        <v>0.360178970917226</v>
      </c>
      <c r="S504" s="10" t="s">
        <v>84</v>
      </c>
      <c r="T504" s="10" t="s">
        <v>84</v>
      </c>
      <c r="U504" s="10"/>
      <c r="V504" s="10"/>
      <c r="W504" s="10"/>
      <c r="X504" s="10"/>
      <c r="Y504" s="10"/>
      <c r="Z504" s="10"/>
      <c r="AA504" s="10"/>
    </row>
    <row r="505" spans="1:27" ht="12.5" x14ac:dyDescent="0.25">
      <c r="A505" s="10" t="s">
        <v>58</v>
      </c>
      <c r="B505" s="10" t="s">
        <v>796</v>
      </c>
      <c r="C505" s="10" t="s">
        <v>76</v>
      </c>
      <c r="D505" s="11">
        <v>2024</v>
      </c>
      <c r="E505" s="10" t="s">
        <v>81</v>
      </c>
      <c r="F505" s="10" t="s">
        <v>83</v>
      </c>
      <c r="G505" s="10" t="s">
        <v>84</v>
      </c>
      <c r="H505" s="12">
        <v>29232.333333333299</v>
      </c>
      <c r="I505" s="11">
        <v>1383</v>
      </c>
      <c r="J505" s="11">
        <v>1070</v>
      </c>
      <c r="K505" s="11">
        <v>7947</v>
      </c>
      <c r="L505" s="11">
        <v>4.7310626361220999E-2</v>
      </c>
      <c r="M505" s="11">
        <f t="shared" si="1"/>
        <v>4.7310626361221075</v>
      </c>
      <c r="N505" s="11">
        <v>0.77368040491684698</v>
      </c>
      <c r="O505" s="11">
        <v>0.271856505923806</v>
      </c>
      <c r="P505" s="11">
        <v>0.48057432432432401</v>
      </c>
      <c r="Q505" s="11">
        <v>0.18918918918918901</v>
      </c>
      <c r="R505" s="11">
        <v>0.53682170542635699</v>
      </c>
      <c r="S505" s="10" t="s">
        <v>84</v>
      </c>
      <c r="T505" s="10" t="s">
        <v>84</v>
      </c>
      <c r="U505" s="10"/>
      <c r="V505" s="10"/>
      <c r="W505" s="10"/>
      <c r="X505" s="10"/>
      <c r="Y505" s="10"/>
      <c r="Z505" s="10"/>
      <c r="AA505" s="10"/>
    </row>
    <row r="506" spans="1:27" ht="12.5" x14ac:dyDescent="0.25">
      <c r="A506" s="10" t="s">
        <v>58</v>
      </c>
      <c r="B506" s="10" t="s">
        <v>798</v>
      </c>
      <c r="C506" s="10" t="s">
        <v>76</v>
      </c>
      <c r="D506" s="11">
        <v>2024</v>
      </c>
      <c r="E506" s="10" t="s">
        <v>81</v>
      </c>
      <c r="F506" s="10" t="s">
        <v>83</v>
      </c>
      <c r="G506" s="10" t="s">
        <v>84</v>
      </c>
      <c r="H506" s="12">
        <v>26655</v>
      </c>
      <c r="I506" s="11">
        <v>1260</v>
      </c>
      <c r="J506" s="11">
        <v>1071</v>
      </c>
      <c r="K506" s="11">
        <v>43435</v>
      </c>
      <c r="L506" s="11">
        <v>4.7270680922903797E-2</v>
      </c>
      <c r="M506" s="11">
        <f t="shared" si="1"/>
        <v>4.7270680922903772</v>
      </c>
      <c r="N506" s="11">
        <v>0.85</v>
      </c>
      <c r="O506" s="11">
        <v>1.6295254173700999</v>
      </c>
      <c r="P506" s="11">
        <v>0.47972972972972999</v>
      </c>
      <c r="Q506" s="11">
        <v>0.162162162162162</v>
      </c>
      <c r="R506" s="11">
        <v>0.53488372093023295</v>
      </c>
      <c r="S506" s="10" t="s">
        <v>84</v>
      </c>
      <c r="T506" s="10" t="s">
        <v>84</v>
      </c>
      <c r="U506" s="10"/>
      <c r="V506" s="10"/>
      <c r="W506" s="10"/>
      <c r="X506" s="10"/>
      <c r="Y506" s="10"/>
      <c r="Z506" s="10"/>
      <c r="AA506" s="10"/>
    </row>
    <row r="507" spans="1:27" ht="12.5" x14ac:dyDescent="0.25">
      <c r="A507" s="10" t="s">
        <v>72</v>
      </c>
      <c r="B507" s="10" t="s">
        <v>801</v>
      </c>
      <c r="C507" s="10" t="s">
        <v>76</v>
      </c>
      <c r="D507" s="11">
        <v>2024</v>
      </c>
      <c r="E507" s="10" t="s">
        <v>81</v>
      </c>
      <c r="F507" s="10" t="s">
        <v>125</v>
      </c>
      <c r="G507" s="10" t="s">
        <v>84</v>
      </c>
      <c r="H507" s="12">
        <v>997.5</v>
      </c>
      <c r="I507" s="11">
        <v>47</v>
      </c>
      <c r="J507" s="11">
        <v>45</v>
      </c>
      <c r="K507" s="11">
        <v>1990</v>
      </c>
      <c r="L507" s="11">
        <v>4.7117794486215503E-2</v>
      </c>
      <c r="M507" s="11">
        <f t="shared" si="1"/>
        <v>4.7117794486215541</v>
      </c>
      <c r="N507" s="11">
        <v>0.95744680851063801</v>
      </c>
      <c r="O507" s="11">
        <v>1.99498746867168</v>
      </c>
      <c r="P507" s="11">
        <v>0.47804054054054002</v>
      </c>
      <c r="Q507" s="11">
        <v>0.7</v>
      </c>
      <c r="R507" s="11">
        <v>0.53294573643410803</v>
      </c>
      <c r="S507" s="10" t="s">
        <v>84</v>
      </c>
      <c r="T507" s="10" t="s">
        <v>84</v>
      </c>
      <c r="U507" s="10"/>
      <c r="V507" s="10"/>
      <c r="W507" s="10"/>
      <c r="X507" s="10"/>
      <c r="Y507" s="10"/>
      <c r="Z507" s="10"/>
      <c r="AA507" s="10"/>
    </row>
    <row r="508" spans="1:27" ht="12.5" hidden="1" x14ac:dyDescent="0.25">
      <c r="A508" s="10" t="s">
        <v>22</v>
      </c>
      <c r="B508" s="10" t="s">
        <v>1392</v>
      </c>
      <c r="C508" s="10" t="s">
        <v>76</v>
      </c>
      <c r="D508" s="11">
        <v>2024</v>
      </c>
      <c r="E508" s="10" t="s">
        <v>257</v>
      </c>
      <c r="F508" s="10" t="s">
        <v>83</v>
      </c>
      <c r="G508" s="10" t="s">
        <v>84</v>
      </c>
      <c r="H508" s="12">
        <v>15544.5</v>
      </c>
      <c r="I508" s="11">
        <v>732</v>
      </c>
      <c r="J508" s="11">
        <v>607</v>
      </c>
      <c r="K508" s="11">
        <v>14039</v>
      </c>
      <c r="L508" s="11">
        <v>4.70906108269806E-2</v>
      </c>
      <c r="M508" s="11">
        <f t="shared" si="1"/>
        <v>4.709061082698061</v>
      </c>
      <c r="N508" s="11">
        <v>0.82923497267759605</v>
      </c>
      <c r="O508" s="11">
        <v>0.90314902377046502</v>
      </c>
      <c r="P508" s="11">
        <v>0.477195945945946</v>
      </c>
      <c r="Q508" s="11">
        <v>0.42857142857142899</v>
      </c>
      <c r="R508" s="11">
        <v>0.59090909090909105</v>
      </c>
      <c r="S508" s="10" t="s">
        <v>84</v>
      </c>
      <c r="T508" s="10" t="s">
        <v>84</v>
      </c>
      <c r="U508" s="10"/>
      <c r="V508" s="10"/>
      <c r="W508" s="10"/>
      <c r="X508" s="10"/>
      <c r="Y508" s="10"/>
      <c r="Z508" s="10"/>
      <c r="AA508" s="10"/>
    </row>
    <row r="509" spans="1:27" ht="12.5" x14ac:dyDescent="0.25">
      <c r="A509" s="10" t="s">
        <v>34</v>
      </c>
      <c r="B509" s="10" t="s">
        <v>963</v>
      </c>
      <c r="C509" s="10" t="s">
        <v>76</v>
      </c>
      <c r="D509" s="11">
        <v>2024</v>
      </c>
      <c r="E509" s="10" t="s">
        <v>124</v>
      </c>
      <c r="F509" s="10" t="s">
        <v>125</v>
      </c>
      <c r="G509" s="10" t="s">
        <v>84</v>
      </c>
      <c r="H509" s="12">
        <v>6488.9166666666697</v>
      </c>
      <c r="I509" s="11">
        <v>305</v>
      </c>
      <c r="J509" s="11">
        <v>277</v>
      </c>
      <c r="K509" s="11">
        <v>11600</v>
      </c>
      <c r="L509" s="11">
        <v>4.7003223445105102E-2</v>
      </c>
      <c r="M509" s="11">
        <f t="shared" si="1"/>
        <v>4.7003223445105098</v>
      </c>
      <c r="N509" s="11">
        <v>0.908196721311475</v>
      </c>
      <c r="O509" s="11">
        <v>1.78766358020728</v>
      </c>
      <c r="P509" s="11">
        <v>0.47635135135135098</v>
      </c>
      <c r="Q509" s="11">
        <v>0.75510204081632604</v>
      </c>
      <c r="R509" s="11">
        <v>0.35794183445190197</v>
      </c>
      <c r="S509" s="10" t="s">
        <v>84</v>
      </c>
      <c r="T509" s="10" t="s">
        <v>84</v>
      </c>
      <c r="U509" s="10"/>
      <c r="V509" s="10"/>
      <c r="W509" s="10"/>
      <c r="X509" s="10"/>
      <c r="Y509" s="10"/>
      <c r="Z509" s="10"/>
      <c r="AA509" s="10"/>
    </row>
    <row r="510" spans="1:27" ht="12.5" x14ac:dyDescent="0.25">
      <c r="A510" s="10" t="s">
        <v>26</v>
      </c>
      <c r="B510" s="10" t="s">
        <v>804</v>
      </c>
      <c r="C510" s="10" t="s">
        <v>76</v>
      </c>
      <c r="D510" s="11">
        <v>2024</v>
      </c>
      <c r="E510" s="10" t="s">
        <v>81</v>
      </c>
      <c r="F510" s="10" t="s">
        <v>83</v>
      </c>
      <c r="G510" s="10" t="s">
        <v>84</v>
      </c>
      <c r="H510" s="12">
        <v>61344.166666666701</v>
      </c>
      <c r="I510" s="11">
        <v>2851</v>
      </c>
      <c r="J510" s="11">
        <v>592</v>
      </c>
      <c r="K510" s="11">
        <v>108933</v>
      </c>
      <c r="L510" s="11">
        <v>4.6475486666757201E-2</v>
      </c>
      <c r="M510" s="11">
        <f t="shared" si="1"/>
        <v>4.6475486666757204</v>
      </c>
      <c r="N510" s="11">
        <v>0.207646439845668</v>
      </c>
      <c r="O510" s="11">
        <v>1.7757678670886901</v>
      </c>
      <c r="P510" s="11">
        <v>0.47381756756756799</v>
      </c>
      <c r="Q510" s="11">
        <v>0.15384615384615399</v>
      </c>
      <c r="R510" s="11">
        <v>0.531007751937985</v>
      </c>
      <c r="S510" s="10" t="s">
        <v>84</v>
      </c>
      <c r="T510" s="10" t="s">
        <v>84</v>
      </c>
      <c r="U510" s="10"/>
      <c r="V510" s="10"/>
      <c r="W510" s="10"/>
      <c r="X510" s="10"/>
      <c r="Y510" s="10"/>
      <c r="Z510" s="10"/>
      <c r="AA510" s="10"/>
    </row>
    <row r="511" spans="1:27" ht="12.5" x14ac:dyDescent="0.25">
      <c r="A511" s="10" t="s">
        <v>29</v>
      </c>
      <c r="B511" s="10" t="s">
        <v>965</v>
      </c>
      <c r="C511" s="10" t="s">
        <v>76</v>
      </c>
      <c r="D511" s="11">
        <v>2024</v>
      </c>
      <c r="E511" s="10" t="s">
        <v>124</v>
      </c>
      <c r="F511" s="10" t="s">
        <v>83</v>
      </c>
      <c r="G511" s="10" t="s">
        <v>84</v>
      </c>
      <c r="H511" s="12">
        <v>33963.416666666701</v>
      </c>
      <c r="I511" s="11">
        <v>1578</v>
      </c>
      <c r="J511" s="11">
        <v>1214</v>
      </c>
      <c r="K511" s="11">
        <v>33576</v>
      </c>
      <c r="L511" s="11">
        <v>4.6461756645017602E-2</v>
      </c>
      <c r="M511" s="11">
        <f t="shared" si="1"/>
        <v>4.6461756645017509</v>
      </c>
      <c r="N511" s="11">
        <v>0.76932826362484197</v>
      </c>
      <c r="O511" s="11">
        <v>0.98859311857611498</v>
      </c>
      <c r="P511" s="11">
        <v>0.47297297297297303</v>
      </c>
      <c r="Q511" s="11">
        <v>0.22448979591836701</v>
      </c>
      <c r="R511" s="11">
        <v>0.355704697986577</v>
      </c>
      <c r="S511" s="10" t="s">
        <v>84</v>
      </c>
      <c r="T511" s="10" t="s">
        <v>84</v>
      </c>
      <c r="U511" s="10"/>
      <c r="V511" s="10"/>
      <c r="W511" s="10"/>
      <c r="X511" s="10"/>
      <c r="Y511" s="10"/>
      <c r="Z511" s="10"/>
      <c r="AA511" s="10"/>
    </row>
    <row r="512" spans="1:27" ht="12.5" x14ac:dyDescent="0.25">
      <c r="A512" s="10" t="s">
        <v>42</v>
      </c>
      <c r="B512" s="10" t="s">
        <v>806</v>
      </c>
      <c r="C512" s="10" t="s">
        <v>76</v>
      </c>
      <c r="D512" s="11">
        <v>2024</v>
      </c>
      <c r="E512" s="10" t="s">
        <v>81</v>
      </c>
      <c r="F512" s="10" t="s">
        <v>83</v>
      </c>
      <c r="G512" s="10" t="s">
        <v>84</v>
      </c>
      <c r="H512" s="12">
        <v>7947.3333333333303</v>
      </c>
      <c r="I512" s="11">
        <v>369</v>
      </c>
      <c r="J512" s="11">
        <v>332</v>
      </c>
      <c r="K512" s="11">
        <v>2085</v>
      </c>
      <c r="L512" s="11">
        <v>4.6430668568073201E-2</v>
      </c>
      <c r="M512" s="11">
        <f t="shared" ref="M512:M766" si="2">(I512/H512)*100</f>
        <v>4.6430668568073168</v>
      </c>
      <c r="N512" s="11">
        <v>0.89972899728997302</v>
      </c>
      <c r="O512" s="11">
        <v>0.26235215166512899</v>
      </c>
      <c r="P512" s="11">
        <v>0.47212837837837801</v>
      </c>
      <c r="Q512" s="11">
        <v>0.40476190476190499</v>
      </c>
      <c r="R512" s="11">
        <v>0.52906976744185996</v>
      </c>
      <c r="S512" s="10" t="s">
        <v>84</v>
      </c>
      <c r="T512" s="10" t="s">
        <v>84</v>
      </c>
      <c r="U512" s="10"/>
      <c r="V512" s="10"/>
      <c r="W512" s="10"/>
      <c r="X512" s="10"/>
      <c r="Y512" s="10"/>
      <c r="Z512" s="10"/>
      <c r="AA512" s="10"/>
    </row>
    <row r="513" spans="1:27" ht="12.5" x14ac:dyDescent="0.25">
      <c r="A513" s="10" t="s">
        <v>104</v>
      </c>
      <c r="B513" s="10" t="s">
        <v>808</v>
      </c>
      <c r="C513" s="10" t="s">
        <v>76</v>
      </c>
      <c r="D513" s="11">
        <v>2024</v>
      </c>
      <c r="E513" s="10" t="s">
        <v>81</v>
      </c>
      <c r="F513" s="10" t="s">
        <v>83</v>
      </c>
      <c r="G513" s="10" t="s">
        <v>84</v>
      </c>
      <c r="H513" s="12">
        <v>5825.3333333333303</v>
      </c>
      <c r="I513" s="11">
        <v>269</v>
      </c>
      <c r="J513" s="11">
        <v>260</v>
      </c>
      <c r="K513" s="11">
        <v>8006</v>
      </c>
      <c r="L513" s="11">
        <v>4.61776150148775E-2</v>
      </c>
      <c r="M513" s="11">
        <f t="shared" si="2"/>
        <v>4.6177615014877569</v>
      </c>
      <c r="N513" s="11">
        <v>0.96654275092936803</v>
      </c>
      <c r="O513" s="11">
        <v>1.3743419546807001</v>
      </c>
      <c r="P513" s="11">
        <v>0.47128378378378399</v>
      </c>
      <c r="Q513" s="11">
        <v>0.51724137931034497</v>
      </c>
      <c r="R513" s="11">
        <v>0.52713178294573604</v>
      </c>
      <c r="S513" s="10" t="s">
        <v>84</v>
      </c>
      <c r="T513" s="10" t="s">
        <v>84</v>
      </c>
      <c r="U513" s="10"/>
      <c r="V513" s="10"/>
      <c r="W513" s="10"/>
      <c r="X513" s="10"/>
      <c r="Y513" s="10"/>
      <c r="Z513" s="10"/>
      <c r="AA513" s="10"/>
    </row>
    <row r="514" spans="1:27" ht="12.5" x14ac:dyDescent="0.25">
      <c r="A514" s="10" t="s">
        <v>52</v>
      </c>
      <c r="B514" s="10" t="s">
        <v>809</v>
      </c>
      <c r="C514" s="10" t="s">
        <v>76</v>
      </c>
      <c r="D514" s="11">
        <v>2024</v>
      </c>
      <c r="E514" s="10" t="s">
        <v>81</v>
      </c>
      <c r="F514" s="10" t="s">
        <v>83</v>
      </c>
      <c r="G514" s="10" t="s">
        <v>84</v>
      </c>
      <c r="H514" s="12">
        <v>16417.25</v>
      </c>
      <c r="I514" s="11">
        <v>757</v>
      </c>
      <c r="J514" s="11">
        <v>672</v>
      </c>
      <c r="K514" s="11">
        <v>10178</v>
      </c>
      <c r="L514" s="11">
        <v>4.6110036699203598E-2</v>
      </c>
      <c r="M514" s="11">
        <f t="shared" si="2"/>
        <v>4.6110036699203585</v>
      </c>
      <c r="N514" s="11">
        <v>0.88771466314398895</v>
      </c>
      <c r="O514" s="11">
        <v>0.61995766647885597</v>
      </c>
      <c r="P514" s="11">
        <v>0.46959459459459502</v>
      </c>
      <c r="Q514" s="11">
        <v>0.340425531914894</v>
      </c>
      <c r="R514" s="11">
        <v>0.525193798449612</v>
      </c>
      <c r="S514" s="10" t="s">
        <v>84</v>
      </c>
      <c r="T514" s="10" t="s">
        <v>84</v>
      </c>
      <c r="U514" s="10"/>
      <c r="V514" s="10"/>
      <c r="W514" s="10"/>
      <c r="X514" s="10"/>
      <c r="Y514" s="10"/>
      <c r="Z514" s="10"/>
      <c r="AA514" s="10"/>
    </row>
    <row r="515" spans="1:27" ht="12.5" x14ac:dyDescent="0.25">
      <c r="A515" s="10" t="s">
        <v>10</v>
      </c>
      <c r="B515" s="10" t="s">
        <v>812</v>
      </c>
      <c r="C515" s="10" t="s">
        <v>76</v>
      </c>
      <c r="D515" s="11">
        <v>2024</v>
      </c>
      <c r="E515" s="10" t="s">
        <v>81</v>
      </c>
      <c r="F515" s="10" t="s">
        <v>83</v>
      </c>
      <c r="G515" s="10" t="s">
        <v>84</v>
      </c>
      <c r="H515" s="12">
        <v>35101.75</v>
      </c>
      <c r="I515" s="11">
        <v>1614</v>
      </c>
      <c r="J515" s="11">
        <v>1273</v>
      </c>
      <c r="K515" s="11">
        <v>8172</v>
      </c>
      <c r="L515" s="11">
        <v>4.5980613502175798E-2</v>
      </c>
      <c r="M515" s="11">
        <f t="shared" si="2"/>
        <v>4.5980613502175816</v>
      </c>
      <c r="N515" s="11">
        <v>0.78872366790582404</v>
      </c>
      <c r="O515" s="11">
        <v>0.23280890553889799</v>
      </c>
      <c r="P515" s="11">
        <v>0.46875</v>
      </c>
      <c r="Q515" s="11">
        <v>0.36666666666666697</v>
      </c>
      <c r="R515" s="11">
        <v>0.52325581395348797</v>
      </c>
      <c r="S515" s="10" t="s">
        <v>84</v>
      </c>
      <c r="T515" s="10" t="s">
        <v>84</v>
      </c>
      <c r="U515" s="10"/>
      <c r="V515" s="10"/>
      <c r="W515" s="10"/>
      <c r="X515" s="10"/>
      <c r="Y515" s="10"/>
      <c r="Z515" s="10"/>
      <c r="AA515" s="10"/>
    </row>
    <row r="516" spans="1:27" ht="12.5" x14ac:dyDescent="0.25">
      <c r="A516" s="10" t="s">
        <v>62</v>
      </c>
      <c r="B516" s="10" t="s">
        <v>815</v>
      </c>
      <c r="C516" s="10" t="s">
        <v>76</v>
      </c>
      <c r="D516" s="11">
        <v>2024</v>
      </c>
      <c r="E516" s="10" t="s">
        <v>81</v>
      </c>
      <c r="F516" s="10" t="s">
        <v>125</v>
      </c>
      <c r="G516" s="10" t="s">
        <v>84</v>
      </c>
      <c r="H516" s="12">
        <v>17406.666666666701</v>
      </c>
      <c r="I516" s="11">
        <v>798</v>
      </c>
      <c r="J516" s="11">
        <v>737</v>
      </c>
      <c r="K516" s="11">
        <v>14352</v>
      </c>
      <c r="L516" s="11">
        <v>4.5844504021447699E-2</v>
      </c>
      <c r="M516" s="11">
        <f t="shared" si="2"/>
        <v>4.5844504021447632</v>
      </c>
      <c r="N516" s="11">
        <v>0.92355889724310802</v>
      </c>
      <c r="O516" s="11">
        <v>0.82451168134814201</v>
      </c>
      <c r="P516" s="11">
        <v>0.46790540540540498</v>
      </c>
      <c r="Q516" s="11">
        <v>0.52777777777777801</v>
      </c>
      <c r="R516" s="11">
        <v>0.52131782945736405</v>
      </c>
      <c r="S516" s="10" t="s">
        <v>84</v>
      </c>
      <c r="T516" s="10" t="s">
        <v>84</v>
      </c>
      <c r="U516" s="10"/>
      <c r="V516" s="10"/>
      <c r="W516" s="10"/>
      <c r="X516" s="10"/>
      <c r="Y516" s="10"/>
      <c r="Z516" s="10"/>
      <c r="AA516" s="10"/>
    </row>
    <row r="517" spans="1:27" ht="12.5" x14ac:dyDescent="0.25">
      <c r="A517" s="10" t="s">
        <v>96</v>
      </c>
      <c r="B517" s="10" t="s">
        <v>817</v>
      </c>
      <c r="C517" s="10" t="s">
        <v>76</v>
      </c>
      <c r="D517" s="11">
        <v>2024</v>
      </c>
      <c r="E517" s="10" t="s">
        <v>81</v>
      </c>
      <c r="F517" s="10" t="s">
        <v>83</v>
      </c>
      <c r="G517" s="10" t="s">
        <v>84</v>
      </c>
      <c r="H517" s="12">
        <v>32497.583333333299</v>
      </c>
      <c r="I517" s="11">
        <v>1485</v>
      </c>
      <c r="J517" s="11">
        <v>1453</v>
      </c>
      <c r="K517" s="11">
        <v>6639</v>
      </c>
      <c r="L517" s="11">
        <v>4.56957055781071E-2</v>
      </c>
      <c r="M517" s="11">
        <f t="shared" si="2"/>
        <v>4.5695705578107138</v>
      </c>
      <c r="N517" s="11">
        <v>0.97845117845117802</v>
      </c>
      <c r="O517" s="11">
        <v>0.204292114028992</v>
      </c>
      <c r="P517" s="11">
        <v>0.46706081081081102</v>
      </c>
      <c r="Q517" s="11">
        <v>0.76470588235294101</v>
      </c>
      <c r="R517" s="11">
        <v>0.51937984496124001</v>
      </c>
      <c r="S517" s="10" t="s">
        <v>84</v>
      </c>
      <c r="T517" s="10" t="s">
        <v>84</v>
      </c>
      <c r="U517" s="10"/>
      <c r="V517" s="10"/>
      <c r="W517" s="10"/>
      <c r="X517" s="10"/>
      <c r="Y517" s="10"/>
      <c r="Z517" s="10"/>
      <c r="AA517" s="10"/>
    </row>
    <row r="518" spans="1:27" ht="12.5" x14ac:dyDescent="0.25">
      <c r="A518" s="10" t="s">
        <v>16</v>
      </c>
      <c r="B518" s="10" t="s">
        <v>720</v>
      </c>
      <c r="C518" s="10" t="s">
        <v>76</v>
      </c>
      <c r="D518" s="11">
        <v>2024</v>
      </c>
      <c r="E518" s="10" t="s">
        <v>81</v>
      </c>
      <c r="F518" s="10" t="s">
        <v>83</v>
      </c>
      <c r="G518" s="10" t="s">
        <v>84</v>
      </c>
      <c r="H518" s="12">
        <v>8044.9166666666697</v>
      </c>
      <c r="I518" s="11">
        <v>365</v>
      </c>
      <c r="J518" s="11">
        <v>314</v>
      </c>
      <c r="K518" s="11">
        <v>17675</v>
      </c>
      <c r="L518" s="11">
        <v>4.53702648670486E-2</v>
      </c>
      <c r="M518" s="11">
        <f t="shared" si="2"/>
        <v>4.5370264867048533</v>
      </c>
      <c r="N518" s="11">
        <v>0.86027397260273997</v>
      </c>
      <c r="O518" s="11">
        <v>2.1970395384248902</v>
      </c>
      <c r="P518" s="11">
        <v>0.46537162162162199</v>
      </c>
      <c r="Q518" s="11">
        <v>0.133333333333333</v>
      </c>
      <c r="R518" s="11">
        <v>0.51744186046511598</v>
      </c>
      <c r="S518" s="10" t="s">
        <v>84</v>
      </c>
      <c r="T518" s="10" t="s">
        <v>84</v>
      </c>
      <c r="U518" s="10"/>
      <c r="V518" s="10"/>
      <c r="W518" s="10"/>
      <c r="X518" s="10"/>
      <c r="Y518" s="10"/>
      <c r="Z518" s="10"/>
      <c r="AA518" s="10"/>
    </row>
    <row r="519" spans="1:27" ht="12.5" x14ac:dyDescent="0.25">
      <c r="A519" s="10" t="s">
        <v>52</v>
      </c>
      <c r="B519" s="10" t="s">
        <v>819</v>
      </c>
      <c r="C519" s="10" t="s">
        <v>76</v>
      </c>
      <c r="D519" s="11">
        <v>2024</v>
      </c>
      <c r="E519" s="10" t="s">
        <v>81</v>
      </c>
      <c r="F519" s="10" t="s">
        <v>83</v>
      </c>
      <c r="G519" s="10" t="s">
        <v>84</v>
      </c>
      <c r="H519" s="12">
        <v>19735.333333333299</v>
      </c>
      <c r="I519" s="11">
        <v>895</v>
      </c>
      <c r="J519" s="11">
        <v>574</v>
      </c>
      <c r="K519" s="11">
        <v>1639</v>
      </c>
      <c r="L519" s="11">
        <v>4.5350133432422397E-2</v>
      </c>
      <c r="M519" s="11">
        <f t="shared" si="2"/>
        <v>4.5350133432422464</v>
      </c>
      <c r="N519" s="11">
        <v>0.64134078212290502</v>
      </c>
      <c r="O519" s="11">
        <v>8.3049015302503096E-2</v>
      </c>
      <c r="P519" s="11">
        <v>0.46452702702702697</v>
      </c>
      <c r="Q519" s="11">
        <v>0.319148936170213</v>
      </c>
      <c r="R519" s="11">
        <v>0.51550387596899205</v>
      </c>
      <c r="S519" s="10" t="s">
        <v>84</v>
      </c>
      <c r="T519" s="10" t="s">
        <v>84</v>
      </c>
      <c r="U519" s="10"/>
      <c r="V519" s="10"/>
      <c r="W519" s="10"/>
      <c r="X519" s="10"/>
      <c r="Y519" s="10"/>
      <c r="Z519" s="10"/>
      <c r="AA519" s="10"/>
    </row>
    <row r="520" spans="1:27" ht="12.5" hidden="1" x14ac:dyDescent="0.25">
      <c r="A520" s="10" t="s">
        <v>6</v>
      </c>
      <c r="B520" s="10" t="s">
        <v>1394</v>
      </c>
      <c r="C520" s="10" t="s">
        <v>76</v>
      </c>
      <c r="D520" s="11">
        <v>2024</v>
      </c>
      <c r="E520" s="10" t="s">
        <v>257</v>
      </c>
      <c r="F520" s="10" t="s">
        <v>83</v>
      </c>
      <c r="G520" s="10" t="s">
        <v>84</v>
      </c>
      <c r="H520" s="12">
        <v>4520.3333333333303</v>
      </c>
      <c r="I520" s="11">
        <v>203</v>
      </c>
      <c r="J520" s="11">
        <v>195</v>
      </c>
      <c r="K520" s="11">
        <v>3368</v>
      </c>
      <c r="L520" s="11">
        <v>4.4908192611164403E-2</v>
      </c>
      <c r="M520" s="11">
        <f t="shared" si="2"/>
        <v>4.4908192611164397</v>
      </c>
      <c r="N520" s="11">
        <v>0.96059113300492605</v>
      </c>
      <c r="O520" s="11">
        <v>0.74507779662266804</v>
      </c>
      <c r="P520" s="11">
        <v>0.462837837837838</v>
      </c>
      <c r="Q520" s="11">
        <v>0.64516129032258096</v>
      </c>
      <c r="R520" s="11">
        <v>0.56818181818181801</v>
      </c>
      <c r="S520" s="10" t="s">
        <v>84</v>
      </c>
      <c r="T520" s="10" t="s">
        <v>84</v>
      </c>
      <c r="U520" s="10"/>
      <c r="V520" s="10"/>
      <c r="W520" s="10"/>
      <c r="X520" s="10"/>
      <c r="Y520" s="10"/>
      <c r="Z520" s="10"/>
      <c r="AA520" s="10"/>
    </row>
    <row r="521" spans="1:27" ht="12.5" x14ac:dyDescent="0.25">
      <c r="A521" s="10" t="s">
        <v>77</v>
      </c>
      <c r="B521" s="10" t="s">
        <v>821</v>
      </c>
      <c r="C521" s="10" t="s">
        <v>76</v>
      </c>
      <c r="D521" s="11">
        <v>2024</v>
      </c>
      <c r="E521" s="10" t="s">
        <v>81</v>
      </c>
      <c r="F521" s="10" t="s">
        <v>83</v>
      </c>
      <c r="G521" s="10" t="s">
        <v>84</v>
      </c>
      <c r="H521" s="12">
        <v>34401.083333333299</v>
      </c>
      <c r="I521" s="11">
        <v>1543</v>
      </c>
      <c r="J521" s="11">
        <v>1476</v>
      </c>
      <c r="K521" s="11">
        <v>19903</v>
      </c>
      <c r="L521" s="11">
        <v>4.4853238633473298E-2</v>
      </c>
      <c r="M521" s="11">
        <f t="shared" si="2"/>
        <v>4.4853238633473316</v>
      </c>
      <c r="N521" s="11">
        <v>0.95657809462086796</v>
      </c>
      <c r="O521" s="11">
        <v>0.57855736132340796</v>
      </c>
      <c r="P521" s="11">
        <v>0.46199324324324298</v>
      </c>
      <c r="Q521" s="11">
        <v>0.71428571428571397</v>
      </c>
      <c r="R521" s="11">
        <v>0.51356589147286802</v>
      </c>
      <c r="S521" s="10" t="s">
        <v>84</v>
      </c>
      <c r="T521" s="10" t="s">
        <v>84</v>
      </c>
      <c r="U521" s="10"/>
      <c r="V521" s="10"/>
      <c r="W521" s="10"/>
      <c r="X521" s="10"/>
      <c r="Y521" s="10"/>
      <c r="Z521" s="10"/>
      <c r="AA521" s="10"/>
    </row>
    <row r="522" spans="1:27" ht="12.5" x14ac:dyDescent="0.25">
      <c r="A522" s="10" t="s">
        <v>116</v>
      </c>
      <c r="B522" s="10" t="s">
        <v>968</v>
      </c>
      <c r="C522" s="10" t="s">
        <v>76</v>
      </c>
      <c r="D522" s="11">
        <v>2024</v>
      </c>
      <c r="E522" s="10" t="s">
        <v>124</v>
      </c>
      <c r="F522" s="10" t="s">
        <v>83</v>
      </c>
      <c r="G522" s="10" t="s">
        <v>84</v>
      </c>
      <c r="H522" s="12">
        <v>4372.9166666666697</v>
      </c>
      <c r="I522" s="11">
        <v>196</v>
      </c>
      <c r="J522" s="11">
        <v>185</v>
      </c>
      <c r="K522" s="11">
        <v>5506</v>
      </c>
      <c r="L522" s="11">
        <v>4.4821343496903303E-2</v>
      </c>
      <c r="M522" s="11">
        <f t="shared" si="2"/>
        <v>4.482134349690325</v>
      </c>
      <c r="N522" s="11">
        <v>0.94387755102040805</v>
      </c>
      <c r="O522" s="11">
        <v>1.25911386374464</v>
      </c>
      <c r="P522" s="11">
        <v>0.46114864864864902</v>
      </c>
      <c r="Q522" s="11">
        <v>1</v>
      </c>
      <c r="R522" s="11">
        <v>0.35346756152125303</v>
      </c>
      <c r="S522" s="10" t="s">
        <v>84</v>
      </c>
      <c r="T522" s="10" t="s">
        <v>84</v>
      </c>
      <c r="U522" s="10"/>
      <c r="V522" s="10"/>
      <c r="W522" s="10"/>
      <c r="X522" s="10"/>
      <c r="Y522" s="10"/>
      <c r="Z522" s="10"/>
      <c r="AA522" s="10"/>
    </row>
    <row r="523" spans="1:27" ht="12.5" x14ac:dyDescent="0.25">
      <c r="A523" s="10" t="s">
        <v>10</v>
      </c>
      <c r="B523" s="10" t="s">
        <v>804</v>
      </c>
      <c r="C523" s="10" t="s">
        <v>76</v>
      </c>
      <c r="D523" s="11">
        <v>2024</v>
      </c>
      <c r="E523" s="10" t="s">
        <v>81</v>
      </c>
      <c r="F523" s="10" t="s">
        <v>83</v>
      </c>
      <c r="G523" s="10" t="s">
        <v>84</v>
      </c>
      <c r="H523" s="12">
        <v>9220.4166666666697</v>
      </c>
      <c r="I523" s="11">
        <v>412</v>
      </c>
      <c r="J523" s="11">
        <v>249</v>
      </c>
      <c r="K523" s="11">
        <v>20812</v>
      </c>
      <c r="L523" s="11">
        <v>4.4683447060418498E-2</v>
      </c>
      <c r="M523" s="11">
        <f t="shared" si="2"/>
        <v>4.4683447060418446</v>
      </c>
      <c r="N523" s="11">
        <v>0.60436893203883502</v>
      </c>
      <c r="O523" s="11">
        <v>2.2571648063626899</v>
      </c>
      <c r="P523" s="11">
        <v>0.460304054054054</v>
      </c>
      <c r="Q523" s="11">
        <v>0.33333333333333298</v>
      </c>
      <c r="R523" s="11">
        <v>0.51162790697674398</v>
      </c>
      <c r="S523" s="10" t="s">
        <v>84</v>
      </c>
      <c r="T523" s="10" t="s">
        <v>84</v>
      </c>
      <c r="U523" s="10"/>
      <c r="V523" s="10"/>
      <c r="W523" s="10"/>
      <c r="X523" s="10"/>
      <c r="Y523" s="10"/>
      <c r="Z523" s="10"/>
      <c r="AA523" s="10"/>
    </row>
    <row r="524" spans="1:27" ht="12.5" x14ac:dyDescent="0.25">
      <c r="A524" s="10" t="s">
        <v>34</v>
      </c>
      <c r="B524" s="10" t="s">
        <v>825</v>
      </c>
      <c r="C524" s="10" t="s">
        <v>76</v>
      </c>
      <c r="D524" s="11">
        <v>2024</v>
      </c>
      <c r="E524" s="10" t="s">
        <v>81</v>
      </c>
      <c r="F524" s="10" t="s">
        <v>83</v>
      </c>
      <c r="G524" s="10" t="s">
        <v>84</v>
      </c>
      <c r="H524" s="12">
        <v>17858.25</v>
      </c>
      <c r="I524" s="11">
        <v>796</v>
      </c>
      <c r="J524" s="11">
        <v>705</v>
      </c>
      <c r="K524" s="11">
        <v>22953</v>
      </c>
      <c r="L524" s="11">
        <v>4.4573236459339499E-2</v>
      </c>
      <c r="M524" s="11">
        <f t="shared" si="2"/>
        <v>4.4573236459339522</v>
      </c>
      <c r="N524" s="11">
        <v>0.88567839195979903</v>
      </c>
      <c r="O524" s="11">
        <v>1.2852883121246499</v>
      </c>
      <c r="P524" s="11">
        <v>0.45861486486486502</v>
      </c>
      <c r="Q524" s="11">
        <v>0.73469387755102</v>
      </c>
      <c r="R524" s="11">
        <v>0.50968992248061995</v>
      </c>
      <c r="S524" s="10" t="s">
        <v>84</v>
      </c>
      <c r="T524" s="10" t="s">
        <v>84</v>
      </c>
      <c r="U524" s="10"/>
      <c r="V524" s="10"/>
      <c r="W524" s="10"/>
      <c r="X524" s="10"/>
      <c r="Y524" s="10"/>
      <c r="Z524" s="10"/>
      <c r="AA524" s="10"/>
    </row>
    <row r="525" spans="1:27" ht="12.5" x14ac:dyDescent="0.25">
      <c r="A525" s="10" t="s">
        <v>118</v>
      </c>
      <c r="B525" s="10" t="s">
        <v>826</v>
      </c>
      <c r="C525" s="10" t="s">
        <v>76</v>
      </c>
      <c r="D525" s="11">
        <v>2024</v>
      </c>
      <c r="E525" s="10" t="s">
        <v>81</v>
      </c>
      <c r="F525" s="10" t="s">
        <v>83</v>
      </c>
      <c r="G525" s="10" t="s">
        <v>84</v>
      </c>
      <c r="H525" s="12">
        <v>946.33333333333303</v>
      </c>
      <c r="I525" s="11">
        <v>42</v>
      </c>
      <c r="J525" s="11">
        <v>38</v>
      </c>
      <c r="K525" s="11">
        <v>0</v>
      </c>
      <c r="L525" s="11">
        <v>4.4381824586121901E-2</v>
      </c>
      <c r="M525" s="11">
        <f t="shared" si="2"/>
        <v>4.4381824586121885</v>
      </c>
      <c r="N525" s="11">
        <v>0.90476190476190499</v>
      </c>
      <c r="O525" s="11">
        <v>0</v>
      </c>
      <c r="P525" s="11">
        <v>0.45777027027027001</v>
      </c>
      <c r="Q525" s="11">
        <v>0.5</v>
      </c>
      <c r="R525" s="11">
        <v>0.50775193798449603</v>
      </c>
      <c r="S525" s="10" t="s">
        <v>84</v>
      </c>
      <c r="T525" s="10" t="s">
        <v>84</v>
      </c>
      <c r="U525" s="10"/>
      <c r="V525" s="10"/>
      <c r="W525" s="10"/>
      <c r="X525" s="10"/>
      <c r="Y525" s="10"/>
      <c r="Z525" s="10"/>
      <c r="AA525" s="10"/>
    </row>
    <row r="526" spans="1:27" ht="12.5" x14ac:dyDescent="0.25">
      <c r="A526" s="10" t="s">
        <v>19</v>
      </c>
      <c r="B526" s="10" t="s">
        <v>828</v>
      </c>
      <c r="C526" s="10" t="s">
        <v>76</v>
      </c>
      <c r="D526" s="11">
        <v>2024</v>
      </c>
      <c r="E526" s="10" t="s">
        <v>81</v>
      </c>
      <c r="F526" s="10" t="s">
        <v>83</v>
      </c>
      <c r="G526" s="10" t="s">
        <v>84</v>
      </c>
      <c r="H526" s="12">
        <v>33216.25</v>
      </c>
      <c r="I526" s="11">
        <v>1472</v>
      </c>
      <c r="J526" s="11">
        <v>1478</v>
      </c>
      <c r="K526" s="11">
        <v>40325</v>
      </c>
      <c r="L526" s="11">
        <v>4.4315658751364201E-2</v>
      </c>
      <c r="M526" s="11">
        <f t="shared" si="2"/>
        <v>4.4315658751364166</v>
      </c>
      <c r="N526" s="11">
        <v>1.00407608695652</v>
      </c>
      <c r="O526" s="11">
        <v>1.21401422496519</v>
      </c>
      <c r="P526" s="11">
        <v>0.45692567567567599</v>
      </c>
      <c r="Q526" s="11">
        <v>0.11111111111111099</v>
      </c>
      <c r="R526" s="11">
        <v>0.50581395348837199</v>
      </c>
      <c r="S526" s="10" t="s">
        <v>84</v>
      </c>
      <c r="T526" s="10" t="s">
        <v>84</v>
      </c>
      <c r="U526" s="10"/>
      <c r="V526" s="10"/>
      <c r="W526" s="10"/>
      <c r="X526" s="10"/>
      <c r="Y526" s="10"/>
      <c r="Z526" s="10"/>
      <c r="AA526" s="10"/>
    </row>
    <row r="527" spans="1:27" ht="12.5" x14ac:dyDescent="0.25">
      <c r="A527" s="10" t="s">
        <v>77</v>
      </c>
      <c r="B527" s="10" t="s">
        <v>830</v>
      </c>
      <c r="C527" s="10" t="s">
        <v>76</v>
      </c>
      <c r="D527" s="11">
        <v>2024</v>
      </c>
      <c r="E527" s="10" t="s">
        <v>81</v>
      </c>
      <c r="F527" s="10" t="s">
        <v>83</v>
      </c>
      <c r="G527" s="10" t="s">
        <v>84</v>
      </c>
      <c r="H527" s="12">
        <v>11092</v>
      </c>
      <c r="I527" s="11">
        <v>488</v>
      </c>
      <c r="J527" s="11">
        <v>447</v>
      </c>
      <c r="K527" s="11">
        <v>6202</v>
      </c>
      <c r="L527" s="11">
        <v>4.3995672556797698E-2</v>
      </c>
      <c r="M527" s="11">
        <f t="shared" si="2"/>
        <v>4.3995672556797691</v>
      </c>
      <c r="N527" s="11">
        <v>0.91598360655737698</v>
      </c>
      <c r="O527" s="11">
        <v>0.55914172376487603</v>
      </c>
      <c r="P527" s="11">
        <v>0.45608108108108097</v>
      </c>
      <c r="Q527" s="11">
        <v>0.67857142857142905</v>
      </c>
      <c r="R527" s="11">
        <v>0.50387596899224796</v>
      </c>
      <c r="S527" s="10" t="s">
        <v>84</v>
      </c>
      <c r="T527" s="10" t="s">
        <v>84</v>
      </c>
      <c r="U527" s="10"/>
      <c r="V527" s="10"/>
      <c r="W527" s="10"/>
      <c r="X527" s="10"/>
      <c r="Y527" s="10"/>
      <c r="Z527" s="10"/>
      <c r="AA527" s="10"/>
    </row>
    <row r="528" spans="1:27" ht="12.5" x14ac:dyDescent="0.25">
      <c r="A528" s="10" t="s">
        <v>22</v>
      </c>
      <c r="B528" s="10" t="s">
        <v>970</v>
      </c>
      <c r="C528" s="10" t="s">
        <v>76</v>
      </c>
      <c r="D528" s="11">
        <v>2024</v>
      </c>
      <c r="E528" s="10" t="s">
        <v>124</v>
      </c>
      <c r="F528" s="10" t="s">
        <v>83</v>
      </c>
      <c r="G528" s="10" t="s">
        <v>84</v>
      </c>
      <c r="H528" s="12">
        <v>8273.0833333333303</v>
      </c>
      <c r="I528" s="11">
        <v>363</v>
      </c>
      <c r="J528" s="11">
        <v>352</v>
      </c>
      <c r="K528" s="11">
        <v>10594</v>
      </c>
      <c r="L528" s="11">
        <v>4.3877232390181001E-2</v>
      </c>
      <c r="M528" s="11">
        <f t="shared" si="2"/>
        <v>4.3877232390181025</v>
      </c>
      <c r="N528" s="11">
        <v>0.96969696969696995</v>
      </c>
      <c r="O528" s="11">
        <v>1.2805382918500801</v>
      </c>
      <c r="P528" s="11">
        <v>0.45523648648648701</v>
      </c>
      <c r="Q528" s="11">
        <v>0.28571428571428598</v>
      </c>
      <c r="R528" s="11">
        <v>0.351230425055928</v>
      </c>
      <c r="S528" s="10" t="s">
        <v>84</v>
      </c>
      <c r="T528" s="10" t="s">
        <v>84</v>
      </c>
      <c r="U528" s="10"/>
      <c r="V528" s="10"/>
      <c r="W528" s="10"/>
      <c r="X528" s="10"/>
      <c r="Y528" s="10"/>
      <c r="Z528" s="10"/>
      <c r="AA528" s="10"/>
    </row>
    <row r="529" spans="1:27" ht="12.5" x14ac:dyDescent="0.25">
      <c r="A529" s="10" t="s">
        <v>14</v>
      </c>
      <c r="B529" s="10" t="s">
        <v>832</v>
      </c>
      <c r="C529" s="10" t="s">
        <v>76</v>
      </c>
      <c r="D529" s="11">
        <v>2024</v>
      </c>
      <c r="E529" s="10" t="s">
        <v>81</v>
      </c>
      <c r="F529" s="10" t="s">
        <v>83</v>
      </c>
      <c r="G529" s="10" t="s">
        <v>84</v>
      </c>
      <c r="H529" s="12">
        <v>24525.583333333299</v>
      </c>
      <c r="I529" s="11">
        <v>1076</v>
      </c>
      <c r="J529" s="11">
        <v>923</v>
      </c>
      <c r="K529" s="11">
        <v>24200</v>
      </c>
      <c r="L529" s="11">
        <v>4.3872554849188103E-2</v>
      </c>
      <c r="M529" s="11">
        <f t="shared" si="2"/>
        <v>4.387255484918815</v>
      </c>
      <c r="N529" s="11">
        <v>0.85780669144981403</v>
      </c>
      <c r="O529" s="11">
        <v>0.98672474660813403</v>
      </c>
      <c r="P529" s="11">
        <v>0.454391891891892</v>
      </c>
      <c r="Q529" s="11">
        <v>0.107142857142857</v>
      </c>
      <c r="R529" s="11">
        <v>0.50193798449612403</v>
      </c>
      <c r="S529" s="10" t="s">
        <v>84</v>
      </c>
      <c r="T529" s="10" t="s">
        <v>84</v>
      </c>
      <c r="U529" s="10"/>
      <c r="V529" s="10"/>
      <c r="W529" s="10"/>
      <c r="X529" s="10"/>
      <c r="Y529" s="10"/>
      <c r="Z529" s="10"/>
      <c r="AA529" s="10"/>
    </row>
    <row r="530" spans="1:27" ht="12.5" x14ac:dyDescent="0.25">
      <c r="A530" s="10" t="s">
        <v>36</v>
      </c>
      <c r="B530" s="10" t="s">
        <v>833</v>
      </c>
      <c r="C530" s="10" t="s">
        <v>76</v>
      </c>
      <c r="D530" s="11">
        <v>2024</v>
      </c>
      <c r="E530" s="10" t="s">
        <v>81</v>
      </c>
      <c r="F530" s="10" t="s">
        <v>83</v>
      </c>
      <c r="G530" s="10" t="s">
        <v>84</v>
      </c>
      <c r="H530" s="12">
        <v>13694.583333333299</v>
      </c>
      <c r="I530" s="11">
        <v>597</v>
      </c>
      <c r="J530" s="11">
        <v>388</v>
      </c>
      <c r="K530" s="11">
        <v>0</v>
      </c>
      <c r="L530" s="11">
        <v>4.3593878358231697E-2</v>
      </c>
      <c r="M530" s="11">
        <f t="shared" si="2"/>
        <v>4.3593878358231768</v>
      </c>
      <c r="N530" s="11">
        <v>0.64991624790619795</v>
      </c>
      <c r="O530" s="11">
        <v>0</v>
      </c>
      <c r="P530" s="11">
        <v>0.45270270270270302</v>
      </c>
      <c r="Q530" s="11">
        <v>0.27659574468085102</v>
      </c>
      <c r="R530" s="11">
        <v>0.5</v>
      </c>
      <c r="S530" s="10" t="s">
        <v>84</v>
      </c>
      <c r="T530" s="10" t="s">
        <v>84</v>
      </c>
      <c r="U530" s="10"/>
      <c r="V530" s="10"/>
      <c r="W530" s="10"/>
      <c r="X530" s="10"/>
      <c r="Y530" s="10"/>
      <c r="Z530" s="10"/>
      <c r="AA530" s="10"/>
    </row>
    <row r="531" spans="1:27" ht="12.5" x14ac:dyDescent="0.25">
      <c r="A531" s="10" t="s">
        <v>67</v>
      </c>
      <c r="B531" s="10" t="s">
        <v>835</v>
      </c>
      <c r="C531" s="10" t="s">
        <v>76</v>
      </c>
      <c r="D531" s="11">
        <v>2024</v>
      </c>
      <c r="E531" s="10" t="s">
        <v>81</v>
      </c>
      <c r="F531" s="10" t="s">
        <v>83</v>
      </c>
      <c r="G531" s="10" t="s">
        <v>84</v>
      </c>
      <c r="H531" s="12">
        <v>25628.416666666701</v>
      </c>
      <c r="I531" s="11">
        <v>1108</v>
      </c>
      <c r="J531" s="11">
        <v>944</v>
      </c>
      <c r="K531" s="11">
        <v>13551</v>
      </c>
      <c r="L531" s="11">
        <v>4.3233259955583199E-2</v>
      </c>
      <c r="M531" s="11">
        <f t="shared" si="2"/>
        <v>4.3233259955583101</v>
      </c>
      <c r="N531" s="11">
        <v>0.85198555956678701</v>
      </c>
      <c r="O531" s="11">
        <v>0.52874901232681204</v>
      </c>
      <c r="P531" s="11">
        <v>0.45101351351351299</v>
      </c>
      <c r="Q531" s="11">
        <v>0.57142857142857095</v>
      </c>
      <c r="R531" s="11">
        <v>0.49806201550387602</v>
      </c>
      <c r="S531" s="10" t="s">
        <v>84</v>
      </c>
      <c r="T531" s="10" t="s">
        <v>84</v>
      </c>
      <c r="U531" s="10"/>
      <c r="V531" s="10"/>
      <c r="W531" s="10"/>
      <c r="X531" s="10"/>
      <c r="Y531" s="10"/>
      <c r="Z531" s="10"/>
      <c r="AA531" s="10"/>
    </row>
    <row r="532" spans="1:27" ht="12.5" x14ac:dyDescent="0.25">
      <c r="A532" s="10" t="s">
        <v>53</v>
      </c>
      <c r="B532" s="10" t="s">
        <v>971</v>
      </c>
      <c r="C532" s="10" t="s">
        <v>76</v>
      </c>
      <c r="D532" s="11">
        <v>2024</v>
      </c>
      <c r="E532" s="10" t="s">
        <v>124</v>
      </c>
      <c r="F532" s="10" t="s">
        <v>125</v>
      </c>
      <c r="G532" s="10" t="s">
        <v>84</v>
      </c>
      <c r="H532" s="12">
        <v>696.33333333333303</v>
      </c>
      <c r="I532" s="11">
        <v>30</v>
      </c>
      <c r="J532" s="11">
        <v>26</v>
      </c>
      <c r="K532" s="11">
        <v>216</v>
      </c>
      <c r="L532" s="11">
        <v>4.3082814743896601E-2</v>
      </c>
      <c r="M532" s="11">
        <f t="shared" si="2"/>
        <v>4.3082814743896618</v>
      </c>
      <c r="N532" s="11">
        <v>0.86666666666666703</v>
      </c>
      <c r="O532" s="11">
        <v>0.310196266156056</v>
      </c>
      <c r="P532" s="11">
        <v>0.45016891891891903</v>
      </c>
      <c r="Q532" s="11">
        <v>0.95</v>
      </c>
      <c r="R532" s="11">
        <v>0.34899328859060402</v>
      </c>
      <c r="S532" s="10" t="s">
        <v>84</v>
      </c>
      <c r="T532" s="10" t="s">
        <v>84</v>
      </c>
      <c r="U532" s="10"/>
      <c r="V532" s="10"/>
      <c r="W532" s="10"/>
      <c r="X532" s="10"/>
      <c r="Y532" s="10"/>
      <c r="Z532" s="10"/>
      <c r="AA532" s="10"/>
    </row>
    <row r="533" spans="1:27" ht="12.5" x14ac:dyDescent="0.25">
      <c r="A533" s="10" t="s">
        <v>58</v>
      </c>
      <c r="B533" s="10" t="s">
        <v>837</v>
      </c>
      <c r="C533" s="10" t="s">
        <v>76</v>
      </c>
      <c r="D533" s="11">
        <v>2024</v>
      </c>
      <c r="E533" s="10" t="s">
        <v>81</v>
      </c>
      <c r="F533" s="10" t="s">
        <v>83</v>
      </c>
      <c r="G533" s="10" t="s">
        <v>84</v>
      </c>
      <c r="H533" s="12">
        <v>15397.5</v>
      </c>
      <c r="I533" s="11">
        <v>663</v>
      </c>
      <c r="J533" s="11">
        <v>457</v>
      </c>
      <c r="K533" s="11">
        <v>20866</v>
      </c>
      <c r="L533" s="11">
        <v>4.3058938139308299E-2</v>
      </c>
      <c r="M533" s="11">
        <f t="shared" si="2"/>
        <v>4.3058938139308323</v>
      </c>
      <c r="N533" s="11">
        <v>0.68929110105580704</v>
      </c>
      <c r="O533" s="11">
        <v>1.3551550576392299</v>
      </c>
      <c r="P533" s="11">
        <v>0.44932432432432401</v>
      </c>
      <c r="Q533" s="11">
        <v>0.135135135135135</v>
      </c>
      <c r="R533" s="11">
        <v>0.49612403100775199</v>
      </c>
      <c r="S533" s="10" t="s">
        <v>84</v>
      </c>
      <c r="T533" s="10" t="s">
        <v>84</v>
      </c>
      <c r="U533" s="10"/>
      <c r="V533" s="10"/>
      <c r="W533" s="10"/>
      <c r="X533" s="10"/>
      <c r="Y533" s="10"/>
      <c r="Z533" s="10"/>
      <c r="AA533" s="10"/>
    </row>
    <row r="534" spans="1:27" ht="12.5" x14ac:dyDescent="0.25">
      <c r="A534" s="10" t="s">
        <v>104</v>
      </c>
      <c r="B534" s="10" t="s">
        <v>840</v>
      </c>
      <c r="C534" s="10" t="s">
        <v>76</v>
      </c>
      <c r="D534" s="11">
        <v>2024</v>
      </c>
      <c r="E534" s="10" t="s">
        <v>81</v>
      </c>
      <c r="F534" s="10" t="s">
        <v>83</v>
      </c>
      <c r="G534" s="10" t="s">
        <v>84</v>
      </c>
      <c r="H534" s="12">
        <v>29327.25</v>
      </c>
      <c r="I534" s="11">
        <v>1262</v>
      </c>
      <c r="J534" s="11">
        <v>1074</v>
      </c>
      <c r="K534" s="11">
        <v>3420</v>
      </c>
      <c r="L534" s="11">
        <v>4.3031651450442798E-2</v>
      </c>
      <c r="M534" s="11">
        <f t="shared" si="2"/>
        <v>4.3031651450442849</v>
      </c>
      <c r="N534" s="11">
        <v>0.85103011093502401</v>
      </c>
      <c r="O534" s="11">
        <v>0.116615093471089</v>
      </c>
      <c r="P534" s="11">
        <v>0.44847972972972999</v>
      </c>
      <c r="Q534" s="11">
        <v>0.48275862068965503</v>
      </c>
      <c r="R534" s="11">
        <v>0.49418604651162801</v>
      </c>
      <c r="S534" s="10" t="s">
        <v>84</v>
      </c>
      <c r="T534" s="10" t="s">
        <v>84</v>
      </c>
      <c r="U534" s="10"/>
      <c r="V534" s="10"/>
      <c r="W534" s="10"/>
      <c r="X534" s="10"/>
      <c r="Y534" s="10"/>
      <c r="Z534" s="10"/>
      <c r="AA534" s="10"/>
    </row>
    <row r="535" spans="1:27" ht="12.5" x14ac:dyDescent="0.25">
      <c r="A535" s="10" t="s">
        <v>19</v>
      </c>
      <c r="B535" s="10" t="s">
        <v>841</v>
      </c>
      <c r="C535" s="10" t="s">
        <v>76</v>
      </c>
      <c r="D535" s="11">
        <v>2024</v>
      </c>
      <c r="E535" s="10" t="s">
        <v>81</v>
      </c>
      <c r="F535" s="10" t="s">
        <v>83</v>
      </c>
      <c r="G535" s="10" t="s">
        <v>84</v>
      </c>
      <c r="H535" s="12">
        <v>41322.833333333299</v>
      </c>
      <c r="I535" s="11">
        <v>1772</v>
      </c>
      <c r="J535" s="11">
        <v>1470</v>
      </c>
      <c r="K535" s="11">
        <v>7365</v>
      </c>
      <c r="L535" s="11">
        <v>4.28818611179453E-2</v>
      </c>
      <c r="M535" s="11">
        <f t="shared" si="2"/>
        <v>4.2881861117945324</v>
      </c>
      <c r="N535" s="11">
        <v>0.829571106094808</v>
      </c>
      <c r="O535" s="11">
        <v>0.178230760233446</v>
      </c>
      <c r="P535" s="11">
        <v>0.44763513513513498</v>
      </c>
      <c r="Q535" s="11">
        <v>5.5555555555555601E-2</v>
      </c>
      <c r="R535" s="11">
        <v>0.49224806201550397</v>
      </c>
      <c r="S535" s="10" t="s">
        <v>84</v>
      </c>
      <c r="T535" s="10" t="s">
        <v>84</v>
      </c>
      <c r="U535" s="10"/>
      <c r="V535" s="10"/>
      <c r="W535" s="10"/>
      <c r="X535" s="10"/>
      <c r="Y535" s="10"/>
      <c r="Z535" s="10"/>
      <c r="AA535" s="10"/>
    </row>
    <row r="536" spans="1:27" ht="12.5" x14ac:dyDescent="0.25">
      <c r="A536" s="10" t="s">
        <v>6</v>
      </c>
      <c r="B536" s="10" t="s">
        <v>973</v>
      </c>
      <c r="C536" s="10" t="s">
        <v>76</v>
      </c>
      <c r="D536" s="11">
        <v>2024</v>
      </c>
      <c r="E536" s="10" t="s">
        <v>124</v>
      </c>
      <c r="F536" s="10" t="s">
        <v>125</v>
      </c>
      <c r="G536" s="10" t="s">
        <v>84</v>
      </c>
      <c r="H536" s="12">
        <v>1493.1666666666699</v>
      </c>
      <c r="I536" s="11">
        <v>64</v>
      </c>
      <c r="J536" s="11">
        <v>63</v>
      </c>
      <c r="K536" s="11">
        <v>1956</v>
      </c>
      <c r="L536" s="11">
        <v>4.2861926554302897E-2</v>
      </c>
      <c r="M536" s="11">
        <f t="shared" si="2"/>
        <v>4.286192655430284</v>
      </c>
      <c r="N536" s="11">
        <v>0.984375</v>
      </c>
      <c r="O536" s="11">
        <v>1.30996763031588</v>
      </c>
      <c r="P536" s="11">
        <v>0.44679054054054002</v>
      </c>
      <c r="Q536" s="11">
        <v>0.61290322580645196</v>
      </c>
      <c r="R536" s="11">
        <v>0.34675615212527999</v>
      </c>
      <c r="S536" s="10" t="s">
        <v>84</v>
      </c>
      <c r="T536" s="10" t="s">
        <v>84</v>
      </c>
      <c r="U536" s="10"/>
      <c r="V536" s="10"/>
      <c r="W536" s="10"/>
      <c r="X536" s="10"/>
      <c r="Y536" s="10"/>
      <c r="Z536" s="10"/>
      <c r="AA536" s="10"/>
    </row>
    <row r="537" spans="1:27" ht="12.5" hidden="1" x14ac:dyDescent="0.25">
      <c r="A537" s="10" t="s">
        <v>110</v>
      </c>
      <c r="B537" s="10" t="s">
        <v>1402</v>
      </c>
      <c r="C537" s="10" t="s">
        <v>76</v>
      </c>
      <c r="D537" s="11">
        <v>2024</v>
      </c>
      <c r="E537" s="10" t="s">
        <v>257</v>
      </c>
      <c r="F537" s="10" t="s">
        <v>83</v>
      </c>
      <c r="G537" s="10" t="s">
        <v>84</v>
      </c>
      <c r="H537" s="12">
        <v>18132.666666666701</v>
      </c>
      <c r="I537" s="11">
        <v>777</v>
      </c>
      <c r="J537" s="11">
        <v>705</v>
      </c>
      <c r="K537" s="11">
        <v>5315</v>
      </c>
      <c r="L537" s="11">
        <v>4.2850840104415602E-2</v>
      </c>
      <c r="M537" s="11">
        <f t="shared" si="2"/>
        <v>4.2850840104415528</v>
      </c>
      <c r="N537" s="11">
        <v>0.90733590733590697</v>
      </c>
      <c r="O537" s="11">
        <v>0.29311739402183901</v>
      </c>
      <c r="P537" s="11">
        <v>0.445945945945946</v>
      </c>
      <c r="Q537" s="11">
        <v>0.63636363636363602</v>
      </c>
      <c r="R537" s="11">
        <v>0.54545454545454497</v>
      </c>
      <c r="S537" s="10" t="s">
        <v>84</v>
      </c>
      <c r="T537" s="10" t="s">
        <v>84</v>
      </c>
      <c r="U537" s="10"/>
      <c r="V537" s="10"/>
      <c r="W537" s="10"/>
      <c r="X537" s="10"/>
      <c r="Y537" s="10"/>
      <c r="Z537" s="10"/>
      <c r="AA537" s="10"/>
    </row>
    <row r="538" spans="1:27" ht="12.5" x14ac:dyDescent="0.25">
      <c r="A538" s="10" t="s">
        <v>104</v>
      </c>
      <c r="B538" s="10" t="s">
        <v>826</v>
      </c>
      <c r="C538" s="10" t="s">
        <v>76</v>
      </c>
      <c r="D538" s="11">
        <v>2024</v>
      </c>
      <c r="E538" s="10" t="s">
        <v>81</v>
      </c>
      <c r="F538" s="10" t="s">
        <v>83</v>
      </c>
      <c r="G538" s="10" t="s">
        <v>84</v>
      </c>
      <c r="H538" s="12">
        <v>12898.5</v>
      </c>
      <c r="I538" s="11">
        <v>551</v>
      </c>
      <c r="J538" s="11">
        <v>491</v>
      </c>
      <c r="K538" s="11">
        <v>3018</v>
      </c>
      <c r="L538" s="11">
        <v>4.2718145520797002E-2</v>
      </c>
      <c r="M538" s="11">
        <f t="shared" si="2"/>
        <v>4.2718145520796993</v>
      </c>
      <c r="N538" s="11">
        <v>0.89110707803992695</v>
      </c>
      <c r="O538" s="11">
        <v>0.23398069542970101</v>
      </c>
      <c r="P538" s="11">
        <v>0.44510135135135098</v>
      </c>
      <c r="Q538" s="11">
        <v>0.44827586206896602</v>
      </c>
      <c r="R538" s="11">
        <v>0.49031007751937999</v>
      </c>
      <c r="S538" s="10" t="s">
        <v>84</v>
      </c>
      <c r="T538" s="10" t="s">
        <v>84</v>
      </c>
      <c r="U538" s="10"/>
      <c r="V538" s="10"/>
      <c r="W538" s="10"/>
      <c r="X538" s="10"/>
      <c r="Y538" s="10"/>
      <c r="Z538" s="10"/>
      <c r="AA538" s="10"/>
    </row>
    <row r="539" spans="1:27" ht="12.5" x14ac:dyDescent="0.25">
      <c r="A539" s="10" t="s">
        <v>58</v>
      </c>
      <c r="B539" s="10" t="s">
        <v>844</v>
      </c>
      <c r="C539" s="10" t="s">
        <v>76</v>
      </c>
      <c r="D539" s="11">
        <v>2024</v>
      </c>
      <c r="E539" s="10" t="s">
        <v>81</v>
      </c>
      <c r="F539" s="10" t="s">
        <v>83</v>
      </c>
      <c r="G539" s="10" t="s">
        <v>84</v>
      </c>
      <c r="H539" s="12">
        <v>28085</v>
      </c>
      <c r="I539" s="11">
        <v>1199</v>
      </c>
      <c r="J539" s="11">
        <v>876</v>
      </c>
      <c r="K539" s="11">
        <v>54760</v>
      </c>
      <c r="L539" s="11">
        <v>4.26918283781378E-2</v>
      </c>
      <c r="M539" s="11">
        <f t="shared" si="2"/>
        <v>4.2691828378137791</v>
      </c>
      <c r="N539" s="11">
        <v>0.73060884070058396</v>
      </c>
      <c r="O539" s="11">
        <v>1.9497952643759999</v>
      </c>
      <c r="P539" s="11">
        <v>0.44425675675675702</v>
      </c>
      <c r="Q539" s="11">
        <v>0.108108108108108</v>
      </c>
      <c r="R539" s="11">
        <v>0.48837209302325602</v>
      </c>
      <c r="S539" s="10" t="s">
        <v>84</v>
      </c>
      <c r="T539" s="10" t="s">
        <v>84</v>
      </c>
      <c r="U539" s="10"/>
      <c r="V539" s="10"/>
      <c r="W539" s="10"/>
      <c r="X539" s="10"/>
      <c r="Y539" s="10"/>
      <c r="Z539" s="10"/>
      <c r="AA539" s="10"/>
    </row>
    <row r="540" spans="1:27" ht="12.5" x14ac:dyDescent="0.25">
      <c r="A540" s="10" t="s">
        <v>52</v>
      </c>
      <c r="B540" s="10" t="s">
        <v>846</v>
      </c>
      <c r="C540" s="10" t="s">
        <v>76</v>
      </c>
      <c r="D540" s="11">
        <v>2024</v>
      </c>
      <c r="E540" s="10" t="s">
        <v>81</v>
      </c>
      <c r="F540" s="10" t="s">
        <v>83</v>
      </c>
      <c r="G540" s="10" t="s">
        <v>84</v>
      </c>
      <c r="H540" s="12">
        <v>25753.833333333299</v>
      </c>
      <c r="I540" s="11">
        <v>1099</v>
      </c>
      <c r="J540" s="11">
        <v>854</v>
      </c>
      <c r="K540" s="11">
        <v>29751</v>
      </c>
      <c r="L540" s="11">
        <v>4.2673258997042503E-2</v>
      </c>
      <c r="M540" s="11">
        <f t="shared" si="2"/>
        <v>4.2673258997042565</v>
      </c>
      <c r="N540" s="11">
        <v>0.77707006369426801</v>
      </c>
      <c r="O540" s="11">
        <v>1.15520666826298</v>
      </c>
      <c r="P540" s="11">
        <v>0.443412162162162</v>
      </c>
      <c r="Q540" s="11">
        <v>0.29787234042553201</v>
      </c>
      <c r="R540" s="11">
        <v>0.48643410852713198</v>
      </c>
      <c r="S540" s="10" t="s">
        <v>84</v>
      </c>
      <c r="T540" s="10" t="s">
        <v>84</v>
      </c>
      <c r="U540" s="10"/>
      <c r="V540" s="10"/>
      <c r="W540" s="10"/>
      <c r="X540" s="10"/>
      <c r="Y540" s="10"/>
      <c r="Z540" s="10"/>
      <c r="AA540" s="10"/>
    </row>
    <row r="541" spans="1:27" ht="12.5" x14ac:dyDescent="0.25">
      <c r="A541" s="10" t="s">
        <v>77</v>
      </c>
      <c r="B541" s="10" t="s">
        <v>976</v>
      </c>
      <c r="C541" s="10" t="s">
        <v>76</v>
      </c>
      <c r="D541" s="11">
        <v>2024</v>
      </c>
      <c r="E541" s="10" t="s">
        <v>124</v>
      </c>
      <c r="F541" s="10" t="s">
        <v>83</v>
      </c>
      <c r="G541" s="10" t="s">
        <v>84</v>
      </c>
      <c r="H541" s="12">
        <v>63155.75</v>
      </c>
      <c r="I541" s="11">
        <v>2670</v>
      </c>
      <c r="J541" s="11">
        <v>2448</v>
      </c>
      <c r="K541" s="11">
        <v>67571</v>
      </c>
      <c r="L541" s="11">
        <v>4.2276435637293497E-2</v>
      </c>
      <c r="M541" s="11">
        <f t="shared" si="2"/>
        <v>4.2276435637293517</v>
      </c>
      <c r="N541" s="11">
        <v>0.91685393258426995</v>
      </c>
      <c r="O541" s="11">
        <v>1.06991049904403</v>
      </c>
      <c r="P541" s="11">
        <v>0.44003378378378399</v>
      </c>
      <c r="Q541" s="11">
        <v>0.64285714285714302</v>
      </c>
      <c r="R541" s="11">
        <v>0.34451901565995502</v>
      </c>
      <c r="S541" s="10" t="s">
        <v>84</v>
      </c>
      <c r="T541" s="10" t="s">
        <v>84</v>
      </c>
      <c r="U541" s="10"/>
      <c r="V541" s="10"/>
      <c r="W541" s="10"/>
      <c r="X541" s="10"/>
      <c r="Y541" s="10"/>
      <c r="Z541" s="10"/>
      <c r="AA541" s="10"/>
    </row>
    <row r="542" spans="1:27" ht="12.5" x14ac:dyDescent="0.25">
      <c r="A542" s="10" t="s">
        <v>92</v>
      </c>
      <c r="B542" s="10" t="s">
        <v>978</v>
      </c>
      <c r="C542" s="10" t="s">
        <v>76</v>
      </c>
      <c r="D542" s="11">
        <v>2024</v>
      </c>
      <c r="E542" s="10" t="s">
        <v>124</v>
      </c>
      <c r="F542" s="10" t="s">
        <v>83</v>
      </c>
      <c r="G542" s="10" t="s">
        <v>84</v>
      </c>
      <c r="H542" s="12">
        <v>16200</v>
      </c>
      <c r="I542" s="11">
        <v>684</v>
      </c>
      <c r="J542" s="11">
        <v>617</v>
      </c>
      <c r="K542" s="11">
        <v>11917</v>
      </c>
      <c r="L542" s="11">
        <v>4.2222222222222203E-2</v>
      </c>
      <c r="M542" s="11">
        <f t="shared" si="2"/>
        <v>4.2222222222222223</v>
      </c>
      <c r="N542" s="11">
        <v>0.90204678362573099</v>
      </c>
      <c r="O542" s="11">
        <v>0.73561728395061698</v>
      </c>
      <c r="P542" s="11">
        <v>0.43918918918918898</v>
      </c>
      <c r="Q542" s="11">
        <v>0.77777777777777801</v>
      </c>
      <c r="R542" s="11">
        <v>0.34228187919463099</v>
      </c>
      <c r="S542" s="10" t="s">
        <v>84</v>
      </c>
      <c r="T542" s="10" t="s">
        <v>84</v>
      </c>
      <c r="U542" s="10"/>
      <c r="V542" s="10"/>
      <c r="W542" s="10"/>
      <c r="X542" s="10"/>
      <c r="Y542" s="10"/>
      <c r="Z542" s="10"/>
      <c r="AA542" s="10"/>
    </row>
    <row r="543" spans="1:27" ht="12.5" x14ac:dyDescent="0.25">
      <c r="A543" s="10" t="s">
        <v>12</v>
      </c>
      <c r="B543" s="10" t="s">
        <v>848</v>
      </c>
      <c r="C543" s="10" t="s">
        <v>76</v>
      </c>
      <c r="D543" s="11">
        <v>2024</v>
      </c>
      <c r="E543" s="10" t="s">
        <v>81</v>
      </c>
      <c r="F543" s="10" t="s">
        <v>83</v>
      </c>
      <c r="G543" s="10" t="s">
        <v>84</v>
      </c>
      <c r="H543" s="12">
        <v>23771.75</v>
      </c>
      <c r="I543" s="11">
        <v>1002</v>
      </c>
      <c r="J543" s="11">
        <v>665</v>
      </c>
      <c r="K543" s="11">
        <v>43578</v>
      </c>
      <c r="L543" s="11">
        <v>4.2150872358997601E-2</v>
      </c>
      <c r="M543" s="11">
        <f t="shared" si="2"/>
        <v>4.2150872358997553</v>
      </c>
      <c r="N543" s="11">
        <v>0.66367265469061898</v>
      </c>
      <c r="O543" s="11">
        <v>1.8331843469664599</v>
      </c>
      <c r="P543" s="11">
        <v>0.43834459459459502</v>
      </c>
      <c r="Q543" s="11">
        <v>0.27777777777777801</v>
      </c>
      <c r="R543" s="11">
        <v>0.484496124031008</v>
      </c>
      <c r="S543" s="10" t="s">
        <v>84</v>
      </c>
      <c r="T543" s="10" t="s">
        <v>84</v>
      </c>
      <c r="U543" s="10"/>
      <c r="V543" s="10"/>
      <c r="W543" s="10"/>
      <c r="X543" s="10"/>
      <c r="Y543" s="10"/>
      <c r="Z543" s="10"/>
      <c r="AA543" s="10"/>
    </row>
    <row r="544" spans="1:27" ht="12.5" x14ac:dyDescent="0.25">
      <c r="A544" s="10" t="s">
        <v>82</v>
      </c>
      <c r="B544" s="10" t="s">
        <v>981</v>
      </c>
      <c r="C544" s="10" t="s">
        <v>76</v>
      </c>
      <c r="D544" s="11">
        <v>2024</v>
      </c>
      <c r="E544" s="10" t="s">
        <v>124</v>
      </c>
      <c r="F544" s="10" t="s">
        <v>83</v>
      </c>
      <c r="G544" s="10" t="s">
        <v>84</v>
      </c>
      <c r="H544" s="12">
        <v>2552.5</v>
      </c>
      <c r="I544" s="11">
        <v>107</v>
      </c>
      <c r="J544" s="11">
        <v>107</v>
      </c>
      <c r="K544" s="11">
        <v>187</v>
      </c>
      <c r="L544" s="11">
        <v>4.1919686581782599E-2</v>
      </c>
      <c r="M544" s="11">
        <f t="shared" si="2"/>
        <v>4.191968658178256</v>
      </c>
      <c r="N544" s="11">
        <v>1</v>
      </c>
      <c r="O544" s="11">
        <v>7.3261508325171407E-2</v>
      </c>
      <c r="P544" s="11">
        <v>0.4375</v>
      </c>
      <c r="Q544" s="11">
        <v>0.74137931034482796</v>
      </c>
      <c r="R544" s="11">
        <v>0.34004474272930701</v>
      </c>
      <c r="S544" s="10" t="s">
        <v>84</v>
      </c>
      <c r="T544" s="10" t="s">
        <v>84</v>
      </c>
      <c r="U544" s="10"/>
      <c r="V544" s="10"/>
      <c r="W544" s="10"/>
      <c r="X544" s="10"/>
      <c r="Y544" s="10"/>
      <c r="Z544" s="10"/>
      <c r="AA544" s="10"/>
    </row>
    <row r="545" spans="1:27" ht="12.5" x14ac:dyDescent="0.25">
      <c r="A545" s="10" t="s">
        <v>115</v>
      </c>
      <c r="B545" s="10" t="s">
        <v>850</v>
      </c>
      <c r="C545" s="10" t="s">
        <v>76</v>
      </c>
      <c r="D545" s="11">
        <v>2024</v>
      </c>
      <c r="E545" s="10" t="s">
        <v>81</v>
      </c>
      <c r="F545" s="10" t="s">
        <v>83</v>
      </c>
      <c r="G545" s="10" t="s">
        <v>84</v>
      </c>
      <c r="H545" s="12">
        <v>63317.25</v>
      </c>
      <c r="I545" s="11">
        <v>2654</v>
      </c>
      <c r="J545" s="11">
        <v>2632</v>
      </c>
      <c r="K545" s="11">
        <v>18207</v>
      </c>
      <c r="L545" s="11">
        <v>4.1915907592322797E-2</v>
      </c>
      <c r="M545" s="11">
        <f t="shared" si="2"/>
        <v>4.1915907592322794</v>
      </c>
      <c r="N545" s="11">
        <v>0.99171062547098698</v>
      </c>
      <c r="O545" s="11">
        <v>0.28755197043459702</v>
      </c>
      <c r="P545" s="11">
        <v>0.43665540540540498</v>
      </c>
      <c r="Q545" s="11">
        <v>1</v>
      </c>
      <c r="R545" s="11">
        <v>0.48255813953488402</v>
      </c>
      <c r="S545" s="10" t="s">
        <v>84</v>
      </c>
      <c r="T545" s="10" t="s">
        <v>84</v>
      </c>
      <c r="U545" s="10"/>
      <c r="V545" s="10"/>
      <c r="W545" s="10"/>
      <c r="X545" s="10"/>
      <c r="Y545" s="10"/>
      <c r="Z545" s="10"/>
      <c r="AA545" s="10"/>
    </row>
    <row r="546" spans="1:27" ht="12.5" x14ac:dyDescent="0.25">
      <c r="A546" s="10" t="s">
        <v>67</v>
      </c>
      <c r="B546" s="10" t="s">
        <v>851</v>
      </c>
      <c r="C546" s="10" t="s">
        <v>76</v>
      </c>
      <c r="D546" s="11">
        <v>2024</v>
      </c>
      <c r="E546" s="10" t="s">
        <v>81</v>
      </c>
      <c r="F546" s="10" t="s">
        <v>83</v>
      </c>
      <c r="G546" s="10" t="s">
        <v>84</v>
      </c>
      <c r="H546" s="12">
        <v>15865.166666666701</v>
      </c>
      <c r="I546" s="11">
        <v>655</v>
      </c>
      <c r="J546" s="11">
        <v>539</v>
      </c>
      <c r="K546" s="11">
        <v>8162</v>
      </c>
      <c r="L546" s="11">
        <v>4.1285415638033E-2</v>
      </c>
      <c r="M546" s="11">
        <f t="shared" si="2"/>
        <v>4.1285415638032914</v>
      </c>
      <c r="N546" s="11">
        <v>0.82290076335877904</v>
      </c>
      <c r="O546" s="11">
        <v>0.51446040066813004</v>
      </c>
      <c r="P546" s="11">
        <v>0.43496621621621601</v>
      </c>
      <c r="Q546" s="11">
        <v>0.476190476190476</v>
      </c>
      <c r="R546" s="11">
        <v>0.48062015503875999</v>
      </c>
      <c r="S546" s="10" t="s">
        <v>84</v>
      </c>
      <c r="T546" s="10" t="s">
        <v>84</v>
      </c>
      <c r="U546" s="10"/>
      <c r="V546" s="10"/>
      <c r="W546" s="10"/>
      <c r="X546" s="10"/>
      <c r="Y546" s="10"/>
      <c r="Z546" s="10"/>
      <c r="AA546" s="10"/>
    </row>
    <row r="547" spans="1:27" ht="12.5" x14ac:dyDescent="0.25">
      <c r="A547" s="10" t="s">
        <v>52</v>
      </c>
      <c r="B547" s="10" t="s">
        <v>983</v>
      </c>
      <c r="C547" s="10" t="s">
        <v>76</v>
      </c>
      <c r="D547" s="11">
        <v>2024</v>
      </c>
      <c r="E547" s="10" t="s">
        <v>124</v>
      </c>
      <c r="F547" s="10" t="s">
        <v>125</v>
      </c>
      <c r="G547" s="10" t="s">
        <v>84</v>
      </c>
      <c r="H547" s="12">
        <v>363.41666666666703</v>
      </c>
      <c r="I547" s="11">
        <v>15</v>
      </c>
      <c r="J547" s="11">
        <v>14</v>
      </c>
      <c r="K547" s="11">
        <v>789</v>
      </c>
      <c r="L547" s="11">
        <v>4.1274936941068603E-2</v>
      </c>
      <c r="M547" s="11">
        <f t="shared" si="2"/>
        <v>4.1274936941068523</v>
      </c>
      <c r="N547" s="11">
        <v>0.93333333333333302</v>
      </c>
      <c r="O547" s="11">
        <v>2.1710616831002101</v>
      </c>
      <c r="P547" s="11">
        <v>0.43412162162162199</v>
      </c>
      <c r="Q547" s="11">
        <v>0.27659574468085102</v>
      </c>
      <c r="R547" s="11">
        <v>0.33780760626398199</v>
      </c>
      <c r="S547" s="10" t="s">
        <v>84</v>
      </c>
      <c r="T547" s="10" t="s">
        <v>84</v>
      </c>
      <c r="U547" s="10"/>
      <c r="V547" s="10"/>
      <c r="W547" s="10"/>
      <c r="X547" s="10"/>
      <c r="Y547" s="10"/>
      <c r="Z547" s="10"/>
      <c r="AA547" s="10"/>
    </row>
    <row r="548" spans="1:27" ht="12.5" x14ac:dyDescent="0.25">
      <c r="A548" s="10" t="s">
        <v>65</v>
      </c>
      <c r="B548" s="10" t="s">
        <v>853</v>
      </c>
      <c r="C548" s="10" t="s">
        <v>76</v>
      </c>
      <c r="D548" s="11">
        <v>2024</v>
      </c>
      <c r="E548" s="10" t="s">
        <v>81</v>
      </c>
      <c r="F548" s="10" t="s">
        <v>83</v>
      </c>
      <c r="G548" s="10" t="s">
        <v>84</v>
      </c>
      <c r="H548" s="12">
        <v>2548.5</v>
      </c>
      <c r="I548" s="11">
        <v>105</v>
      </c>
      <c r="J548" s="11">
        <v>55</v>
      </c>
      <c r="K548" s="11">
        <v>5954</v>
      </c>
      <c r="L548" s="11">
        <v>4.1200706297822201E-2</v>
      </c>
      <c r="M548" s="11">
        <f t="shared" si="2"/>
        <v>4.1200706297822247</v>
      </c>
      <c r="N548" s="11">
        <v>0.52380952380952395</v>
      </c>
      <c r="O548" s="11">
        <v>2.33627624092603</v>
      </c>
      <c r="P548" s="11">
        <v>0.43327702702702697</v>
      </c>
      <c r="Q548" s="11">
        <v>0.38461538461538503</v>
      </c>
      <c r="R548" s="11">
        <v>0.47868217054263601</v>
      </c>
      <c r="S548" s="10" t="s">
        <v>84</v>
      </c>
      <c r="T548" s="10" t="s">
        <v>84</v>
      </c>
      <c r="U548" s="10"/>
      <c r="V548" s="10"/>
      <c r="W548" s="10"/>
      <c r="X548" s="10"/>
      <c r="Y548" s="10"/>
      <c r="Z548" s="10"/>
      <c r="AA548" s="10"/>
    </row>
    <row r="549" spans="1:27" ht="12.5" x14ac:dyDescent="0.25">
      <c r="A549" s="10" t="s">
        <v>103</v>
      </c>
      <c r="B549" s="10" t="s">
        <v>986</v>
      </c>
      <c r="C549" s="10" t="s">
        <v>76</v>
      </c>
      <c r="D549" s="11">
        <v>2024</v>
      </c>
      <c r="E549" s="10" t="s">
        <v>124</v>
      </c>
      <c r="F549" s="10" t="s">
        <v>83</v>
      </c>
      <c r="G549" s="10" t="s">
        <v>84</v>
      </c>
      <c r="H549" s="12">
        <v>35614.166666666701</v>
      </c>
      <c r="I549" s="11">
        <v>1450</v>
      </c>
      <c r="J549" s="11">
        <v>1617</v>
      </c>
      <c r="K549" s="11">
        <v>15682</v>
      </c>
      <c r="L549" s="11">
        <v>4.07141352926036E-2</v>
      </c>
      <c r="M549" s="11">
        <f t="shared" si="2"/>
        <v>4.0714135292603562</v>
      </c>
      <c r="N549" s="11">
        <v>1.1151724137931001</v>
      </c>
      <c r="O549" s="11">
        <v>0.44033039286800701</v>
      </c>
      <c r="P549" s="11">
        <v>0.431587837837838</v>
      </c>
      <c r="Q549" s="11">
        <v>0.434782608695652</v>
      </c>
      <c r="R549" s="11">
        <v>0.33557046979865801</v>
      </c>
      <c r="S549" s="10" t="s">
        <v>84</v>
      </c>
      <c r="T549" s="10" t="s">
        <v>84</v>
      </c>
      <c r="U549" s="10"/>
      <c r="V549" s="10"/>
      <c r="W549" s="10"/>
      <c r="X549" s="10"/>
      <c r="Y549" s="10"/>
      <c r="Z549" s="10"/>
      <c r="AA549" s="10"/>
    </row>
    <row r="550" spans="1:27" ht="12.5" x14ac:dyDescent="0.25">
      <c r="A550" s="10" t="s">
        <v>82</v>
      </c>
      <c r="B550" s="10" t="s">
        <v>988</v>
      </c>
      <c r="C550" s="10" t="s">
        <v>76</v>
      </c>
      <c r="D550" s="11">
        <v>2024</v>
      </c>
      <c r="E550" s="10" t="s">
        <v>124</v>
      </c>
      <c r="F550" s="10" t="s">
        <v>83</v>
      </c>
      <c r="G550" s="10" t="s">
        <v>84</v>
      </c>
      <c r="H550" s="12">
        <v>4163.1666666666697</v>
      </c>
      <c r="I550" s="11">
        <v>169</v>
      </c>
      <c r="J550" s="11">
        <v>169</v>
      </c>
      <c r="K550" s="11">
        <v>948</v>
      </c>
      <c r="L550" s="11">
        <v>4.0594099043196302E-2</v>
      </c>
      <c r="M550" s="11">
        <f t="shared" si="2"/>
        <v>4.059409904319625</v>
      </c>
      <c r="N550" s="11">
        <v>1</v>
      </c>
      <c r="O550" s="11">
        <v>0.22771127747307701</v>
      </c>
      <c r="P550" s="11">
        <v>0.42989864864864902</v>
      </c>
      <c r="Q550" s="11">
        <v>0.72413793103448298</v>
      </c>
      <c r="R550" s="11">
        <v>0.33333333333333298</v>
      </c>
      <c r="S550" s="10" t="s">
        <v>84</v>
      </c>
      <c r="T550" s="10" t="s">
        <v>84</v>
      </c>
      <c r="U550" s="10"/>
      <c r="V550" s="10"/>
      <c r="W550" s="10"/>
      <c r="X550" s="10"/>
      <c r="Y550" s="10"/>
      <c r="Z550" s="10"/>
      <c r="AA550" s="10"/>
    </row>
    <row r="551" spans="1:27" ht="12.5" hidden="1" x14ac:dyDescent="0.25">
      <c r="A551" s="10" t="s">
        <v>110</v>
      </c>
      <c r="B551" s="10" t="s">
        <v>1406</v>
      </c>
      <c r="C551" s="10" t="s">
        <v>76</v>
      </c>
      <c r="D551" s="11">
        <v>2024</v>
      </c>
      <c r="E551" s="10" t="s">
        <v>257</v>
      </c>
      <c r="F551" s="10" t="s">
        <v>83</v>
      </c>
      <c r="G551" s="10" t="s">
        <v>84</v>
      </c>
      <c r="H551" s="12">
        <v>37118.083333333299</v>
      </c>
      <c r="I551" s="11">
        <v>1503</v>
      </c>
      <c r="J551" s="11">
        <v>1197</v>
      </c>
      <c r="K551" s="11">
        <v>12460</v>
      </c>
      <c r="L551" s="11">
        <v>4.0492392522063603E-2</v>
      </c>
      <c r="M551" s="11">
        <f t="shared" si="2"/>
        <v>4.0492392522063634</v>
      </c>
      <c r="N551" s="11">
        <v>0.79640718562874202</v>
      </c>
      <c r="O551" s="11">
        <v>0.33568543634392001</v>
      </c>
      <c r="P551" s="11">
        <v>0.429054054054054</v>
      </c>
      <c r="Q551" s="11">
        <v>0.60606060606060597</v>
      </c>
      <c r="R551" s="11">
        <v>0.52272727272727304</v>
      </c>
      <c r="S551" s="10" t="s">
        <v>84</v>
      </c>
      <c r="T551" s="10" t="s">
        <v>84</v>
      </c>
      <c r="U551" s="10"/>
      <c r="V551" s="10"/>
      <c r="W551" s="10"/>
      <c r="X551" s="10"/>
      <c r="Y551" s="10"/>
      <c r="Z551" s="10"/>
      <c r="AA551" s="10"/>
    </row>
    <row r="552" spans="1:27" ht="12.5" x14ac:dyDescent="0.25">
      <c r="A552" s="10" t="s">
        <v>86</v>
      </c>
      <c r="B552" s="10" t="s">
        <v>859</v>
      </c>
      <c r="C552" s="10" t="s">
        <v>76</v>
      </c>
      <c r="D552" s="11">
        <v>2024</v>
      </c>
      <c r="E552" s="10" t="s">
        <v>81</v>
      </c>
      <c r="F552" s="10" t="s">
        <v>83</v>
      </c>
      <c r="G552" s="10" t="s">
        <v>84</v>
      </c>
      <c r="H552" s="12">
        <v>87132.416666666701</v>
      </c>
      <c r="I552" s="11">
        <v>3516</v>
      </c>
      <c r="J552" s="11">
        <v>3175</v>
      </c>
      <c r="K552" s="11">
        <v>146112</v>
      </c>
      <c r="L552" s="11">
        <v>4.0352375551005203E-2</v>
      </c>
      <c r="M552" s="11">
        <f t="shared" si="2"/>
        <v>4.0352375551005206</v>
      </c>
      <c r="N552" s="11">
        <v>0.90301478953356096</v>
      </c>
      <c r="O552" s="11">
        <v>1.6768959887680499</v>
      </c>
      <c r="P552" s="11">
        <v>0.42736486486486502</v>
      </c>
      <c r="Q552" s="11">
        <v>0.26086956521739102</v>
      </c>
      <c r="R552" s="11">
        <v>0.474806201550388</v>
      </c>
      <c r="S552" s="10" t="s">
        <v>84</v>
      </c>
      <c r="T552" s="10" t="s">
        <v>84</v>
      </c>
      <c r="U552" s="10"/>
      <c r="V552" s="10"/>
      <c r="W552" s="10"/>
      <c r="X552" s="10"/>
      <c r="Y552" s="10"/>
      <c r="Z552" s="10"/>
      <c r="AA552" s="10"/>
    </row>
    <row r="553" spans="1:27" ht="12.5" x14ac:dyDescent="0.25">
      <c r="A553" s="10" t="s">
        <v>82</v>
      </c>
      <c r="B553" s="10" t="s">
        <v>992</v>
      </c>
      <c r="C553" s="10" t="s">
        <v>76</v>
      </c>
      <c r="D553" s="11">
        <v>2024</v>
      </c>
      <c r="E553" s="10" t="s">
        <v>124</v>
      </c>
      <c r="F553" s="10" t="s">
        <v>83</v>
      </c>
      <c r="G553" s="10" t="s">
        <v>84</v>
      </c>
      <c r="H553" s="12">
        <v>1424</v>
      </c>
      <c r="I553" s="11">
        <v>57</v>
      </c>
      <c r="J553" s="11">
        <v>56</v>
      </c>
      <c r="K553" s="11">
        <v>837</v>
      </c>
      <c r="L553" s="11">
        <v>4.0028089887640499E-2</v>
      </c>
      <c r="M553" s="11">
        <f t="shared" si="2"/>
        <v>4.0028089887640448</v>
      </c>
      <c r="N553" s="11">
        <v>0.98245614035087703</v>
      </c>
      <c r="O553" s="11">
        <v>0.58778089887640494</v>
      </c>
      <c r="P553" s="11">
        <v>0.42567567567567599</v>
      </c>
      <c r="Q553" s="11">
        <v>0.70689655172413801</v>
      </c>
      <c r="R553" s="11">
        <v>0.32885906040268498</v>
      </c>
      <c r="S553" s="10" t="s">
        <v>84</v>
      </c>
      <c r="T553" s="10" t="s">
        <v>84</v>
      </c>
      <c r="U553" s="10"/>
      <c r="V553" s="10"/>
      <c r="W553" s="10"/>
      <c r="X553" s="10"/>
      <c r="Y553" s="10"/>
      <c r="Z553" s="10"/>
      <c r="AA553" s="10"/>
    </row>
    <row r="554" spans="1:27" ht="12.5" x14ac:dyDescent="0.25">
      <c r="A554" s="10" t="s">
        <v>77</v>
      </c>
      <c r="B554" s="10" t="s">
        <v>996</v>
      </c>
      <c r="C554" s="10" t="s">
        <v>76</v>
      </c>
      <c r="D554" s="11">
        <v>2024</v>
      </c>
      <c r="E554" s="10" t="s">
        <v>124</v>
      </c>
      <c r="F554" s="10" t="s">
        <v>83</v>
      </c>
      <c r="G554" s="10" t="s">
        <v>84</v>
      </c>
      <c r="H554" s="12">
        <v>5854</v>
      </c>
      <c r="I554" s="11">
        <v>234</v>
      </c>
      <c r="J554" s="11">
        <v>234</v>
      </c>
      <c r="K554" s="11">
        <v>3856</v>
      </c>
      <c r="L554" s="11">
        <v>3.9972668261018099E-2</v>
      </c>
      <c r="M554" s="11">
        <f t="shared" si="2"/>
        <v>3.9972668261018107</v>
      </c>
      <c r="N554" s="11">
        <v>1</v>
      </c>
      <c r="O554" s="11">
        <v>0.65869490946361497</v>
      </c>
      <c r="P554" s="11">
        <v>0.42483108108108097</v>
      </c>
      <c r="Q554" s="11">
        <v>0.60714285714285698</v>
      </c>
      <c r="R554" s="11">
        <v>0.32662192393736</v>
      </c>
      <c r="S554" s="10" t="s">
        <v>84</v>
      </c>
      <c r="T554" s="10" t="s">
        <v>84</v>
      </c>
      <c r="U554" s="10"/>
      <c r="V554" s="10"/>
      <c r="W554" s="10"/>
      <c r="X554" s="10"/>
      <c r="Y554" s="10"/>
      <c r="Z554" s="10"/>
      <c r="AA554" s="10"/>
    </row>
    <row r="555" spans="1:27" ht="12.5" x14ac:dyDescent="0.25">
      <c r="A555" s="10" t="s">
        <v>34</v>
      </c>
      <c r="B555" s="10" t="s">
        <v>998</v>
      </c>
      <c r="C555" s="10" t="s">
        <v>76</v>
      </c>
      <c r="D555" s="11">
        <v>2024</v>
      </c>
      <c r="E555" s="10" t="s">
        <v>124</v>
      </c>
      <c r="F555" s="10" t="s">
        <v>83</v>
      </c>
      <c r="G555" s="10" t="s">
        <v>84</v>
      </c>
      <c r="H555" s="12">
        <v>10713.416666666701</v>
      </c>
      <c r="I555" s="11">
        <v>428</v>
      </c>
      <c r="J555" s="11">
        <v>424</v>
      </c>
      <c r="K555" s="11">
        <v>6656</v>
      </c>
      <c r="L555" s="11">
        <v>3.9949907048016098E-2</v>
      </c>
      <c r="M555" s="11">
        <f t="shared" si="2"/>
        <v>3.9949907048015989</v>
      </c>
      <c r="N555" s="11">
        <v>0.99065420560747697</v>
      </c>
      <c r="O555" s="11">
        <v>0.62127705913924103</v>
      </c>
      <c r="P555" s="11">
        <v>0.42398648648648701</v>
      </c>
      <c r="Q555" s="11">
        <v>0.69387755102040805</v>
      </c>
      <c r="R555" s="11">
        <v>0.32438478747203597</v>
      </c>
      <c r="S555" s="10" t="s">
        <v>84</v>
      </c>
      <c r="T555" s="10" t="s">
        <v>84</v>
      </c>
      <c r="U555" s="10"/>
      <c r="V555" s="10"/>
      <c r="W555" s="10"/>
      <c r="X555" s="10"/>
      <c r="Y555" s="10"/>
      <c r="Z555" s="10"/>
      <c r="AA555" s="10"/>
    </row>
    <row r="556" spans="1:27" ht="12.5" x14ac:dyDescent="0.25">
      <c r="A556" s="10" t="s">
        <v>58</v>
      </c>
      <c r="B556" s="10" t="s">
        <v>1000</v>
      </c>
      <c r="C556" s="10" t="s">
        <v>76</v>
      </c>
      <c r="D556" s="11">
        <v>2024</v>
      </c>
      <c r="E556" s="10" t="s">
        <v>124</v>
      </c>
      <c r="F556" s="10" t="s">
        <v>125</v>
      </c>
      <c r="G556" s="10" t="s">
        <v>84</v>
      </c>
      <c r="H556" s="12">
        <v>375.83333333333297</v>
      </c>
      <c r="I556" s="11">
        <v>15</v>
      </c>
      <c r="J556" s="11">
        <v>14</v>
      </c>
      <c r="K556" s="11">
        <v>346</v>
      </c>
      <c r="L556" s="11">
        <v>3.9911308203991101E-2</v>
      </c>
      <c r="M556" s="11">
        <f t="shared" si="2"/>
        <v>3.9911308203991172</v>
      </c>
      <c r="N556" s="11">
        <v>0.93333333333333302</v>
      </c>
      <c r="O556" s="11">
        <v>0.920620842572062</v>
      </c>
      <c r="P556" s="11">
        <v>0.423141891891892</v>
      </c>
      <c r="Q556" s="11">
        <v>8.1081081081081099E-2</v>
      </c>
      <c r="R556" s="11">
        <v>0.322147651006711</v>
      </c>
      <c r="S556" s="10" t="s">
        <v>84</v>
      </c>
      <c r="T556" s="10" t="s">
        <v>84</v>
      </c>
      <c r="U556" s="10"/>
      <c r="V556" s="10"/>
      <c r="W556" s="10"/>
      <c r="X556" s="10"/>
      <c r="Y556" s="10"/>
      <c r="Z556" s="10"/>
      <c r="AA556" s="10"/>
    </row>
    <row r="557" spans="1:27" ht="12.5" x14ac:dyDescent="0.25">
      <c r="A557" s="10" t="s">
        <v>26</v>
      </c>
      <c r="B557" s="10" t="s">
        <v>861</v>
      </c>
      <c r="C557" s="10" t="s">
        <v>76</v>
      </c>
      <c r="D557" s="11">
        <v>2024</v>
      </c>
      <c r="E557" s="10" t="s">
        <v>81</v>
      </c>
      <c r="F557" s="10" t="s">
        <v>83</v>
      </c>
      <c r="G557" s="10" t="s">
        <v>84</v>
      </c>
      <c r="H557" s="12">
        <v>4967.5</v>
      </c>
      <c r="I557" s="11">
        <v>198</v>
      </c>
      <c r="J557" s="11">
        <v>126</v>
      </c>
      <c r="K557" s="11">
        <v>12301</v>
      </c>
      <c r="L557" s="11">
        <v>3.9859084046301001E-2</v>
      </c>
      <c r="M557" s="11">
        <f t="shared" si="2"/>
        <v>3.9859084046300959</v>
      </c>
      <c r="N557" s="11">
        <v>0.63636363636363602</v>
      </c>
      <c r="O557" s="11">
        <v>2.4762959235027702</v>
      </c>
      <c r="P557" s="11">
        <v>0.42145270270270302</v>
      </c>
      <c r="Q557" s="11">
        <v>7.69230769230769E-2</v>
      </c>
      <c r="R557" s="11">
        <v>0.47286821705426402</v>
      </c>
      <c r="S557" s="10" t="s">
        <v>84</v>
      </c>
      <c r="T557" s="10" t="s">
        <v>84</v>
      </c>
      <c r="U557" s="10"/>
      <c r="V557" s="10"/>
      <c r="W557" s="10"/>
      <c r="X557" s="10"/>
      <c r="Y557" s="10"/>
      <c r="Z557" s="10"/>
      <c r="AA557" s="10"/>
    </row>
    <row r="558" spans="1:27" ht="12.5" x14ac:dyDescent="0.25">
      <c r="A558" s="10" t="s">
        <v>62</v>
      </c>
      <c r="B558" s="10" t="s">
        <v>1001</v>
      </c>
      <c r="C558" s="10" t="s">
        <v>76</v>
      </c>
      <c r="D558" s="11">
        <v>2024</v>
      </c>
      <c r="E558" s="10" t="s">
        <v>124</v>
      </c>
      <c r="F558" s="10" t="s">
        <v>83</v>
      </c>
      <c r="G558" s="10" t="s">
        <v>84</v>
      </c>
      <c r="H558" s="12">
        <v>5869.4166666666697</v>
      </c>
      <c r="I558" s="11">
        <v>230</v>
      </c>
      <c r="J558" s="11">
        <v>169</v>
      </c>
      <c r="K558" s="11">
        <v>3030</v>
      </c>
      <c r="L558" s="11">
        <v>3.91861769341076E-2</v>
      </c>
      <c r="M558" s="11">
        <f t="shared" si="2"/>
        <v>3.9186176934107571</v>
      </c>
      <c r="N558" s="11">
        <v>0.73478260869565204</v>
      </c>
      <c r="O558" s="11">
        <v>0.51623528743628699</v>
      </c>
      <c r="P558" s="11">
        <v>0.420608108108108</v>
      </c>
      <c r="Q558" s="11">
        <v>0.5</v>
      </c>
      <c r="R558" s="11">
        <v>0.31991051454138703</v>
      </c>
      <c r="S558" s="10" t="s">
        <v>84</v>
      </c>
      <c r="T558" s="10" t="s">
        <v>84</v>
      </c>
      <c r="U558" s="10"/>
      <c r="V558" s="10"/>
      <c r="W558" s="10"/>
      <c r="X558" s="10"/>
      <c r="Y558" s="10"/>
      <c r="Z558" s="10"/>
      <c r="AA558" s="10"/>
    </row>
    <row r="559" spans="1:27" ht="12.5" x14ac:dyDescent="0.25">
      <c r="A559" s="10" t="s">
        <v>13</v>
      </c>
      <c r="B559" s="10" t="s">
        <v>865</v>
      </c>
      <c r="C559" s="10" t="s">
        <v>76</v>
      </c>
      <c r="D559" s="11">
        <v>2024</v>
      </c>
      <c r="E559" s="10" t="s">
        <v>81</v>
      </c>
      <c r="F559" s="10" t="s">
        <v>83</v>
      </c>
      <c r="G559" s="10" t="s">
        <v>84</v>
      </c>
      <c r="H559" s="12">
        <v>8475.9166666666697</v>
      </c>
      <c r="I559" s="11">
        <v>326</v>
      </c>
      <c r="J559" s="11">
        <v>200</v>
      </c>
      <c r="K559" s="11">
        <v>21291</v>
      </c>
      <c r="L559" s="11">
        <v>3.8461916606856703E-2</v>
      </c>
      <c r="M559" s="11">
        <f t="shared" si="2"/>
        <v>3.8461916606856668</v>
      </c>
      <c r="N559" s="11">
        <v>0.61349693251533699</v>
      </c>
      <c r="O559" s="11">
        <v>2.5119406947134499</v>
      </c>
      <c r="P559" s="11">
        <v>0.41385135135135098</v>
      </c>
      <c r="Q559" s="11">
        <v>0.19047619047618999</v>
      </c>
      <c r="R559" s="11">
        <v>0.468992248062016</v>
      </c>
      <c r="S559" s="10" t="s">
        <v>84</v>
      </c>
      <c r="T559" s="10" t="s">
        <v>84</v>
      </c>
      <c r="U559" s="10"/>
      <c r="V559" s="10"/>
      <c r="W559" s="10"/>
      <c r="X559" s="10"/>
      <c r="Y559" s="10"/>
      <c r="Z559" s="10"/>
      <c r="AA559" s="10"/>
    </row>
    <row r="560" spans="1:27" ht="12.5" x14ac:dyDescent="0.25">
      <c r="A560" s="10" t="s">
        <v>82</v>
      </c>
      <c r="B560" s="10" t="s">
        <v>1006</v>
      </c>
      <c r="C560" s="10" t="s">
        <v>76</v>
      </c>
      <c r="D560" s="11">
        <v>2024</v>
      </c>
      <c r="E560" s="10" t="s">
        <v>124</v>
      </c>
      <c r="F560" s="10" t="s">
        <v>83</v>
      </c>
      <c r="G560" s="10" t="s">
        <v>84</v>
      </c>
      <c r="H560" s="12">
        <v>964</v>
      </c>
      <c r="I560" s="11">
        <v>37</v>
      </c>
      <c r="J560" s="11">
        <v>37</v>
      </c>
      <c r="K560" s="11">
        <v>599</v>
      </c>
      <c r="L560" s="11">
        <v>3.83817427385892E-2</v>
      </c>
      <c r="M560" s="11">
        <f t="shared" si="2"/>
        <v>3.8381742738589213</v>
      </c>
      <c r="N560" s="11">
        <v>1</v>
      </c>
      <c r="O560" s="11">
        <v>0.62136929460580903</v>
      </c>
      <c r="P560" s="11">
        <v>0.41300675675675702</v>
      </c>
      <c r="Q560" s="11">
        <v>0.67241379310344795</v>
      </c>
      <c r="R560" s="11">
        <v>0.31543624161073802</v>
      </c>
      <c r="S560" s="10" t="s">
        <v>84</v>
      </c>
      <c r="T560" s="10" t="s">
        <v>84</v>
      </c>
      <c r="U560" s="10"/>
      <c r="V560" s="10"/>
      <c r="W560" s="10"/>
      <c r="X560" s="10"/>
      <c r="Y560" s="10"/>
      <c r="Z560" s="10"/>
      <c r="AA560" s="10"/>
    </row>
    <row r="561" spans="1:27" ht="12.5" x14ac:dyDescent="0.25">
      <c r="A561" s="10" t="s">
        <v>62</v>
      </c>
      <c r="B561" s="10" t="s">
        <v>1008</v>
      </c>
      <c r="C561" s="10" t="s">
        <v>76</v>
      </c>
      <c r="D561" s="11">
        <v>2024</v>
      </c>
      <c r="E561" s="10" t="s">
        <v>124</v>
      </c>
      <c r="F561" s="10" t="s">
        <v>83</v>
      </c>
      <c r="G561" s="10" t="s">
        <v>84</v>
      </c>
      <c r="H561" s="12">
        <v>17924.333333333299</v>
      </c>
      <c r="I561" s="11">
        <v>687</v>
      </c>
      <c r="J561" s="11">
        <v>682</v>
      </c>
      <c r="K561" s="11">
        <v>7956</v>
      </c>
      <c r="L561" s="11">
        <v>3.8327785319770102E-2</v>
      </c>
      <c r="M561" s="11">
        <f t="shared" si="2"/>
        <v>3.8327785319770222</v>
      </c>
      <c r="N561" s="11">
        <v>0.99272197962154296</v>
      </c>
      <c r="O561" s="11">
        <v>0.44386588064642102</v>
      </c>
      <c r="P561" s="11">
        <v>0.412162162162162</v>
      </c>
      <c r="Q561" s="11">
        <v>0.47222222222222199</v>
      </c>
      <c r="R561" s="11">
        <v>0.31319910514541399</v>
      </c>
      <c r="S561" s="10" t="s">
        <v>84</v>
      </c>
      <c r="T561" s="10" t="s">
        <v>84</v>
      </c>
      <c r="U561" s="10"/>
      <c r="V561" s="10"/>
      <c r="W561" s="10"/>
      <c r="X561" s="10"/>
      <c r="Y561" s="10"/>
      <c r="Z561" s="10"/>
      <c r="AA561" s="10"/>
    </row>
    <row r="562" spans="1:27" ht="12.5" x14ac:dyDescent="0.25">
      <c r="A562" s="10" t="s">
        <v>77</v>
      </c>
      <c r="B562" s="10" t="s">
        <v>1010</v>
      </c>
      <c r="C562" s="10" t="s">
        <v>76</v>
      </c>
      <c r="D562" s="11">
        <v>2024</v>
      </c>
      <c r="E562" s="10" t="s">
        <v>124</v>
      </c>
      <c r="F562" s="10" t="s">
        <v>83</v>
      </c>
      <c r="G562" s="10" t="s">
        <v>84</v>
      </c>
      <c r="H562" s="12">
        <v>4844.3333333333303</v>
      </c>
      <c r="I562" s="11">
        <v>185</v>
      </c>
      <c r="J562" s="11">
        <v>183</v>
      </c>
      <c r="K562" s="11">
        <v>8984</v>
      </c>
      <c r="L562" s="11">
        <v>3.8188949287827699E-2</v>
      </c>
      <c r="M562" s="11">
        <f t="shared" si="2"/>
        <v>3.8188949287827727</v>
      </c>
      <c r="N562" s="11">
        <v>0.98918918918918897</v>
      </c>
      <c r="O562" s="11">
        <v>1.8545379481180799</v>
      </c>
      <c r="P562" s="11">
        <v>0.41131756756756799</v>
      </c>
      <c r="Q562" s="11">
        <v>0.53571428571428603</v>
      </c>
      <c r="R562" s="11">
        <v>0.31096196868008902</v>
      </c>
      <c r="S562" s="10" t="s">
        <v>84</v>
      </c>
      <c r="T562" s="10" t="s">
        <v>84</v>
      </c>
      <c r="U562" s="10"/>
      <c r="V562" s="10"/>
      <c r="W562" s="10"/>
      <c r="X562" s="10"/>
      <c r="Y562" s="10"/>
      <c r="Z562" s="10"/>
      <c r="AA562" s="10"/>
    </row>
    <row r="563" spans="1:27" ht="12.5" x14ac:dyDescent="0.25">
      <c r="A563" s="10" t="s">
        <v>96</v>
      </c>
      <c r="B563" s="10" t="s">
        <v>867</v>
      </c>
      <c r="C563" s="10" t="s">
        <v>76</v>
      </c>
      <c r="D563" s="11">
        <v>2024</v>
      </c>
      <c r="E563" s="10" t="s">
        <v>81</v>
      </c>
      <c r="F563" s="10" t="s">
        <v>83</v>
      </c>
      <c r="G563" s="10" t="s">
        <v>84</v>
      </c>
      <c r="H563" s="12">
        <v>21452.75</v>
      </c>
      <c r="I563" s="11">
        <v>819</v>
      </c>
      <c r="J563" s="11">
        <v>706</v>
      </c>
      <c r="K563" s="11">
        <v>13736</v>
      </c>
      <c r="L563" s="11">
        <v>3.8176923704420197E-2</v>
      </c>
      <c r="M563" s="11">
        <f t="shared" si="2"/>
        <v>3.8176923704420176</v>
      </c>
      <c r="N563" s="11">
        <v>0.86202686202686196</v>
      </c>
      <c r="O563" s="11">
        <v>0.64029087179965305</v>
      </c>
      <c r="P563" s="11">
        <v>0.41047297297297303</v>
      </c>
      <c r="Q563" s="11">
        <v>0.64705882352941202</v>
      </c>
      <c r="R563" s="11">
        <v>0.46705426356589103</v>
      </c>
      <c r="S563" s="10" t="s">
        <v>84</v>
      </c>
      <c r="T563" s="10" t="s">
        <v>84</v>
      </c>
      <c r="U563" s="10"/>
      <c r="V563" s="10"/>
      <c r="W563" s="10"/>
      <c r="X563" s="10"/>
      <c r="Y563" s="10"/>
      <c r="Z563" s="10"/>
      <c r="AA563" s="10"/>
    </row>
    <row r="564" spans="1:27" ht="12.5" x14ac:dyDescent="0.25">
      <c r="A564" s="10" t="s">
        <v>82</v>
      </c>
      <c r="B564" s="10" t="s">
        <v>1012</v>
      </c>
      <c r="C564" s="10" t="s">
        <v>76</v>
      </c>
      <c r="D564" s="11">
        <v>2024</v>
      </c>
      <c r="E564" s="10" t="s">
        <v>124</v>
      </c>
      <c r="F564" s="10" t="s">
        <v>83</v>
      </c>
      <c r="G564" s="10" t="s">
        <v>84</v>
      </c>
      <c r="H564" s="12">
        <v>9613.5833333333303</v>
      </c>
      <c r="I564" s="11">
        <v>367</v>
      </c>
      <c r="J564" s="11">
        <v>366</v>
      </c>
      <c r="K564" s="11">
        <v>3065</v>
      </c>
      <c r="L564" s="11">
        <v>3.8175151478376898E-2</v>
      </c>
      <c r="M564" s="11">
        <f t="shared" si="2"/>
        <v>3.8175151478376961</v>
      </c>
      <c r="N564" s="11">
        <v>0.99727520435967298</v>
      </c>
      <c r="O564" s="11">
        <v>0.31881972556192201</v>
      </c>
      <c r="P564" s="11">
        <v>0.40962837837837801</v>
      </c>
      <c r="Q564" s="11">
        <v>0.65517241379310298</v>
      </c>
      <c r="R564" s="11">
        <v>0.30872483221476499</v>
      </c>
      <c r="S564" s="10" t="s">
        <v>84</v>
      </c>
      <c r="T564" s="10" t="s">
        <v>84</v>
      </c>
      <c r="U564" s="10"/>
      <c r="V564" s="10"/>
      <c r="W564" s="10"/>
      <c r="X564" s="10"/>
      <c r="Y564" s="10"/>
      <c r="Z564" s="10"/>
      <c r="AA564" s="10"/>
    </row>
    <row r="565" spans="1:27" ht="12.5" x14ac:dyDescent="0.25">
      <c r="A565" s="10" t="s">
        <v>13</v>
      </c>
      <c r="B565" s="10" t="s">
        <v>869</v>
      </c>
      <c r="C565" s="10" t="s">
        <v>76</v>
      </c>
      <c r="D565" s="11">
        <v>2024</v>
      </c>
      <c r="E565" s="10" t="s">
        <v>81</v>
      </c>
      <c r="F565" s="10" t="s">
        <v>83</v>
      </c>
      <c r="G565" s="10" t="s">
        <v>84</v>
      </c>
      <c r="H565" s="12">
        <v>17754.666666666701</v>
      </c>
      <c r="I565" s="11">
        <v>677</v>
      </c>
      <c r="J565" s="11">
        <v>733</v>
      </c>
      <c r="K565" s="11">
        <v>994</v>
      </c>
      <c r="L565" s="11">
        <v>3.8130820066085903E-2</v>
      </c>
      <c r="M565" s="11">
        <f t="shared" si="2"/>
        <v>3.813082006608584</v>
      </c>
      <c r="N565" s="11">
        <v>1.0827178729689799</v>
      </c>
      <c r="O565" s="11">
        <v>5.5985280865124699E-2</v>
      </c>
      <c r="P565" s="11">
        <v>0.40793918918918898</v>
      </c>
      <c r="Q565" s="11">
        <v>0.14285714285714299</v>
      </c>
      <c r="R565" s="11">
        <v>0.46511627906976699</v>
      </c>
      <c r="S565" s="10" t="s">
        <v>84</v>
      </c>
      <c r="T565" s="10" t="s">
        <v>84</v>
      </c>
      <c r="U565" s="10"/>
      <c r="V565" s="10"/>
      <c r="W565" s="10"/>
      <c r="X565" s="10"/>
      <c r="Y565" s="10"/>
      <c r="Z565" s="10"/>
      <c r="AA565" s="10"/>
    </row>
    <row r="566" spans="1:27" ht="12.5" x14ac:dyDescent="0.25">
      <c r="A566" s="10" t="s">
        <v>104</v>
      </c>
      <c r="B566" s="10" t="s">
        <v>871</v>
      </c>
      <c r="C566" s="10" t="s">
        <v>76</v>
      </c>
      <c r="D566" s="11">
        <v>2024</v>
      </c>
      <c r="E566" s="10" t="s">
        <v>81</v>
      </c>
      <c r="F566" s="10" t="s">
        <v>83</v>
      </c>
      <c r="G566" s="10" t="s">
        <v>84</v>
      </c>
      <c r="H566" s="12">
        <v>49161.583333333299</v>
      </c>
      <c r="I566" s="11">
        <v>1869</v>
      </c>
      <c r="J566" s="11">
        <v>1752</v>
      </c>
      <c r="K566" s="11">
        <v>4201</v>
      </c>
      <c r="L566" s="11">
        <v>3.80174899438755E-2</v>
      </c>
      <c r="M566" s="11">
        <f t="shared" si="2"/>
        <v>3.8017489943875575</v>
      </c>
      <c r="N566" s="11">
        <v>0.93739967897271304</v>
      </c>
      <c r="O566" s="11">
        <v>8.5452902757742699E-2</v>
      </c>
      <c r="P566" s="11">
        <v>0.40709459459459502</v>
      </c>
      <c r="Q566" s="11">
        <v>0.37931034482758602</v>
      </c>
      <c r="R566" s="11">
        <v>0.46317829457364301</v>
      </c>
      <c r="S566" s="10" t="s">
        <v>84</v>
      </c>
      <c r="T566" s="10" t="s">
        <v>84</v>
      </c>
      <c r="U566" s="10"/>
      <c r="V566" s="10"/>
      <c r="W566" s="10"/>
      <c r="X566" s="10"/>
      <c r="Y566" s="10"/>
      <c r="Z566" s="10"/>
      <c r="AA566" s="10"/>
    </row>
    <row r="567" spans="1:27" ht="12.5" x14ac:dyDescent="0.25">
      <c r="A567" s="10" t="s">
        <v>13</v>
      </c>
      <c r="B567" s="10" t="s">
        <v>1014</v>
      </c>
      <c r="C567" s="10" t="s">
        <v>76</v>
      </c>
      <c r="D567" s="11">
        <v>2024</v>
      </c>
      <c r="E567" s="10" t="s">
        <v>124</v>
      </c>
      <c r="F567" s="10" t="s">
        <v>125</v>
      </c>
      <c r="G567" s="10" t="s">
        <v>84</v>
      </c>
      <c r="H567" s="12">
        <v>1790.5</v>
      </c>
      <c r="I567" s="11">
        <v>68</v>
      </c>
      <c r="J567" s="11">
        <v>30</v>
      </c>
      <c r="K567" s="11">
        <v>301</v>
      </c>
      <c r="L567" s="11">
        <v>3.79782183747557E-2</v>
      </c>
      <c r="M567" s="11">
        <f t="shared" si="2"/>
        <v>3.7978218374755657</v>
      </c>
      <c r="N567" s="11">
        <v>0.441176470588235</v>
      </c>
      <c r="O567" s="11">
        <v>0.16810946662943299</v>
      </c>
      <c r="P567" s="11">
        <v>0.40625</v>
      </c>
      <c r="Q567" s="11">
        <v>9.5238095238095205E-2</v>
      </c>
      <c r="R567" s="11">
        <v>0.30648769574944101</v>
      </c>
      <c r="S567" s="10" t="s">
        <v>84</v>
      </c>
      <c r="T567" s="10" t="s">
        <v>84</v>
      </c>
      <c r="U567" s="10"/>
      <c r="V567" s="10"/>
      <c r="W567" s="10"/>
      <c r="X567" s="10"/>
      <c r="Y567" s="10"/>
      <c r="Z567" s="10"/>
      <c r="AA567" s="10"/>
    </row>
    <row r="568" spans="1:27" ht="12.5" x14ac:dyDescent="0.25">
      <c r="A568" s="10" t="s">
        <v>65</v>
      </c>
      <c r="B568" s="10" t="s">
        <v>872</v>
      </c>
      <c r="C568" s="10" t="s">
        <v>76</v>
      </c>
      <c r="D568" s="11">
        <v>2024</v>
      </c>
      <c r="E568" s="10" t="s">
        <v>81</v>
      </c>
      <c r="F568" s="10" t="s">
        <v>83</v>
      </c>
      <c r="G568" s="10" t="s">
        <v>84</v>
      </c>
      <c r="H568" s="12">
        <v>2299.3333333333298</v>
      </c>
      <c r="I568" s="11">
        <v>87</v>
      </c>
      <c r="J568" s="11">
        <v>64</v>
      </c>
      <c r="K568" s="11">
        <v>592</v>
      </c>
      <c r="L568" s="11">
        <v>3.7837054218614101E-2</v>
      </c>
      <c r="M568" s="11">
        <f t="shared" si="2"/>
        <v>3.783705421861415</v>
      </c>
      <c r="N568" s="11">
        <v>0.73563218390804597</v>
      </c>
      <c r="O568" s="11">
        <v>0.25746593215424801</v>
      </c>
      <c r="P568" s="11">
        <v>0.40540540540540498</v>
      </c>
      <c r="Q568" s="11">
        <v>0.30769230769230799</v>
      </c>
      <c r="R568" s="11">
        <v>0.46124031007751898</v>
      </c>
      <c r="S568" s="10" t="s">
        <v>84</v>
      </c>
      <c r="T568" s="10" t="s">
        <v>84</v>
      </c>
      <c r="U568" s="10"/>
      <c r="V568" s="10"/>
      <c r="W568" s="10"/>
      <c r="X568" s="10"/>
      <c r="Y568" s="10"/>
      <c r="Z568" s="10"/>
      <c r="AA568" s="10"/>
    </row>
    <row r="569" spans="1:27" ht="12.5" x14ac:dyDescent="0.25">
      <c r="A569" s="10" t="s">
        <v>52</v>
      </c>
      <c r="B569" s="10" t="s">
        <v>1016</v>
      </c>
      <c r="C569" s="10" t="s">
        <v>76</v>
      </c>
      <c r="D569" s="11">
        <v>2024</v>
      </c>
      <c r="E569" s="10" t="s">
        <v>124</v>
      </c>
      <c r="F569" s="10" t="s">
        <v>125</v>
      </c>
      <c r="G569" s="10" t="s">
        <v>84</v>
      </c>
      <c r="H569" s="12">
        <v>820.83333333333303</v>
      </c>
      <c r="I569" s="11">
        <v>31</v>
      </c>
      <c r="J569" s="11">
        <v>25</v>
      </c>
      <c r="K569" s="11">
        <v>1342</v>
      </c>
      <c r="L569" s="11">
        <v>3.7766497461928901E-2</v>
      </c>
      <c r="M569" s="11">
        <f t="shared" si="2"/>
        <v>3.776649746192895</v>
      </c>
      <c r="N569" s="11">
        <v>0.80645161290322598</v>
      </c>
      <c r="O569" s="11">
        <v>1.6349238578680201</v>
      </c>
      <c r="P569" s="11">
        <v>0.40456081081081102</v>
      </c>
      <c r="Q569" s="11">
        <v>0.25531914893617003</v>
      </c>
      <c r="R569" s="11">
        <v>0.30425055928411598</v>
      </c>
      <c r="S569" s="10" t="s">
        <v>84</v>
      </c>
      <c r="T569" s="10" t="s">
        <v>84</v>
      </c>
      <c r="U569" s="10"/>
      <c r="V569" s="10"/>
      <c r="W569" s="10"/>
      <c r="X569" s="10"/>
      <c r="Y569" s="10"/>
      <c r="Z569" s="10"/>
      <c r="AA569" s="10"/>
    </row>
    <row r="570" spans="1:27" ht="12.5" x14ac:dyDescent="0.25">
      <c r="A570" s="10" t="s">
        <v>62</v>
      </c>
      <c r="B570" s="10" t="s">
        <v>1018</v>
      </c>
      <c r="C570" s="10" t="s">
        <v>76</v>
      </c>
      <c r="D570" s="11">
        <v>2024</v>
      </c>
      <c r="E570" s="10" t="s">
        <v>124</v>
      </c>
      <c r="F570" s="10" t="s">
        <v>83</v>
      </c>
      <c r="G570" s="10" t="s">
        <v>84</v>
      </c>
      <c r="H570" s="12">
        <v>7173.5</v>
      </c>
      <c r="I570" s="11">
        <v>270</v>
      </c>
      <c r="J570" s="11">
        <v>226</v>
      </c>
      <c r="K570" s="11">
        <v>5892</v>
      </c>
      <c r="L570" s="11">
        <v>3.7638530703282901E-2</v>
      </c>
      <c r="M570" s="11">
        <f t="shared" si="2"/>
        <v>3.7638530703282913</v>
      </c>
      <c r="N570" s="11">
        <v>0.83703703703703702</v>
      </c>
      <c r="O570" s="11">
        <v>0.821356381124974</v>
      </c>
      <c r="P570" s="11">
        <v>0.40371621621621601</v>
      </c>
      <c r="Q570" s="11">
        <v>0.44444444444444398</v>
      </c>
      <c r="R570" s="11">
        <v>0.30201342281879201</v>
      </c>
      <c r="S570" s="10" t="s">
        <v>84</v>
      </c>
      <c r="T570" s="10" t="s">
        <v>84</v>
      </c>
      <c r="U570" s="10"/>
      <c r="V570" s="10"/>
      <c r="W570" s="10"/>
      <c r="X570" s="10"/>
      <c r="Y570" s="10"/>
      <c r="Z570" s="10"/>
      <c r="AA570" s="10"/>
    </row>
    <row r="571" spans="1:27" ht="12.5" x14ac:dyDescent="0.25">
      <c r="A571" s="10" t="s">
        <v>92</v>
      </c>
      <c r="B571" s="10" t="s">
        <v>1020</v>
      </c>
      <c r="C571" s="10" t="s">
        <v>76</v>
      </c>
      <c r="D571" s="11">
        <v>2024</v>
      </c>
      <c r="E571" s="10" t="s">
        <v>124</v>
      </c>
      <c r="F571" s="10" t="s">
        <v>83</v>
      </c>
      <c r="G571" s="10" t="s">
        <v>84</v>
      </c>
      <c r="H571" s="12">
        <v>34330.666666666701</v>
      </c>
      <c r="I571" s="11">
        <v>1291</v>
      </c>
      <c r="J571" s="11">
        <v>871</v>
      </c>
      <c r="K571" s="11">
        <v>19236</v>
      </c>
      <c r="L571" s="11">
        <v>3.7604862513593303E-2</v>
      </c>
      <c r="M571" s="11">
        <f t="shared" si="2"/>
        <v>3.7604862513593256</v>
      </c>
      <c r="N571" s="11">
        <v>0.67467079783113904</v>
      </c>
      <c r="O571" s="11">
        <v>0.56031536430013995</v>
      </c>
      <c r="P571" s="11">
        <v>0.40287162162162199</v>
      </c>
      <c r="Q571" s="11">
        <v>0.72222222222222199</v>
      </c>
      <c r="R571" s="11">
        <v>0.29977628635346798</v>
      </c>
      <c r="S571" s="10" t="s">
        <v>84</v>
      </c>
      <c r="T571" s="10" t="s">
        <v>84</v>
      </c>
      <c r="U571" s="10"/>
      <c r="V571" s="10"/>
      <c r="W571" s="10"/>
      <c r="X571" s="10"/>
      <c r="Y571" s="10"/>
      <c r="Z571" s="10"/>
      <c r="AA571" s="10"/>
    </row>
    <row r="572" spans="1:27" ht="12.5" x14ac:dyDescent="0.25">
      <c r="A572" s="10" t="s">
        <v>12</v>
      </c>
      <c r="B572" s="10" t="s">
        <v>876</v>
      </c>
      <c r="C572" s="10" t="s">
        <v>76</v>
      </c>
      <c r="D572" s="11">
        <v>2024</v>
      </c>
      <c r="E572" s="10" t="s">
        <v>81</v>
      </c>
      <c r="F572" s="10" t="s">
        <v>83</v>
      </c>
      <c r="G572" s="10" t="s">
        <v>84</v>
      </c>
      <c r="H572" s="12">
        <v>17684.5</v>
      </c>
      <c r="I572" s="11">
        <v>659</v>
      </c>
      <c r="J572" s="11">
        <v>494</v>
      </c>
      <c r="K572" s="11">
        <v>41474</v>
      </c>
      <c r="L572" s="11">
        <v>3.7264270971754901E-2</v>
      </c>
      <c r="M572" s="11">
        <f t="shared" si="2"/>
        <v>3.7264270971754927</v>
      </c>
      <c r="N572" s="11">
        <v>0.74962063732928697</v>
      </c>
      <c r="O572" s="11">
        <v>2.3452175634029802</v>
      </c>
      <c r="P572" s="11">
        <v>0.40118243243243201</v>
      </c>
      <c r="Q572" s="11">
        <v>0.26388888888888901</v>
      </c>
      <c r="R572" s="11">
        <v>0.45736434108527102</v>
      </c>
      <c r="S572" s="10" t="s">
        <v>84</v>
      </c>
      <c r="T572" s="10" t="s">
        <v>84</v>
      </c>
      <c r="U572" s="10"/>
      <c r="V572" s="10"/>
      <c r="W572" s="10"/>
      <c r="X572" s="10"/>
      <c r="Y572" s="10"/>
      <c r="Z572" s="10"/>
      <c r="AA572" s="10"/>
    </row>
    <row r="573" spans="1:27" ht="12.5" x14ac:dyDescent="0.25">
      <c r="A573" s="10" t="s">
        <v>62</v>
      </c>
      <c r="B573" s="10" t="s">
        <v>1021</v>
      </c>
      <c r="C573" s="10" t="s">
        <v>76</v>
      </c>
      <c r="D573" s="11">
        <v>2024</v>
      </c>
      <c r="E573" s="10" t="s">
        <v>124</v>
      </c>
      <c r="F573" s="10" t="s">
        <v>83</v>
      </c>
      <c r="G573" s="10" t="s">
        <v>84</v>
      </c>
      <c r="H573" s="12">
        <v>9839.4166666666697</v>
      </c>
      <c r="I573" s="11">
        <v>363</v>
      </c>
      <c r="J573" s="11">
        <v>237</v>
      </c>
      <c r="K573" s="11">
        <v>944</v>
      </c>
      <c r="L573" s="11">
        <v>3.6892430953732E-2</v>
      </c>
      <c r="M573" s="11">
        <f t="shared" si="2"/>
        <v>3.6892430953731998</v>
      </c>
      <c r="N573" s="11">
        <v>0.65289256198347101</v>
      </c>
      <c r="O573" s="11">
        <v>9.5940646887942196E-2</v>
      </c>
      <c r="P573" s="11">
        <v>0.400337837837838</v>
      </c>
      <c r="Q573" s="11">
        <v>0.41666666666666702</v>
      </c>
      <c r="R573" s="11">
        <v>0.29753914988814301</v>
      </c>
      <c r="S573" s="10" t="s">
        <v>84</v>
      </c>
      <c r="T573" s="10" t="s">
        <v>84</v>
      </c>
      <c r="U573" s="10"/>
      <c r="V573" s="10"/>
      <c r="W573" s="10"/>
      <c r="X573" s="10"/>
      <c r="Y573" s="10"/>
      <c r="Z573" s="10"/>
      <c r="AA573" s="10"/>
    </row>
    <row r="574" spans="1:27" ht="12.5" x14ac:dyDescent="0.25">
      <c r="A574" s="10" t="s">
        <v>110</v>
      </c>
      <c r="B574" s="10" t="s">
        <v>878</v>
      </c>
      <c r="C574" s="10" t="s">
        <v>76</v>
      </c>
      <c r="D574" s="11">
        <v>2024</v>
      </c>
      <c r="E574" s="10" t="s">
        <v>81</v>
      </c>
      <c r="F574" s="10" t="s">
        <v>83</v>
      </c>
      <c r="G574" s="10" t="s">
        <v>84</v>
      </c>
      <c r="H574" s="12">
        <v>5808.1666666666697</v>
      </c>
      <c r="I574" s="11">
        <v>214</v>
      </c>
      <c r="J574" s="11">
        <v>196</v>
      </c>
      <c r="K574" s="11">
        <v>6453</v>
      </c>
      <c r="L574" s="11">
        <v>3.6844672730924802E-2</v>
      </c>
      <c r="M574" s="11">
        <f t="shared" si="2"/>
        <v>3.684467273092483</v>
      </c>
      <c r="N574" s="11">
        <v>0.91588785046729004</v>
      </c>
      <c r="O574" s="11">
        <v>1.1110218370685001</v>
      </c>
      <c r="P574" s="11">
        <v>0.39949324324324298</v>
      </c>
      <c r="Q574" s="11">
        <v>0.57575757575757602</v>
      </c>
      <c r="R574" s="11">
        <v>0.45542635658914699</v>
      </c>
      <c r="S574" s="10" t="s">
        <v>84</v>
      </c>
      <c r="T574" s="10" t="s">
        <v>84</v>
      </c>
      <c r="U574" s="10"/>
      <c r="V574" s="10"/>
      <c r="W574" s="10"/>
      <c r="X574" s="10"/>
      <c r="Y574" s="10"/>
      <c r="Z574" s="10"/>
      <c r="AA574" s="10"/>
    </row>
    <row r="575" spans="1:27" ht="12.5" x14ac:dyDescent="0.25">
      <c r="A575" s="10" t="s">
        <v>25</v>
      </c>
      <c r="B575" s="10" t="s">
        <v>879</v>
      </c>
      <c r="C575" s="10" t="s">
        <v>76</v>
      </c>
      <c r="D575" s="11">
        <v>2024</v>
      </c>
      <c r="E575" s="10" t="s">
        <v>81</v>
      </c>
      <c r="F575" s="10" t="s">
        <v>83</v>
      </c>
      <c r="G575" s="10" t="s">
        <v>84</v>
      </c>
      <c r="H575" s="12">
        <v>85280.416666666701</v>
      </c>
      <c r="I575" s="11">
        <v>3113</v>
      </c>
      <c r="J575" s="11">
        <v>2468</v>
      </c>
      <c r="K575" s="11">
        <v>57524</v>
      </c>
      <c r="L575" s="11">
        <v>3.6503104952778302E-2</v>
      </c>
      <c r="M575" s="11">
        <f t="shared" si="2"/>
        <v>3.6503104952778322</v>
      </c>
      <c r="N575" s="11">
        <v>0.79280436877610005</v>
      </c>
      <c r="O575" s="11">
        <v>0.67452766119615204</v>
      </c>
      <c r="P575" s="11">
        <v>0.39864864864864902</v>
      </c>
      <c r="Q575" s="11">
        <v>0.25</v>
      </c>
      <c r="R575" s="11">
        <v>0.45348837209302301</v>
      </c>
      <c r="S575" s="10" t="s">
        <v>84</v>
      </c>
      <c r="T575" s="10" t="s">
        <v>84</v>
      </c>
      <c r="U575" s="10"/>
      <c r="V575" s="10"/>
      <c r="W575" s="10"/>
      <c r="X575" s="10"/>
      <c r="Y575" s="10"/>
      <c r="Z575" s="10"/>
      <c r="AA575" s="10"/>
    </row>
    <row r="576" spans="1:27" ht="12.5" x14ac:dyDescent="0.25">
      <c r="A576" s="10" t="s">
        <v>109</v>
      </c>
      <c r="B576" s="10" t="s">
        <v>1023</v>
      </c>
      <c r="C576" s="10" t="s">
        <v>76</v>
      </c>
      <c r="D576" s="11">
        <v>2024</v>
      </c>
      <c r="E576" s="10" t="s">
        <v>124</v>
      </c>
      <c r="F576" s="10" t="s">
        <v>83</v>
      </c>
      <c r="G576" s="10" t="s">
        <v>84</v>
      </c>
      <c r="H576" s="12">
        <v>1262.9166666666699</v>
      </c>
      <c r="I576" s="11">
        <v>46</v>
      </c>
      <c r="J576" s="11">
        <v>46</v>
      </c>
      <c r="K576" s="11">
        <v>623</v>
      </c>
      <c r="L576" s="11">
        <v>3.6423622566809602E-2</v>
      </c>
      <c r="M576" s="11">
        <f t="shared" si="2"/>
        <v>3.6423622566809541</v>
      </c>
      <c r="N576" s="11">
        <v>1</v>
      </c>
      <c r="O576" s="11">
        <v>0.49330254041570398</v>
      </c>
      <c r="P576" s="11">
        <v>0.39695945945945998</v>
      </c>
      <c r="Q576" s="11">
        <v>0.55555555555555602</v>
      </c>
      <c r="R576" s="11">
        <v>0.29530201342281898</v>
      </c>
      <c r="S576" s="10" t="s">
        <v>84</v>
      </c>
      <c r="T576" s="10" t="s">
        <v>84</v>
      </c>
      <c r="U576" s="10"/>
      <c r="V576" s="10"/>
      <c r="W576" s="10"/>
      <c r="X576" s="10"/>
      <c r="Y576" s="10"/>
      <c r="Z576" s="10"/>
      <c r="AA576" s="10"/>
    </row>
    <row r="577" spans="1:27" ht="12.5" x14ac:dyDescent="0.25">
      <c r="A577" s="10" t="s">
        <v>43</v>
      </c>
      <c r="B577" s="10" t="s">
        <v>1026</v>
      </c>
      <c r="C577" s="10" t="s">
        <v>76</v>
      </c>
      <c r="D577" s="11">
        <v>2024</v>
      </c>
      <c r="E577" s="10" t="s">
        <v>124</v>
      </c>
      <c r="F577" s="10" t="s">
        <v>83</v>
      </c>
      <c r="G577" s="10" t="s">
        <v>84</v>
      </c>
      <c r="H577" s="12">
        <v>8156.25</v>
      </c>
      <c r="I577" s="11">
        <v>297</v>
      </c>
      <c r="J577" s="11">
        <v>207</v>
      </c>
      <c r="K577" s="11">
        <v>8993</v>
      </c>
      <c r="L577" s="11">
        <v>3.6413793103448298E-2</v>
      </c>
      <c r="M577" s="11">
        <f t="shared" si="2"/>
        <v>3.6413793103448278</v>
      </c>
      <c r="N577" s="11">
        <v>0.69696969696969702</v>
      </c>
      <c r="O577" s="11">
        <v>1.10259003831418</v>
      </c>
      <c r="P577" s="11">
        <v>0.39611486486486502</v>
      </c>
      <c r="Q577" s="11">
        <v>0.69230769230769196</v>
      </c>
      <c r="R577" s="11">
        <v>0.293064876957494</v>
      </c>
      <c r="S577" s="10" t="s">
        <v>84</v>
      </c>
      <c r="T577" s="10" t="s">
        <v>84</v>
      </c>
      <c r="U577" s="10"/>
      <c r="V577" s="10"/>
      <c r="W577" s="10"/>
      <c r="X577" s="10"/>
      <c r="Y577" s="10"/>
      <c r="Z577" s="10"/>
      <c r="AA577" s="10"/>
    </row>
    <row r="578" spans="1:27" ht="12.5" x14ac:dyDescent="0.25">
      <c r="A578" s="10" t="s">
        <v>53</v>
      </c>
      <c r="B578" s="10" t="s">
        <v>1028</v>
      </c>
      <c r="C578" s="10" t="s">
        <v>76</v>
      </c>
      <c r="D578" s="11">
        <v>2024</v>
      </c>
      <c r="E578" s="10" t="s">
        <v>124</v>
      </c>
      <c r="F578" s="10" t="s">
        <v>83</v>
      </c>
      <c r="G578" s="10" t="s">
        <v>84</v>
      </c>
      <c r="H578" s="12">
        <v>24979.083333333299</v>
      </c>
      <c r="I578" s="11">
        <v>899</v>
      </c>
      <c r="J578" s="11">
        <v>339</v>
      </c>
      <c r="K578" s="11">
        <v>6830</v>
      </c>
      <c r="L578" s="11">
        <v>3.5990111726811401E-2</v>
      </c>
      <c r="M578" s="11">
        <f t="shared" si="2"/>
        <v>3.5990111726811485</v>
      </c>
      <c r="N578" s="11">
        <v>0.37708565072302602</v>
      </c>
      <c r="O578" s="11">
        <v>0.27342876873651001</v>
      </c>
      <c r="P578" s="11">
        <v>0.39358108108108097</v>
      </c>
      <c r="Q578" s="11">
        <v>0.92500000000000004</v>
      </c>
      <c r="R578" s="11">
        <v>0.29082774049216997</v>
      </c>
      <c r="S578" s="10" t="s">
        <v>84</v>
      </c>
      <c r="T578" s="10" t="s">
        <v>84</v>
      </c>
      <c r="U578" s="10"/>
      <c r="V578" s="10"/>
      <c r="W578" s="10"/>
      <c r="X578" s="10"/>
      <c r="Y578" s="10"/>
      <c r="Z578" s="10"/>
      <c r="AA578" s="10"/>
    </row>
    <row r="579" spans="1:27" ht="12.5" x14ac:dyDescent="0.25">
      <c r="A579" s="10" t="s">
        <v>14</v>
      </c>
      <c r="B579" s="10" t="s">
        <v>881</v>
      </c>
      <c r="C579" s="10" t="s">
        <v>76</v>
      </c>
      <c r="D579" s="11">
        <v>2024</v>
      </c>
      <c r="E579" s="10" t="s">
        <v>81</v>
      </c>
      <c r="F579" s="10" t="s">
        <v>83</v>
      </c>
      <c r="G579" s="10" t="s">
        <v>84</v>
      </c>
      <c r="H579" s="12">
        <v>20052.75</v>
      </c>
      <c r="I579" s="11">
        <v>721</v>
      </c>
      <c r="J579" s="11">
        <v>324</v>
      </c>
      <c r="K579" s="11">
        <v>65921</v>
      </c>
      <c r="L579" s="11">
        <v>3.59551682437571E-2</v>
      </c>
      <c r="M579" s="11">
        <f t="shared" si="2"/>
        <v>3.5955168243757094</v>
      </c>
      <c r="N579" s="11">
        <v>0.44937586685159497</v>
      </c>
      <c r="O579" s="11">
        <v>3.28737953647255</v>
      </c>
      <c r="P579" s="11">
        <v>0.39273648648648701</v>
      </c>
      <c r="Q579" s="11">
        <v>7.1428571428571397E-2</v>
      </c>
      <c r="R579" s="11">
        <v>0.45155038759689903</v>
      </c>
      <c r="S579" s="10" t="s">
        <v>84</v>
      </c>
      <c r="T579" s="10" t="s">
        <v>84</v>
      </c>
      <c r="U579" s="10"/>
      <c r="V579" s="10"/>
      <c r="W579" s="10"/>
      <c r="X579" s="10"/>
      <c r="Y579" s="10"/>
      <c r="Z579" s="10"/>
      <c r="AA579" s="10"/>
    </row>
    <row r="580" spans="1:27" ht="12.5" x14ac:dyDescent="0.25">
      <c r="A580" s="10" t="s">
        <v>10</v>
      </c>
      <c r="B580" s="10" t="s">
        <v>884</v>
      </c>
      <c r="C580" s="10" t="s">
        <v>76</v>
      </c>
      <c r="D580" s="11">
        <v>2024</v>
      </c>
      <c r="E580" s="10" t="s">
        <v>81</v>
      </c>
      <c r="F580" s="10" t="s">
        <v>83</v>
      </c>
      <c r="G580" s="10" t="s">
        <v>84</v>
      </c>
      <c r="H580" s="12">
        <v>17745.166666666701</v>
      </c>
      <c r="I580" s="11">
        <v>633</v>
      </c>
      <c r="J580" s="11">
        <v>153</v>
      </c>
      <c r="K580" s="11">
        <v>8207</v>
      </c>
      <c r="L580" s="11">
        <v>3.5671685247626102E-2</v>
      </c>
      <c r="M580" s="11">
        <f t="shared" si="2"/>
        <v>3.5671685247626046</v>
      </c>
      <c r="N580" s="11">
        <v>0.24170616113744101</v>
      </c>
      <c r="O580" s="11">
        <v>0.46249213400832201</v>
      </c>
      <c r="P580" s="11">
        <v>0.391891891891892</v>
      </c>
      <c r="Q580" s="11">
        <v>0.3</v>
      </c>
      <c r="R580" s="11">
        <v>0.44961240310077499</v>
      </c>
      <c r="S580" s="10" t="s">
        <v>84</v>
      </c>
      <c r="T580" s="10" t="s">
        <v>84</v>
      </c>
      <c r="U580" s="10"/>
      <c r="V580" s="10"/>
      <c r="W580" s="10"/>
      <c r="X580" s="10"/>
      <c r="Y580" s="10"/>
      <c r="Z580" s="10"/>
      <c r="AA580" s="10"/>
    </row>
    <row r="581" spans="1:27" ht="12.5" x14ac:dyDescent="0.25">
      <c r="A581" s="10" t="s">
        <v>104</v>
      </c>
      <c r="B581" s="10" t="s">
        <v>886</v>
      </c>
      <c r="C581" s="10" t="s">
        <v>76</v>
      </c>
      <c r="D581" s="11">
        <v>2024</v>
      </c>
      <c r="E581" s="10" t="s">
        <v>81</v>
      </c>
      <c r="F581" s="10" t="s">
        <v>83</v>
      </c>
      <c r="G581" s="10" t="s">
        <v>84</v>
      </c>
      <c r="H581" s="12">
        <v>20017.583333333299</v>
      </c>
      <c r="I581" s="11">
        <v>712</v>
      </c>
      <c r="J581" s="11">
        <v>555</v>
      </c>
      <c r="K581" s="11">
        <v>5327</v>
      </c>
      <c r="L581" s="11">
        <v>3.55687291589478E-2</v>
      </c>
      <c r="M581" s="11">
        <f t="shared" si="2"/>
        <v>3.5568729158947821</v>
      </c>
      <c r="N581" s="11">
        <v>0.77949438202247201</v>
      </c>
      <c r="O581" s="11">
        <v>0.26611603964847602</v>
      </c>
      <c r="P581" s="11">
        <v>0.39104729729729698</v>
      </c>
      <c r="Q581" s="11">
        <v>0.34482758620689702</v>
      </c>
      <c r="R581" s="11">
        <v>0.44767441860465101</v>
      </c>
      <c r="S581" s="10" t="s">
        <v>84</v>
      </c>
      <c r="T581" s="10" t="s">
        <v>84</v>
      </c>
      <c r="U581" s="10"/>
      <c r="V581" s="10"/>
      <c r="W581" s="10"/>
      <c r="X581" s="10"/>
      <c r="Y581" s="10"/>
      <c r="Z581" s="10"/>
      <c r="AA581" s="10"/>
    </row>
    <row r="582" spans="1:27" ht="12.5" x14ac:dyDescent="0.25">
      <c r="A582" s="10" t="s">
        <v>67</v>
      </c>
      <c r="B582" s="10" t="s">
        <v>1030</v>
      </c>
      <c r="C582" s="10" t="s">
        <v>76</v>
      </c>
      <c r="D582" s="11">
        <v>2024</v>
      </c>
      <c r="E582" s="10" t="s">
        <v>124</v>
      </c>
      <c r="F582" s="10" t="s">
        <v>83</v>
      </c>
      <c r="G582" s="10" t="s">
        <v>84</v>
      </c>
      <c r="H582" s="12">
        <v>15026.166666666701</v>
      </c>
      <c r="I582" s="11">
        <v>530</v>
      </c>
      <c r="J582" s="11">
        <v>0</v>
      </c>
      <c r="K582" s="11">
        <v>2717</v>
      </c>
      <c r="L582" s="11">
        <v>3.5271803631442902E-2</v>
      </c>
      <c r="M582" s="11">
        <f t="shared" si="2"/>
        <v>3.5271803631442848</v>
      </c>
      <c r="N582" s="11">
        <v>0</v>
      </c>
      <c r="O582" s="11">
        <v>0.18081790654081201</v>
      </c>
      <c r="P582" s="11">
        <v>0.39020270270270302</v>
      </c>
      <c r="Q582" s="11">
        <v>0.33333333333333298</v>
      </c>
      <c r="R582" s="11">
        <v>0.288590604026846</v>
      </c>
      <c r="S582" s="10" t="s">
        <v>84</v>
      </c>
      <c r="T582" s="10" t="s">
        <v>84</v>
      </c>
      <c r="U582" s="10"/>
      <c r="V582" s="10"/>
      <c r="W582" s="10"/>
      <c r="X582" s="10"/>
      <c r="Y582" s="10"/>
      <c r="Z582" s="10"/>
      <c r="AA582" s="10"/>
    </row>
    <row r="583" spans="1:27" ht="12.5" x14ac:dyDescent="0.25">
      <c r="A583" s="10" t="s">
        <v>25</v>
      </c>
      <c r="B583" s="10" t="s">
        <v>888</v>
      </c>
      <c r="C583" s="10" t="s">
        <v>76</v>
      </c>
      <c r="D583" s="11">
        <v>2024</v>
      </c>
      <c r="E583" s="10" t="s">
        <v>81</v>
      </c>
      <c r="F583" s="10" t="s">
        <v>83</v>
      </c>
      <c r="G583" s="10" t="s">
        <v>84</v>
      </c>
      <c r="H583" s="12">
        <v>34489.25</v>
      </c>
      <c r="I583" s="11">
        <v>1203</v>
      </c>
      <c r="J583" s="11">
        <v>1183</v>
      </c>
      <c r="K583" s="11">
        <v>24741</v>
      </c>
      <c r="L583" s="11">
        <v>3.4880433758345E-2</v>
      </c>
      <c r="M583" s="11">
        <f t="shared" si="2"/>
        <v>3.4880433758344993</v>
      </c>
      <c r="N583" s="11">
        <v>0.98337489609310103</v>
      </c>
      <c r="O583" s="11">
        <v>0.71735395811738401</v>
      </c>
      <c r="P583" s="11">
        <v>0.389358108108108</v>
      </c>
      <c r="Q583" s="11">
        <v>0.1875</v>
      </c>
      <c r="R583" s="11">
        <v>0.44573643410852698</v>
      </c>
      <c r="S583" s="10" t="s">
        <v>84</v>
      </c>
      <c r="T583" s="10" t="s">
        <v>84</v>
      </c>
      <c r="U583" s="10"/>
      <c r="V583" s="10"/>
      <c r="W583" s="10"/>
      <c r="X583" s="10"/>
      <c r="Y583" s="10"/>
      <c r="Z583" s="10"/>
      <c r="AA583" s="10"/>
    </row>
    <row r="584" spans="1:27" ht="12.5" x14ac:dyDescent="0.25">
      <c r="A584" s="10" t="s">
        <v>82</v>
      </c>
      <c r="B584" s="10" t="s">
        <v>1034</v>
      </c>
      <c r="C584" s="10" t="s">
        <v>76</v>
      </c>
      <c r="D584" s="11">
        <v>2024</v>
      </c>
      <c r="E584" s="10" t="s">
        <v>124</v>
      </c>
      <c r="F584" s="10" t="s">
        <v>83</v>
      </c>
      <c r="G584" s="10" t="s">
        <v>84</v>
      </c>
      <c r="H584" s="12">
        <v>1923</v>
      </c>
      <c r="I584" s="11">
        <v>67</v>
      </c>
      <c r="J584" s="11">
        <v>67</v>
      </c>
      <c r="K584" s="11">
        <v>2929</v>
      </c>
      <c r="L584" s="11">
        <v>3.4841393655746199E-2</v>
      </c>
      <c r="M584" s="11">
        <f t="shared" si="2"/>
        <v>3.4841393655746224</v>
      </c>
      <c r="N584" s="11">
        <v>1</v>
      </c>
      <c r="O584" s="11">
        <v>1.5231409256370301</v>
      </c>
      <c r="P584" s="11">
        <v>0.38851351351351299</v>
      </c>
      <c r="Q584" s="11">
        <v>0.63793103448275901</v>
      </c>
      <c r="R584" s="11">
        <v>0.28635346756152102</v>
      </c>
      <c r="S584" s="10" t="s">
        <v>84</v>
      </c>
      <c r="T584" s="10" t="s">
        <v>84</v>
      </c>
      <c r="U584" s="10"/>
      <c r="V584" s="10"/>
      <c r="W584" s="10"/>
      <c r="X584" s="10"/>
      <c r="Y584" s="10"/>
      <c r="Z584" s="10"/>
      <c r="AA584" s="10"/>
    </row>
    <row r="585" spans="1:27" ht="12.5" x14ac:dyDescent="0.25">
      <c r="A585" s="10" t="s">
        <v>77</v>
      </c>
      <c r="B585" s="10" t="s">
        <v>889</v>
      </c>
      <c r="C585" s="10" t="s">
        <v>76</v>
      </c>
      <c r="D585" s="11">
        <v>2024</v>
      </c>
      <c r="E585" s="10" t="s">
        <v>81</v>
      </c>
      <c r="F585" s="10" t="s">
        <v>83</v>
      </c>
      <c r="G585" s="10" t="s">
        <v>84</v>
      </c>
      <c r="H585" s="12">
        <v>9772</v>
      </c>
      <c r="I585" s="11">
        <v>340</v>
      </c>
      <c r="J585" s="11">
        <v>338</v>
      </c>
      <c r="K585" s="11">
        <v>13069</v>
      </c>
      <c r="L585" s="11">
        <v>3.4793286942284098E-2</v>
      </c>
      <c r="M585" s="11">
        <f t="shared" si="2"/>
        <v>3.4793286942284078</v>
      </c>
      <c r="N585" s="11">
        <v>0.99411764705882399</v>
      </c>
      <c r="O585" s="11">
        <v>1.33739255014327</v>
      </c>
      <c r="P585" s="11">
        <v>0.38766891891891903</v>
      </c>
      <c r="Q585" s="11">
        <v>0.5</v>
      </c>
      <c r="R585" s="11">
        <v>0.443798449612403</v>
      </c>
      <c r="S585" s="10" t="s">
        <v>84</v>
      </c>
      <c r="T585" s="10" t="s">
        <v>84</v>
      </c>
      <c r="U585" s="10"/>
      <c r="V585" s="10"/>
      <c r="W585" s="10"/>
      <c r="X585" s="10"/>
      <c r="Y585" s="10"/>
      <c r="Z585" s="10"/>
      <c r="AA585" s="10"/>
    </row>
    <row r="586" spans="1:27" ht="12.5" x14ac:dyDescent="0.25">
      <c r="A586" s="10" t="s">
        <v>62</v>
      </c>
      <c r="B586" s="10" t="s">
        <v>892</v>
      </c>
      <c r="C586" s="10" t="s">
        <v>76</v>
      </c>
      <c r="D586" s="11">
        <v>2024</v>
      </c>
      <c r="E586" s="10" t="s">
        <v>81</v>
      </c>
      <c r="F586" s="10" t="s">
        <v>83</v>
      </c>
      <c r="G586" s="10" t="s">
        <v>84</v>
      </c>
      <c r="H586" s="12">
        <v>8428.0833333333303</v>
      </c>
      <c r="I586" s="11">
        <v>293</v>
      </c>
      <c r="J586" s="11">
        <v>204</v>
      </c>
      <c r="K586" s="11">
        <v>629</v>
      </c>
      <c r="L586" s="11">
        <v>3.4764725075887203E-2</v>
      </c>
      <c r="M586" s="11">
        <f t="shared" si="2"/>
        <v>3.4764725075887175</v>
      </c>
      <c r="N586" s="11">
        <v>0.69624573378839605</v>
      </c>
      <c r="O586" s="11">
        <v>7.4631440521273101E-2</v>
      </c>
      <c r="P586" s="11">
        <v>0.38682432432432401</v>
      </c>
      <c r="Q586" s="11">
        <v>0.38888888888888901</v>
      </c>
      <c r="R586" s="11">
        <v>0.44186046511627902</v>
      </c>
      <c r="S586" s="10" t="s">
        <v>84</v>
      </c>
      <c r="T586" s="10" t="s">
        <v>84</v>
      </c>
      <c r="U586" s="10"/>
      <c r="V586" s="10"/>
      <c r="W586" s="10"/>
      <c r="X586" s="10"/>
      <c r="Y586" s="10"/>
      <c r="Z586" s="10"/>
      <c r="AA586" s="10"/>
    </row>
    <row r="587" spans="1:27" ht="12.5" x14ac:dyDescent="0.25">
      <c r="A587" s="10" t="s">
        <v>10</v>
      </c>
      <c r="B587" s="10" t="s">
        <v>894</v>
      </c>
      <c r="C587" s="10" t="s">
        <v>76</v>
      </c>
      <c r="D587" s="11">
        <v>2024</v>
      </c>
      <c r="E587" s="10" t="s">
        <v>81</v>
      </c>
      <c r="F587" s="10" t="s">
        <v>83</v>
      </c>
      <c r="G587" s="10" t="s">
        <v>84</v>
      </c>
      <c r="H587" s="12">
        <v>19257.583333333299</v>
      </c>
      <c r="I587" s="11">
        <v>667</v>
      </c>
      <c r="J587" s="11">
        <v>248</v>
      </c>
      <c r="K587" s="11">
        <v>6368</v>
      </c>
      <c r="L587" s="11">
        <v>3.4635706280210003E-2</v>
      </c>
      <c r="M587" s="11">
        <f t="shared" si="2"/>
        <v>3.4635706280210026</v>
      </c>
      <c r="N587" s="11">
        <v>0.37181409295352302</v>
      </c>
      <c r="O587" s="11">
        <v>0.330674928924103</v>
      </c>
      <c r="P587" s="11">
        <v>0.38597972972972999</v>
      </c>
      <c r="Q587" s="11">
        <v>0.266666666666667</v>
      </c>
      <c r="R587" s="11">
        <v>0.43992248062015499</v>
      </c>
      <c r="S587" s="10" t="s">
        <v>84</v>
      </c>
      <c r="T587" s="10" t="s">
        <v>84</v>
      </c>
      <c r="U587" s="10"/>
      <c r="V587" s="10"/>
      <c r="W587" s="10"/>
      <c r="X587" s="10"/>
      <c r="Y587" s="10"/>
      <c r="Z587" s="10"/>
      <c r="AA587" s="10"/>
    </row>
    <row r="588" spans="1:27" ht="12.5" hidden="1" x14ac:dyDescent="0.25">
      <c r="A588" s="10" t="s">
        <v>110</v>
      </c>
      <c r="B588" s="10" t="s">
        <v>1415</v>
      </c>
      <c r="C588" s="10" t="s">
        <v>76</v>
      </c>
      <c r="D588" s="11">
        <v>2024</v>
      </c>
      <c r="E588" s="10" t="s">
        <v>257</v>
      </c>
      <c r="F588" s="10" t="s">
        <v>83</v>
      </c>
      <c r="G588" s="10" t="s">
        <v>84</v>
      </c>
      <c r="H588" s="12">
        <v>16436.083333333299</v>
      </c>
      <c r="I588" s="11">
        <v>568</v>
      </c>
      <c r="J588" s="11">
        <v>475</v>
      </c>
      <c r="K588" s="11">
        <v>7922</v>
      </c>
      <c r="L588" s="11">
        <v>3.45581114722181E-2</v>
      </c>
      <c r="M588" s="11">
        <f t="shared" si="2"/>
        <v>3.4558111472218211</v>
      </c>
      <c r="N588" s="11">
        <v>0.83626760563380298</v>
      </c>
      <c r="O588" s="11">
        <v>0.48198830824456401</v>
      </c>
      <c r="P588" s="11">
        <v>0.38513513513513498</v>
      </c>
      <c r="Q588" s="11">
        <v>0.54545454545454497</v>
      </c>
      <c r="R588" s="11">
        <v>0.5</v>
      </c>
      <c r="S588" s="10" t="s">
        <v>84</v>
      </c>
      <c r="T588" s="10" t="s">
        <v>84</v>
      </c>
      <c r="U588" s="10"/>
      <c r="V588" s="10"/>
      <c r="W588" s="10"/>
      <c r="X588" s="10"/>
      <c r="Y588" s="10"/>
      <c r="Z588" s="10"/>
      <c r="AA588" s="10"/>
    </row>
    <row r="589" spans="1:27" ht="12.5" x14ac:dyDescent="0.25">
      <c r="A589" s="10" t="s">
        <v>42</v>
      </c>
      <c r="B589" s="10" t="s">
        <v>896</v>
      </c>
      <c r="C589" s="10" t="s">
        <v>76</v>
      </c>
      <c r="D589" s="11">
        <v>2024</v>
      </c>
      <c r="E589" s="10" t="s">
        <v>81</v>
      </c>
      <c r="F589" s="10" t="s">
        <v>83</v>
      </c>
      <c r="G589" s="10" t="s">
        <v>84</v>
      </c>
      <c r="H589" s="12">
        <v>30338.416666666701</v>
      </c>
      <c r="I589" s="11">
        <v>1042</v>
      </c>
      <c r="J589" s="11">
        <v>815</v>
      </c>
      <c r="K589" s="11">
        <v>25971</v>
      </c>
      <c r="L589" s="11">
        <v>3.4345892583935098E-2</v>
      </c>
      <c r="M589" s="11">
        <f t="shared" si="2"/>
        <v>3.4345892583935069</v>
      </c>
      <c r="N589" s="11">
        <v>0.78214971209213002</v>
      </c>
      <c r="O589" s="11">
        <v>0.85604335537176501</v>
      </c>
      <c r="P589" s="11">
        <v>0.38429054054054002</v>
      </c>
      <c r="Q589" s="11">
        <v>0.38095238095238099</v>
      </c>
      <c r="R589" s="11">
        <v>0.43798449612403101</v>
      </c>
      <c r="S589" s="10" t="s">
        <v>84</v>
      </c>
      <c r="T589" s="10" t="s">
        <v>84</v>
      </c>
      <c r="U589" s="10"/>
      <c r="V589" s="10"/>
      <c r="W589" s="10"/>
      <c r="X589" s="10"/>
      <c r="Y589" s="10"/>
      <c r="Z589" s="10"/>
      <c r="AA589" s="10"/>
    </row>
    <row r="590" spans="1:27" ht="12.5" x14ac:dyDescent="0.25">
      <c r="A590" s="10" t="s">
        <v>32</v>
      </c>
      <c r="B590" s="10" t="s">
        <v>898</v>
      </c>
      <c r="C590" s="10" t="s">
        <v>76</v>
      </c>
      <c r="D590" s="11">
        <v>2024</v>
      </c>
      <c r="E590" s="10" t="s">
        <v>81</v>
      </c>
      <c r="F590" s="10" t="s">
        <v>83</v>
      </c>
      <c r="G590" s="10" t="s">
        <v>84</v>
      </c>
      <c r="H590" s="12">
        <v>12208.416666666701</v>
      </c>
      <c r="I590" s="11">
        <v>417</v>
      </c>
      <c r="J590" s="11">
        <v>356</v>
      </c>
      <c r="K590" s="11">
        <v>0</v>
      </c>
      <c r="L590" s="11">
        <v>3.4156763435061903E-2</v>
      </c>
      <c r="M590" s="11">
        <f t="shared" si="2"/>
        <v>3.4156763435061785</v>
      </c>
      <c r="N590" s="11">
        <v>0.85371702637889701</v>
      </c>
      <c r="O590" s="11">
        <v>0</v>
      </c>
      <c r="P590" s="11">
        <v>0.38260135135135098</v>
      </c>
      <c r="Q590" s="11">
        <v>0.20689655172413801</v>
      </c>
      <c r="R590" s="11">
        <v>0.43604651162790697</v>
      </c>
      <c r="S590" s="10" t="s">
        <v>84</v>
      </c>
      <c r="T590" s="10" t="s">
        <v>84</v>
      </c>
      <c r="U590" s="10"/>
      <c r="V590" s="10"/>
      <c r="W590" s="10"/>
      <c r="X590" s="10"/>
      <c r="Y590" s="10"/>
      <c r="Z590" s="10"/>
      <c r="AA590" s="10"/>
    </row>
    <row r="591" spans="1:27" ht="12.5" x14ac:dyDescent="0.25">
      <c r="A591" s="10" t="s">
        <v>62</v>
      </c>
      <c r="B591" s="10" t="s">
        <v>1036</v>
      </c>
      <c r="C591" s="10" t="s">
        <v>76</v>
      </c>
      <c r="D591" s="11">
        <v>2024</v>
      </c>
      <c r="E591" s="10" t="s">
        <v>124</v>
      </c>
      <c r="F591" s="10" t="s">
        <v>83</v>
      </c>
      <c r="G591" s="10" t="s">
        <v>84</v>
      </c>
      <c r="H591" s="12">
        <v>23545.583333333299</v>
      </c>
      <c r="I591" s="11">
        <v>804</v>
      </c>
      <c r="J591" s="11">
        <v>604</v>
      </c>
      <c r="K591" s="11">
        <v>3904</v>
      </c>
      <c r="L591" s="11">
        <v>3.41465313735414E-2</v>
      </c>
      <c r="M591" s="11">
        <f t="shared" si="2"/>
        <v>3.414653137354144</v>
      </c>
      <c r="N591" s="11">
        <v>0.75124378109452705</v>
      </c>
      <c r="O591" s="11">
        <v>0.16580604288844</v>
      </c>
      <c r="P591" s="11">
        <v>0.38175675675675702</v>
      </c>
      <c r="Q591" s="11">
        <v>0.36111111111111099</v>
      </c>
      <c r="R591" s="11">
        <v>0.28411633109619699</v>
      </c>
      <c r="S591" s="10" t="s">
        <v>84</v>
      </c>
      <c r="T591" s="10" t="s">
        <v>84</v>
      </c>
      <c r="U591" s="10"/>
      <c r="V591" s="10"/>
      <c r="W591" s="10"/>
      <c r="X591" s="10"/>
      <c r="Y591" s="10"/>
      <c r="Z591" s="10"/>
      <c r="AA591" s="10"/>
    </row>
    <row r="592" spans="1:27" ht="12.5" x14ac:dyDescent="0.25">
      <c r="A592" s="10" t="s">
        <v>42</v>
      </c>
      <c r="B592" s="10" t="s">
        <v>900</v>
      </c>
      <c r="C592" s="10" t="s">
        <v>76</v>
      </c>
      <c r="D592" s="11">
        <v>2024</v>
      </c>
      <c r="E592" s="10" t="s">
        <v>81</v>
      </c>
      <c r="F592" s="10" t="s">
        <v>83</v>
      </c>
      <c r="G592" s="10" t="s">
        <v>84</v>
      </c>
      <c r="H592" s="12">
        <v>3850.8333333333298</v>
      </c>
      <c r="I592" s="11">
        <v>131</v>
      </c>
      <c r="J592" s="11">
        <v>107</v>
      </c>
      <c r="K592" s="11">
        <v>677</v>
      </c>
      <c r="L592" s="11">
        <v>3.40186106903268E-2</v>
      </c>
      <c r="M592" s="11">
        <f t="shared" si="2"/>
        <v>3.4018610690326803</v>
      </c>
      <c r="N592" s="11">
        <v>0.81679389312977102</v>
      </c>
      <c r="O592" s="11">
        <v>0.17580610257519999</v>
      </c>
      <c r="P592" s="11">
        <v>0.380912162162162</v>
      </c>
      <c r="Q592" s="11">
        <v>0.35714285714285698</v>
      </c>
      <c r="R592" s="11">
        <v>0.434108527131783</v>
      </c>
      <c r="S592" s="10" t="s">
        <v>84</v>
      </c>
      <c r="T592" s="10" t="s">
        <v>84</v>
      </c>
      <c r="U592" s="10"/>
      <c r="V592" s="10"/>
      <c r="W592" s="10"/>
      <c r="X592" s="10"/>
      <c r="Y592" s="10"/>
      <c r="Z592" s="10"/>
      <c r="AA592" s="10"/>
    </row>
    <row r="593" spans="1:27" ht="12.5" x14ac:dyDescent="0.25">
      <c r="A593" s="10" t="s">
        <v>36</v>
      </c>
      <c r="B593" s="10" t="s">
        <v>902</v>
      </c>
      <c r="C593" s="10" t="s">
        <v>76</v>
      </c>
      <c r="D593" s="11">
        <v>2024</v>
      </c>
      <c r="E593" s="10" t="s">
        <v>81</v>
      </c>
      <c r="F593" s="10" t="s">
        <v>83</v>
      </c>
      <c r="G593" s="10" t="s">
        <v>84</v>
      </c>
      <c r="H593" s="12">
        <v>16369.333333333299</v>
      </c>
      <c r="I593" s="11">
        <v>554</v>
      </c>
      <c r="J593" s="11">
        <v>495</v>
      </c>
      <c r="K593" s="11">
        <v>40149</v>
      </c>
      <c r="L593" s="11">
        <v>3.3843772908690999E-2</v>
      </c>
      <c r="M593" s="11">
        <f t="shared" si="2"/>
        <v>3.3843772908691117</v>
      </c>
      <c r="N593" s="11">
        <v>0.893501805054152</v>
      </c>
      <c r="O593" s="11">
        <v>2.4526960983953701</v>
      </c>
      <c r="P593" s="11">
        <v>0.37922297297297303</v>
      </c>
      <c r="Q593" s="11">
        <v>0.25531914893617003</v>
      </c>
      <c r="R593" s="11">
        <v>0.43217054263565902</v>
      </c>
      <c r="S593" s="10" t="s">
        <v>84</v>
      </c>
      <c r="T593" s="10" t="s">
        <v>84</v>
      </c>
      <c r="U593" s="10"/>
      <c r="V593" s="10"/>
      <c r="W593" s="10"/>
      <c r="X593" s="10"/>
      <c r="Y593" s="10"/>
      <c r="Z593" s="10"/>
      <c r="AA593" s="10"/>
    </row>
    <row r="594" spans="1:27" ht="12.5" x14ac:dyDescent="0.25">
      <c r="A594" s="10" t="s">
        <v>69</v>
      </c>
      <c r="B594" s="10" t="s">
        <v>1041</v>
      </c>
      <c r="C594" s="10" t="s">
        <v>76</v>
      </c>
      <c r="D594" s="11">
        <v>2024</v>
      </c>
      <c r="E594" s="10" t="s">
        <v>124</v>
      </c>
      <c r="F594" s="10" t="s">
        <v>83</v>
      </c>
      <c r="G594" s="10" t="s">
        <v>84</v>
      </c>
      <c r="H594" s="12">
        <v>3961</v>
      </c>
      <c r="I594" s="11">
        <v>134</v>
      </c>
      <c r="J594" s="11">
        <v>117</v>
      </c>
      <c r="K594" s="11">
        <v>3139</v>
      </c>
      <c r="L594" s="11">
        <v>3.3829840949255202E-2</v>
      </c>
      <c r="M594" s="11">
        <f t="shared" si="2"/>
        <v>3.3829840949255239</v>
      </c>
      <c r="N594" s="11">
        <v>0.87313432835820903</v>
      </c>
      <c r="O594" s="11">
        <v>0.79247664731128498</v>
      </c>
      <c r="P594" s="11">
        <v>0.37837837837837801</v>
      </c>
      <c r="Q594" s="11">
        <v>0.33333333333333298</v>
      </c>
      <c r="R594" s="11">
        <v>0.27964205816554799</v>
      </c>
      <c r="S594" s="10" t="s">
        <v>84</v>
      </c>
      <c r="T594" s="10" t="s">
        <v>84</v>
      </c>
      <c r="U594" s="10"/>
      <c r="V594" s="10"/>
      <c r="W594" s="10"/>
      <c r="X594" s="10"/>
      <c r="Y594" s="10"/>
      <c r="Z594" s="10"/>
      <c r="AA594" s="10"/>
    </row>
    <row r="595" spans="1:27" ht="12.5" x14ac:dyDescent="0.25">
      <c r="A595" s="10" t="s">
        <v>91</v>
      </c>
      <c r="B595" s="10" t="s">
        <v>904</v>
      </c>
      <c r="C595" s="10" t="s">
        <v>76</v>
      </c>
      <c r="D595" s="11">
        <v>2024</v>
      </c>
      <c r="E595" s="10" t="s">
        <v>81</v>
      </c>
      <c r="F595" s="10" t="s">
        <v>83</v>
      </c>
      <c r="G595" s="10" t="s">
        <v>84</v>
      </c>
      <c r="H595" s="12">
        <v>51469.583333333299</v>
      </c>
      <c r="I595" s="11">
        <v>1740</v>
      </c>
      <c r="J595" s="11">
        <v>1727</v>
      </c>
      <c r="K595" s="11">
        <v>7959</v>
      </c>
      <c r="L595" s="11">
        <v>3.3806374314927098E-2</v>
      </c>
      <c r="M595" s="11">
        <f t="shared" si="2"/>
        <v>3.3806374314927128</v>
      </c>
      <c r="N595" s="11">
        <v>0.99252873563218402</v>
      </c>
      <c r="O595" s="11">
        <v>0.15463501906465801</v>
      </c>
      <c r="P595" s="11">
        <v>0.37668918918918898</v>
      </c>
      <c r="Q595" s="11">
        <v>0.6</v>
      </c>
      <c r="R595" s="11">
        <v>0.43023255813953498</v>
      </c>
      <c r="S595" s="10" t="s">
        <v>84</v>
      </c>
      <c r="T595" s="10" t="s">
        <v>84</v>
      </c>
      <c r="U595" s="10"/>
      <c r="V595" s="10"/>
      <c r="W595" s="10"/>
      <c r="X595" s="10"/>
      <c r="Y595" s="10"/>
      <c r="Z595" s="10"/>
      <c r="AA595" s="10"/>
    </row>
    <row r="596" spans="1:27" ht="12.5" x14ac:dyDescent="0.25">
      <c r="A596" s="10" t="s">
        <v>82</v>
      </c>
      <c r="B596" s="10" t="s">
        <v>1044</v>
      </c>
      <c r="C596" s="10" t="s">
        <v>76</v>
      </c>
      <c r="D596" s="11">
        <v>2024</v>
      </c>
      <c r="E596" s="10" t="s">
        <v>124</v>
      </c>
      <c r="F596" s="10" t="s">
        <v>83</v>
      </c>
      <c r="G596" s="10" t="s">
        <v>84</v>
      </c>
      <c r="H596" s="12">
        <v>1124.9166666666699</v>
      </c>
      <c r="I596" s="11">
        <v>38</v>
      </c>
      <c r="J596" s="11">
        <v>37</v>
      </c>
      <c r="K596" s="11">
        <v>2205</v>
      </c>
      <c r="L596" s="11">
        <v>3.37802800207423E-2</v>
      </c>
      <c r="M596" s="11">
        <f t="shared" si="2"/>
        <v>3.3780280020742182</v>
      </c>
      <c r="N596" s="11">
        <v>0.97368421052631604</v>
      </c>
      <c r="O596" s="11">
        <v>1.9601451959404399</v>
      </c>
      <c r="P596" s="11">
        <v>0.37584459459459502</v>
      </c>
      <c r="Q596" s="11">
        <v>0.60344827586206895</v>
      </c>
      <c r="R596" s="11">
        <v>0.27740492170022402</v>
      </c>
      <c r="S596" s="10" t="s">
        <v>84</v>
      </c>
      <c r="T596" s="10" t="s">
        <v>84</v>
      </c>
      <c r="U596" s="10"/>
      <c r="V596" s="10"/>
      <c r="W596" s="10"/>
      <c r="X596" s="10"/>
      <c r="Y596" s="10"/>
      <c r="Z596" s="10"/>
      <c r="AA596" s="10"/>
    </row>
    <row r="597" spans="1:27" ht="12.5" x14ac:dyDescent="0.25">
      <c r="A597" s="10" t="s">
        <v>104</v>
      </c>
      <c r="B597" s="10" t="s">
        <v>906</v>
      </c>
      <c r="C597" s="10" t="s">
        <v>76</v>
      </c>
      <c r="D597" s="11">
        <v>2024</v>
      </c>
      <c r="E597" s="10" t="s">
        <v>81</v>
      </c>
      <c r="F597" s="10" t="s">
        <v>83</v>
      </c>
      <c r="G597" s="10" t="s">
        <v>84</v>
      </c>
      <c r="H597" s="12">
        <v>6624.4166666666697</v>
      </c>
      <c r="I597" s="11">
        <v>222</v>
      </c>
      <c r="J597" s="11">
        <v>194</v>
      </c>
      <c r="K597" s="11">
        <v>3701</v>
      </c>
      <c r="L597" s="11">
        <v>3.3512384738278798E-2</v>
      </c>
      <c r="M597" s="11">
        <f t="shared" si="2"/>
        <v>3.3512384738278826</v>
      </c>
      <c r="N597" s="11">
        <v>0.87387387387387405</v>
      </c>
      <c r="O597" s="11">
        <v>0.55869070232599105</v>
      </c>
      <c r="P597" s="11">
        <v>0.37415540540540498</v>
      </c>
      <c r="Q597" s="11">
        <v>0.31034482758620702</v>
      </c>
      <c r="R597" s="11">
        <v>0.428294573643411</v>
      </c>
      <c r="S597" s="10" t="s">
        <v>84</v>
      </c>
      <c r="T597" s="10" t="s">
        <v>84</v>
      </c>
      <c r="U597" s="10"/>
      <c r="V597" s="10"/>
      <c r="W597" s="10"/>
      <c r="X597" s="10"/>
      <c r="Y597" s="10"/>
      <c r="Z597" s="10"/>
      <c r="AA597" s="10"/>
    </row>
    <row r="598" spans="1:27" ht="12.5" x14ac:dyDescent="0.25">
      <c r="A598" s="10" t="s">
        <v>6</v>
      </c>
      <c r="B598" s="10" t="s">
        <v>1046</v>
      </c>
      <c r="C598" s="10" t="s">
        <v>76</v>
      </c>
      <c r="D598" s="11">
        <v>2024</v>
      </c>
      <c r="E598" s="10" t="s">
        <v>124</v>
      </c>
      <c r="F598" s="10" t="s">
        <v>83</v>
      </c>
      <c r="G598" s="10" t="s">
        <v>84</v>
      </c>
      <c r="H598" s="12">
        <v>11667.166666666701</v>
      </c>
      <c r="I598" s="11">
        <v>390</v>
      </c>
      <c r="J598" s="11">
        <v>209</v>
      </c>
      <c r="K598" s="11">
        <v>6046</v>
      </c>
      <c r="L598" s="11">
        <v>3.3427138836906997E-2</v>
      </c>
      <c r="M598" s="11">
        <f t="shared" si="2"/>
        <v>3.3427138836906893</v>
      </c>
      <c r="N598" s="11">
        <v>0.53589743589743599</v>
      </c>
      <c r="O598" s="11">
        <v>0.51820636258446096</v>
      </c>
      <c r="P598" s="11">
        <v>0.37331081081081102</v>
      </c>
      <c r="Q598" s="11">
        <v>0.58064516129032295</v>
      </c>
      <c r="R598" s="11">
        <v>0.27516778523489899</v>
      </c>
      <c r="S598" s="10" t="s">
        <v>84</v>
      </c>
      <c r="T598" s="10" t="s">
        <v>84</v>
      </c>
      <c r="U598" s="10"/>
      <c r="V598" s="10"/>
      <c r="W598" s="10"/>
      <c r="X598" s="10"/>
      <c r="Y598" s="10"/>
      <c r="Z598" s="10"/>
      <c r="AA598" s="10"/>
    </row>
    <row r="599" spans="1:27" ht="12.5" x14ac:dyDescent="0.25">
      <c r="A599" s="10" t="s">
        <v>112</v>
      </c>
      <c r="B599" s="10" t="s">
        <v>840</v>
      </c>
      <c r="C599" s="10" t="s">
        <v>76</v>
      </c>
      <c r="D599" s="11">
        <v>2024</v>
      </c>
      <c r="E599" s="10" t="s">
        <v>81</v>
      </c>
      <c r="F599" s="10" t="s">
        <v>83</v>
      </c>
      <c r="G599" s="10" t="s">
        <v>84</v>
      </c>
      <c r="H599" s="12">
        <v>901</v>
      </c>
      <c r="I599" s="11">
        <v>30</v>
      </c>
      <c r="J599" s="11">
        <v>28</v>
      </c>
      <c r="K599" s="11">
        <v>87</v>
      </c>
      <c r="L599" s="11">
        <v>3.3296337402885699E-2</v>
      </c>
      <c r="M599" s="11">
        <f t="shared" si="2"/>
        <v>3.3296337402885685</v>
      </c>
      <c r="N599" s="11">
        <v>0.93333333333333302</v>
      </c>
      <c r="O599" s="11">
        <v>9.6559378468368498E-2</v>
      </c>
      <c r="P599" s="11">
        <v>0.37246621621621601</v>
      </c>
      <c r="Q599" s="11">
        <v>0.83333333333333304</v>
      </c>
      <c r="R599" s="11">
        <v>0.42635658914728702</v>
      </c>
      <c r="S599" s="10" t="s">
        <v>84</v>
      </c>
      <c r="T599" s="10" t="s">
        <v>84</v>
      </c>
      <c r="U599" s="10"/>
      <c r="V599" s="10"/>
      <c r="W599" s="10"/>
      <c r="X599" s="10"/>
      <c r="Y599" s="10"/>
      <c r="Z599" s="10"/>
      <c r="AA599" s="10"/>
    </row>
    <row r="600" spans="1:27" ht="12.5" x14ac:dyDescent="0.25">
      <c r="A600" s="10" t="s">
        <v>6</v>
      </c>
      <c r="B600" s="10" t="s">
        <v>1050</v>
      </c>
      <c r="C600" s="10" t="s">
        <v>76</v>
      </c>
      <c r="D600" s="11">
        <v>2024</v>
      </c>
      <c r="E600" s="10" t="s">
        <v>124</v>
      </c>
      <c r="F600" s="10" t="s">
        <v>125</v>
      </c>
      <c r="G600" s="10" t="s">
        <v>84</v>
      </c>
      <c r="H600" s="12">
        <v>781.41666666666697</v>
      </c>
      <c r="I600" s="11">
        <v>26</v>
      </c>
      <c r="J600" s="11">
        <v>26</v>
      </c>
      <c r="K600" s="11">
        <v>641</v>
      </c>
      <c r="L600" s="11">
        <v>3.32729017809534E-2</v>
      </c>
      <c r="M600" s="11">
        <f t="shared" si="2"/>
        <v>3.3272901780953386</v>
      </c>
      <c r="N600" s="11">
        <v>1</v>
      </c>
      <c r="O600" s="11">
        <v>0.82030500159965902</v>
      </c>
      <c r="P600" s="11">
        <v>0.37077702702702697</v>
      </c>
      <c r="Q600" s="11">
        <v>0.54838709677419395</v>
      </c>
      <c r="R600" s="11">
        <v>0.27293064876957501</v>
      </c>
      <c r="S600" s="10" t="s">
        <v>84</v>
      </c>
      <c r="T600" s="10" t="s">
        <v>84</v>
      </c>
      <c r="U600" s="10"/>
      <c r="V600" s="10"/>
      <c r="W600" s="10"/>
      <c r="X600" s="10"/>
      <c r="Y600" s="10"/>
      <c r="Z600" s="10"/>
      <c r="AA600" s="10"/>
    </row>
    <row r="601" spans="1:27" ht="12.5" x14ac:dyDescent="0.25">
      <c r="A601" s="10" t="s">
        <v>53</v>
      </c>
      <c r="B601" s="10" t="s">
        <v>1054</v>
      </c>
      <c r="C601" s="10" t="s">
        <v>76</v>
      </c>
      <c r="D601" s="11">
        <v>2024</v>
      </c>
      <c r="E601" s="10" t="s">
        <v>124</v>
      </c>
      <c r="F601" s="10" t="s">
        <v>125</v>
      </c>
      <c r="G601" s="10" t="s">
        <v>84</v>
      </c>
      <c r="H601" s="12">
        <v>1112.6666666666699</v>
      </c>
      <c r="I601" s="11">
        <v>37</v>
      </c>
      <c r="J601" s="11">
        <v>31</v>
      </c>
      <c r="K601" s="11">
        <v>298</v>
      </c>
      <c r="L601" s="11">
        <v>3.3253445176752501E-2</v>
      </c>
      <c r="M601" s="11">
        <f t="shared" si="2"/>
        <v>3.3253445176752452</v>
      </c>
      <c r="N601" s="11">
        <v>0.83783783783783805</v>
      </c>
      <c r="O601" s="11">
        <v>0.26782504493708797</v>
      </c>
      <c r="P601" s="11">
        <v>0.36993243243243201</v>
      </c>
      <c r="Q601" s="11">
        <v>0.9</v>
      </c>
      <c r="R601" s="11">
        <v>0.27069351230425098</v>
      </c>
      <c r="S601" s="10" t="s">
        <v>84</v>
      </c>
      <c r="T601" s="10" t="s">
        <v>84</v>
      </c>
      <c r="U601" s="10"/>
      <c r="V601" s="10"/>
      <c r="W601" s="10"/>
      <c r="X601" s="10"/>
      <c r="Y601" s="10"/>
      <c r="Z601" s="10"/>
      <c r="AA601" s="10"/>
    </row>
    <row r="602" spans="1:27" ht="12.5" x14ac:dyDescent="0.25">
      <c r="A602" s="10" t="s">
        <v>42</v>
      </c>
      <c r="B602" s="10" t="s">
        <v>908</v>
      </c>
      <c r="C602" s="10" t="s">
        <v>76</v>
      </c>
      <c r="D602" s="11">
        <v>2024</v>
      </c>
      <c r="E602" s="10" t="s">
        <v>81</v>
      </c>
      <c r="F602" s="10" t="s">
        <v>83</v>
      </c>
      <c r="G602" s="10" t="s">
        <v>84</v>
      </c>
      <c r="H602" s="12">
        <v>14710.5</v>
      </c>
      <c r="I602" s="11">
        <v>488</v>
      </c>
      <c r="J602" s="11">
        <v>367</v>
      </c>
      <c r="K602" s="11">
        <v>4376</v>
      </c>
      <c r="L602" s="11">
        <v>3.3173583494782603E-2</v>
      </c>
      <c r="M602" s="11">
        <f t="shared" si="2"/>
        <v>3.3173583494782637</v>
      </c>
      <c r="N602" s="11">
        <v>0.75204918032786905</v>
      </c>
      <c r="O602" s="11">
        <v>0.29747459297780499</v>
      </c>
      <c r="P602" s="11">
        <v>0.369087837837838</v>
      </c>
      <c r="Q602" s="11">
        <v>0.33333333333333298</v>
      </c>
      <c r="R602" s="11">
        <v>0.42441860465116299</v>
      </c>
      <c r="S602" s="10" t="s">
        <v>84</v>
      </c>
      <c r="T602" s="10" t="s">
        <v>84</v>
      </c>
      <c r="U602" s="10"/>
      <c r="V602" s="10"/>
      <c r="W602" s="10"/>
      <c r="X602" s="10"/>
      <c r="Y602" s="10"/>
      <c r="Z602" s="10"/>
      <c r="AA602" s="10"/>
    </row>
    <row r="603" spans="1:27" ht="12.5" x14ac:dyDescent="0.25">
      <c r="A603" s="10" t="s">
        <v>62</v>
      </c>
      <c r="B603" s="10" t="s">
        <v>910</v>
      </c>
      <c r="C603" s="10" t="s">
        <v>76</v>
      </c>
      <c r="D603" s="11">
        <v>2024</v>
      </c>
      <c r="E603" s="10" t="s">
        <v>81</v>
      </c>
      <c r="F603" s="10" t="s">
        <v>83</v>
      </c>
      <c r="G603" s="10" t="s">
        <v>84</v>
      </c>
      <c r="H603" s="12">
        <v>14979</v>
      </c>
      <c r="I603" s="11">
        <v>492</v>
      </c>
      <c r="J603" s="11">
        <v>394</v>
      </c>
      <c r="K603" s="11">
        <v>1503</v>
      </c>
      <c r="L603" s="11">
        <v>3.2845984378129398E-2</v>
      </c>
      <c r="M603" s="11">
        <f t="shared" si="2"/>
        <v>3.2845984378129383</v>
      </c>
      <c r="N603" s="11">
        <v>0.80081300813008105</v>
      </c>
      <c r="O603" s="11">
        <v>0.10034047666733401</v>
      </c>
      <c r="P603" s="11">
        <v>0.36739864864864902</v>
      </c>
      <c r="Q603" s="11">
        <v>0.33333333333333298</v>
      </c>
      <c r="R603" s="11">
        <v>0.42248062015503901</v>
      </c>
      <c r="S603" s="10" t="s">
        <v>84</v>
      </c>
      <c r="T603" s="10" t="s">
        <v>84</v>
      </c>
      <c r="U603" s="10"/>
      <c r="V603" s="10"/>
      <c r="W603" s="10"/>
      <c r="X603" s="10"/>
      <c r="Y603" s="10"/>
      <c r="Z603" s="10"/>
      <c r="AA603" s="10"/>
    </row>
    <row r="604" spans="1:27" ht="12.5" x14ac:dyDescent="0.25">
      <c r="A604" s="10" t="s">
        <v>34</v>
      </c>
      <c r="B604" s="10" t="s">
        <v>912</v>
      </c>
      <c r="C604" s="10" t="s">
        <v>76</v>
      </c>
      <c r="D604" s="11">
        <v>2024</v>
      </c>
      <c r="E604" s="10" t="s">
        <v>81</v>
      </c>
      <c r="F604" s="10" t="s">
        <v>83</v>
      </c>
      <c r="G604" s="10" t="s">
        <v>84</v>
      </c>
      <c r="H604" s="12">
        <v>21538.083333333299</v>
      </c>
      <c r="I604" s="11">
        <v>706</v>
      </c>
      <c r="J604" s="11">
        <v>656</v>
      </c>
      <c r="K604" s="11">
        <v>16699</v>
      </c>
      <c r="L604" s="11">
        <v>3.2779147014783898E-2</v>
      </c>
      <c r="M604" s="11">
        <f t="shared" si="2"/>
        <v>3.277914701478394</v>
      </c>
      <c r="N604" s="11">
        <v>0.92917847025495703</v>
      </c>
      <c r="O604" s="11">
        <v>0.77532432861172296</v>
      </c>
      <c r="P604" s="11">
        <v>0.366554054054054</v>
      </c>
      <c r="Q604" s="11">
        <v>0.65306122448979598</v>
      </c>
      <c r="R604" s="11">
        <v>0.42054263565891498</v>
      </c>
      <c r="S604" s="10" t="s">
        <v>84</v>
      </c>
      <c r="T604" s="10" t="s">
        <v>84</v>
      </c>
      <c r="U604" s="10"/>
      <c r="V604" s="10"/>
      <c r="W604" s="10"/>
      <c r="X604" s="10"/>
      <c r="Y604" s="10"/>
      <c r="Z604" s="10"/>
      <c r="AA604" s="10"/>
    </row>
    <row r="605" spans="1:27" ht="12.5" x14ac:dyDescent="0.25">
      <c r="A605" s="10" t="s">
        <v>77</v>
      </c>
      <c r="B605" s="10" t="s">
        <v>914</v>
      </c>
      <c r="C605" s="10" t="s">
        <v>76</v>
      </c>
      <c r="D605" s="11">
        <v>2024</v>
      </c>
      <c r="E605" s="10" t="s">
        <v>81</v>
      </c>
      <c r="F605" s="10" t="s">
        <v>83</v>
      </c>
      <c r="G605" s="10" t="s">
        <v>84</v>
      </c>
      <c r="H605" s="12">
        <v>8463.75</v>
      </c>
      <c r="I605" s="11">
        <v>277</v>
      </c>
      <c r="J605" s="11">
        <v>211</v>
      </c>
      <c r="K605" s="11">
        <v>1052</v>
      </c>
      <c r="L605" s="11">
        <v>3.2727809776990101E-2</v>
      </c>
      <c r="M605" s="11">
        <f t="shared" si="2"/>
        <v>3.2727809776990107</v>
      </c>
      <c r="N605" s="11">
        <v>0.76173285198555996</v>
      </c>
      <c r="O605" s="11">
        <v>0.12429478658986901</v>
      </c>
      <c r="P605" s="11">
        <v>0.36570945945945998</v>
      </c>
      <c r="Q605" s="11">
        <v>0.46428571428571402</v>
      </c>
      <c r="R605" s="11">
        <v>0.418604651162791</v>
      </c>
      <c r="S605" s="10" t="s">
        <v>84</v>
      </c>
      <c r="T605" s="10" t="s">
        <v>84</v>
      </c>
      <c r="U605" s="10"/>
      <c r="V605" s="10"/>
      <c r="W605" s="10"/>
      <c r="X605" s="10"/>
      <c r="Y605" s="10"/>
      <c r="Z605" s="10"/>
      <c r="AA605" s="10"/>
    </row>
    <row r="606" spans="1:27" ht="12.5" x14ac:dyDescent="0.25">
      <c r="A606" s="10" t="s">
        <v>49</v>
      </c>
      <c r="B606" s="10" t="s">
        <v>1058</v>
      </c>
      <c r="C606" s="10" t="s">
        <v>76</v>
      </c>
      <c r="D606" s="11">
        <v>2024</v>
      </c>
      <c r="E606" s="10" t="s">
        <v>124</v>
      </c>
      <c r="F606" s="10" t="s">
        <v>83</v>
      </c>
      <c r="G606" s="10" t="s">
        <v>84</v>
      </c>
      <c r="H606" s="12">
        <v>2966</v>
      </c>
      <c r="I606" s="11">
        <v>97</v>
      </c>
      <c r="J606" s="11">
        <v>97</v>
      </c>
      <c r="K606" s="11">
        <v>572</v>
      </c>
      <c r="L606" s="11">
        <v>3.2703978422117301E-2</v>
      </c>
      <c r="M606" s="11">
        <f t="shared" si="2"/>
        <v>3.2703978422117328</v>
      </c>
      <c r="N606" s="11">
        <v>1</v>
      </c>
      <c r="O606" s="11">
        <v>0.192852326365475</v>
      </c>
      <c r="P606" s="11">
        <v>0.36486486486486502</v>
      </c>
      <c r="Q606" s="11">
        <v>0.46153846153846201</v>
      </c>
      <c r="R606" s="11">
        <v>0.26845637583892601</v>
      </c>
      <c r="S606" s="10" t="s">
        <v>84</v>
      </c>
      <c r="T606" s="10" t="s">
        <v>84</v>
      </c>
      <c r="U606" s="10"/>
      <c r="V606" s="10"/>
      <c r="W606" s="10"/>
      <c r="X606" s="10"/>
      <c r="Y606" s="10"/>
      <c r="Z606" s="10"/>
      <c r="AA606" s="10"/>
    </row>
    <row r="607" spans="1:27" ht="12.5" x14ac:dyDescent="0.25">
      <c r="A607" s="10" t="s">
        <v>10</v>
      </c>
      <c r="B607" s="10" t="s">
        <v>915</v>
      </c>
      <c r="C607" s="10" t="s">
        <v>76</v>
      </c>
      <c r="D607" s="11">
        <v>2024</v>
      </c>
      <c r="E607" s="10" t="s">
        <v>81</v>
      </c>
      <c r="F607" s="10" t="s">
        <v>83</v>
      </c>
      <c r="G607" s="10" t="s">
        <v>84</v>
      </c>
      <c r="H607" s="12">
        <v>4379.1666666666697</v>
      </c>
      <c r="I607" s="11">
        <v>142</v>
      </c>
      <c r="J607" s="11">
        <v>128</v>
      </c>
      <c r="K607" s="11">
        <v>2360</v>
      </c>
      <c r="L607" s="11">
        <v>3.2426260704091298E-2</v>
      </c>
      <c r="M607" s="11">
        <f t="shared" si="2"/>
        <v>3.2426260704091319</v>
      </c>
      <c r="N607" s="11">
        <v>0.90140845070422504</v>
      </c>
      <c r="O607" s="11">
        <v>0.53891531874405296</v>
      </c>
      <c r="P607" s="11">
        <v>0.36317567567567599</v>
      </c>
      <c r="Q607" s="11">
        <v>0.233333333333333</v>
      </c>
      <c r="R607" s="11">
        <v>0.41666666666666702</v>
      </c>
      <c r="S607" s="10" t="s">
        <v>84</v>
      </c>
      <c r="T607" s="10" t="s">
        <v>84</v>
      </c>
      <c r="U607" s="10"/>
      <c r="V607" s="10"/>
      <c r="W607" s="10"/>
      <c r="X607" s="10"/>
      <c r="Y607" s="10"/>
      <c r="Z607" s="10"/>
      <c r="AA607" s="10"/>
    </row>
    <row r="608" spans="1:27" ht="12.5" x14ac:dyDescent="0.25">
      <c r="A608" s="10" t="s">
        <v>80</v>
      </c>
      <c r="B608" s="10" t="s">
        <v>917</v>
      </c>
      <c r="C608" s="10" t="s">
        <v>76</v>
      </c>
      <c r="D608" s="11">
        <v>2024</v>
      </c>
      <c r="E608" s="10" t="s">
        <v>81</v>
      </c>
      <c r="F608" s="10" t="s">
        <v>83</v>
      </c>
      <c r="G608" s="10" t="s">
        <v>84</v>
      </c>
      <c r="H608" s="12">
        <v>23693.583333333299</v>
      </c>
      <c r="I608" s="11">
        <v>768</v>
      </c>
      <c r="J608" s="11">
        <v>919</v>
      </c>
      <c r="K608" s="11">
        <v>2607</v>
      </c>
      <c r="L608" s="11">
        <v>3.2413839189935401E-2</v>
      </c>
      <c r="M608" s="11">
        <f t="shared" si="2"/>
        <v>3.2413839189935434</v>
      </c>
      <c r="N608" s="11">
        <v>1.1966145833333299</v>
      </c>
      <c r="O608" s="11">
        <v>0.11002979006271001</v>
      </c>
      <c r="P608" s="11">
        <v>0.36233108108108097</v>
      </c>
      <c r="Q608" s="11">
        <v>0.5</v>
      </c>
      <c r="R608" s="11">
        <v>0.41472868217054298</v>
      </c>
      <c r="S608" s="10" t="s">
        <v>84</v>
      </c>
      <c r="T608" s="10" t="s">
        <v>84</v>
      </c>
      <c r="U608" s="10"/>
      <c r="V608" s="10"/>
      <c r="W608" s="10"/>
      <c r="X608" s="10"/>
      <c r="Y608" s="10"/>
      <c r="Z608" s="10"/>
      <c r="AA608" s="10"/>
    </row>
    <row r="609" spans="1:27" ht="12.5" x14ac:dyDescent="0.25">
      <c r="A609" s="10" t="s">
        <v>77</v>
      </c>
      <c r="B609" s="10" t="s">
        <v>919</v>
      </c>
      <c r="C609" s="10" t="s">
        <v>76</v>
      </c>
      <c r="D609" s="11">
        <v>2024</v>
      </c>
      <c r="E609" s="10" t="s">
        <v>81</v>
      </c>
      <c r="F609" s="10" t="s">
        <v>83</v>
      </c>
      <c r="G609" s="10" t="s">
        <v>84</v>
      </c>
      <c r="H609" s="12">
        <v>15730.583333333299</v>
      </c>
      <c r="I609" s="11">
        <v>506</v>
      </c>
      <c r="J609" s="11">
        <v>494</v>
      </c>
      <c r="K609" s="11">
        <v>7920</v>
      </c>
      <c r="L609" s="11">
        <v>3.21666392960634E-2</v>
      </c>
      <c r="M609" s="11">
        <f t="shared" si="2"/>
        <v>3.2166639296063471</v>
      </c>
      <c r="N609" s="11">
        <v>0.97628458498023696</v>
      </c>
      <c r="O609" s="11">
        <v>0.50347783246012301</v>
      </c>
      <c r="P609" s="11">
        <v>0.35979729729729698</v>
      </c>
      <c r="Q609" s="11">
        <v>0.42857142857142899</v>
      </c>
      <c r="R609" s="11">
        <v>0.412790697674419</v>
      </c>
      <c r="S609" s="10" t="s">
        <v>84</v>
      </c>
      <c r="T609" s="10" t="s">
        <v>84</v>
      </c>
      <c r="U609" s="10"/>
      <c r="V609" s="10"/>
      <c r="W609" s="10"/>
      <c r="X609" s="10"/>
      <c r="Y609" s="10"/>
      <c r="Z609" s="10"/>
      <c r="AA609" s="10"/>
    </row>
    <row r="610" spans="1:27" ht="12.5" x14ac:dyDescent="0.25">
      <c r="A610" s="10" t="s">
        <v>25</v>
      </c>
      <c r="B610" s="10" t="s">
        <v>920</v>
      </c>
      <c r="C610" s="10" t="s">
        <v>76</v>
      </c>
      <c r="D610" s="11">
        <v>2024</v>
      </c>
      <c r="E610" s="10" t="s">
        <v>81</v>
      </c>
      <c r="F610" s="10" t="s">
        <v>83</v>
      </c>
      <c r="G610" s="10" t="s">
        <v>84</v>
      </c>
      <c r="H610" s="12">
        <v>17743.333333333299</v>
      </c>
      <c r="I610" s="11">
        <v>570</v>
      </c>
      <c r="J610" s="11">
        <v>434</v>
      </c>
      <c r="K610" s="11">
        <v>15668</v>
      </c>
      <c r="L610" s="11">
        <v>3.21247416870186E-2</v>
      </c>
      <c r="M610" s="11">
        <f t="shared" si="2"/>
        <v>3.2124741687018661</v>
      </c>
      <c r="N610" s="11">
        <v>0.76140350877192997</v>
      </c>
      <c r="O610" s="11">
        <v>0.88303588202141703</v>
      </c>
      <c r="P610" s="11">
        <v>0.35895270270270302</v>
      </c>
      <c r="Q610" s="11">
        <v>0.125</v>
      </c>
      <c r="R610" s="11">
        <v>0.41085271317829503</v>
      </c>
      <c r="S610" s="10" t="s">
        <v>84</v>
      </c>
      <c r="T610" s="10" t="s">
        <v>84</v>
      </c>
      <c r="U610" s="10"/>
      <c r="V610" s="10"/>
      <c r="W610" s="10"/>
      <c r="X610" s="10"/>
      <c r="Y610" s="10"/>
      <c r="Z610" s="10"/>
      <c r="AA610" s="10"/>
    </row>
    <row r="611" spans="1:27" ht="12.5" x14ac:dyDescent="0.25">
      <c r="A611" s="10" t="s">
        <v>118</v>
      </c>
      <c r="B611" s="10" t="s">
        <v>1061</v>
      </c>
      <c r="C611" s="10" t="s">
        <v>76</v>
      </c>
      <c r="D611" s="11">
        <v>2024</v>
      </c>
      <c r="E611" s="10" t="s">
        <v>124</v>
      </c>
      <c r="F611" s="10" t="s">
        <v>125</v>
      </c>
      <c r="G611" s="10" t="s">
        <v>84</v>
      </c>
      <c r="H611" s="12">
        <v>2973.25</v>
      </c>
      <c r="I611" s="11">
        <v>95</v>
      </c>
      <c r="J611" s="11">
        <v>95</v>
      </c>
      <c r="K611" s="11">
        <v>3232</v>
      </c>
      <c r="L611" s="11">
        <v>3.1951568149331498E-2</v>
      </c>
      <c r="M611" s="11">
        <f t="shared" si="2"/>
        <v>3.1951568149331542</v>
      </c>
      <c r="N611" s="11">
        <v>1</v>
      </c>
      <c r="O611" s="11">
        <v>1.08702598166989</v>
      </c>
      <c r="P611" s="11">
        <v>0.35557432432432401</v>
      </c>
      <c r="Q611" s="11">
        <v>0.42857142857142899</v>
      </c>
      <c r="R611" s="11">
        <v>0.26621923937360198</v>
      </c>
      <c r="S611" s="10" t="s">
        <v>84</v>
      </c>
      <c r="T611" s="10" t="s">
        <v>84</v>
      </c>
      <c r="U611" s="10"/>
      <c r="V611" s="10"/>
      <c r="W611" s="10"/>
      <c r="X611" s="10"/>
      <c r="Y611" s="10"/>
      <c r="Z611" s="10"/>
      <c r="AA611" s="10"/>
    </row>
    <row r="612" spans="1:27" ht="12.5" x14ac:dyDescent="0.25">
      <c r="A612" s="10" t="s">
        <v>32</v>
      </c>
      <c r="B612" s="10" t="s">
        <v>922</v>
      </c>
      <c r="C612" s="10" t="s">
        <v>76</v>
      </c>
      <c r="D612" s="11">
        <v>2024</v>
      </c>
      <c r="E612" s="10" t="s">
        <v>81</v>
      </c>
      <c r="F612" s="10" t="s">
        <v>83</v>
      </c>
      <c r="G612" s="10" t="s">
        <v>84</v>
      </c>
      <c r="H612" s="12">
        <v>68334</v>
      </c>
      <c r="I612" s="11">
        <v>2183</v>
      </c>
      <c r="J612" s="11">
        <v>1942</v>
      </c>
      <c r="K612" s="11">
        <v>2149</v>
      </c>
      <c r="L612" s="11">
        <v>3.1946029794831299E-2</v>
      </c>
      <c r="M612" s="11">
        <f t="shared" si="2"/>
        <v>3.1946029794831272</v>
      </c>
      <c r="N612" s="11">
        <v>0.88960146587265199</v>
      </c>
      <c r="O612" s="11">
        <v>3.1448473673427603E-2</v>
      </c>
      <c r="P612" s="11">
        <v>0.35472972972972999</v>
      </c>
      <c r="Q612" s="11">
        <v>0.17241379310344801</v>
      </c>
      <c r="R612" s="11">
        <v>0.40891472868217099</v>
      </c>
      <c r="S612" s="10" t="s">
        <v>84</v>
      </c>
      <c r="T612" s="10" t="s">
        <v>84</v>
      </c>
      <c r="U612" s="10"/>
      <c r="V612" s="10"/>
      <c r="W612" s="10"/>
      <c r="X612" s="10"/>
      <c r="Y612" s="10"/>
      <c r="Z612" s="10"/>
      <c r="AA612" s="10"/>
    </row>
    <row r="613" spans="1:27" ht="12.5" x14ac:dyDescent="0.25">
      <c r="A613" s="10" t="s">
        <v>36</v>
      </c>
      <c r="B613" s="10" t="s">
        <v>924</v>
      </c>
      <c r="C613" s="10" t="s">
        <v>76</v>
      </c>
      <c r="D613" s="11">
        <v>2024</v>
      </c>
      <c r="E613" s="10" t="s">
        <v>81</v>
      </c>
      <c r="F613" s="10" t="s">
        <v>83</v>
      </c>
      <c r="G613" s="10" t="s">
        <v>84</v>
      </c>
      <c r="H613" s="12">
        <v>50014.416666666701</v>
      </c>
      <c r="I613" s="11">
        <v>1596</v>
      </c>
      <c r="J613" s="11">
        <v>1274</v>
      </c>
      <c r="K613" s="11">
        <v>5433</v>
      </c>
      <c r="L613" s="11">
        <v>3.1910799052939698E-2</v>
      </c>
      <c r="M613" s="11">
        <f t="shared" si="2"/>
        <v>3.1910799052939711</v>
      </c>
      <c r="N613" s="11">
        <v>0.79824561403508798</v>
      </c>
      <c r="O613" s="11">
        <v>0.108628678730966</v>
      </c>
      <c r="P613" s="11">
        <v>0.35388513513513498</v>
      </c>
      <c r="Q613" s="11">
        <v>0.23404255319148901</v>
      </c>
      <c r="R613" s="11">
        <v>0.40697674418604701</v>
      </c>
      <c r="S613" s="10" t="s">
        <v>84</v>
      </c>
      <c r="T613" s="10" t="s">
        <v>84</v>
      </c>
      <c r="U613" s="10"/>
      <c r="V613" s="10"/>
      <c r="W613" s="10"/>
      <c r="X613" s="10"/>
      <c r="Y613" s="10"/>
      <c r="Z613" s="10"/>
      <c r="AA613" s="10"/>
    </row>
    <row r="614" spans="1:27" ht="12.5" x14ac:dyDescent="0.25">
      <c r="A614" s="10" t="s">
        <v>101</v>
      </c>
      <c r="B614" s="10" t="s">
        <v>926</v>
      </c>
      <c r="C614" s="10" t="s">
        <v>76</v>
      </c>
      <c r="D614" s="11">
        <v>2024</v>
      </c>
      <c r="E614" s="10" t="s">
        <v>81</v>
      </c>
      <c r="F614" s="10" t="s">
        <v>83</v>
      </c>
      <c r="G614" s="10" t="s">
        <v>84</v>
      </c>
      <c r="H614" s="12">
        <v>51788.666666666701</v>
      </c>
      <c r="I614" s="11">
        <v>1642</v>
      </c>
      <c r="J614" s="11">
        <v>1381</v>
      </c>
      <c r="K614" s="11">
        <v>36609</v>
      </c>
      <c r="L614" s="11">
        <v>3.1705778613081402E-2</v>
      </c>
      <c r="M614" s="11">
        <f t="shared" si="2"/>
        <v>3.1705778613081348</v>
      </c>
      <c r="N614" s="11">
        <v>0.84104750304506704</v>
      </c>
      <c r="O614" s="11">
        <v>0.70689211281747599</v>
      </c>
      <c r="P614" s="11">
        <v>0.352195945945946</v>
      </c>
      <c r="Q614" s="11">
        <v>0.42857142857142899</v>
      </c>
      <c r="R614" s="11">
        <v>0.40503875968992198</v>
      </c>
      <c r="S614" s="10" t="s">
        <v>84</v>
      </c>
      <c r="T614" s="10" t="s">
        <v>84</v>
      </c>
      <c r="U614" s="10"/>
      <c r="V614" s="10"/>
      <c r="W614" s="10"/>
      <c r="X614" s="10"/>
      <c r="Y614" s="10"/>
      <c r="Z614" s="10"/>
      <c r="AA614" s="10"/>
    </row>
    <row r="615" spans="1:27" ht="12.5" x14ac:dyDescent="0.25">
      <c r="A615" s="10" t="s">
        <v>34</v>
      </c>
      <c r="B615" s="10" t="s">
        <v>930</v>
      </c>
      <c r="C615" s="10" t="s">
        <v>76</v>
      </c>
      <c r="D615" s="11">
        <v>2024</v>
      </c>
      <c r="E615" s="10" t="s">
        <v>81</v>
      </c>
      <c r="F615" s="10" t="s">
        <v>83</v>
      </c>
      <c r="G615" s="10" t="s">
        <v>84</v>
      </c>
      <c r="H615" s="12">
        <v>18359.916666666701</v>
      </c>
      <c r="I615" s="11">
        <v>577</v>
      </c>
      <c r="J615" s="11">
        <v>509</v>
      </c>
      <c r="K615" s="11">
        <v>10217</v>
      </c>
      <c r="L615" s="11">
        <v>3.1427157893781303E-2</v>
      </c>
      <c r="M615" s="11">
        <f t="shared" si="2"/>
        <v>3.1427157893781232</v>
      </c>
      <c r="N615" s="11">
        <v>0.88214904679376105</v>
      </c>
      <c r="O615" s="11">
        <v>0.55648400728035297</v>
      </c>
      <c r="P615" s="11">
        <v>0.349662162162162</v>
      </c>
      <c r="Q615" s="11">
        <v>0.63265306122449005</v>
      </c>
      <c r="R615" s="11">
        <v>0.40116279069767402</v>
      </c>
      <c r="S615" s="10" t="s">
        <v>84</v>
      </c>
      <c r="T615" s="10" t="s">
        <v>84</v>
      </c>
      <c r="U615" s="10"/>
      <c r="V615" s="10"/>
      <c r="W615" s="10"/>
      <c r="X615" s="10"/>
      <c r="Y615" s="10"/>
      <c r="Z615" s="10"/>
      <c r="AA615" s="10"/>
    </row>
    <row r="616" spans="1:27" ht="12.5" x14ac:dyDescent="0.25">
      <c r="A616" s="10" t="s">
        <v>13</v>
      </c>
      <c r="B616" s="10" t="s">
        <v>1064</v>
      </c>
      <c r="C616" s="10" t="s">
        <v>76</v>
      </c>
      <c r="D616" s="11">
        <v>2024</v>
      </c>
      <c r="E616" s="10" t="s">
        <v>124</v>
      </c>
      <c r="F616" s="10" t="s">
        <v>125</v>
      </c>
      <c r="G616" s="10" t="s">
        <v>84</v>
      </c>
      <c r="H616" s="12">
        <v>1873.9166666666699</v>
      </c>
      <c r="I616" s="11">
        <v>58</v>
      </c>
      <c r="J616" s="11">
        <v>31</v>
      </c>
      <c r="K616" s="11">
        <v>3541</v>
      </c>
      <c r="L616" s="11">
        <v>3.09512162582826E-2</v>
      </c>
      <c r="M616" s="11">
        <f t="shared" si="2"/>
        <v>3.0951216258282512</v>
      </c>
      <c r="N616" s="11">
        <v>0.53448275862068995</v>
      </c>
      <c r="O616" s="11">
        <v>1.88962511673411</v>
      </c>
      <c r="P616" s="11">
        <v>0.34628378378378399</v>
      </c>
      <c r="Q616" s="11">
        <v>4.7619047619047603E-2</v>
      </c>
      <c r="R616" s="11">
        <v>0.26398210290827701</v>
      </c>
      <c r="S616" s="10" t="s">
        <v>84</v>
      </c>
      <c r="T616" s="10" t="s">
        <v>84</v>
      </c>
      <c r="U616" s="10"/>
      <c r="V616" s="10"/>
      <c r="W616" s="10"/>
      <c r="X616" s="10"/>
      <c r="Y616" s="10"/>
      <c r="Z616" s="10"/>
      <c r="AA616" s="10"/>
    </row>
    <row r="617" spans="1:27" ht="12.5" x14ac:dyDescent="0.25">
      <c r="A617" s="10" t="s">
        <v>45</v>
      </c>
      <c r="B617" s="10" t="s">
        <v>1066</v>
      </c>
      <c r="C617" s="10" t="s">
        <v>76</v>
      </c>
      <c r="D617" s="11">
        <v>2024</v>
      </c>
      <c r="E617" s="10" t="s">
        <v>124</v>
      </c>
      <c r="F617" s="10" t="s">
        <v>83</v>
      </c>
      <c r="G617" s="10" t="s">
        <v>84</v>
      </c>
      <c r="H617" s="12">
        <v>25078.75</v>
      </c>
      <c r="I617" s="11">
        <v>775</v>
      </c>
      <c r="J617" s="11">
        <v>775</v>
      </c>
      <c r="K617" s="11">
        <v>20815</v>
      </c>
      <c r="L617" s="11">
        <v>3.09026566316104E-2</v>
      </c>
      <c r="M617" s="11">
        <f t="shared" si="2"/>
        <v>3.0902656631610426</v>
      </c>
      <c r="N617" s="11">
        <v>1</v>
      </c>
      <c r="O617" s="11">
        <v>0.829985545531576</v>
      </c>
      <c r="P617" s="11">
        <v>0.34543918918918898</v>
      </c>
      <c r="Q617" s="11">
        <v>0.6</v>
      </c>
      <c r="R617" s="11">
        <v>0.26174496644295298</v>
      </c>
      <c r="S617" s="10" t="s">
        <v>84</v>
      </c>
      <c r="T617" s="10" t="s">
        <v>84</v>
      </c>
      <c r="U617" s="10"/>
      <c r="V617" s="10"/>
      <c r="W617" s="10"/>
      <c r="X617" s="10"/>
      <c r="Y617" s="10"/>
      <c r="Z617" s="10"/>
      <c r="AA617" s="10"/>
    </row>
    <row r="618" spans="1:27" ht="12.5" x14ac:dyDescent="0.25">
      <c r="A618" s="10" t="s">
        <v>77</v>
      </c>
      <c r="B618" s="10" t="s">
        <v>1068</v>
      </c>
      <c r="C618" s="10" t="s">
        <v>76</v>
      </c>
      <c r="D618" s="11">
        <v>2024</v>
      </c>
      <c r="E618" s="10" t="s">
        <v>124</v>
      </c>
      <c r="F618" s="10" t="s">
        <v>125</v>
      </c>
      <c r="G618" s="10" t="s">
        <v>84</v>
      </c>
      <c r="H618" s="12">
        <v>757.83333333333303</v>
      </c>
      <c r="I618" s="11">
        <v>23</v>
      </c>
      <c r="J618" s="11">
        <v>23</v>
      </c>
      <c r="K618" s="11">
        <v>23</v>
      </c>
      <c r="L618" s="11">
        <v>3.03496811084231E-2</v>
      </c>
      <c r="M618" s="11">
        <f t="shared" si="2"/>
        <v>3.034968110842315</v>
      </c>
      <c r="N618" s="11">
        <v>1</v>
      </c>
      <c r="O618" s="11">
        <v>3.03496811084231E-2</v>
      </c>
      <c r="P618" s="11">
        <v>0.34375</v>
      </c>
      <c r="Q618" s="11">
        <v>0.39285714285714302</v>
      </c>
      <c r="R618" s="11">
        <v>0.259507829977629</v>
      </c>
      <c r="S618" s="10" t="s">
        <v>84</v>
      </c>
      <c r="T618" s="10" t="s">
        <v>84</v>
      </c>
      <c r="U618" s="10"/>
      <c r="V618" s="10"/>
      <c r="W618" s="10"/>
      <c r="X618" s="10"/>
      <c r="Y618" s="10"/>
      <c r="Z618" s="10"/>
      <c r="AA618" s="10"/>
    </row>
    <row r="619" spans="1:27" ht="12.5" x14ac:dyDescent="0.25">
      <c r="A619" s="10" t="s">
        <v>32</v>
      </c>
      <c r="B619" s="10" t="s">
        <v>931</v>
      </c>
      <c r="C619" s="10" t="s">
        <v>76</v>
      </c>
      <c r="D619" s="11">
        <v>2024</v>
      </c>
      <c r="E619" s="10" t="s">
        <v>81</v>
      </c>
      <c r="F619" s="10" t="s">
        <v>83</v>
      </c>
      <c r="G619" s="10" t="s">
        <v>84</v>
      </c>
      <c r="H619" s="12">
        <v>59685.25</v>
      </c>
      <c r="I619" s="11">
        <v>1804</v>
      </c>
      <c r="J619" s="11">
        <v>1523</v>
      </c>
      <c r="K619" s="11">
        <v>20124</v>
      </c>
      <c r="L619" s="11">
        <v>3.02252231497732E-2</v>
      </c>
      <c r="M619" s="11">
        <f t="shared" si="2"/>
        <v>3.0225223149773184</v>
      </c>
      <c r="N619" s="11">
        <v>0.84423503325942395</v>
      </c>
      <c r="O619" s="11">
        <v>0.33716873096786898</v>
      </c>
      <c r="P619" s="11">
        <v>0.34290540540540498</v>
      </c>
      <c r="Q619" s="11">
        <v>0.13793103448275901</v>
      </c>
      <c r="R619" s="11">
        <v>0.39922480620154999</v>
      </c>
      <c r="S619" s="10" t="s">
        <v>84</v>
      </c>
      <c r="T619" s="10" t="s">
        <v>84</v>
      </c>
      <c r="U619" s="10"/>
      <c r="V619" s="10"/>
      <c r="W619" s="10"/>
      <c r="X619" s="10"/>
      <c r="Y619" s="10"/>
      <c r="Z619" s="10"/>
      <c r="AA619" s="10"/>
    </row>
    <row r="620" spans="1:27" ht="12.5" hidden="1" x14ac:dyDescent="0.25">
      <c r="A620" s="10" t="s">
        <v>110</v>
      </c>
      <c r="B620" s="10" t="s">
        <v>1429</v>
      </c>
      <c r="C620" s="10" t="s">
        <v>76</v>
      </c>
      <c r="D620" s="11">
        <v>2024</v>
      </c>
      <c r="E620" s="10" t="s">
        <v>257</v>
      </c>
      <c r="F620" s="10" t="s">
        <v>83</v>
      </c>
      <c r="G620" s="10" t="s">
        <v>84</v>
      </c>
      <c r="H620" s="12">
        <v>45310.75</v>
      </c>
      <c r="I620" s="11">
        <v>1368</v>
      </c>
      <c r="J620" s="11">
        <v>441</v>
      </c>
      <c r="K620" s="11">
        <v>53194</v>
      </c>
      <c r="L620" s="11">
        <v>3.0191510844556801E-2</v>
      </c>
      <c r="M620" s="11">
        <f t="shared" si="2"/>
        <v>3.0191510844556757</v>
      </c>
      <c r="N620" s="11">
        <v>0.32236842105263203</v>
      </c>
      <c r="O620" s="11">
        <v>1.17398189171444</v>
      </c>
      <c r="P620" s="11">
        <v>0.34206081081081102</v>
      </c>
      <c r="Q620" s="11">
        <v>0.48484848484848497</v>
      </c>
      <c r="R620" s="11">
        <v>0.45454545454545497</v>
      </c>
      <c r="S620" s="10" t="s">
        <v>84</v>
      </c>
      <c r="T620" s="10" t="s">
        <v>84</v>
      </c>
      <c r="U620" s="10"/>
      <c r="V620" s="10"/>
      <c r="W620" s="10"/>
      <c r="X620" s="10"/>
      <c r="Y620" s="10"/>
      <c r="Z620" s="10"/>
      <c r="AA620" s="10"/>
    </row>
    <row r="621" spans="1:27" ht="12.5" x14ac:dyDescent="0.25">
      <c r="A621" s="10" t="s">
        <v>42</v>
      </c>
      <c r="B621" s="10" t="s">
        <v>933</v>
      </c>
      <c r="C621" s="10" t="s">
        <v>76</v>
      </c>
      <c r="D621" s="11">
        <v>2024</v>
      </c>
      <c r="E621" s="10" t="s">
        <v>81</v>
      </c>
      <c r="F621" s="10" t="s">
        <v>83</v>
      </c>
      <c r="G621" s="10" t="s">
        <v>84</v>
      </c>
      <c r="H621" s="12">
        <v>30609.5</v>
      </c>
      <c r="I621" s="11">
        <v>921</v>
      </c>
      <c r="J621" s="11">
        <v>847</v>
      </c>
      <c r="K621" s="11">
        <v>5084</v>
      </c>
      <c r="L621" s="11">
        <v>3.00886979532498E-2</v>
      </c>
      <c r="M621" s="11">
        <f t="shared" si="2"/>
        <v>3.0088697953249808</v>
      </c>
      <c r="N621" s="11">
        <v>0.91965255157437598</v>
      </c>
      <c r="O621" s="11">
        <v>0.166092226269622</v>
      </c>
      <c r="P621" s="11">
        <v>0.34121621621621601</v>
      </c>
      <c r="Q621" s="11">
        <v>0.30952380952380998</v>
      </c>
      <c r="R621" s="11">
        <v>0.39728682170542601</v>
      </c>
      <c r="S621" s="10" t="s">
        <v>84</v>
      </c>
      <c r="T621" s="10" t="s">
        <v>84</v>
      </c>
      <c r="U621" s="10"/>
      <c r="V621" s="10"/>
      <c r="W621" s="10"/>
      <c r="X621" s="10"/>
      <c r="Y621" s="10"/>
      <c r="Z621" s="10"/>
      <c r="AA621" s="10"/>
    </row>
    <row r="622" spans="1:27" ht="12.5" x14ac:dyDescent="0.25">
      <c r="A622" s="10" t="s">
        <v>58</v>
      </c>
      <c r="B622" s="10" t="s">
        <v>935</v>
      </c>
      <c r="C622" s="10" t="s">
        <v>76</v>
      </c>
      <c r="D622" s="11">
        <v>2024</v>
      </c>
      <c r="E622" s="10" t="s">
        <v>81</v>
      </c>
      <c r="F622" s="10" t="s">
        <v>83</v>
      </c>
      <c r="G622" s="10" t="s">
        <v>84</v>
      </c>
      <c r="H622" s="12">
        <v>56857.916666666701</v>
      </c>
      <c r="I622" s="11">
        <v>1676</v>
      </c>
      <c r="J622" s="11">
        <v>922</v>
      </c>
      <c r="K622" s="11">
        <v>101973</v>
      </c>
      <c r="L622" s="11">
        <v>2.9476985761290899E-2</v>
      </c>
      <c r="M622" s="11">
        <f t="shared" si="2"/>
        <v>2.9476985761290919</v>
      </c>
      <c r="N622" s="11">
        <v>0.55011933174224303</v>
      </c>
      <c r="O622" s="11">
        <v>1.79347056625067</v>
      </c>
      <c r="P622" s="11">
        <v>0.33952702702702697</v>
      </c>
      <c r="Q622" s="11">
        <v>2.7027027027027001E-2</v>
      </c>
      <c r="R622" s="11">
        <v>0.39534883720930197</v>
      </c>
      <c r="S622" s="10" t="s">
        <v>84</v>
      </c>
      <c r="T622" s="10" t="s">
        <v>84</v>
      </c>
      <c r="U622" s="10"/>
      <c r="V622" s="10"/>
      <c r="W622" s="10"/>
      <c r="X622" s="10"/>
      <c r="Y622" s="10"/>
      <c r="Z622" s="10"/>
      <c r="AA622" s="10"/>
    </row>
    <row r="623" spans="1:27" ht="12.5" x14ac:dyDescent="0.25">
      <c r="A623" s="10" t="s">
        <v>82</v>
      </c>
      <c r="B623" s="10" t="s">
        <v>1070</v>
      </c>
      <c r="C623" s="10" t="s">
        <v>76</v>
      </c>
      <c r="D623" s="11">
        <v>2024</v>
      </c>
      <c r="E623" s="10" t="s">
        <v>124</v>
      </c>
      <c r="F623" s="10" t="s">
        <v>83</v>
      </c>
      <c r="G623" s="10" t="s">
        <v>84</v>
      </c>
      <c r="H623" s="12">
        <v>2458.8333333333298</v>
      </c>
      <c r="I623" s="11">
        <v>72</v>
      </c>
      <c r="J623" s="11">
        <v>71</v>
      </c>
      <c r="K623" s="11">
        <v>1465</v>
      </c>
      <c r="L623" s="11">
        <v>2.9282179895614401E-2</v>
      </c>
      <c r="M623" s="11">
        <f t="shared" si="2"/>
        <v>2.9282179895614493</v>
      </c>
      <c r="N623" s="11">
        <v>0.98611111111111105</v>
      </c>
      <c r="O623" s="11">
        <v>0.59581102148715503</v>
      </c>
      <c r="P623" s="11">
        <v>0.33868243243243201</v>
      </c>
      <c r="Q623" s="11">
        <v>0.568965517241379</v>
      </c>
      <c r="R623" s="11">
        <v>0.25727069351230403</v>
      </c>
      <c r="S623" s="10" t="s">
        <v>84</v>
      </c>
      <c r="T623" s="10" t="s">
        <v>84</v>
      </c>
      <c r="U623" s="10"/>
      <c r="V623" s="10"/>
      <c r="W623" s="10"/>
      <c r="X623" s="10"/>
      <c r="Y623" s="10"/>
      <c r="Z623" s="10"/>
      <c r="AA623" s="10"/>
    </row>
    <row r="624" spans="1:27" ht="12.5" x14ac:dyDescent="0.25">
      <c r="A624" s="10" t="s">
        <v>36</v>
      </c>
      <c r="B624" s="10" t="s">
        <v>937</v>
      </c>
      <c r="C624" s="10" t="s">
        <v>76</v>
      </c>
      <c r="D624" s="11">
        <v>2024</v>
      </c>
      <c r="E624" s="10" t="s">
        <v>81</v>
      </c>
      <c r="F624" s="10" t="s">
        <v>83</v>
      </c>
      <c r="G624" s="10" t="s">
        <v>84</v>
      </c>
      <c r="H624" s="12">
        <v>34568.083333333299</v>
      </c>
      <c r="I624" s="11">
        <v>1012</v>
      </c>
      <c r="J624" s="11">
        <v>702</v>
      </c>
      <c r="K624" s="11">
        <v>4958</v>
      </c>
      <c r="L624" s="11">
        <v>2.9275560066246101E-2</v>
      </c>
      <c r="M624" s="11">
        <f t="shared" si="2"/>
        <v>2.9275560066246107</v>
      </c>
      <c r="N624" s="11">
        <v>0.69367588932806301</v>
      </c>
      <c r="O624" s="11">
        <v>0.14342710158937599</v>
      </c>
      <c r="P624" s="11">
        <v>0.337837837837838</v>
      </c>
      <c r="Q624" s="11">
        <v>0.21276595744680901</v>
      </c>
      <c r="R624" s="11">
        <v>0.39341085271317799</v>
      </c>
      <c r="S624" s="10" t="s">
        <v>84</v>
      </c>
      <c r="T624" s="10" t="s">
        <v>84</v>
      </c>
      <c r="U624" s="10"/>
      <c r="V624" s="10"/>
      <c r="W624" s="10"/>
      <c r="X624" s="10"/>
      <c r="Y624" s="10"/>
      <c r="Z624" s="10"/>
      <c r="AA624" s="10"/>
    </row>
    <row r="625" spans="1:27" ht="12.5" x14ac:dyDescent="0.25">
      <c r="A625" s="10" t="s">
        <v>53</v>
      </c>
      <c r="B625" s="10" t="s">
        <v>1072</v>
      </c>
      <c r="C625" s="10" t="s">
        <v>76</v>
      </c>
      <c r="D625" s="11">
        <v>2024</v>
      </c>
      <c r="E625" s="10" t="s">
        <v>124</v>
      </c>
      <c r="F625" s="10" t="s">
        <v>83</v>
      </c>
      <c r="G625" s="10" t="s">
        <v>84</v>
      </c>
      <c r="H625" s="12">
        <v>10080</v>
      </c>
      <c r="I625" s="11">
        <v>294</v>
      </c>
      <c r="J625" s="11">
        <v>192</v>
      </c>
      <c r="K625" s="11">
        <v>1942</v>
      </c>
      <c r="L625" s="11">
        <v>2.9166666666666698E-2</v>
      </c>
      <c r="M625" s="11">
        <f t="shared" si="2"/>
        <v>2.9166666666666665</v>
      </c>
      <c r="N625" s="11">
        <v>0.65306122448979598</v>
      </c>
      <c r="O625" s="11">
        <v>0.19265873015873</v>
      </c>
      <c r="P625" s="11">
        <v>0.33699324324324298</v>
      </c>
      <c r="Q625" s="11">
        <v>0.875</v>
      </c>
      <c r="R625" s="11">
        <v>0.25503355704698</v>
      </c>
      <c r="S625" s="10" t="s">
        <v>84</v>
      </c>
      <c r="T625" s="10" t="s">
        <v>84</v>
      </c>
      <c r="U625" s="10"/>
      <c r="V625" s="10"/>
      <c r="W625" s="10"/>
      <c r="X625" s="10"/>
      <c r="Y625" s="10"/>
      <c r="Z625" s="10"/>
      <c r="AA625" s="10"/>
    </row>
    <row r="626" spans="1:27" ht="12.5" x14ac:dyDescent="0.25">
      <c r="A626" s="10" t="s">
        <v>10</v>
      </c>
      <c r="B626" s="10" t="s">
        <v>938</v>
      </c>
      <c r="C626" s="10" t="s">
        <v>76</v>
      </c>
      <c r="D626" s="11">
        <v>2024</v>
      </c>
      <c r="E626" s="10" t="s">
        <v>81</v>
      </c>
      <c r="F626" s="10" t="s">
        <v>83</v>
      </c>
      <c r="G626" s="10" t="s">
        <v>84</v>
      </c>
      <c r="H626" s="12">
        <v>19657.583333333299</v>
      </c>
      <c r="I626" s="11">
        <v>569</v>
      </c>
      <c r="J626" s="11">
        <v>387</v>
      </c>
      <c r="K626" s="11">
        <v>14750</v>
      </c>
      <c r="L626" s="11">
        <v>2.8945572319418699E-2</v>
      </c>
      <c r="M626" s="11">
        <f t="shared" si="2"/>
        <v>2.8945572319418766</v>
      </c>
      <c r="N626" s="11">
        <v>0.68014059753954303</v>
      </c>
      <c r="O626" s="11">
        <v>0.75034655836805997</v>
      </c>
      <c r="P626" s="11">
        <v>0.33614864864864902</v>
      </c>
      <c r="Q626" s="11">
        <v>0.2</v>
      </c>
      <c r="R626" s="11">
        <v>0.39147286821705402</v>
      </c>
      <c r="S626" s="10" t="s">
        <v>84</v>
      </c>
      <c r="T626" s="10" t="s">
        <v>84</v>
      </c>
      <c r="U626" s="10"/>
      <c r="V626" s="10"/>
      <c r="W626" s="10"/>
      <c r="X626" s="10"/>
      <c r="Y626" s="10"/>
      <c r="Z626" s="10"/>
      <c r="AA626" s="10"/>
    </row>
    <row r="627" spans="1:27" ht="12.5" x14ac:dyDescent="0.25">
      <c r="A627" s="10" t="s">
        <v>103</v>
      </c>
      <c r="B627" s="10" t="s">
        <v>1075</v>
      </c>
      <c r="C627" s="10" t="s">
        <v>76</v>
      </c>
      <c r="D627" s="11">
        <v>2024</v>
      </c>
      <c r="E627" s="10" t="s">
        <v>124</v>
      </c>
      <c r="F627" s="10" t="s">
        <v>83</v>
      </c>
      <c r="G627" s="10" t="s">
        <v>84</v>
      </c>
      <c r="H627" s="12">
        <v>81077.416666666701</v>
      </c>
      <c r="I627" s="11">
        <v>2344</v>
      </c>
      <c r="J627" s="11">
        <v>2155</v>
      </c>
      <c r="K627" s="11">
        <v>63457</v>
      </c>
      <c r="L627" s="11">
        <v>2.8910639933643699E-2</v>
      </c>
      <c r="M627" s="11">
        <f t="shared" si="2"/>
        <v>2.8910639933643658</v>
      </c>
      <c r="N627" s="11">
        <v>0.91936860068259396</v>
      </c>
      <c r="O627" s="11">
        <v>0.782671705746257</v>
      </c>
      <c r="P627" s="11">
        <v>0.335304054054054</v>
      </c>
      <c r="Q627" s="11">
        <v>0.34782608695652201</v>
      </c>
      <c r="R627" s="11">
        <v>0.25279642058165502</v>
      </c>
      <c r="S627" s="10" t="s">
        <v>84</v>
      </c>
      <c r="T627" s="10" t="s">
        <v>84</v>
      </c>
      <c r="U627" s="10"/>
      <c r="V627" s="10"/>
      <c r="W627" s="10"/>
      <c r="X627" s="10"/>
      <c r="Y627" s="10"/>
      <c r="Z627" s="10"/>
      <c r="AA627" s="10"/>
    </row>
    <row r="628" spans="1:27" ht="12.5" x14ac:dyDescent="0.25">
      <c r="A628" s="10" t="s">
        <v>34</v>
      </c>
      <c r="B628" s="10" t="s">
        <v>1077</v>
      </c>
      <c r="C628" s="10" t="s">
        <v>76</v>
      </c>
      <c r="D628" s="11">
        <v>2024</v>
      </c>
      <c r="E628" s="10" t="s">
        <v>124</v>
      </c>
      <c r="F628" s="10" t="s">
        <v>125</v>
      </c>
      <c r="G628" s="10" t="s">
        <v>84</v>
      </c>
      <c r="H628" s="12">
        <v>1870.0833333333301</v>
      </c>
      <c r="I628" s="11">
        <v>54</v>
      </c>
      <c r="J628" s="11">
        <v>50</v>
      </c>
      <c r="K628" s="11">
        <v>214</v>
      </c>
      <c r="L628" s="11">
        <v>2.8875718550866701E-2</v>
      </c>
      <c r="M628" s="11">
        <f t="shared" si="2"/>
        <v>2.8875718550866769</v>
      </c>
      <c r="N628" s="11">
        <v>0.92592592592592604</v>
      </c>
      <c r="O628" s="11">
        <v>0.114433403146027</v>
      </c>
      <c r="P628" s="11">
        <v>0.33361486486486502</v>
      </c>
      <c r="Q628" s="11">
        <v>0.59183673469387799</v>
      </c>
      <c r="R628" s="11">
        <v>0.25055928411633099</v>
      </c>
      <c r="S628" s="10" t="s">
        <v>84</v>
      </c>
      <c r="T628" s="10" t="s">
        <v>84</v>
      </c>
      <c r="U628" s="10"/>
      <c r="V628" s="10"/>
      <c r="W628" s="10"/>
      <c r="X628" s="10"/>
      <c r="Y628" s="10"/>
      <c r="Z628" s="10"/>
      <c r="AA628" s="10"/>
    </row>
    <row r="629" spans="1:27" ht="12.5" x14ac:dyDescent="0.25">
      <c r="A629" s="10" t="s">
        <v>12</v>
      </c>
      <c r="B629" s="10" t="s">
        <v>941</v>
      </c>
      <c r="C629" s="10" t="s">
        <v>76</v>
      </c>
      <c r="D629" s="11">
        <v>2024</v>
      </c>
      <c r="E629" s="10" t="s">
        <v>81</v>
      </c>
      <c r="F629" s="10" t="s">
        <v>83</v>
      </c>
      <c r="G629" s="10" t="s">
        <v>84</v>
      </c>
      <c r="H629" s="12">
        <v>5548</v>
      </c>
      <c r="I629" s="11">
        <v>160</v>
      </c>
      <c r="J629" s="11">
        <v>94</v>
      </c>
      <c r="K629" s="11">
        <v>8066</v>
      </c>
      <c r="L629" s="11">
        <v>2.8839221341023801E-2</v>
      </c>
      <c r="M629" s="11">
        <f t="shared" si="2"/>
        <v>2.8839221341023791</v>
      </c>
      <c r="N629" s="11">
        <v>0.58750000000000002</v>
      </c>
      <c r="O629" s="11">
        <v>1.4538572458543599</v>
      </c>
      <c r="P629" s="11">
        <v>0.33192567567567599</v>
      </c>
      <c r="Q629" s="11">
        <v>0.25</v>
      </c>
      <c r="R629" s="11">
        <v>0.38953488372092998</v>
      </c>
      <c r="S629" s="10" t="s">
        <v>84</v>
      </c>
      <c r="T629" s="10" t="s">
        <v>84</v>
      </c>
      <c r="U629" s="10"/>
      <c r="V629" s="10"/>
      <c r="W629" s="10"/>
      <c r="X629" s="10"/>
      <c r="Y629" s="10"/>
      <c r="Z629" s="10"/>
      <c r="AA629" s="10"/>
    </row>
    <row r="630" spans="1:27" ht="12.5" x14ac:dyDescent="0.25">
      <c r="A630" s="10" t="s">
        <v>42</v>
      </c>
      <c r="B630" s="10" t="s">
        <v>943</v>
      </c>
      <c r="C630" s="10" t="s">
        <v>76</v>
      </c>
      <c r="D630" s="11">
        <v>2024</v>
      </c>
      <c r="E630" s="10" t="s">
        <v>81</v>
      </c>
      <c r="F630" s="10" t="s">
        <v>83</v>
      </c>
      <c r="G630" s="10" t="s">
        <v>84</v>
      </c>
      <c r="H630" s="12">
        <v>18945.666666666701</v>
      </c>
      <c r="I630" s="11">
        <v>546</v>
      </c>
      <c r="J630" s="11">
        <v>507</v>
      </c>
      <c r="K630" s="11">
        <v>24460</v>
      </c>
      <c r="L630" s="11">
        <v>2.88192550627232E-2</v>
      </c>
      <c r="M630" s="11">
        <f t="shared" si="2"/>
        <v>2.8819255062723177</v>
      </c>
      <c r="N630" s="11">
        <v>0.92857142857142905</v>
      </c>
      <c r="O630" s="11">
        <v>1.29106040079526</v>
      </c>
      <c r="P630" s="11">
        <v>0.33108108108108097</v>
      </c>
      <c r="Q630" s="11">
        <v>0.28571428571428598</v>
      </c>
      <c r="R630" s="11">
        <v>0.387596899224806</v>
      </c>
      <c r="S630" s="10" t="s">
        <v>84</v>
      </c>
      <c r="T630" s="10" t="s">
        <v>84</v>
      </c>
      <c r="U630" s="10"/>
      <c r="V630" s="10"/>
      <c r="W630" s="10"/>
      <c r="X630" s="10"/>
      <c r="Y630" s="10"/>
      <c r="Z630" s="10"/>
      <c r="AA630" s="10"/>
    </row>
    <row r="631" spans="1:27" ht="12.5" x14ac:dyDescent="0.25">
      <c r="A631" s="10" t="s">
        <v>25</v>
      </c>
      <c r="B631" s="10" t="s">
        <v>946</v>
      </c>
      <c r="C631" s="10" t="s">
        <v>76</v>
      </c>
      <c r="D631" s="11">
        <v>2024</v>
      </c>
      <c r="E631" s="10" t="s">
        <v>81</v>
      </c>
      <c r="F631" s="10" t="s">
        <v>83</v>
      </c>
      <c r="G631" s="10" t="s">
        <v>84</v>
      </c>
      <c r="H631" s="12">
        <v>6571.3333333333303</v>
      </c>
      <c r="I631" s="11">
        <v>189</v>
      </c>
      <c r="J631" s="11">
        <v>145</v>
      </c>
      <c r="K631" s="11">
        <v>4367</v>
      </c>
      <c r="L631" s="11">
        <v>2.8761286395454999E-2</v>
      </c>
      <c r="M631" s="11">
        <f t="shared" si="2"/>
        <v>2.8761286395455019</v>
      </c>
      <c r="N631" s="11">
        <v>0.76719576719576699</v>
      </c>
      <c r="O631" s="11">
        <v>0.66455310946535495</v>
      </c>
      <c r="P631" s="11">
        <v>0.33023648648648701</v>
      </c>
      <c r="Q631" s="11">
        <v>0</v>
      </c>
      <c r="R631" s="11">
        <v>0.38565891472868202</v>
      </c>
      <c r="S631" s="10" t="s">
        <v>84</v>
      </c>
      <c r="T631" s="10" t="s">
        <v>84</v>
      </c>
      <c r="U631" s="10"/>
      <c r="V631" s="10"/>
      <c r="W631" s="10"/>
      <c r="X631" s="10"/>
      <c r="Y631" s="10"/>
      <c r="Z631" s="10"/>
      <c r="AA631" s="10"/>
    </row>
    <row r="632" spans="1:27" ht="12.5" x14ac:dyDescent="0.25">
      <c r="A632" s="10" t="s">
        <v>77</v>
      </c>
      <c r="B632" s="10" t="s">
        <v>1079</v>
      </c>
      <c r="C632" s="10" t="s">
        <v>76</v>
      </c>
      <c r="D632" s="11">
        <v>2024</v>
      </c>
      <c r="E632" s="10" t="s">
        <v>124</v>
      </c>
      <c r="F632" s="10" t="s">
        <v>83</v>
      </c>
      <c r="G632" s="10" t="s">
        <v>84</v>
      </c>
      <c r="H632" s="12">
        <v>8668</v>
      </c>
      <c r="I632" s="11">
        <v>248</v>
      </c>
      <c r="J632" s="11">
        <v>237</v>
      </c>
      <c r="K632" s="11">
        <v>2580</v>
      </c>
      <c r="L632" s="11">
        <v>2.8610982925703701E-2</v>
      </c>
      <c r="M632" s="11">
        <f t="shared" si="2"/>
        <v>2.8610982925703738</v>
      </c>
      <c r="N632" s="11">
        <v>0.95564516129032295</v>
      </c>
      <c r="O632" s="11">
        <v>0.29764651592062802</v>
      </c>
      <c r="P632" s="11">
        <v>0.32854729729729698</v>
      </c>
      <c r="Q632" s="11">
        <v>0.35714285714285698</v>
      </c>
      <c r="R632" s="11">
        <v>0.24832214765100699</v>
      </c>
      <c r="S632" s="10" t="s">
        <v>84</v>
      </c>
      <c r="T632" s="10" t="s">
        <v>84</v>
      </c>
      <c r="U632" s="10"/>
      <c r="V632" s="10"/>
      <c r="W632" s="10"/>
      <c r="X632" s="10"/>
      <c r="Y632" s="10"/>
      <c r="Z632" s="10"/>
      <c r="AA632" s="10"/>
    </row>
    <row r="633" spans="1:27" ht="12.5" x14ac:dyDescent="0.25">
      <c r="A633" s="10" t="s">
        <v>82</v>
      </c>
      <c r="B633" s="10" t="s">
        <v>948</v>
      </c>
      <c r="C633" s="10" t="s">
        <v>76</v>
      </c>
      <c r="D633" s="11">
        <v>2024</v>
      </c>
      <c r="E633" s="10" t="s">
        <v>81</v>
      </c>
      <c r="F633" s="10" t="s">
        <v>83</v>
      </c>
      <c r="G633" s="10" t="s">
        <v>84</v>
      </c>
      <c r="H633" s="12">
        <v>10596.083333333299</v>
      </c>
      <c r="I633" s="11">
        <v>303</v>
      </c>
      <c r="J633" s="11">
        <v>280</v>
      </c>
      <c r="K633" s="11">
        <v>3046</v>
      </c>
      <c r="L633" s="11">
        <v>2.8595471597209699E-2</v>
      </c>
      <c r="M633" s="11">
        <f t="shared" si="2"/>
        <v>2.8595471597209752</v>
      </c>
      <c r="N633" s="11">
        <v>0.92409240924092395</v>
      </c>
      <c r="O633" s="11">
        <v>0.28746470787161899</v>
      </c>
      <c r="P633" s="11">
        <v>0.32770270270270302</v>
      </c>
      <c r="Q633" s="11">
        <v>0.55172413793103403</v>
      </c>
      <c r="R633" s="11">
        <v>0.38372093023255799</v>
      </c>
      <c r="S633" s="10" t="s">
        <v>84</v>
      </c>
      <c r="T633" s="10" t="s">
        <v>84</v>
      </c>
      <c r="U633" s="10"/>
      <c r="V633" s="10"/>
      <c r="W633" s="10"/>
      <c r="X633" s="10"/>
      <c r="Y633" s="10"/>
      <c r="Z633" s="10"/>
      <c r="AA633" s="10"/>
    </row>
    <row r="634" spans="1:27" ht="12.5" x14ac:dyDescent="0.25">
      <c r="A634" s="10" t="s">
        <v>42</v>
      </c>
      <c r="B634" s="10" t="s">
        <v>950</v>
      </c>
      <c r="C634" s="10" t="s">
        <v>76</v>
      </c>
      <c r="D634" s="11">
        <v>2024</v>
      </c>
      <c r="E634" s="10" t="s">
        <v>81</v>
      </c>
      <c r="F634" s="10" t="s">
        <v>83</v>
      </c>
      <c r="G634" s="10" t="s">
        <v>84</v>
      </c>
      <c r="H634" s="12">
        <v>9809.6666666666697</v>
      </c>
      <c r="I634" s="11">
        <v>279</v>
      </c>
      <c r="J634" s="11">
        <v>180</v>
      </c>
      <c r="K634" s="11">
        <v>2043</v>
      </c>
      <c r="L634" s="11">
        <v>2.8441333378640101E-2</v>
      </c>
      <c r="M634" s="11">
        <f t="shared" si="2"/>
        <v>2.8441333378640108</v>
      </c>
      <c r="N634" s="11">
        <v>0.64516129032258096</v>
      </c>
      <c r="O634" s="11">
        <v>0.20826395732101</v>
      </c>
      <c r="P634" s="11">
        <v>0.326858108108108</v>
      </c>
      <c r="Q634" s="11">
        <v>0.26190476190476197</v>
      </c>
      <c r="R634" s="11">
        <v>0.38178294573643401</v>
      </c>
      <c r="S634" s="10" t="s">
        <v>84</v>
      </c>
      <c r="T634" s="10" t="s">
        <v>84</v>
      </c>
      <c r="U634" s="10"/>
      <c r="V634" s="10"/>
      <c r="W634" s="10"/>
      <c r="X634" s="10"/>
      <c r="Y634" s="10"/>
      <c r="Z634" s="10"/>
      <c r="AA634" s="10"/>
    </row>
    <row r="635" spans="1:27" ht="12.5" x14ac:dyDescent="0.25">
      <c r="A635" s="10" t="s">
        <v>62</v>
      </c>
      <c r="B635" s="10" t="s">
        <v>952</v>
      </c>
      <c r="C635" s="10" t="s">
        <v>76</v>
      </c>
      <c r="D635" s="11">
        <v>2024</v>
      </c>
      <c r="E635" s="10" t="s">
        <v>81</v>
      </c>
      <c r="F635" s="10" t="s">
        <v>83</v>
      </c>
      <c r="G635" s="10" t="s">
        <v>84</v>
      </c>
      <c r="H635" s="12">
        <v>19268.583333333299</v>
      </c>
      <c r="I635" s="11">
        <v>548</v>
      </c>
      <c r="J635" s="11">
        <v>464</v>
      </c>
      <c r="K635" s="11">
        <v>15138</v>
      </c>
      <c r="L635" s="11">
        <v>2.84400773279475E-2</v>
      </c>
      <c r="M635" s="11">
        <f t="shared" si="2"/>
        <v>2.8440077327947528</v>
      </c>
      <c r="N635" s="11">
        <v>0.84671532846715303</v>
      </c>
      <c r="O635" s="11">
        <v>0.78563118720888503</v>
      </c>
      <c r="P635" s="11">
        <v>0.32601351351351299</v>
      </c>
      <c r="Q635" s="11">
        <v>0.22222222222222199</v>
      </c>
      <c r="R635" s="11">
        <v>0.37984496124030998</v>
      </c>
      <c r="S635" s="10" t="s">
        <v>84</v>
      </c>
      <c r="T635" s="10" t="s">
        <v>84</v>
      </c>
      <c r="U635" s="10"/>
      <c r="V635" s="10"/>
      <c r="W635" s="10"/>
      <c r="X635" s="10"/>
      <c r="Y635" s="10"/>
      <c r="Z635" s="10"/>
      <c r="AA635" s="10"/>
    </row>
    <row r="636" spans="1:27" ht="12.5" x14ac:dyDescent="0.25">
      <c r="A636" s="10" t="s">
        <v>104</v>
      </c>
      <c r="B636" s="10" t="s">
        <v>954</v>
      </c>
      <c r="C636" s="10" t="s">
        <v>76</v>
      </c>
      <c r="D636" s="11">
        <v>2024</v>
      </c>
      <c r="E636" s="10" t="s">
        <v>81</v>
      </c>
      <c r="F636" s="10" t="s">
        <v>83</v>
      </c>
      <c r="G636" s="10" t="s">
        <v>84</v>
      </c>
      <c r="H636" s="12">
        <v>11113.333333333299</v>
      </c>
      <c r="I636" s="11">
        <v>311</v>
      </c>
      <c r="J636" s="11">
        <v>215</v>
      </c>
      <c r="K636" s="11">
        <v>11202</v>
      </c>
      <c r="L636" s="11">
        <v>2.7984403119376101E-2</v>
      </c>
      <c r="M636" s="11">
        <f t="shared" si="2"/>
        <v>2.7984403119376213</v>
      </c>
      <c r="N636" s="11">
        <v>0.69131832797427695</v>
      </c>
      <c r="O636" s="11">
        <v>1.00797840431914</v>
      </c>
      <c r="P636" s="11">
        <v>0.32516891891891903</v>
      </c>
      <c r="Q636" s="11">
        <v>0.24137931034482801</v>
      </c>
      <c r="R636" s="11">
        <v>0.377906976744186</v>
      </c>
      <c r="S636" s="10" t="s">
        <v>84</v>
      </c>
      <c r="T636" s="10" t="s">
        <v>84</v>
      </c>
      <c r="U636" s="10"/>
      <c r="V636" s="10"/>
      <c r="W636" s="10"/>
      <c r="X636" s="10"/>
      <c r="Y636" s="10"/>
      <c r="Z636" s="10"/>
      <c r="AA636" s="10"/>
    </row>
    <row r="637" spans="1:27" ht="12.5" x14ac:dyDescent="0.25">
      <c r="A637" s="10" t="s">
        <v>12</v>
      </c>
      <c r="B637" s="10" t="s">
        <v>957</v>
      </c>
      <c r="C637" s="10" t="s">
        <v>76</v>
      </c>
      <c r="D637" s="11">
        <v>2024</v>
      </c>
      <c r="E637" s="10" t="s">
        <v>81</v>
      </c>
      <c r="F637" s="10" t="s">
        <v>83</v>
      </c>
      <c r="G637" s="10" t="s">
        <v>84</v>
      </c>
      <c r="H637" s="12">
        <v>20015.25</v>
      </c>
      <c r="I637" s="11">
        <v>555</v>
      </c>
      <c r="J637" s="11">
        <v>412</v>
      </c>
      <c r="K637" s="11">
        <v>2706</v>
      </c>
      <c r="L637" s="11">
        <v>2.7728856746730601E-2</v>
      </c>
      <c r="M637" s="11">
        <f t="shared" si="2"/>
        <v>2.7728856746730619</v>
      </c>
      <c r="N637" s="11">
        <v>0.74234234234234198</v>
      </c>
      <c r="O637" s="11">
        <v>0.13519691235433001</v>
      </c>
      <c r="P637" s="11">
        <v>0.32432432432432401</v>
      </c>
      <c r="Q637" s="11">
        <v>0.23611111111111099</v>
      </c>
      <c r="R637" s="11">
        <v>0.37596899224806202</v>
      </c>
      <c r="S637" s="10" t="s">
        <v>84</v>
      </c>
      <c r="T637" s="10" t="s">
        <v>84</v>
      </c>
      <c r="U637" s="10"/>
      <c r="V637" s="10"/>
      <c r="W637" s="10"/>
      <c r="X637" s="10"/>
      <c r="Y637" s="10"/>
      <c r="Z637" s="10"/>
      <c r="AA637" s="10"/>
    </row>
    <row r="638" spans="1:27" ht="12.5" x14ac:dyDescent="0.25">
      <c r="A638" s="10" t="s">
        <v>12</v>
      </c>
      <c r="B638" s="10" t="s">
        <v>959</v>
      </c>
      <c r="C638" s="10" t="s">
        <v>76</v>
      </c>
      <c r="D638" s="11">
        <v>2024</v>
      </c>
      <c r="E638" s="10" t="s">
        <v>81</v>
      </c>
      <c r="F638" s="10" t="s">
        <v>83</v>
      </c>
      <c r="G638" s="10" t="s">
        <v>84</v>
      </c>
      <c r="H638" s="12">
        <v>37628.666666666701</v>
      </c>
      <c r="I638" s="11">
        <v>1043</v>
      </c>
      <c r="J638" s="11">
        <v>841</v>
      </c>
      <c r="K638" s="11">
        <v>36325</v>
      </c>
      <c r="L638" s="11">
        <v>2.77182290097975E-2</v>
      </c>
      <c r="M638" s="11">
        <f t="shared" si="2"/>
        <v>2.771822900979747</v>
      </c>
      <c r="N638" s="11">
        <v>0.80632790028763202</v>
      </c>
      <c r="O638" s="11">
        <v>0.96535442836135599</v>
      </c>
      <c r="P638" s="11">
        <v>0.32347972972972999</v>
      </c>
      <c r="Q638" s="11">
        <v>0.22222222222222199</v>
      </c>
      <c r="R638" s="11">
        <v>0.37403100775193798</v>
      </c>
      <c r="S638" s="10" t="s">
        <v>84</v>
      </c>
      <c r="T638" s="10" t="s">
        <v>84</v>
      </c>
      <c r="U638" s="10"/>
      <c r="V638" s="10"/>
      <c r="W638" s="10"/>
      <c r="X638" s="10"/>
      <c r="Y638" s="10"/>
      <c r="Z638" s="10"/>
      <c r="AA638" s="10"/>
    </row>
    <row r="639" spans="1:27" ht="12.5" x14ac:dyDescent="0.25">
      <c r="A639" s="10" t="s">
        <v>62</v>
      </c>
      <c r="B639" s="10" t="s">
        <v>962</v>
      </c>
      <c r="C639" s="10" t="s">
        <v>76</v>
      </c>
      <c r="D639" s="11">
        <v>2024</v>
      </c>
      <c r="E639" s="10" t="s">
        <v>81</v>
      </c>
      <c r="F639" s="10" t="s">
        <v>83</v>
      </c>
      <c r="G639" s="10" t="s">
        <v>84</v>
      </c>
      <c r="H639" s="12">
        <v>14380.833333333299</v>
      </c>
      <c r="I639" s="11">
        <v>397</v>
      </c>
      <c r="J639" s="11">
        <v>205</v>
      </c>
      <c r="K639" s="11">
        <v>6328</v>
      </c>
      <c r="L639" s="11">
        <v>2.7606188792953599E-2</v>
      </c>
      <c r="M639" s="11">
        <f t="shared" si="2"/>
        <v>2.760618879295365</v>
      </c>
      <c r="N639" s="11">
        <v>0.51637279596977304</v>
      </c>
      <c r="O639" s="11">
        <v>0.44003013269977398</v>
      </c>
      <c r="P639" s="11">
        <v>0.32179054054054002</v>
      </c>
      <c r="Q639" s="11">
        <v>0.194444444444444</v>
      </c>
      <c r="R639" s="11">
        <v>0.372093023255814</v>
      </c>
      <c r="S639" s="10" t="s">
        <v>84</v>
      </c>
      <c r="T639" s="10" t="s">
        <v>84</v>
      </c>
      <c r="U639" s="10"/>
      <c r="V639" s="10"/>
      <c r="W639" s="10"/>
      <c r="X639" s="10"/>
      <c r="Y639" s="10"/>
      <c r="Z639" s="10"/>
      <c r="AA639" s="10"/>
    </row>
    <row r="640" spans="1:27" ht="12.5" x14ac:dyDescent="0.25">
      <c r="A640" s="10" t="s">
        <v>86</v>
      </c>
      <c r="B640" s="10" t="s">
        <v>964</v>
      </c>
      <c r="C640" s="10" t="s">
        <v>76</v>
      </c>
      <c r="D640" s="11">
        <v>2024</v>
      </c>
      <c r="E640" s="10" t="s">
        <v>81</v>
      </c>
      <c r="F640" s="10" t="s">
        <v>83</v>
      </c>
      <c r="G640" s="10" t="s">
        <v>84</v>
      </c>
      <c r="H640" s="12">
        <v>28123.25</v>
      </c>
      <c r="I640" s="11">
        <v>772</v>
      </c>
      <c r="J640" s="11">
        <v>620</v>
      </c>
      <c r="K640" s="11">
        <v>22473</v>
      </c>
      <c r="L640" s="11">
        <v>2.7450596926030999E-2</v>
      </c>
      <c r="M640" s="11">
        <f t="shared" si="2"/>
        <v>2.7450596926030952</v>
      </c>
      <c r="N640" s="11">
        <v>0.80310880829015496</v>
      </c>
      <c r="O640" s="11">
        <v>0.79908972113820398</v>
      </c>
      <c r="P640" s="11">
        <v>0.32010135135135098</v>
      </c>
      <c r="Q640" s="11">
        <v>0.217391304347826</v>
      </c>
      <c r="R640" s="11">
        <v>0.37015503875969002</v>
      </c>
      <c r="S640" s="10" t="s">
        <v>84</v>
      </c>
      <c r="T640" s="10" t="s">
        <v>84</v>
      </c>
      <c r="U640" s="10"/>
      <c r="V640" s="10"/>
      <c r="W640" s="10"/>
      <c r="X640" s="10"/>
      <c r="Y640" s="10"/>
      <c r="Z640" s="10"/>
      <c r="AA640" s="10"/>
    </row>
    <row r="641" spans="1:27" ht="12.5" x14ac:dyDescent="0.25">
      <c r="A641" s="10" t="s">
        <v>103</v>
      </c>
      <c r="B641" s="10" t="s">
        <v>1082</v>
      </c>
      <c r="C641" s="10" t="s">
        <v>76</v>
      </c>
      <c r="D641" s="11">
        <v>2024</v>
      </c>
      <c r="E641" s="10" t="s">
        <v>124</v>
      </c>
      <c r="F641" s="10" t="s">
        <v>83</v>
      </c>
      <c r="G641" s="10" t="s">
        <v>84</v>
      </c>
      <c r="H641" s="12">
        <v>51728.166666666701</v>
      </c>
      <c r="I641" s="11">
        <v>1415</v>
      </c>
      <c r="J641" s="11">
        <v>1278</v>
      </c>
      <c r="K641" s="11">
        <v>19368</v>
      </c>
      <c r="L641" s="11">
        <v>2.73545360522475E-2</v>
      </c>
      <c r="M641" s="11">
        <f t="shared" si="2"/>
        <v>2.7354536052247469</v>
      </c>
      <c r="N641" s="11">
        <v>0.90318021201413401</v>
      </c>
      <c r="O641" s="11">
        <v>0.37441883693281203</v>
      </c>
      <c r="P641" s="11">
        <v>0.318412162162162</v>
      </c>
      <c r="Q641" s="11">
        <v>0.30434782608695699</v>
      </c>
      <c r="R641" s="11">
        <v>0.24608501118568199</v>
      </c>
      <c r="S641" s="10" t="s">
        <v>84</v>
      </c>
      <c r="T641" s="10" t="s">
        <v>84</v>
      </c>
      <c r="U641" s="10"/>
      <c r="V641" s="10"/>
      <c r="W641" s="10"/>
      <c r="X641" s="10"/>
      <c r="Y641" s="10"/>
      <c r="Z641" s="10"/>
      <c r="AA641" s="10"/>
    </row>
    <row r="642" spans="1:27" ht="12.5" x14ac:dyDescent="0.25">
      <c r="A642" s="10" t="s">
        <v>96</v>
      </c>
      <c r="B642" s="10" t="s">
        <v>966</v>
      </c>
      <c r="C642" s="10" t="s">
        <v>76</v>
      </c>
      <c r="D642" s="11">
        <v>2024</v>
      </c>
      <c r="E642" s="10" t="s">
        <v>81</v>
      </c>
      <c r="F642" s="10" t="s">
        <v>83</v>
      </c>
      <c r="G642" s="10" t="s">
        <v>84</v>
      </c>
      <c r="H642" s="12">
        <v>13478</v>
      </c>
      <c r="I642" s="11">
        <v>368</v>
      </c>
      <c r="J642" s="11">
        <v>298</v>
      </c>
      <c r="K642" s="11">
        <v>7599</v>
      </c>
      <c r="L642" s="11">
        <v>2.7303754266211601E-2</v>
      </c>
      <c r="M642" s="11">
        <f t="shared" si="2"/>
        <v>2.7303754266211606</v>
      </c>
      <c r="N642" s="11">
        <v>0.809782608695652</v>
      </c>
      <c r="O642" s="11">
        <v>0.56380768660038605</v>
      </c>
      <c r="P642" s="11">
        <v>0.31756756756756799</v>
      </c>
      <c r="Q642" s="11">
        <v>0.58823529411764697</v>
      </c>
      <c r="R642" s="11">
        <v>0.36821705426356599</v>
      </c>
      <c r="S642" s="10" t="s">
        <v>84</v>
      </c>
      <c r="T642" s="10" t="s">
        <v>84</v>
      </c>
      <c r="U642" s="10"/>
      <c r="V642" s="10"/>
      <c r="W642" s="10"/>
      <c r="X642" s="10"/>
      <c r="Y642" s="10"/>
      <c r="Z642" s="10"/>
      <c r="AA642" s="10"/>
    </row>
    <row r="643" spans="1:27" ht="12.5" x14ac:dyDescent="0.25">
      <c r="A643" s="10" t="s">
        <v>52</v>
      </c>
      <c r="B643" s="10" t="s">
        <v>717</v>
      </c>
      <c r="C643" s="10" t="s">
        <v>76</v>
      </c>
      <c r="D643" s="11">
        <v>2024</v>
      </c>
      <c r="E643" s="10" t="s">
        <v>81</v>
      </c>
      <c r="F643" s="10" t="s">
        <v>83</v>
      </c>
      <c r="G643" s="10" t="s">
        <v>84</v>
      </c>
      <c r="H643" s="12">
        <v>12999.083333333299</v>
      </c>
      <c r="I643" s="11">
        <v>354</v>
      </c>
      <c r="J643" s="11">
        <v>244</v>
      </c>
      <c r="K643" s="11">
        <v>9643</v>
      </c>
      <c r="L643" s="11">
        <v>2.7232689484514901E-2</v>
      </c>
      <c r="M643" s="11">
        <f t="shared" si="2"/>
        <v>2.7232689484515005</v>
      </c>
      <c r="N643" s="11">
        <v>0.68926553672316404</v>
      </c>
      <c r="O643" s="11">
        <v>0.74182153869824197</v>
      </c>
      <c r="P643" s="11">
        <v>0.31672297297297303</v>
      </c>
      <c r="Q643" s="11">
        <v>0.23404255319148901</v>
      </c>
      <c r="R643" s="11">
        <v>0.36627906976744201</v>
      </c>
      <c r="S643" s="10" t="s">
        <v>84</v>
      </c>
      <c r="T643" s="10" t="s">
        <v>84</v>
      </c>
      <c r="U643" s="10"/>
      <c r="V643" s="10"/>
      <c r="W643" s="10"/>
      <c r="X643" s="10"/>
      <c r="Y643" s="10"/>
      <c r="Z643" s="10"/>
      <c r="AA643" s="10"/>
    </row>
    <row r="644" spans="1:27" ht="12.5" hidden="1" x14ac:dyDescent="0.25">
      <c r="A644" s="10" t="s">
        <v>115</v>
      </c>
      <c r="B644" s="10" t="s">
        <v>1436</v>
      </c>
      <c r="C644" s="10" t="s">
        <v>76</v>
      </c>
      <c r="D644" s="11">
        <v>2024</v>
      </c>
      <c r="E644" s="10" t="s">
        <v>1340</v>
      </c>
      <c r="F644" s="10" t="s">
        <v>83</v>
      </c>
      <c r="G644" s="10" t="s">
        <v>84</v>
      </c>
      <c r="H644" s="12">
        <v>22869.333333333299</v>
      </c>
      <c r="I644" s="11">
        <v>614</v>
      </c>
      <c r="J644" s="11">
        <v>540</v>
      </c>
      <c r="K644" s="11">
        <v>5150</v>
      </c>
      <c r="L644" s="11">
        <v>2.68481809701493E-2</v>
      </c>
      <c r="M644" s="11">
        <f t="shared" si="2"/>
        <v>2.6848180970149294</v>
      </c>
      <c r="N644" s="11">
        <v>0.87947882736156302</v>
      </c>
      <c r="O644" s="11">
        <v>0.22519239738805999</v>
      </c>
      <c r="P644" s="11">
        <v>0.31418918918918898</v>
      </c>
      <c r="Q644" s="11">
        <v>0.88888888888888895</v>
      </c>
      <c r="R644" s="11">
        <v>0</v>
      </c>
      <c r="S644" s="10" t="s">
        <v>84</v>
      </c>
      <c r="T644" s="10" t="s">
        <v>84</v>
      </c>
      <c r="U644" s="10"/>
      <c r="V644" s="10"/>
      <c r="W644" s="10"/>
      <c r="X644" s="10"/>
      <c r="Y644" s="10"/>
      <c r="Z644" s="10"/>
      <c r="AA644" s="10"/>
    </row>
    <row r="645" spans="1:27" ht="12.5" x14ac:dyDescent="0.25">
      <c r="A645" s="10" t="s">
        <v>34</v>
      </c>
      <c r="B645" s="10" t="s">
        <v>1084</v>
      </c>
      <c r="C645" s="10" t="s">
        <v>76</v>
      </c>
      <c r="D645" s="11">
        <v>2024</v>
      </c>
      <c r="E645" s="10" t="s">
        <v>124</v>
      </c>
      <c r="F645" s="10" t="s">
        <v>83</v>
      </c>
      <c r="G645" s="10" t="s">
        <v>84</v>
      </c>
      <c r="H645" s="12">
        <v>54944.416666666701</v>
      </c>
      <c r="I645" s="11">
        <v>1475</v>
      </c>
      <c r="J645" s="11">
        <v>1469</v>
      </c>
      <c r="K645" s="11">
        <v>50363</v>
      </c>
      <c r="L645" s="11">
        <v>2.68453118530394E-2</v>
      </c>
      <c r="M645" s="11">
        <f t="shared" si="2"/>
        <v>2.6845311853039346</v>
      </c>
      <c r="N645" s="11">
        <v>0.99593220338983002</v>
      </c>
      <c r="O645" s="11">
        <v>0.91661724803703104</v>
      </c>
      <c r="P645" s="11">
        <v>0.31334459459459502</v>
      </c>
      <c r="Q645" s="11">
        <v>0.55102040816326503</v>
      </c>
      <c r="R645" s="11">
        <v>0.24384787472035799</v>
      </c>
      <c r="S645" s="10" t="s">
        <v>84</v>
      </c>
      <c r="T645" s="10" t="s">
        <v>84</v>
      </c>
      <c r="U645" s="10"/>
      <c r="V645" s="10"/>
      <c r="W645" s="10"/>
      <c r="X645" s="10"/>
      <c r="Y645" s="10"/>
      <c r="Z645" s="10"/>
      <c r="AA645" s="10"/>
    </row>
    <row r="646" spans="1:27" ht="12.5" x14ac:dyDescent="0.25">
      <c r="A646" s="10" t="s">
        <v>62</v>
      </c>
      <c r="B646" s="10" t="s">
        <v>969</v>
      </c>
      <c r="C646" s="10" t="s">
        <v>76</v>
      </c>
      <c r="D646" s="11">
        <v>2024</v>
      </c>
      <c r="E646" s="10" t="s">
        <v>81</v>
      </c>
      <c r="F646" s="10" t="s">
        <v>83</v>
      </c>
      <c r="G646" s="10" t="s">
        <v>84</v>
      </c>
      <c r="H646" s="12">
        <v>10556.916666666701</v>
      </c>
      <c r="I646" s="11">
        <v>283</v>
      </c>
      <c r="J646" s="11">
        <v>264</v>
      </c>
      <c r="K646" s="11">
        <v>1626</v>
      </c>
      <c r="L646" s="11">
        <v>2.68070696147076E-2</v>
      </c>
      <c r="M646" s="11">
        <f t="shared" si="2"/>
        <v>2.6807069614707491</v>
      </c>
      <c r="N646" s="11">
        <v>0.93286219081272104</v>
      </c>
      <c r="O646" s="11">
        <v>0.154022244500051</v>
      </c>
      <c r="P646" s="11">
        <v>0.3125</v>
      </c>
      <c r="Q646" s="11">
        <v>0.16666666666666699</v>
      </c>
      <c r="R646" s="11">
        <v>0.36434108527131798</v>
      </c>
      <c r="S646" s="10" t="s">
        <v>84</v>
      </c>
      <c r="T646" s="10" t="s">
        <v>84</v>
      </c>
      <c r="U646" s="10"/>
      <c r="V646" s="10"/>
      <c r="W646" s="10"/>
      <c r="X646" s="10"/>
      <c r="Y646" s="10"/>
      <c r="Z646" s="10"/>
      <c r="AA646" s="10"/>
    </row>
    <row r="647" spans="1:27" ht="12.5" x14ac:dyDescent="0.25">
      <c r="A647" s="10" t="s">
        <v>29</v>
      </c>
      <c r="B647" s="10" t="s">
        <v>75</v>
      </c>
      <c r="C647" s="10" t="s">
        <v>76</v>
      </c>
      <c r="D647" s="11">
        <v>2024</v>
      </c>
      <c r="E647" s="10" t="s">
        <v>81</v>
      </c>
      <c r="F647" s="10" t="s">
        <v>83</v>
      </c>
      <c r="G647" s="10" t="s">
        <v>84</v>
      </c>
      <c r="H647" s="12">
        <v>150.333333333333</v>
      </c>
      <c r="I647" s="11">
        <v>4</v>
      </c>
      <c r="J647" s="11">
        <v>4</v>
      </c>
      <c r="K647" s="11">
        <v>710</v>
      </c>
      <c r="L647" s="11">
        <v>2.6607538802660799E-2</v>
      </c>
      <c r="M647" s="11">
        <f t="shared" si="2"/>
        <v>2.6607538802660811</v>
      </c>
      <c r="N647" s="11">
        <v>1</v>
      </c>
      <c r="O647" s="11">
        <v>4.7228381374722801</v>
      </c>
      <c r="P647" s="11">
        <v>0.31165540540540498</v>
      </c>
      <c r="Q647" s="11">
        <v>0.20408163265306101</v>
      </c>
      <c r="R647" s="11">
        <v>0.362403100775194</v>
      </c>
      <c r="S647" s="10" t="s">
        <v>84</v>
      </c>
      <c r="T647" s="10" t="s">
        <v>84</v>
      </c>
      <c r="U647" s="10"/>
      <c r="V647" s="10"/>
      <c r="W647" s="10"/>
      <c r="X647" s="10"/>
      <c r="Y647" s="10"/>
      <c r="Z647" s="10"/>
      <c r="AA647" s="10"/>
    </row>
    <row r="648" spans="1:27" ht="12.5" x14ac:dyDescent="0.25">
      <c r="A648" s="10" t="s">
        <v>16</v>
      </c>
      <c r="B648" s="10" t="s">
        <v>1087</v>
      </c>
      <c r="C648" s="10" t="s">
        <v>76</v>
      </c>
      <c r="D648" s="11">
        <v>2024</v>
      </c>
      <c r="E648" s="10" t="s">
        <v>124</v>
      </c>
      <c r="F648" s="10" t="s">
        <v>125</v>
      </c>
      <c r="G648" s="10" t="s">
        <v>84</v>
      </c>
      <c r="H648" s="12">
        <v>27040.583333333299</v>
      </c>
      <c r="I648" s="11">
        <v>715</v>
      </c>
      <c r="J648" s="11">
        <v>650</v>
      </c>
      <c r="K648" s="11">
        <v>4957</v>
      </c>
      <c r="L648" s="11">
        <v>2.6441737265283399E-2</v>
      </c>
      <c r="M648" s="11">
        <f t="shared" si="2"/>
        <v>2.6441737265283387</v>
      </c>
      <c r="N648" s="11">
        <v>0.90909090909090895</v>
      </c>
      <c r="O648" s="11">
        <v>0.183317051222391</v>
      </c>
      <c r="P648" s="11">
        <v>0.30996621621621601</v>
      </c>
      <c r="Q648" s="11">
        <v>0.1</v>
      </c>
      <c r="R648" s="11">
        <v>0.24161073825503401</v>
      </c>
      <c r="S648" s="10" t="s">
        <v>84</v>
      </c>
      <c r="T648" s="10" t="s">
        <v>84</v>
      </c>
      <c r="U648" s="10"/>
      <c r="V648" s="10"/>
      <c r="W648" s="10"/>
      <c r="X648" s="10"/>
      <c r="Y648" s="10"/>
      <c r="Z648" s="10"/>
      <c r="AA648" s="10"/>
    </row>
    <row r="649" spans="1:27" ht="12.5" x14ac:dyDescent="0.25">
      <c r="A649" s="10" t="s">
        <v>82</v>
      </c>
      <c r="B649" s="10" t="s">
        <v>972</v>
      </c>
      <c r="C649" s="10" t="s">
        <v>76</v>
      </c>
      <c r="D649" s="11">
        <v>2024</v>
      </c>
      <c r="E649" s="10" t="s">
        <v>81</v>
      </c>
      <c r="F649" s="10" t="s">
        <v>83</v>
      </c>
      <c r="G649" s="10" t="s">
        <v>84</v>
      </c>
      <c r="H649" s="12">
        <v>16214.75</v>
      </c>
      <c r="I649" s="11">
        <v>428</v>
      </c>
      <c r="J649" s="11">
        <v>375</v>
      </c>
      <c r="K649" s="11">
        <v>4057</v>
      </c>
      <c r="L649" s="11">
        <v>2.6395719946345101E-2</v>
      </c>
      <c r="M649" s="11">
        <f t="shared" si="2"/>
        <v>2.6395719946345149</v>
      </c>
      <c r="N649" s="11">
        <v>0.87616822429906505</v>
      </c>
      <c r="O649" s="11">
        <v>0.25020428930449101</v>
      </c>
      <c r="P649" s="11">
        <v>0.30912162162162199</v>
      </c>
      <c r="Q649" s="11">
        <v>0.53448275862068995</v>
      </c>
      <c r="R649" s="11">
        <v>0.36046511627907002</v>
      </c>
      <c r="S649" s="10" t="s">
        <v>84</v>
      </c>
      <c r="T649" s="10" t="s">
        <v>84</v>
      </c>
      <c r="U649" s="10"/>
      <c r="V649" s="10"/>
      <c r="W649" s="10"/>
      <c r="X649" s="10"/>
      <c r="Y649" s="10"/>
      <c r="Z649" s="10"/>
      <c r="AA649" s="10"/>
    </row>
    <row r="650" spans="1:27" ht="12.5" x14ac:dyDescent="0.25">
      <c r="A650" s="10" t="s">
        <v>82</v>
      </c>
      <c r="B650" s="10" t="s">
        <v>1089</v>
      </c>
      <c r="C650" s="10" t="s">
        <v>76</v>
      </c>
      <c r="D650" s="11">
        <v>2024</v>
      </c>
      <c r="E650" s="10" t="s">
        <v>124</v>
      </c>
      <c r="F650" s="10" t="s">
        <v>83</v>
      </c>
      <c r="G650" s="10" t="s">
        <v>84</v>
      </c>
      <c r="H650" s="12">
        <v>1255.5</v>
      </c>
      <c r="I650" s="11">
        <v>33</v>
      </c>
      <c r="J650" s="11">
        <v>29</v>
      </c>
      <c r="K650" s="11">
        <v>35</v>
      </c>
      <c r="L650" s="11">
        <v>2.6284348864993999E-2</v>
      </c>
      <c r="M650" s="11">
        <f t="shared" si="2"/>
        <v>2.6284348864994027</v>
      </c>
      <c r="N650" s="11">
        <v>0.87878787878787901</v>
      </c>
      <c r="O650" s="11">
        <v>2.78773397052967E-2</v>
      </c>
      <c r="P650" s="11">
        <v>0.30827702702702697</v>
      </c>
      <c r="Q650" s="11">
        <v>0.51724137931034497</v>
      </c>
      <c r="R650" s="11">
        <v>0.23937360178970901</v>
      </c>
      <c r="S650" s="10" t="s">
        <v>84</v>
      </c>
      <c r="T650" s="10" t="s">
        <v>84</v>
      </c>
      <c r="U650" s="10"/>
      <c r="V650" s="10"/>
      <c r="W650" s="10"/>
      <c r="X650" s="10"/>
      <c r="Y650" s="10"/>
      <c r="Z650" s="10"/>
      <c r="AA650" s="10"/>
    </row>
    <row r="651" spans="1:27" ht="12.5" x14ac:dyDescent="0.25">
      <c r="A651" s="10" t="s">
        <v>12</v>
      </c>
      <c r="B651" s="10" t="s">
        <v>974</v>
      </c>
      <c r="C651" s="10" t="s">
        <v>76</v>
      </c>
      <c r="D651" s="11">
        <v>2024</v>
      </c>
      <c r="E651" s="10" t="s">
        <v>81</v>
      </c>
      <c r="F651" s="10" t="s">
        <v>83</v>
      </c>
      <c r="G651" s="10" t="s">
        <v>84</v>
      </c>
      <c r="H651" s="12">
        <v>9680.1666666666697</v>
      </c>
      <c r="I651" s="11">
        <v>253</v>
      </c>
      <c r="J651" s="11">
        <v>157</v>
      </c>
      <c r="K651" s="11">
        <v>3884</v>
      </c>
      <c r="L651" s="11">
        <v>2.6135913637850599E-2</v>
      </c>
      <c r="M651" s="11">
        <f t="shared" si="2"/>
        <v>2.6135913637850576</v>
      </c>
      <c r="N651" s="11">
        <v>0.62055335968379399</v>
      </c>
      <c r="O651" s="11">
        <v>0.40123276114391998</v>
      </c>
      <c r="P651" s="11">
        <v>0.306587837837838</v>
      </c>
      <c r="Q651" s="11">
        <v>0.20833333333333301</v>
      </c>
      <c r="R651" s="11">
        <v>0.35852713178294598</v>
      </c>
      <c r="S651" s="10" t="s">
        <v>84</v>
      </c>
      <c r="T651" s="10" t="s">
        <v>84</v>
      </c>
      <c r="U651" s="10"/>
      <c r="V651" s="10"/>
      <c r="W651" s="10"/>
      <c r="X651" s="10"/>
      <c r="Y651" s="10"/>
      <c r="Z651" s="10"/>
      <c r="AA651" s="10"/>
    </row>
    <row r="652" spans="1:27" ht="12.5" x14ac:dyDescent="0.25">
      <c r="A652" s="10" t="s">
        <v>101</v>
      </c>
      <c r="B652" s="10" t="s">
        <v>977</v>
      </c>
      <c r="C652" s="10" t="s">
        <v>76</v>
      </c>
      <c r="D652" s="11">
        <v>2024</v>
      </c>
      <c r="E652" s="10" t="s">
        <v>81</v>
      </c>
      <c r="F652" s="10" t="s">
        <v>83</v>
      </c>
      <c r="G652" s="10" t="s">
        <v>84</v>
      </c>
      <c r="H652" s="12">
        <v>2410.8333333333298</v>
      </c>
      <c r="I652" s="11">
        <v>63</v>
      </c>
      <c r="J652" s="11">
        <v>53</v>
      </c>
      <c r="K652" s="11">
        <v>901</v>
      </c>
      <c r="L652" s="11">
        <v>2.6132042862080901E-2</v>
      </c>
      <c r="M652" s="11">
        <f t="shared" si="2"/>
        <v>2.613204286208092</v>
      </c>
      <c r="N652" s="11">
        <v>0.84126984126984095</v>
      </c>
      <c r="O652" s="11">
        <v>0.373729692360871</v>
      </c>
      <c r="P652" s="11">
        <v>0.30574324324324298</v>
      </c>
      <c r="Q652" s="11">
        <v>0.214285714285714</v>
      </c>
      <c r="R652" s="11">
        <v>0.35658914728682201</v>
      </c>
      <c r="S652" s="10" t="s">
        <v>84</v>
      </c>
      <c r="T652" s="10" t="s">
        <v>84</v>
      </c>
      <c r="U652" s="10"/>
      <c r="V652" s="10"/>
      <c r="W652" s="10"/>
      <c r="X652" s="10"/>
      <c r="Y652" s="10"/>
      <c r="Z652" s="10"/>
      <c r="AA652" s="10"/>
    </row>
    <row r="653" spans="1:27" ht="12.5" x14ac:dyDescent="0.25">
      <c r="A653" s="10" t="s">
        <v>92</v>
      </c>
      <c r="B653" s="10" t="s">
        <v>1092</v>
      </c>
      <c r="C653" s="10" t="s">
        <v>76</v>
      </c>
      <c r="D653" s="11">
        <v>2024</v>
      </c>
      <c r="E653" s="10" t="s">
        <v>124</v>
      </c>
      <c r="F653" s="10" t="s">
        <v>83</v>
      </c>
      <c r="G653" s="10" t="s">
        <v>84</v>
      </c>
      <c r="H653" s="12">
        <v>12596</v>
      </c>
      <c r="I653" s="11">
        <v>329</v>
      </c>
      <c r="J653" s="11">
        <v>300</v>
      </c>
      <c r="K653" s="11">
        <v>8586</v>
      </c>
      <c r="L653" s="11">
        <v>2.6119402985074602E-2</v>
      </c>
      <c r="M653" s="11">
        <f t="shared" si="2"/>
        <v>2.6119402985074625</v>
      </c>
      <c r="N653" s="11">
        <v>0.91185410334346495</v>
      </c>
      <c r="O653" s="11">
        <v>0.68164496665608099</v>
      </c>
      <c r="P653" s="11">
        <v>0.30489864864864902</v>
      </c>
      <c r="Q653" s="11">
        <v>0.66666666666666696</v>
      </c>
      <c r="R653" s="11">
        <v>0.23713646532438501</v>
      </c>
      <c r="S653" s="10" t="s">
        <v>84</v>
      </c>
      <c r="T653" s="10" t="s">
        <v>84</v>
      </c>
      <c r="U653" s="10"/>
      <c r="V653" s="10"/>
      <c r="W653" s="10"/>
      <c r="X653" s="10"/>
      <c r="Y653" s="10"/>
      <c r="Z653" s="10"/>
      <c r="AA653" s="10"/>
    </row>
    <row r="654" spans="1:27" ht="12.5" x14ac:dyDescent="0.25">
      <c r="A654" s="10" t="s">
        <v>52</v>
      </c>
      <c r="B654" s="10" t="s">
        <v>979</v>
      </c>
      <c r="C654" s="10" t="s">
        <v>76</v>
      </c>
      <c r="D654" s="11">
        <v>2024</v>
      </c>
      <c r="E654" s="10" t="s">
        <v>81</v>
      </c>
      <c r="F654" s="10" t="s">
        <v>83</v>
      </c>
      <c r="G654" s="10" t="s">
        <v>84</v>
      </c>
      <c r="H654" s="12">
        <v>5087.6666666666697</v>
      </c>
      <c r="I654" s="11">
        <v>132</v>
      </c>
      <c r="J654" s="11">
        <v>105</v>
      </c>
      <c r="K654" s="11">
        <v>2345</v>
      </c>
      <c r="L654" s="11">
        <v>2.5945095983751599E-2</v>
      </c>
      <c r="M654" s="11">
        <f t="shared" si="2"/>
        <v>2.5945095983751538</v>
      </c>
      <c r="N654" s="11">
        <v>0.79545454545454497</v>
      </c>
      <c r="O654" s="11">
        <v>0.46091856122649499</v>
      </c>
      <c r="P654" s="11">
        <v>0.304054054054054</v>
      </c>
      <c r="Q654" s="11">
        <v>0.21276595744680901</v>
      </c>
      <c r="R654" s="11">
        <v>0.35465116279069803</v>
      </c>
      <c r="S654" s="10" t="s">
        <v>84</v>
      </c>
      <c r="T654" s="10" t="s">
        <v>84</v>
      </c>
      <c r="U654" s="10"/>
      <c r="V654" s="10"/>
      <c r="W654" s="10"/>
      <c r="X654" s="10"/>
      <c r="Y654" s="10"/>
      <c r="Z654" s="10"/>
      <c r="AA654" s="10"/>
    </row>
    <row r="655" spans="1:27" ht="12.5" x14ac:dyDescent="0.25">
      <c r="A655" s="10" t="s">
        <v>22</v>
      </c>
      <c r="B655" s="10" t="s">
        <v>982</v>
      </c>
      <c r="C655" s="10" t="s">
        <v>76</v>
      </c>
      <c r="D655" s="11">
        <v>2024</v>
      </c>
      <c r="E655" s="10" t="s">
        <v>81</v>
      </c>
      <c r="F655" s="10" t="s">
        <v>83</v>
      </c>
      <c r="G655" s="10" t="s">
        <v>84</v>
      </c>
      <c r="H655" s="12">
        <v>5169.4166666666697</v>
      </c>
      <c r="I655" s="11">
        <v>134</v>
      </c>
      <c r="J655" s="11">
        <v>130</v>
      </c>
      <c r="K655" s="11">
        <v>3952</v>
      </c>
      <c r="L655" s="11">
        <v>2.5921686844099099E-2</v>
      </c>
      <c r="M655" s="11">
        <f t="shared" si="2"/>
        <v>2.5921686844099092</v>
      </c>
      <c r="N655" s="11">
        <v>0.97014925373134298</v>
      </c>
      <c r="O655" s="11">
        <v>0.76449631647671401</v>
      </c>
      <c r="P655" s="11">
        <v>0.30320945945945998</v>
      </c>
      <c r="Q655" s="11">
        <v>0.14285714285714299</v>
      </c>
      <c r="R655" s="11">
        <v>0.35271317829457399</v>
      </c>
      <c r="S655" s="10" t="s">
        <v>84</v>
      </c>
      <c r="T655" s="10" t="s">
        <v>84</v>
      </c>
      <c r="U655" s="10"/>
      <c r="V655" s="10"/>
      <c r="W655" s="10"/>
      <c r="X655" s="10"/>
      <c r="Y655" s="10"/>
      <c r="Z655" s="10"/>
      <c r="AA655" s="10"/>
    </row>
    <row r="656" spans="1:27" ht="12.5" x14ac:dyDescent="0.25">
      <c r="A656" s="10" t="s">
        <v>12</v>
      </c>
      <c r="B656" s="10" t="s">
        <v>1094</v>
      </c>
      <c r="C656" s="10" t="s">
        <v>76</v>
      </c>
      <c r="D656" s="11">
        <v>2024</v>
      </c>
      <c r="E656" s="10" t="s">
        <v>124</v>
      </c>
      <c r="F656" s="10" t="s">
        <v>125</v>
      </c>
      <c r="G656" s="10" t="s">
        <v>84</v>
      </c>
      <c r="H656" s="12">
        <v>2395.8333333333298</v>
      </c>
      <c r="I656" s="11">
        <v>62</v>
      </c>
      <c r="J656" s="11">
        <v>26</v>
      </c>
      <c r="K656" s="11">
        <v>3736</v>
      </c>
      <c r="L656" s="11">
        <v>2.5878260869565201E-2</v>
      </c>
      <c r="M656" s="11">
        <f t="shared" si="2"/>
        <v>2.5878260869565257</v>
      </c>
      <c r="N656" s="11">
        <v>0.41935483870967699</v>
      </c>
      <c r="O656" s="11">
        <v>1.5593739130434801</v>
      </c>
      <c r="P656" s="11">
        <v>0.30152027027027001</v>
      </c>
      <c r="Q656" s="11">
        <v>0.194444444444444</v>
      </c>
      <c r="R656" s="11">
        <v>0.23489932885906001</v>
      </c>
      <c r="S656" s="10" t="s">
        <v>84</v>
      </c>
      <c r="T656" s="10" t="s">
        <v>84</v>
      </c>
      <c r="U656" s="10"/>
      <c r="V656" s="10"/>
      <c r="W656" s="10"/>
      <c r="X656" s="10"/>
      <c r="Y656" s="10"/>
      <c r="Z656" s="10"/>
      <c r="AA656" s="10"/>
    </row>
    <row r="657" spans="1:27" ht="12.5" x14ac:dyDescent="0.25">
      <c r="A657" s="10" t="s">
        <v>77</v>
      </c>
      <c r="B657" s="10" t="s">
        <v>984</v>
      </c>
      <c r="C657" s="10" t="s">
        <v>76</v>
      </c>
      <c r="D657" s="11">
        <v>2024</v>
      </c>
      <c r="E657" s="10" t="s">
        <v>81</v>
      </c>
      <c r="F657" s="10" t="s">
        <v>83</v>
      </c>
      <c r="G657" s="10" t="s">
        <v>84</v>
      </c>
      <c r="H657" s="12">
        <v>9047.5833333333303</v>
      </c>
      <c r="I657" s="11">
        <v>233</v>
      </c>
      <c r="J657" s="11">
        <v>186</v>
      </c>
      <c r="K657" s="11">
        <v>8729</v>
      </c>
      <c r="L657" s="11">
        <v>2.5752733234473298E-2</v>
      </c>
      <c r="M657" s="11">
        <f t="shared" si="2"/>
        <v>2.5752733234473304</v>
      </c>
      <c r="N657" s="11">
        <v>0.79828326180257503</v>
      </c>
      <c r="O657" s="11">
        <v>0.96478801890007504</v>
      </c>
      <c r="P657" s="11">
        <v>0.30067567567567599</v>
      </c>
      <c r="Q657" s="11">
        <v>0.25</v>
      </c>
      <c r="R657" s="11">
        <v>0.35077519379845001</v>
      </c>
      <c r="S657" s="10" t="s">
        <v>84</v>
      </c>
      <c r="T657" s="10" t="s">
        <v>84</v>
      </c>
      <c r="U657" s="10"/>
      <c r="V657" s="10"/>
      <c r="W657" s="10"/>
      <c r="X657" s="10"/>
      <c r="Y657" s="10"/>
      <c r="Z657" s="10"/>
      <c r="AA657" s="10"/>
    </row>
    <row r="658" spans="1:27" ht="12.5" x14ac:dyDescent="0.25">
      <c r="A658" s="10" t="s">
        <v>72</v>
      </c>
      <c r="B658" s="10" t="s">
        <v>1096</v>
      </c>
      <c r="C658" s="10" t="s">
        <v>76</v>
      </c>
      <c r="D658" s="11">
        <v>2024</v>
      </c>
      <c r="E658" s="10" t="s">
        <v>124</v>
      </c>
      <c r="F658" s="10" t="s">
        <v>83</v>
      </c>
      <c r="G658" s="10" t="s">
        <v>84</v>
      </c>
      <c r="H658" s="12">
        <v>8016.6666666666697</v>
      </c>
      <c r="I658" s="11">
        <v>206</v>
      </c>
      <c r="J658" s="11">
        <v>128</v>
      </c>
      <c r="K658" s="11">
        <v>6298</v>
      </c>
      <c r="L658" s="11">
        <v>2.5696465696465699E-2</v>
      </c>
      <c r="M658" s="11">
        <f t="shared" si="2"/>
        <v>2.5696465696465687</v>
      </c>
      <c r="N658" s="11">
        <v>0.62135922330097104</v>
      </c>
      <c r="O658" s="11">
        <v>0.785613305613306</v>
      </c>
      <c r="P658" s="11">
        <v>0.29983108108108097</v>
      </c>
      <c r="Q658" s="11">
        <v>0.4</v>
      </c>
      <c r="R658" s="11">
        <v>0.23266219239373601</v>
      </c>
      <c r="S658" s="10" t="s">
        <v>84</v>
      </c>
      <c r="T658" s="10" t="s">
        <v>84</v>
      </c>
      <c r="U658" s="10"/>
      <c r="V658" s="10"/>
      <c r="W658" s="10"/>
      <c r="X658" s="10"/>
      <c r="Y658" s="10"/>
      <c r="Z658" s="10"/>
      <c r="AA658" s="10"/>
    </row>
    <row r="659" spans="1:27" ht="12.5" x14ac:dyDescent="0.25">
      <c r="A659" s="10" t="s">
        <v>91</v>
      </c>
      <c r="B659" s="10" t="s">
        <v>987</v>
      </c>
      <c r="C659" s="10" t="s">
        <v>76</v>
      </c>
      <c r="D659" s="11">
        <v>2024</v>
      </c>
      <c r="E659" s="10" t="s">
        <v>81</v>
      </c>
      <c r="F659" s="10" t="s">
        <v>83</v>
      </c>
      <c r="G659" s="10" t="s">
        <v>84</v>
      </c>
      <c r="H659" s="12">
        <v>19453.25</v>
      </c>
      <c r="I659" s="11">
        <v>499</v>
      </c>
      <c r="J659" s="11">
        <v>458</v>
      </c>
      <c r="K659" s="11">
        <v>960</v>
      </c>
      <c r="L659" s="11">
        <v>2.56512407952399E-2</v>
      </c>
      <c r="M659" s="11">
        <f t="shared" si="2"/>
        <v>2.5651240795239869</v>
      </c>
      <c r="N659" s="11">
        <v>0.91783567134268496</v>
      </c>
      <c r="O659" s="11">
        <v>4.9349080487836199E-2</v>
      </c>
      <c r="P659" s="11">
        <v>0.29898648648648701</v>
      </c>
      <c r="Q659" s="11">
        <v>0.46666666666666701</v>
      </c>
      <c r="R659" s="11">
        <v>0.34883720930232598</v>
      </c>
      <c r="S659" s="10" t="s">
        <v>84</v>
      </c>
      <c r="T659" s="10" t="s">
        <v>84</v>
      </c>
      <c r="U659" s="10"/>
      <c r="V659" s="10"/>
      <c r="W659" s="10"/>
      <c r="X659" s="10"/>
      <c r="Y659" s="10"/>
      <c r="Z659" s="10"/>
      <c r="AA659" s="10"/>
    </row>
    <row r="660" spans="1:27" ht="12.5" x14ac:dyDescent="0.25">
      <c r="A660" s="10" t="s">
        <v>109</v>
      </c>
      <c r="B660" s="10" t="s">
        <v>1098</v>
      </c>
      <c r="C660" s="10" t="s">
        <v>76</v>
      </c>
      <c r="D660" s="11">
        <v>2024</v>
      </c>
      <c r="E660" s="10" t="s">
        <v>124</v>
      </c>
      <c r="F660" s="10" t="s">
        <v>83</v>
      </c>
      <c r="G660" s="10" t="s">
        <v>84</v>
      </c>
      <c r="H660" s="12">
        <v>10543.916666666701</v>
      </c>
      <c r="I660" s="11">
        <v>270</v>
      </c>
      <c r="J660" s="11">
        <v>228</v>
      </c>
      <c r="K660" s="11">
        <v>8714</v>
      </c>
      <c r="L660" s="11">
        <v>2.56071826566662E-2</v>
      </c>
      <c r="M660" s="11">
        <f t="shared" si="2"/>
        <v>2.5607182656666083</v>
      </c>
      <c r="N660" s="11">
        <v>0.844444444444444</v>
      </c>
      <c r="O660" s="11">
        <v>0.82644810988958906</v>
      </c>
      <c r="P660" s="11">
        <v>0.298141891891892</v>
      </c>
      <c r="Q660" s="11">
        <v>0.38888888888888901</v>
      </c>
      <c r="R660" s="11">
        <v>0.230425055928412</v>
      </c>
      <c r="S660" s="10" t="s">
        <v>84</v>
      </c>
      <c r="T660" s="10" t="s">
        <v>84</v>
      </c>
      <c r="U660" s="10"/>
      <c r="V660" s="10"/>
      <c r="W660" s="10"/>
      <c r="X660" s="10"/>
      <c r="Y660" s="10"/>
      <c r="Z660" s="10"/>
      <c r="AA660" s="10"/>
    </row>
    <row r="661" spans="1:27" ht="12.5" x14ac:dyDescent="0.25">
      <c r="A661" s="10" t="s">
        <v>45</v>
      </c>
      <c r="B661" s="10" t="s">
        <v>1100</v>
      </c>
      <c r="C661" s="10" t="s">
        <v>76</v>
      </c>
      <c r="D661" s="11">
        <v>2024</v>
      </c>
      <c r="E661" s="10" t="s">
        <v>124</v>
      </c>
      <c r="F661" s="10" t="s">
        <v>83</v>
      </c>
      <c r="G661" s="10" t="s">
        <v>84</v>
      </c>
      <c r="H661" s="12">
        <v>14499</v>
      </c>
      <c r="I661" s="11">
        <v>371</v>
      </c>
      <c r="J661" s="11">
        <v>355</v>
      </c>
      <c r="K661" s="11">
        <v>3654</v>
      </c>
      <c r="L661" s="11">
        <v>2.55879715842472E-2</v>
      </c>
      <c r="M661" s="11">
        <f t="shared" si="2"/>
        <v>2.5587971584247189</v>
      </c>
      <c r="N661" s="11">
        <v>0.95687331536388098</v>
      </c>
      <c r="O661" s="11">
        <v>0.25201738050900102</v>
      </c>
      <c r="P661" s="11">
        <v>0.29729729729729698</v>
      </c>
      <c r="Q661" s="11">
        <v>0.4</v>
      </c>
      <c r="R661" s="11">
        <v>0.228187919463087</v>
      </c>
      <c r="S661" s="10" t="s">
        <v>84</v>
      </c>
      <c r="T661" s="10" t="s">
        <v>84</v>
      </c>
      <c r="U661" s="10"/>
      <c r="V661" s="10"/>
      <c r="W661" s="10"/>
      <c r="X661" s="10"/>
      <c r="Y661" s="10"/>
      <c r="Z661" s="10"/>
      <c r="AA661" s="10"/>
    </row>
    <row r="662" spans="1:27" ht="12.5" x14ac:dyDescent="0.25">
      <c r="A662" s="10" t="s">
        <v>118</v>
      </c>
      <c r="B662" s="10" t="s">
        <v>977</v>
      </c>
      <c r="C662" s="10" t="s">
        <v>76</v>
      </c>
      <c r="D662" s="11">
        <v>2024</v>
      </c>
      <c r="E662" s="10" t="s">
        <v>81</v>
      </c>
      <c r="F662" s="10" t="s">
        <v>83</v>
      </c>
      <c r="G662" s="10" t="s">
        <v>84</v>
      </c>
      <c r="H662" s="12">
        <v>24469.916666666701</v>
      </c>
      <c r="I662" s="11">
        <v>623</v>
      </c>
      <c r="J662" s="11">
        <v>572</v>
      </c>
      <c r="K662" s="11">
        <v>9884</v>
      </c>
      <c r="L662" s="11">
        <v>2.5459833332765702E-2</v>
      </c>
      <c r="M662" s="11">
        <f t="shared" si="2"/>
        <v>2.5459833332765709</v>
      </c>
      <c r="N662" s="11">
        <v>0.91813804173354696</v>
      </c>
      <c r="O662" s="11">
        <v>0.40392454680747403</v>
      </c>
      <c r="P662" s="11">
        <v>0.29645270270270302</v>
      </c>
      <c r="Q662" s="11">
        <v>0.35714285714285698</v>
      </c>
      <c r="R662" s="11">
        <v>0.346899224806202</v>
      </c>
      <c r="S662" s="10" t="s">
        <v>84</v>
      </c>
      <c r="T662" s="10" t="s">
        <v>84</v>
      </c>
      <c r="U662" s="10"/>
      <c r="V662" s="10"/>
      <c r="W662" s="10"/>
      <c r="X662" s="10"/>
      <c r="Y662" s="10"/>
      <c r="Z662" s="10"/>
      <c r="AA662" s="10"/>
    </row>
    <row r="663" spans="1:27" ht="12.5" x14ac:dyDescent="0.25">
      <c r="A663" s="10" t="s">
        <v>52</v>
      </c>
      <c r="B663" s="10" t="s">
        <v>991</v>
      </c>
      <c r="C663" s="10" t="s">
        <v>76</v>
      </c>
      <c r="D663" s="11">
        <v>2024</v>
      </c>
      <c r="E663" s="10" t="s">
        <v>81</v>
      </c>
      <c r="F663" s="10" t="s">
        <v>83</v>
      </c>
      <c r="G663" s="10" t="s">
        <v>84</v>
      </c>
      <c r="H663" s="12">
        <v>31121.333333333299</v>
      </c>
      <c r="I663" s="11">
        <v>791</v>
      </c>
      <c r="J663" s="11">
        <v>575</v>
      </c>
      <c r="K663" s="11">
        <v>12472</v>
      </c>
      <c r="L663" s="11">
        <v>2.5416648815389201E-2</v>
      </c>
      <c r="M663" s="11">
        <f t="shared" si="2"/>
        <v>2.5416648815389258</v>
      </c>
      <c r="N663" s="11">
        <v>0.72692793931732003</v>
      </c>
      <c r="O663" s="11">
        <v>0.40075403795895598</v>
      </c>
      <c r="P663" s="11">
        <v>0.295608108108108</v>
      </c>
      <c r="Q663" s="11">
        <v>0.19148936170212799</v>
      </c>
      <c r="R663" s="11">
        <v>0.34496124031007802</v>
      </c>
      <c r="S663" s="10" t="s">
        <v>84</v>
      </c>
      <c r="T663" s="10" t="s">
        <v>84</v>
      </c>
      <c r="U663" s="10"/>
      <c r="V663" s="10"/>
      <c r="W663" s="10"/>
      <c r="X663" s="10"/>
      <c r="Y663" s="10"/>
      <c r="Z663" s="10"/>
      <c r="AA663" s="10"/>
    </row>
    <row r="664" spans="1:27" ht="12.5" x14ac:dyDescent="0.25">
      <c r="A664" s="10" t="s">
        <v>86</v>
      </c>
      <c r="B664" s="10" t="s">
        <v>993</v>
      </c>
      <c r="C664" s="10" t="s">
        <v>76</v>
      </c>
      <c r="D664" s="11">
        <v>2024</v>
      </c>
      <c r="E664" s="10" t="s">
        <v>81</v>
      </c>
      <c r="F664" s="10" t="s">
        <v>83</v>
      </c>
      <c r="G664" s="10" t="s">
        <v>84</v>
      </c>
      <c r="H664" s="12">
        <v>43136.166666666701</v>
      </c>
      <c r="I664" s="11">
        <v>1096</v>
      </c>
      <c r="J664" s="11">
        <v>930</v>
      </c>
      <c r="K664" s="11">
        <v>42232</v>
      </c>
      <c r="L664" s="11">
        <v>2.5407913699641099E-2</v>
      </c>
      <c r="M664" s="11">
        <f t="shared" si="2"/>
        <v>2.5407913699641038</v>
      </c>
      <c r="N664" s="11">
        <v>0.84854014598540195</v>
      </c>
      <c r="O664" s="11">
        <v>0.97903924394456299</v>
      </c>
      <c r="P664" s="11">
        <v>0.29476351351351299</v>
      </c>
      <c r="Q664" s="11">
        <v>0.173913043478261</v>
      </c>
      <c r="R664" s="11">
        <v>0.34302325581395299</v>
      </c>
      <c r="S664" s="10" t="s">
        <v>84</v>
      </c>
      <c r="T664" s="10" t="s">
        <v>84</v>
      </c>
      <c r="U664" s="10"/>
      <c r="V664" s="10"/>
      <c r="W664" s="10"/>
      <c r="X664" s="10"/>
      <c r="Y664" s="10"/>
      <c r="Z664" s="10"/>
      <c r="AA664" s="10"/>
    </row>
    <row r="665" spans="1:27" ht="12.5" x14ac:dyDescent="0.25">
      <c r="A665" s="10" t="s">
        <v>49</v>
      </c>
      <c r="B665" s="10" t="s">
        <v>995</v>
      </c>
      <c r="C665" s="10" t="s">
        <v>76</v>
      </c>
      <c r="D665" s="11">
        <v>2024</v>
      </c>
      <c r="E665" s="10" t="s">
        <v>81</v>
      </c>
      <c r="F665" s="10" t="s">
        <v>83</v>
      </c>
      <c r="G665" s="10" t="s">
        <v>84</v>
      </c>
      <c r="H665" s="12">
        <v>35980.833333333299</v>
      </c>
      <c r="I665" s="11">
        <v>907</v>
      </c>
      <c r="J665" s="11">
        <v>756</v>
      </c>
      <c r="K665" s="11">
        <v>6691</v>
      </c>
      <c r="L665" s="11">
        <v>2.5207865298654399E-2</v>
      </c>
      <c r="M665" s="11">
        <f t="shared" si="2"/>
        <v>2.5207865298654397</v>
      </c>
      <c r="N665" s="11">
        <v>0.83351708930540203</v>
      </c>
      <c r="O665" s="11">
        <v>0.18596011765523299</v>
      </c>
      <c r="P665" s="11">
        <v>0.29391891891891903</v>
      </c>
      <c r="Q665" s="11">
        <v>0.38461538461538503</v>
      </c>
      <c r="R665" s="11">
        <v>0.34108527131782901</v>
      </c>
      <c r="S665" s="10" t="s">
        <v>84</v>
      </c>
      <c r="T665" s="10" t="s">
        <v>84</v>
      </c>
      <c r="U665" s="10"/>
      <c r="V665" s="10"/>
      <c r="W665" s="10"/>
      <c r="X665" s="10"/>
      <c r="Y665" s="10"/>
      <c r="Z665" s="10"/>
      <c r="AA665" s="10"/>
    </row>
    <row r="666" spans="1:27" ht="12.5" x14ac:dyDescent="0.25">
      <c r="A666" s="10" t="s">
        <v>29</v>
      </c>
      <c r="B666" s="10" t="s">
        <v>946</v>
      </c>
      <c r="C666" s="10" t="s">
        <v>76</v>
      </c>
      <c r="D666" s="11">
        <v>2024</v>
      </c>
      <c r="E666" s="10" t="s">
        <v>81</v>
      </c>
      <c r="F666" s="10" t="s">
        <v>83</v>
      </c>
      <c r="G666" s="10" t="s">
        <v>84</v>
      </c>
      <c r="H666" s="12">
        <v>21143.916666666701</v>
      </c>
      <c r="I666" s="11">
        <v>529</v>
      </c>
      <c r="J666" s="11">
        <v>274</v>
      </c>
      <c r="K666" s="11">
        <v>12076</v>
      </c>
      <c r="L666" s="11">
        <v>2.50190165019884E-2</v>
      </c>
      <c r="M666" s="11">
        <f t="shared" si="2"/>
        <v>2.5019016501988318</v>
      </c>
      <c r="N666" s="11">
        <v>0.51795841209829896</v>
      </c>
      <c r="O666" s="11">
        <v>0.57113354116826398</v>
      </c>
      <c r="P666" s="11">
        <v>0.29307432432432401</v>
      </c>
      <c r="Q666" s="11">
        <v>0.183673469387755</v>
      </c>
      <c r="R666" s="11">
        <v>0.33914728682170497</v>
      </c>
      <c r="S666" s="10" t="s">
        <v>84</v>
      </c>
      <c r="T666" s="10" t="s">
        <v>84</v>
      </c>
      <c r="U666" s="10"/>
      <c r="V666" s="10"/>
      <c r="W666" s="10"/>
      <c r="X666" s="10"/>
      <c r="Y666" s="10"/>
      <c r="Z666" s="10"/>
      <c r="AA666" s="10"/>
    </row>
    <row r="667" spans="1:27" ht="12.5" x14ac:dyDescent="0.25">
      <c r="A667" s="10" t="s">
        <v>36</v>
      </c>
      <c r="B667" s="10" t="s">
        <v>999</v>
      </c>
      <c r="C667" s="10" t="s">
        <v>76</v>
      </c>
      <c r="D667" s="11">
        <v>2024</v>
      </c>
      <c r="E667" s="10" t="s">
        <v>81</v>
      </c>
      <c r="F667" s="10" t="s">
        <v>83</v>
      </c>
      <c r="G667" s="10" t="s">
        <v>84</v>
      </c>
      <c r="H667" s="12">
        <v>55075.333333333299</v>
      </c>
      <c r="I667" s="11">
        <v>1375</v>
      </c>
      <c r="J667" s="11">
        <v>334</v>
      </c>
      <c r="K667" s="11">
        <v>46099</v>
      </c>
      <c r="L667" s="11">
        <v>2.4965804413348999E-2</v>
      </c>
      <c r="M667" s="11">
        <f t="shared" si="2"/>
        <v>2.4965804413349004</v>
      </c>
      <c r="N667" s="11">
        <v>0.24290909090909099</v>
      </c>
      <c r="O667" s="11">
        <v>0.83701717647343599</v>
      </c>
      <c r="P667" s="11">
        <v>0.29138513513513498</v>
      </c>
      <c r="Q667" s="11">
        <v>0.19148936170212799</v>
      </c>
      <c r="R667" s="11">
        <v>0.337209302325581</v>
      </c>
      <c r="S667" s="10" t="s">
        <v>84</v>
      </c>
      <c r="T667" s="10" t="s">
        <v>84</v>
      </c>
      <c r="U667" s="10"/>
      <c r="V667" s="10"/>
      <c r="W667" s="10"/>
      <c r="X667" s="10"/>
      <c r="Y667" s="10"/>
      <c r="Z667" s="10"/>
      <c r="AA667" s="10"/>
    </row>
    <row r="668" spans="1:27" ht="12.5" x14ac:dyDescent="0.25">
      <c r="A668" s="10" t="s">
        <v>12</v>
      </c>
      <c r="B668" s="10" t="s">
        <v>1002</v>
      </c>
      <c r="C668" s="10" t="s">
        <v>76</v>
      </c>
      <c r="D668" s="11">
        <v>2024</v>
      </c>
      <c r="E668" s="10" t="s">
        <v>81</v>
      </c>
      <c r="F668" s="10" t="s">
        <v>83</v>
      </c>
      <c r="G668" s="10" t="s">
        <v>84</v>
      </c>
      <c r="H668" s="12">
        <v>18721.833333333299</v>
      </c>
      <c r="I668" s="11">
        <v>465</v>
      </c>
      <c r="J668" s="11">
        <v>351</v>
      </c>
      <c r="K668" s="11">
        <v>6648</v>
      </c>
      <c r="L668" s="11">
        <v>2.4837311160765999E-2</v>
      </c>
      <c r="M668" s="11">
        <f t="shared" si="2"/>
        <v>2.4837311160765996</v>
      </c>
      <c r="N668" s="11">
        <v>0.75483870967741895</v>
      </c>
      <c r="O668" s="11">
        <v>0.35509342924037002</v>
      </c>
      <c r="P668" s="11">
        <v>0.289695945945946</v>
      </c>
      <c r="Q668" s="11">
        <v>0.180555555555556</v>
      </c>
      <c r="R668" s="11">
        <v>0.33527131782945702</v>
      </c>
      <c r="S668" s="10" t="s">
        <v>84</v>
      </c>
      <c r="T668" s="10" t="s">
        <v>84</v>
      </c>
      <c r="U668" s="10"/>
      <c r="V668" s="10"/>
      <c r="W668" s="10"/>
      <c r="X668" s="10"/>
      <c r="Y668" s="10"/>
      <c r="Z668" s="10"/>
      <c r="AA668" s="10"/>
    </row>
    <row r="669" spans="1:27" ht="12.5" x14ac:dyDescent="0.25">
      <c r="A669" s="10" t="s">
        <v>29</v>
      </c>
      <c r="B669" s="10" t="s">
        <v>1003</v>
      </c>
      <c r="C669" s="10" t="s">
        <v>76</v>
      </c>
      <c r="D669" s="11">
        <v>2024</v>
      </c>
      <c r="E669" s="10" t="s">
        <v>81</v>
      </c>
      <c r="F669" s="10" t="s">
        <v>83</v>
      </c>
      <c r="G669" s="10" t="s">
        <v>84</v>
      </c>
      <c r="H669" s="12">
        <v>2778.0833333333298</v>
      </c>
      <c r="I669" s="11">
        <v>69</v>
      </c>
      <c r="J669" s="11">
        <v>58</v>
      </c>
      <c r="K669" s="11">
        <v>4467</v>
      </c>
      <c r="L669" s="11">
        <v>2.48372679005309E-2</v>
      </c>
      <c r="M669" s="11">
        <f t="shared" si="2"/>
        <v>2.483726790053097</v>
      </c>
      <c r="N669" s="11">
        <v>0.84057971014492705</v>
      </c>
      <c r="O669" s="11">
        <v>1.6079431262561099</v>
      </c>
      <c r="P669" s="11">
        <v>0.28885135135135098</v>
      </c>
      <c r="Q669" s="11">
        <v>0.16326530612244899</v>
      </c>
      <c r="R669" s="11">
        <v>0.33333333333333298</v>
      </c>
      <c r="S669" s="10" t="s">
        <v>84</v>
      </c>
      <c r="T669" s="10" t="s">
        <v>84</v>
      </c>
      <c r="U669" s="10"/>
      <c r="V669" s="10"/>
      <c r="W669" s="10"/>
      <c r="X669" s="10"/>
      <c r="Y669" s="10"/>
      <c r="Z669" s="10"/>
      <c r="AA669" s="10"/>
    </row>
    <row r="670" spans="1:27" ht="12.5" x14ac:dyDescent="0.25">
      <c r="A670" s="10" t="s">
        <v>42</v>
      </c>
      <c r="B670" s="10" t="s">
        <v>1005</v>
      </c>
      <c r="C670" s="10" t="s">
        <v>76</v>
      </c>
      <c r="D670" s="11">
        <v>2024</v>
      </c>
      <c r="E670" s="10" t="s">
        <v>81</v>
      </c>
      <c r="F670" s="10" t="s">
        <v>83</v>
      </c>
      <c r="G670" s="10" t="s">
        <v>84</v>
      </c>
      <c r="H670" s="12">
        <v>18791.916666666701</v>
      </c>
      <c r="I670" s="11">
        <v>466</v>
      </c>
      <c r="J670" s="11">
        <v>355</v>
      </c>
      <c r="K670" s="11">
        <v>1723</v>
      </c>
      <c r="L670" s="11">
        <v>2.4797896258586399E-2</v>
      </c>
      <c r="M670" s="11">
        <f t="shared" si="2"/>
        <v>2.4797896258586314</v>
      </c>
      <c r="N670" s="11">
        <v>0.76180257510729599</v>
      </c>
      <c r="O670" s="11">
        <v>9.1688358913185206E-2</v>
      </c>
      <c r="P670" s="11">
        <v>0.28800675675675702</v>
      </c>
      <c r="Q670" s="11">
        <v>0.238095238095238</v>
      </c>
      <c r="R670" s="11">
        <v>0.331395348837209</v>
      </c>
      <c r="S670" s="10" t="s">
        <v>84</v>
      </c>
      <c r="T670" s="10" t="s">
        <v>84</v>
      </c>
      <c r="U670" s="10"/>
      <c r="V670" s="10"/>
      <c r="W670" s="10"/>
      <c r="X670" s="10"/>
      <c r="Y670" s="10"/>
      <c r="Z670" s="10"/>
      <c r="AA670" s="10"/>
    </row>
    <row r="671" spans="1:27" ht="12.5" x14ac:dyDescent="0.25">
      <c r="A671" s="10" t="s">
        <v>91</v>
      </c>
      <c r="B671" s="10" t="s">
        <v>1007</v>
      </c>
      <c r="C671" s="10" t="s">
        <v>76</v>
      </c>
      <c r="D671" s="11">
        <v>2024</v>
      </c>
      <c r="E671" s="10" t="s">
        <v>81</v>
      </c>
      <c r="F671" s="10" t="s">
        <v>83</v>
      </c>
      <c r="G671" s="10" t="s">
        <v>84</v>
      </c>
      <c r="H671" s="12">
        <v>5721.1666666666697</v>
      </c>
      <c r="I671" s="11">
        <v>141</v>
      </c>
      <c r="J671" s="11">
        <v>141</v>
      </c>
      <c r="K671" s="11">
        <v>582</v>
      </c>
      <c r="L671" s="11">
        <v>2.4645322923646101E-2</v>
      </c>
      <c r="M671" s="11">
        <f t="shared" si="2"/>
        <v>2.4645322923646096</v>
      </c>
      <c r="N671" s="11">
        <v>1</v>
      </c>
      <c r="O671" s="11">
        <v>0.101727503131646</v>
      </c>
      <c r="P671" s="11">
        <v>0.287162162162162</v>
      </c>
      <c r="Q671" s="11">
        <v>0.4</v>
      </c>
      <c r="R671" s="11">
        <v>0.32945736434108502</v>
      </c>
      <c r="S671" s="10" t="s">
        <v>84</v>
      </c>
      <c r="T671" s="10" t="s">
        <v>84</v>
      </c>
      <c r="U671" s="10"/>
      <c r="V671" s="10"/>
      <c r="W671" s="10"/>
      <c r="X671" s="10"/>
      <c r="Y671" s="10"/>
      <c r="Z671" s="10"/>
      <c r="AA671" s="10"/>
    </row>
    <row r="672" spans="1:27" ht="12.5" x14ac:dyDescent="0.25">
      <c r="A672" s="10" t="s">
        <v>36</v>
      </c>
      <c r="B672" s="10" t="s">
        <v>1009</v>
      </c>
      <c r="C672" s="10" t="s">
        <v>76</v>
      </c>
      <c r="D672" s="11">
        <v>2024</v>
      </c>
      <c r="E672" s="10" t="s">
        <v>81</v>
      </c>
      <c r="F672" s="10" t="s">
        <v>83</v>
      </c>
      <c r="G672" s="10" t="s">
        <v>84</v>
      </c>
      <c r="H672" s="12">
        <v>21965.333333333299</v>
      </c>
      <c r="I672" s="11">
        <v>539</v>
      </c>
      <c r="J672" s="11">
        <v>148</v>
      </c>
      <c r="K672" s="11">
        <v>42390</v>
      </c>
      <c r="L672" s="11">
        <v>2.4538666990409099E-2</v>
      </c>
      <c r="M672" s="11">
        <f t="shared" si="2"/>
        <v>2.4538666990409168</v>
      </c>
      <c r="N672" s="11">
        <v>0.27458256029684602</v>
      </c>
      <c r="O672" s="11">
        <v>1.92985917202865</v>
      </c>
      <c r="P672" s="11">
        <v>0.28631756756756799</v>
      </c>
      <c r="Q672" s="11">
        <v>0.170212765957447</v>
      </c>
      <c r="R672" s="11">
        <v>0.32751937984496099</v>
      </c>
      <c r="S672" s="10" t="s">
        <v>84</v>
      </c>
      <c r="T672" s="10" t="s">
        <v>84</v>
      </c>
      <c r="U672" s="10"/>
      <c r="V672" s="10"/>
      <c r="W672" s="10"/>
      <c r="X672" s="10"/>
      <c r="Y672" s="10"/>
      <c r="Z672" s="10"/>
      <c r="AA672" s="10"/>
    </row>
    <row r="673" spans="1:27" ht="12.5" x14ac:dyDescent="0.25">
      <c r="A673" s="10" t="s">
        <v>82</v>
      </c>
      <c r="B673" s="10" t="s">
        <v>1103</v>
      </c>
      <c r="C673" s="10" t="s">
        <v>76</v>
      </c>
      <c r="D673" s="11">
        <v>2024</v>
      </c>
      <c r="E673" s="10" t="s">
        <v>124</v>
      </c>
      <c r="F673" s="10" t="s">
        <v>83</v>
      </c>
      <c r="G673" s="10" t="s">
        <v>84</v>
      </c>
      <c r="H673" s="12">
        <v>4772.3333333333303</v>
      </c>
      <c r="I673" s="11">
        <v>116</v>
      </c>
      <c r="J673" s="11">
        <v>95</v>
      </c>
      <c r="K673" s="11">
        <v>9968</v>
      </c>
      <c r="L673" s="11">
        <v>2.43067681776909E-2</v>
      </c>
      <c r="M673" s="11">
        <f t="shared" si="2"/>
        <v>2.4306768177690872</v>
      </c>
      <c r="N673" s="11">
        <v>0.818965517241379</v>
      </c>
      <c r="O673" s="11">
        <v>2.0887057344415698</v>
      </c>
      <c r="P673" s="11">
        <v>0.28462837837837801</v>
      </c>
      <c r="Q673" s="11">
        <v>0.5</v>
      </c>
      <c r="R673" s="11">
        <v>0.225950782997763</v>
      </c>
      <c r="S673" s="10" t="s">
        <v>84</v>
      </c>
      <c r="T673" s="10" t="s">
        <v>84</v>
      </c>
      <c r="U673" s="10"/>
      <c r="V673" s="10"/>
      <c r="W673" s="10"/>
      <c r="X673" s="10"/>
      <c r="Y673" s="10"/>
      <c r="Z673" s="10"/>
      <c r="AA673" s="10"/>
    </row>
    <row r="674" spans="1:27" ht="12.5" x14ac:dyDescent="0.25">
      <c r="A674" s="10" t="s">
        <v>40</v>
      </c>
      <c r="B674" s="10" t="s">
        <v>1105</v>
      </c>
      <c r="C674" s="10" t="s">
        <v>76</v>
      </c>
      <c r="D674" s="11">
        <v>2024</v>
      </c>
      <c r="E674" s="10" t="s">
        <v>124</v>
      </c>
      <c r="F674" s="10" t="s">
        <v>83</v>
      </c>
      <c r="G674" s="10" t="s">
        <v>84</v>
      </c>
      <c r="H674" s="12">
        <v>13439.583333333299</v>
      </c>
      <c r="I674" s="11">
        <v>324</v>
      </c>
      <c r="J674" s="11">
        <v>314</v>
      </c>
      <c r="K674" s="11">
        <v>9999</v>
      </c>
      <c r="L674" s="11">
        <v>2.4107890249573698E-2</v>
      </c>
      <c r="M674" s="11">
        <f t="shared" si="2"/>
        <v>2.4107890249573769</v>
      </c>
      <c r="N674" s="11">
        <v>0.969135802469136</v>
      </c>
      <c r="O674" s="11">
        <v>0.74399627964656601</v>
      </c>
      <c r="P674" s="11">
        <v>0.28378378378378399</v>
      </c>
      <c r="Q674" s="11">
        <v>0.25</v>
      </c>
      <c r="R674" s="11">
        <v>0.223713646532438</v>
      </c>
      <c r="S674" s="10" t="s">
        <v>84</v>
      </c>
      <c r="T674" s="10" t="s">
        <v>84</v>
      </c>
      <c r="U674" s="10"/>
      <c r="V674" s="10"/>
      <c r="W674" s="10"/>
      <c r="X674" s="10"/>
      <c r="Y674" s="10"/>
      <c r="Z674" s="10"/>
      <c r="AA674" s="10"/>
    </row>
    <row r="675" spans="1:27" ht="12.5" x14ac:dyDescent="0.25">
      <c r="A675" s="10" t="s">
        <v>86</v>
      </c>
      <c r="B675" s="10" t="s">
        <v>1107</v>
      </c>
      <c r="C675" s="10" t="s">
        <v>76</v>
      </c>
      <c r="D675" s="11">
        <v>2024</v>
      </c>
      <c r="E675" s="10" t="s">
        <v>124</v>
      </c>
      <c r="F675" s="10" t="s">
        <v>83</v>
      </c>
      <c r="G675" s="10" t="s">
        <v>84</v>
      </c>
      <c r="H675" s="12">
        <v>5565.1666666666697</v>
      </c>
      <c r="I675" s="11">
        <v>134</v>
      </c>
      <c r="J675" s="11">
        <v>16</v>
      </c>
      <c r="K675" s="11">
        <v>13960</v>
      </c>
      <c r="L675" s="11">
        <v>2.4078344464077101E-2</v>
      </c>
      <c r="M675" s="11">
        <f t="shared" si="2"/>
        <v>2.4078344464077133</v>
      </c>
      <c r="N675" s="11">
        <v>0.119402985074627</v>
      </c>
      <c r="O675" s="11">
        <v>2.5084603635710199</v>
      </c>
      <c r="P675" s="11">
        <v>0.28293918918918898</v>
      </c>
      <c r="Q675" s="11">
        <v>0.15217391304347799</v>
      </c>
      <c r="R675" s="11">
        <v>0.221476510067114</v>
      </c>
      <c r="S675" s="10" t="s">
        <v>84</v>
      </c>
      <c r="T675" s="10" t="s">
        <v>84</v>
      </c>
      <c r="U675" s="10"/>
      <c r="V675" s="10"/>
      <c r="W675" s="10"/>
      <c r="X675" s="10"/>
      <c r="Y675" s="10"/>
      <c r="Z675" s="10"/>
      <c r="AA675" s="10"/>
    </row>
    <row r="676" spans="1:27" ht="12.5" x14ac:dyDescent="0.25">
      <c r="A676" s="10" t="s">
        <v>104</v>
      </c>
      <c r="B676" s="10" t="s">
        <v>1011</v>
      </c>
      <c r="C676" s="10" t="s">
        <v>76</v>
      </c>
      <c r="D676" s="11">
        <v>2024</v>
      </c>
      <c r="E676" s="10" t="s">
        <v>81</v>
      </c>
      <c r="F676" s="10" t="s">
        <v>83</v>
      </c>
      <c r="G676" s="10" t="s">
        <v>84</v>
      </c>
      <c r="H676" s="12">
        <v>39776.833333333299</v>
      </c>
      <c r="I676" s="11">
        <v>950</v>
      </c>
      <c r="J676" s="11">
        <v>780</v>
      </c>
      <c r="K676" s="11">
        <v>7160</v>
      </c>
      <c r="L676" s="11">
        <v>2.38832486246182E-2</v>
      </c>
      <c r="M676" s="11">
        <f t="shared" si="2"/>
        <v>2.3883248624618205</v>
      </c>
      <c r="N676" s="11">
        <v>0.82105263157894703</v>
      </c>
      <c r="O676" s="11">
        <v>0.180004273844491</v>
      </c>
      <c r="P676" s="11">
        <v>0.28125</v>
      </c>
      <c r="Q676" s="11">
        <v>0.20689655172413801</v>
      </c>
      <c r="R676" s="11">
        <v>0.32558139534883701</v>
      </c>
      <c r="S676" s="10" t="s">
        <v>84</v>
      </c>
      <c r="T676" s="10" t="s">
        <v>84</v>
      </c>
      <c r="U676" s="10"/>
      <c r="V676" s="10"/>
      <c r="W676" s="10"/>
      <c r="X676" s="10"/>
      <c r="Y676" s="10"/>
      <c r="Z676" s="10"/>
      <c r="AA676" s="10"/>
    </row>
    <row r="677" spans="1:27" ht="12.5" x14ac:dyDescent="0.25">
      <c r="A677" s="10" t="s">
        <v>42</v>
      </c>
      <c r="B677" s="10" t="s">
        <v>1013</v>
      </c>
      <c r="C677" s="10" t="s">
        <v>76</v>
      </c>
      <c r="D677" s="11">
        <v>2024</v>
      </c>
      <c r="E677" s="10" t="s">
        <v>81</v>
      </c>
      <c r="F677" s="10" t="s">
        <v>83</v>
      </c>
      <c r="G677" s="10" t="s">
        <v>84</v>
      </c>
      <c r="H677" s="12">
        <v>11427.333333333299</v>
      </c>
      <c r="I677" s="11">
        <v>272</v>
      </c>
      <c r="J677" s="11">
        <v>225</v>
      </c>
      <c r="K677" s="11">
        <v>3822</v>
      </c>
      <c r="L677" s="11">
        <v>2.3802578612682999E-2</v>
      </c>
      <c r="M677" s="11">
        <f t="shared" si="2"/>
        <v>2.3802578612683112</v>
      </c>
      <c r="N677" s="11">
        <v>0.82720588235294101</v>
      </c>
      <c r="O677" s="11">
        <v>0.334461233300274</v>
      </c>
      <c r="P677" s="11">
        <v>0.28040540540540498</v>
      </c>
      <c r="Q677" s="11">
        <v>0.214285714285714</v>
      </c>
      <c r="R677" s="11">
        <v>0.32364341085271298</v>
      </c>
      <c r="S677" s="10" t="s">
        <v>84</v>
      </c>
      <c r="T677" s="10" t="s">
        <v>84</v>
      </c>
      <c r="U677" s="10"/>
      <c r="V677" s="10"/>
      <c r="W677" s="10"/>
      <c r="X677" s="10"/>
      <c r="Y677" s="10"/>
      <c r="Z677" s="10"/>
      <c r="AA677" s="10"/>
    </row>
    <row r="678" spans="1:27" ht="12.5" x14ac:dyDescent="0.25">
      <c r="A678" s="10" t="s">
        <v>53</v>
      </c>
      <c r="B678" s="10" t="s">
        <v>1109</v>
      </c>
      <c r="C678" s="10" t="s">
        <v>76</v>
      </c>
      <c r="D678" s="11">
        <v>2024</v>
      </c>
      <c r="E678" s="10" t="s">
        <v>124</v>
      </c>
      <c r="F678" s="10" t="s">
        <v>125</v>
      </c>
      <c r="G678" s="10" t="s">
        <v>84</v>
      </c>
      <c r="H678" s="12">
        <v>380.41666666666703</v>
      </c>
      <c r="I678" s="11">
        <v>9</v>
      </c>
      <c r="J678" s="11">
        <v>6</v>
      </c>
      <c r="K678" s="11">
        <v>754</v>
      </c>
      <c r="L678" s="11">
        <v>2.3658269441402001E-2</v>
      </c>
      <c r="M678" s="11">
        <f t="shared" si="2"/>
        <v>2.3658269441401947</v>
      </c>
      <c r="N678" s="11">
        <v>0.66666666666666696</v>
      </c>
      <c r="O678" s="11">
        <v>1.9820372398685699</v>
      </c>
      <c r="P678" s="11">
        <v>0.27956081081081102</v>
      </c>
      <c r="Q678" s="11">
        <v>0.82499999999999996</v>
      </c>
      <c r="R678" s="11">
        <v>0.21923937360178999</v>
      </c>
      <c r="S678" s="10" t="s">
        <v>84</v>
      </c>
      <c r="T678" s="10" t="s">
        <v>84</v>
      </c>
      <c r="U678" s="10"/>
      <c r="V678" s="10"/>
      <c r="W678" s="10"/>
      <c r="X678" s="10"/>
      <c r="Y678" s="10"/>
      <c r="Z678" s="10"/>
      <c r="AA678" s="10"/>
    </row>
    <row r="679" spans="1:27" ht="12.5" x14ac:dyDescent="0.25">
      <c r="A679" s="10" t="s">
        <v>52</v>
      </c>
      <c r="B679" s="10" t="s">
        <v>1015</v>
      </c>
      <c r="C679" s="10" t="s">
        <v>76</v>
      </c>
      <c r="D679" s="11">
        <v>2024</v>
      </c>
      <c r="E679" s="10" t="s">
        <v>81</v>
      </c>
      <c r="F679" s="10" t="s">
        <v>83</v>
      </c>
      <c r="G679" s="10" t="s">
        <v>84</v>
      </c>
      <c r="H679" s="12">
        <v>35290</v>
      </c>
      <c r="I679" s="11">
        <v>821</v>
      </c>
      <c r="J679" s="11">
        <v>711</v>
      </c>
      <c r="K679" s="11">
        <v>13061</v>
      </c>
      <c r="L679" s="11">
        <v>2.3264380844431901E-2</v>
      </c>
      <c r="M679" s="11">
        <f t="shared" si="2"/>
        <v>2.3264380844431853</v>
      </c>
      <c r="N679" s="11">
        <v>0.86601705237515203</v>
      </c>
      <c r="O679" s="11">
        <v>0.37010484556531598</v>
      </c>
      <c r="P679" s="11">
        <v>0.27702702702702697</v>
      </c>
      <c r="Q679" s="11">
        <v>0.170212765957447</v>
      </c>
      <c r="R679" s="11">
        <v>0.321705426356589</v>
      </c>
      <c r="S679" s="10" t="s">
        <v>84</v>
      </c>
      <c r="T679" s="10" t="s">
        <v>84</v>
      </c>
      <c r="U679" s="10"/>
      <c r="V679" s="10"/>
      <c r="W679" s="10"/>
      <c r="X679" s="10"/>
      <c r="Y679" s="10"/>
      <c r="Z679" s="10"/>
      <c r="AA679" s="10"/>
    </row>
    <row r="680" spans="1:27" ht="12.5" x14ac:dyDescent="0.25">
      <c r="A680" s="10" t="s">
        <v>77</v>
      </c>
      <c r="B680" s="10" t="s">
        <v>1017</v>
      </c>
      <c r="C680" s="10" t="s">
        <v>76</v>
      </c>
      <c r="D680" s="11">
        <v>2024</v>
      </c>
      <c r="E680" s="10" t="s">
        <v>81</v>
      </c>
      <c r="F680" s="10" t="s">
        <v>83</v>
      </c>
      <c r="G680" s="10" t="s">
        <v>84</v>
      </c>
      <c r="H680" s="12">
        <v>22709.166666666701</v>
      </c>
      <c r="I680" s="11">
        <v>528</v>
      </c>
      <c r="J680" s="11">
        <v>352</v>
      </c>
      <c r="K680" s="11">
        <v>3677</v>
      </c>
      <c r="L680" s="11">
        <v>2.3250522916590199E-2</v>
      </c>
      <c r="M680" s="11">
        <f t="shared" si="2"/>
        <v>2.3250522916590182</v>
      </c>
      <c r="N680" s="11">
        <v>0.66666666666666696</v>
      </c>
      <c r="O680" s="11">
        <v>0.16191699387178499</v>
      </c>
      <c r="P680" s="11">
        <v>0.27618243243243201</v>
      </c>
      <c r="Q680" s="11">
        <v>0.214285714285714</v>
      </c>
      <c r="R680" s="11">
        <v>0.31976744186046502</v>
      </c>
      <c r="S680" s="10" t="s">
        <v>84</v>
      </c>
      <c r="T680" s="10" t="s">
        <v>84</v>
      </c>
      <c r="U680" s="10"/>
      <c r="V680" s="10"/>
      <c r="W680" s="10"/>
      <c r="X680" s="10"/>
      <c r="Y680" s="10"/>
      <c r="Z680" s="10"/>
      <c r="AA680" s="10"/>
    </row>
    <row r="681" spans="1:27" ht="12.5" x14ac:dyDescent="0.25">
      <c r="A681" s="10" t="s">
        <v>88</v>
      </c>
      <c r="B681" s="10" t="s">
        <v>1019</v>
      </c>
      <c r="C681" s="10" t="s">
        <v>76</v>
      </c>
      <c r="D681" s="11">
        <v>2024</v>
      </c>
      <c r="E681" s="10" t="s">
        <v>81</v>
      </c>
      <c r="F681" s="10" t="s">
        <v>83</v>
      </c>
      <c r="G681" s="10" t="s">
        <v>84</v>
      </c>
      <c r="H681" s="12">
        <v>35601.416666666701</v>
      </c>
      <c r="I681" s="11">
        <v>827</v>
      </c>
      <c r="J681" s="11">
        <v>634</v>
      </c>
      <c r="K681" s="11">
        <v>51817</v>
      </c>
      <c r="L681" s="11">
        <v>2.3229412687229199E-2</v>
      </c>
      <c r="M681" s="11">
        <f t="shared" si="2"/>
        <v>2.3229412687229183</v>
      </c>
      <c r="N681" s="11">
        <v>0.76662636033857301</v>
      </c>
      <c r="O681" s="11">
        <v>1.4554757886507299</v>
      </c>
      <c r="P681" s="11">
        <v>0.275337837837838</v>
      </c>
      <c r="Q681" s="11">
        <v>0.66666666666666696</v>
      </c>
      <c r="R681" s="11">
        <v>0.31782945736434098</v>
      </c>
      <c r="S681" s="10" t="s">
        <v>84</v>
      </c>
      <c r="T681" s="10" t="s">
        <v>84</v>
      </c>
      <c r="U681" s="10"/>
      <c r="V681" s="10"/>
      <c r="W681" s="10"/>
      <c r="X681" s="10"/>
      <c r="Y681" s="10"/>
      <c r="Z681" s="10"/>
      <c r="AA681" s="10"/>
    </row>
    <row r="682" spans="1:27" ht="12.5" x14ac:dyDescent="0.25">
      <c r="A682" s="10" t="s">
        <v>86</v>
      </c>
      <c r="B682" s="10" t="s">
        <v>1003</v>
      </c>
      <c r="C682" s="10" t="s">
        <v>76</v>
      </c>
      <c r="D682" s="11">
        <v>2024</v>
      </c>
      <c r="E682" s="10" t="s">
        <v>81</v>
      </c>
      <c r="F682" s="10" t="s">
        <v>83</v>
      </c>
      <c r="G682" s="10" t="s">
        <v>84</v>
      </c>
      <c r="H682" s="12">
        <v>1553.4166666666699</v>
      </c>
      <c r="I682" s="11">
        <v>36</v>
      </c>
      <c r="J682" s="11">
        <v>28</v>
      </c>
      <c r="K682" s="11">
        <v>2905</v>
      </c>
      <c r="L682" s="11">
        <v>2.3174722386138099E-2</v>
      </c>
      <c r="M682" s="11">
        <f t="shared" si="2"/>
        <v>2.3174722386138034</v>
      </c>
      <c r="N682" s="11">
        <v>0.77777777777777801</v>
      </c>
      <c r="O682" s="11">
        <v>1.87007134810364</v>
      </c>
      <c r="P682" s="11">
        <v>0.27449324324324298</v>
      </c>
      <c r="Q682" s="11">
        <v>0.13043478260869601</v>
      </c>
      <c r="R682" s="11">
        <v>0.315891472868217</v>
      </c>
      <c r="S682" s="10" t="s">
        <v>84</v>
      </c>
      <c r="T682" s="10" t="s">
        <v>84</v>
      </c>
      <c r="U682" s="10"/>
      <c r="V682" s="10"/>
      <c r="W682" s="10"/>
      <c r="X682" s="10"/>
      <c r="Y682" s="10"/>
      <c r="Z682" s="10"/>
      <c r="AA682" s="10"/>
    </row>
    <row r="683" spans="1:27" ht="12.5" x14ac:dyDescent="0.25">
      <c r="A683" s="10" t="s">
        <v>32</v>
      </c>
      <c r="B683" s="10" t="s">
        <v>1022</v>
      </c>
      <c r="C683" s="10" t="s">
        <v>76</v>
      </c>
      <c r="D683" s="11">
        <v>2024</v>
      </c>
      <c r="E683" s="10" t="s">
        <v>81</v>
      </c>
      <c r="F683" s="10" t="s">
        <v>83</v>
      </c>
      <c r="G683" s="10" t="s">
        <v>84</v>
      </c>
      <c r="H683" s="12">
        <v>17642.5</v>
      </c>
      <c r="I683" s="11">
        <v>403</v>
      </c>
      <c r="J683" s="11">
        <v>114</v>
      </c>
      <c r="K683" s="11">
        <v>61191</v>
      </c>
      <c r="L683" s="11">
        <v>2.2842567663312999E-2</v>
      </c>
      <c r="M683" s="11">
        <f t="shared" si="2"/>
        <v>2.2842567663313025</v>
      </c>
      <c r="N683" s="11">
        <v>0.28287841191066998</v>
      </c>
      <c r="O683" s="11">
        <v>3.46838599971659</v>
      </c>
      <c r="P683" s="11">
        <v>0.27195945945945998</v>
      </c>
      <c r="Q683" s="11">
        <v>0.10344827586206901</v>
      </c>
      <c r="R683" s="11">
        <v>0.31395348837209303</v>
      </c>
      <c r="S683" s="10" t="s">
        <v>84</v>
      </c>
      <c r="T683" s="10" t="s">
        <v>84</v>
      </c>
      <c r="U683" s="10"/>
      <c r="V683" s="10"/>
      <c r="W683" s="10"/>
      <c r="X683" s="10"/>
      <c r="Y683" s="10"/>
      <c r="Z683" s="10"/>
      <c r="AA683" s="10"/>
    </row>
    <row r="684" spans="1:27" ht="12.5" x14ac:dyDescent="0.25">
      <c r="A684" s="10" t="s">
        <v>19</v>
      </c>
      <c r="B684" s="10" t="s">
        <v>1025</v>
      </c>
      <c r="C684" s="10" t="s">
        <v>76</v>
      </c>
      <c r="D684" s="11">
        <v>2024</v>
      </c>
      <c r="E684" s="10" t="s">
        <v>81</v>
      </c>
      <c r="F684" s="10" t="s">
        <v>83</v>
      </c>
      <c r="G684" s="10" t="s">
        <v>84</v>
      </c>
      <c r="H684" s="12">
        <v>54278.833333333299</v>
      </c>
      <c r="I684" s="11">
        <v>1220</v>
      </c>
      <c r="J684" s="11">
        <v>232</v>
      </c>
      <c r="K684" s="11">
        <v>138391</v>
      </c>
      <c r="L684" s="11">
        <v>2.2476533209691899E-2</v>
      </c>
      <c r="M684" s="11">
        <f t="shared" si="2"/>
        <v>2.2476533209691945</v>
      </c>
      <c r="N684" s="11">
        <v>0.19016393442623</v>
      </c>
      <c r="O684" s="11">
        <v>2.5496310716577701</v>
      </c>
      <c r="P684" s="11">
        <v>0.26858108108108097</v>
      </c>
      <c r="Q684" s="11">
        <v>0</v>
      </c>
      <c r="R684" s="11">
        <v>0.31201550387596899</v>
      </c>
      <c r="S684" s="10" t="s">
        <v>84</v>
      </c>
      <c r="T684" s="10" t="s">
        <v>84</v>
      </c>
      <c r="U684" s="10"/>
      <c r="V684" s="10"/>
      <c r="W684" s="10"/>
      <c r="X684" s="10"/>
      <c r="Y684" s="10"/>
      <c r="Z684" s="10"/>
      <c r="AA684" s="10"/>
    </row>
    <row r="685" spans="1:27" ht="12.5" x14ac:dyDescent="0.25">
      <c r="A685" s="10" t="s">
        <v>12</v>
      </c>
      <c r="B685" s="10" t="s">
        <v>865</v>
      </c>
      <c r="C685" s="10" t="s">
        <v>76</v>
      </c>
      <c r="D685" s="11">
        <v>2024</v>
      </c>
      <c r="E685" s="10" t="s">
        <v>81</v>
      </c>
      <c r="F685" s="10" t="s">
        <v>83</v>
      </c>
      <c r="G685" s="10" t="s">
        <v>84</v>
      </c>
      <c r="H685" s="12">
        <v>9419.4166666666697</v>
      </c>
      <c r="I685" s="11">
        <v>211</v>
      </c>
      <c r="J685" s="11">
        <v>121</v>
      </c>
      <c r="K685" s="11">
        <v>20257</v>
      </c>
      <c r="L685" s="11">
        <v>2.24005378960127E-2</v>
      </c>
      <c r="M685" s="11">
        <f t="shared" si="2"/>
        <v>2.2400537896012662</v>
      </c>
      <c r="N685" s="11">
        <v>0.57345971563981002</v>
      </c>
      <c r="O685" s="11">
        <v>2.15055780170393</v>
      </c>
      <c r="P685" s="11">
        <v>0.26773648648648701</v>
      </c>
      <c r="Q685" s="11">
        <v>0.16666666666666699</v>
      </c>
      <c r="R685" s="11">
        <v>0.31007751937984501</v>
      </c>
      <c r="S685" s="10" t="s">
        <v>84</v>
      </c>
      <c r="T685" s="10" t="s">
        <v>84</v>
      </c>
      <c r="U685" s="10"/>
      <c r="V685" s="10"/>
      <c r="W685" s="10"/>
      <c r="X685" s="10"/>
      <c r="Y685" s="10"/>
      <c r="Z685" s="10"/>
      <c r="AA685" s="10"/>
    </row>
    <row r="686" spans="1:27" ht="12.5" x14ac:dyDescent="0.25">
      <c r="A686" s="10" t="s">
        <v>49</v>
      </c>
      <c r="B686" s="10" t="s">
        <v>1111</v>
      </c>
      <c r="C686" s="10" t="s">
        <v>76</v>
      </c>
      <c r="D686" s="11">
        <v>2024</v>
      </c>
      <c r="E686" s="10" t="s">
        <v>124</v>
      </c>
      <c r="F686" s="10" t="s">
        <v>83</v>
      </c>
      <c r="G686" s="10" t="s">
        <v>84</v>
      </c>
      <c r="H686" s="12">
        <v>1117</v>
      </c>
      <c r="I686" s="11">
        <v>25</v>
      </c>
      <c r="J686" s="11">
        <v>25</v>
      </c>
      <c r="K686" s="11">
        <v>79</v>
      </c>
      <c r="L686" s="11">
        <v>2.23813786929275E-2</v>
      </c>
      <c r="M686" s="11">
        <f t="shared" si="2"/>
        <v>2.2381378692927485</v>
      </c>
      <c r="N686" s="11">
        <v>1</v>
      </c>
      <c r="O686" s="11">
        <v>7.0725156669650804E-2</v>
      </c>
      <c r="P686" s="11">
        <v>0.266891891891892</v>
      </c>
      <c r="Q686" s="11">
        <v>0.34615384615384598</v>
      </c>
      <c r="R686" s="11">
        <v>0.21700223713646499</v>
      </c>
      <c r="S686" s="10" t="s">
        <v>84</v>
      </c>
      <c r="T686" s="10" t="s">
        <v>84</v>
      </c>
      <c r="U686" s="10"/>
      <c r="V686" s="10"/>
      <c r="W686" s="10"/>
      <c r="X686" s="10"/>
      <c r="Y686" s="10"/>
      <c r="Z686" s="10"/>
      <c r="AA686" s="10"/>
    </row>
    <row r="687" spans="1:27" ht="12.5" x14ac:dyDescent="0.25">
      <c r="A687" s="10" t="s">
        <v>6</v>
      </c>
      <c r="B687" s="10" t="s">
        <v>1113</v>
      </c>
      <c r="C687" s="10" t="s">
        <v>76</v>
      </c>
      <c r="D687" s="11">
        <v>2024</v>
      </c>
      <c r="E687" s="10" t="s">
        <v>124</v>
      </c>
      <c r="F687" s="10" t="s">
        <v>125</v>
      </c>
      <c r="G687" s="10" t="s">
        <v>84</v>
      </c>
      <c r="H687" s="12">
        <v>2019.6666666666699</v>
      </c>
      <c r="I687" s="11">
        <v>45</v>
      </c>
      <c r="J687" s="11">
        <v>45</v>
      </c>
      <c r="K687" s="11">
        <v>3027</v>
      </c>
      <c r="L687" s="11">
        <v>2.2280904439676501E-2</v>
      </c>
      <c r="M687" s="11">
        <f t="shared" si="2"/>
        <v>2.2280904439676479</v>
      </c>
      <c r="N687" s="11">
        <v>1</v>
      </c>
      <c r="O687" s="11">
        <v>1.4987621719755699</v>
      </c>
      <c r="P687" s="11">
        <v>0.26604729729729698</v>
      </c>
      <c r="Q687" s="11">
        <v>0.483870967741935</v>
      </c>
      <c r="R687" s="11">
        <v>0.21476510067114099</v>
      </c>
      <c r="S687" s="10" t="s">
        <v>84</v>
      </c>
      <c r="T687" s="10" t="s">
        <v>84</v>
      </c>
      <c r="U687" s="10"/>
      <c r="V687" s="10"/>
      <c r="W687" s="10"/>
      <c r="X687" s="10"/>
      <c r="Y687" s="10"/>
      <c r="Z687" s="10"/>
      <c r="AA687" s="10"/>
    </row>
    <row r="688" spans="1:27" ht="12.5" x14ac:dyDescent="0.25">
      <c r="A688" s="10" t="s">
        <v>55</v>
      </c>
      <c r="B688" s="10" t="s">
        <v>1116</v>
      </c>
      <c r="C688" s="10" t="s">
        <v>76</v>
      </c>
      <c r="D688" s="11">
        <v>2024</v>
      </c>
      <c r="E688" s="10" t="s">
        <v>124</v>
      </c>
      <c r="F688" s="10" t="s">
        <v>125</v>
      </c>
      <c r="G688" s="10" t="s">
        <v>84</v>
      </c>
      <c r="H688" s="12">
        <v>675</v>
      </c>
      <c r="I688" s="11">
        <v>15</v>
      </c>
      <c r="J688" s="11">
        <v>15</v>
      </c>
      <c r="K688" s="11">
        <v>100</v>
      </c>
      <c r="L688" s="11">
        <v>2.2222222222222199E-2</v>
      </c>
      <c r="M688" s="11">
        <f t="shared" si="2"/>
        <v>2.2222222222222223</v>
      </c>
      <c r="N688" s="11">
        <v>1</v>
      </c>
      <c r="O688" s="11">
        <v>0.148148148148148</v>
      </c>
      <c r="P688" s="11">
        <v>0.26520270270270302</v>
      </c>
      <c r="Q688" s="11">
        <v>0.18181818181818199</v>
      </c>
      <c r="R688" s="11">
        <v>0.21252796420581699</v>
      </c>
      <c r="S688" s="10" t="s">
        <v>84</v>
      </c>
      <c r="T688" s="10" t="s">
        <v>84</v>
      </c>
      <c r="U688" s="10"/>
      <c r="V688" s="10"/>
      <c r="W688" s="10"/>
      <c r="X688" s="10"/>
      <c r="Y688" s="10"/>
      <c r="Z688" s="10"/>
      <c r="AA688" s="10"/>
    </row>
    <row r="689" spans="1:27" ht="12.5" x14ac:dyDescent="0.25">
      <c r="A689" s="10" t="s">
        <v>12</v>
      </c>
      <c r="B689" s="10" t="s">
        <v>1029</v>
      </c>
      <c r="C689" s="10" t="s">
        <v>76</v>
      </c>
      <c r="D689" s="11">
        <v>2024</v>
      </c>
      <c r="E689" s="10" t="s">
        <v>81</v>
      </c>
      <c r="F689" s="10" t="s">
        <v>83</v>
      </c>
      <c r="G689" s="10" t="s">
        <v>84</v>
      </c>
      <c r="H689" s="12">
        <v>9678.5</v>
      </c>
      <c r="I689" s="11">
        <v>215</v>
      </c>
      <c r="J689" s="11">
        <v>158</v>
      </c>
      <c r="K689" s="11">
        <v>3508</v>
      </c>
      <c r="L689" s="11">
        <v>2.2214186082554099E-2</v>
      </c>
      <c r="M689" s="11">
        <f t="shared" si="2"/>
        <v>2.2214186082554113</v>
      </c>
      <c r="N689" s="11">
        <v>0.73488372093023302</v>
      </c>
      <c r="O689" s="11">
        <v>0.36245285943069699</v>
      </c>
      <c r="P689" s="11">
        <v>0.264358108108108</v>
      </c>
      <c r="Q689" s="11">
        <v>0.15277777777777801</v>
      </c>
      <c r="R689" s="11">
        <v>0.30813953488372098</v>
      </c>
      <c r="S689" s="10" t="s">
        <v>84</v>
      </c>
      <c r="T689" s="10" t="s">
        <v>84</v>
      </c>
      <c r="U689" s="10"/>
      <c r="V689" s="10"/>
      <c r="W689" s="10"/>
      <c r="X689" s="10"/>
      <c r="Y689" s="10"/>
      <c r="Z689" s="10"/>
      <c r="AA689" s="10"/>
    </row>
    <row r="690" spans="1:27" ht="12.5" x14ac:dyDescent="0.25">
      <c r="A690" s="10" t="s">
        <v>110</v>
      </c>
      <c r="B690" s="10" t="s">
        <v>1119</v>
      </c>
      <c r="C690" s="10" t="s">
        <v>76</v>
      </c>
      <c r="D690" s="11">
        <v>2024</v>
      </c>
      <c r="E690" s="10" t="s">
        <v>124</v>
      </c>
      <c r="F690" s="10" t="s">
        <v>83</v>
      </c>
      <c r="G690" s="10" t="s">
        <v>84</v>
      </c>
      <c r="H690" s="12">
        <v>10993</v>
      </c>
      <c r="I690" s="11">
        <v>244</v>
      </c>
      <c r="J690" s="11">
        <v>207</v>
      </c>
      <c r="K690" s="11">
        <v>5543</v>
      </c>
      <c r="L690" s="11">
        <v>2.2195942872737202E-2</v>
      </c>
      <c r="M690" s="11">
        <f t="shared" si="2"/>
        <v>2.2195942872737193</v>
      </c>
      <c r="N690" s="11">
        <v>0.84836065573770503</v>
      </c>
      <c r="O690" s="11">
        <v>0.50422996452287805</v>
      </c>
      <c r="P690" s="11">
        <v>0.26351351351351299</v>
      </c>
      <c r="Q690" s="11">
        <v>0.45454545454545497</v>
      </c>
      <c r="R690" s="11">
        <v>0.21029082774049199</v>
      </c>
      <c r="S690" s="10" t="s">
        <v>84</v>
      </c>
      <c r="T690" s="10" t="s">
        <v>84</v>
      </c>
      <c r="U690" s="10"/>
      <c r="V690" s="10"/>
      <c r="W690" s="10"/>
      <c r="X690" s="10"/>
      <c r="Y690" s="10"/>
      <c r="Z690" s="10"/>
      <c r="AA690" s="10"/>
    </row>
    <row r="691" spans="1:27" ht="12.5" x14ac:dyDescent="0.25">
      <c r="A691" s="10" t="s">
        <v>62</v>
      </c>
      <c r="B691" s="10" t="s">
        <v>900</v>
      </c>
      <c r="C691" s="10" t="s">
        <v>76</v>
      </c>
      <c r="D691" s="11">
        <v>2024</v>
      </c>
      <c r="E691" s="10" t="s">
        <v>81</v>
      </c>
      <c r="F691" s="10" t="s">
        <v>83</v>
      </c>
      <c r="G691" s="10" t="s">
        <v>84</v>
      </c>
      <c r="H691" s="12">
        <v>9175.5833333333303</v>
      </c>
      <c r="I691" s="11">
        <v>202</v>
      </c>
      <c r="J691" s="11">
        <v>158</v>
      </c>
      <c r="K691" s="11">
        <v>1464</v>
      </c>
      <c r="L691" s="11">
        <v>2.2014949094971301E-2</v>
      </c>
      <c r="M691" s="11">
        <f t="shared" si="2"/>
        <v>2.2014949094971263</v>
      </c>
      <c r="N691" s="11">
        <v>0.78217821782178198</v>
      </c>
      <c r="O691" s="11">
        <v>0.15955388849028701</v>
      </c>
      <c r="P691" s="11">
        <v>0.26266891891891903</v>
      </c>
      <c r="Q691" s="11">
        <v>0.13888888888888901</v>
      </c>
      <c r="R691" s="11">
        <v>0.306201550387597</v>
      </c>
      <c r="S691" s="10" t="s">
        <v>84</v>
      </c>
      <c r="T691" s="10" t="s">
        <v>84</v>
      </c>
      <c r="U691" s="10"/>
      <c r="V691" s="10"/>
      <c r="W691" s="10"/>
      <c r="X691" s="10"/>
      <c r="Y691" s="10"/>
      <c r="Z691" s="10"/>
      <c r="AA691" s="10"/>
    </row>
    <row r="692" spans="1:27" ht="12.5" x14ac:dyDescent="0.25">
      <c r="A692" s="10" t="s">
        <v>32</v>
      </c>
      <c r="B692" s="10" t="s">
        <v>1032</v>
      </c>
      <c r="C692" s="10" t="s">
        <v>76</v>
      </c>
      <c r="D692" s="11">
        <v>2024</v>
      </c>
      <c r="E692" s="10" t="s">
        <v>81</v>
      </c>
      <c r="F692" s="10" t="s">
        <v>83</v>
      </c>
      <c r="G692" s="10" t="s">
        <v>84</v>
      </c>
      <c r="H692" s="12">
        <v>15304</v>
      </c>
      <c r="I692" s="11">
        <v>336</v>
      </c>
      <c r="J692" s="11">
        <v>59</v>
      </c>
      <c r="K692" s="11">
        <v>46168</v>
      </c>
      <c r="L692" s="11">
        <v>2.1955044432827999E-2</v>
      </c>
      <c r="M692" s="11">
        <f t="shared" si="2"/>
        <v>2.1955044432828021</v>
      </c>
      <c r="N692" s="11">
        <v>0.175595238095238</v>
      </c>
      <c r="O692" s="11">
        <v>3.0167276529012002</v>
      </c>
      <c r="P692" s="11">
        <v>0.26182432432432401</v>
      </c>
      <c r="Q692" s="11">
        <v>6.8965517241379296E-2</v>
      </c>
      <c r="R692" s="11">
        <v>0.30426356589147302</v>
      </c>
      <c r="S692" s="10" t="s">
        <v>84</v>
      </c>
      <c r="T692" s="10" t="s">
        <v>84</v>
      </c>
      <c r="U692" s="10"/>
      <c r="V692" s="10"/>
      <c r="W692" s="10"/>
      <c r="X692" s="10"/>
      <c r="Y692" s="10"/>
      <c r="Z692" s="10"/>
      <c r="AA692" s="10"/>
    </row>
    <row r="693" spans="1:27" ht="12.5" x14ac:dyDescent="0.25">
      <c r="A693" s="10" t="s">
        <v>115</v>
      </c>
      <c r="B693" s="10" t="s">
        <v>1035</v>
      </c>
      <c r="C693" s="10" t="s">
        <v>76</v>
      </c>
      <c r="D693" s="11">
        <v>2024</v>
      </c>
      <c r="E693" s="10" t="s">
        <v>81</v>
      </c>
      <c r="F693" s="10" t="s">
        <v>83</v>
      </c>
      <c r="G693" s="10" t="s">
        <v>84</v>
      </c>
      <c r="H693" s="12">
        <v>14686</v>
      </c>
      <c r="I693" s="11">
        <v>322</v>
      </c>
      <c r="J693" s="11">
        <v>294</v>
      </c>
      <c r="K693" s="11">
        <v>1030</v>
      </c>
      <c r="L693" s="11">
        <v>2.19256434699714E-2</v>
      </c>
      <c r="M693" s="11">
        <f t="shared" si="2"/>
        <v>2.1925643469971399</v>
      </c>
      <c r="N693" s="11">
        <v>0.91304347826086996</v>
      </c>
      <c r="O693" s="11">
        <v>7.0134822279722203E-2</v>
      </c>
      <c r="P693" s="11">
        <v>0.26097972972972999</v>
      </c>
      <c r="Q693" s="11">
        <v>0.77777777777777801</v>
      </c>
      <c r="R693" s="11">
        <v>0.30232558139534899</v>
      </c>
      <c r="S693" s="10" t="s">
        <v>84</v>
      </c>
      <c r="T693" s="10" t="s">
        <v>84</v>
      </c>
      <c r="U693" s="10"/>
      <c r="V693" s="10"/>
      <c r="W693" s="10"/>
      <c r="X693" s="10"/>
      <c r="Y693" s="10"/>
      <c r="Z693" s="10"/>
      <c r="AA693" s="10"/>
    </row>
    <row r="694" spans="1:27" ht="12.5" x14ac:dyDescent="0.25">
      <c r="A694" s="10" t="s">
        <v>34</v>
      </c>
      <c r="B694" s="10" t="s">
        <v>1121</v>
      </c>
      <c r="C694" s="10" t="s">
        <v>76</v>
      </c>
      <c r="D694" s="11">
        <v>2024</v>
      </c>
      <c r="E694" s="10" t="s">
        <v>124</v>
      </c>
      <c r="F694" s="10" t="s">
        <v>125</v>
      </c>
      <c r="G694" s="10" t="s">
        <v>84</v>
      </c>
      <c r="H694" s="12">
        <v>3982.5</v>
      </c>
      <c r="I694" s="11">
        <v>87</v>
      </c>
      <c r="J694" s="11">
        <v>80</v>
      </c>
      <c r="K694" s="11">
        <v>1911</v>
      </c>
      <c r="L694" s="11">
        <v>2.1845574387947299E-2</v>
      </c>
      <c r="M694" s="11">
        <f t="shared" si="2"/>
        <v>2.1845574387947266</v>
      </c>
      <c r="N694" s="11">
        <v>0.91954022988505701</v>
      </c>
      <c r="O694" s="11">
        <v>0.47984934086629</v>
      </c>
      <c r="P694" s="11">
        <v>0.26013513513513498</v>
      </c>
      <c r="Q694" s="11">
        <v>0.530612244897959</v>
      </c>
      <c r="R694" s="11">
        <v>0.20805369127516801</v>
      </c>
      <c r="S694" s="10" t="s">
        <v>84</v>
      </c>
      <c r="T694" s="10" t="s">
        <v>84</v>
      </c>
      <c r="U694" s="10"/>
      <c r="V694" s="10"/>
      <c r="W694" s="10"/>
      <c r="X694" s="10"/>
      <c r="Y694" s="10"/>
      <c r="Z694" s="10"/>
      <c r="AA694" s="10"/>
    </row>
    <row r="695" spans="1:27" ht="12.5" x14ac:dyDescent="0.25">
      <c r="A695" s="10" t="s">
        <v>52</v>
      </c>
      <c r="B695" s="10" t="s">
        <v>1124</v>
      </c>
      <c r="C695" s="10" t="s">
        <v>76</v>
      </c>
      <c r="D695" s="11">
        <v>2024</v>
      </c>
      <c r="E695" s="10" t="s">
        <v>124</v>
      </c>
      <c r="F695" s="10" t="s">
        <v>125</v>
      </c>
      <c r="G695" s="10" t="s">
        <v>84</v>
      </c>
      <c r="H695" s="12">
        <v>457.83333333333297</v>
      </c>
      <c r="I695" s="11">
        <v>10</v>
      </c>
      <c r="J695" s="11">
        <v>9</v>
      </c>
      <c r="K695" s="11">
        <v>0</v>
      </c>
      <c r="L695" s="11">
        <v>2.1842009464870801E-2</v>
      </c>
      <c r="M695" s="11">
        <f t="shared" si="2"/>
        <v>2.1842009464870786</v>
      </c>
      <c r="N695" s="11">
        <v>0.9</v>
      </c>
      <c r="O695" s="11">
        <v>0</v>
      </c>
      <c r="P695" s="11">
        <v>0.25929054054054002</v>
      </c>
      <c r="Q695" s="11">
        <v>0.14893617021276601</v>
      </c>
      <c r="R695" s="11">
        <v>0.20581655480984301</v>
      </c>
      <c r="S695" s="10" t="s">
        <v>84</v>
      </c>
      <c r="T695" s="10" t="s">
        <v>84</v>
      </c>
      <c r="U695" s="10"/>
      <c r="V695" s="10"/>
      <c r="W695" s="10"/>
      <c r="X695" s="10"/>
      <c r="Y695" s="10"/>
      <c r="Z695" s="10"/>
      <c r="AA695" s="10"/>
    </row>
    <row r="696" spans="1:27" ht="12.5" hidden="1" x14ac:dyDescent="0.25">
      <c r="A696" s="10" t="s">
        <v>6</v>
      </c>
      <c r="B696" s="10" t="s">
        <v>1451</v>
      </c>
      <c r="C696" s="10" t="s">
        <v>76</v>
      </c>
      <c r="D696" s="11">
        <v>2024</v>
      </c>
      <c r="E696" s="10" t="s">
        <v>257</v>
      </c>
      <c r="F696" s="10" t="s">
        <v>83</v>
      </c>
      <c r="G696" s="10" t="s">
        <v>84</v>
      </c>
      <c r="H696" s="12">
        <v>16080.583333333299</v>
      </c>
      <c r="I696" s="11">
        <v>351</v>
      </c>
      <c r="J696" s="11">
        <v>317</v>
      </c>
      <c r="K696" s="11">
        <v>7902</v>
      </c>
      <c r="L696" s="11">
        <v>2.1827566371452101E-2</v>
      </c>
      <c r="M696" s="11">
        <f t="shared" si="2"/>
        <v>2.1827566371452161</v>
      </c>
      <c r="N696" s="11">
        <v>0.90313390313390296</v>
      </c>
      <c r="O696" s="11">
        <v>0.49140008395217799</v>
      </c>
      <c r="P696" s="11">
        <v>0.258445945945946</v>
      </c>
      <c r="Q696" s="11">
        <v>0.45161290322580599</v>
      </c>
      <c r="R696" s="11">
        <v>0.40909090909090901</v>
      </c>
      <c r="S696" s="10" t="s">
        <v>84</v>
      </c>
      <c r="T696" s="10" t="s">
        <v>84</v>
      </c>
      <c r="U696" s="10"/>
      <c r="V696" s="10"/>
      <c r="W696" s="10"/>
      <c r="X696" s="10"/>
      <c r="Y696" s="10"/>
      <c r="Z696" s="10"/>
      <c r="AA696" s="10"/>
    </row>
    <row r="697" spans="1:27" ht="12.5" x14ac:dyDescent="0.25">
      <c r="A697" s="10" t="s">
        <v>86</v>
      </c>
      <c r="B697" s="10" t="s">
        <v>1037</v>
      </c>
      <c r="C697" s="10" t="s">
        <v>76</v>
      </c>
      <c r="D697" s="11">
        <v>2024</v>
      </c>
      <c r="E697" s="10" t="s">
        <v>81</v>
      </c>
      <c r="F697" s="10" t="s">
        <v>83</v>
      </c>
      <c r="G697" s="10" t="s">
        <v>84</v>
      </c>
      <c r="H697" s="12">
        <v>28262.583333333299</v>
      </c>
      <c r="I697" s="11">
        <v>614</v>
      </c>
      <c r="J697" s="11">
        <v>464</v>
      </c>
      <c r="K697" s="11">
        <v>28816</v>
      </c>
      <c r="L697" s="11">
        <v>2.1724836429790902E-2</v>
      </c>
      <c r="M697" s="11">
        <f t="shared" si="2"/>
        <v>2.1724836429790888</v>
      </c>
      <c r="N697" s="11">
        <v>0.75570032573289903</v>
      </c>
      <c r="O697" s="11">
        <v>1.0195812484704501</v>
      </c>
      <c r="P697" s="11">
        <v>0.25760135135135098</v>
      </c>
      <c r="Q697" s="11">
        <v>0.108695652173913</v>
      </c>
      <c r="R697" s="11">
        <v>0.30038759689922501</v>
      </c>
      <c r="S697" s="10" t="s">
        <v>84</v>
      </c>
      <c r="T697" s="10" t="s">
        <v>84</v>
      </c>
      <c r="U697" s="10"/>
      <c r="V697" s="10"/>
      <c r="W697" s="10"/>
      <c r="X697" s="10"/>
      <c r="Y697" s="10"/>
      <c r="Z697" s="10"/>
      <c r="AA697" s="10"/>
    </row>
    <row r="698" spans="1:27" ht="12.5" x14ac:dyDescent="0.25">
      <c r="A698" s="10" t="s">
        <v>65</v>
      </c>
      <c r="B698" s="10" t="s">
        <v>1040</v>
      </c>
      <c r="C698" s="10" t="s">
        <v>76</v>
      </c>
      <c r="D698" s="11">
        <v>2024</v>
      </c>
      <c r="E698" s="10" t="s">
        <v>81</v>
      </c>
      <c r="F698" s="10" t="s">
        <v>83</v>
      </c>
      <c r="G698" s="10" t="s">
        <v>84</v>
      </c>
      <c r="H698" s="12">
        <v>30591.25</v>
      </c>
      <c r="I698" s="11">
        <v>660</v>
      </c>
      <c r="J698" s="11">
        <v>212</v>
      </c>
      <c r="K698" s="11">
        <v>11157</v>
      </c>
      <c r="L698" s="11">
        <v>2.1574796714746901E-2</v>
      </c>
      <c r="M698" s="11">
        <f t="shared" si="2"/>
        <v>2.1574796714746864</v>
      </c>
      <c r="N698" s="11">
        <v>0.321212121212121</v>
      </c>
      <c r="O698" s="11">
        <v>0.364712131737016</v>
      </c>
      <c r="P698" s="11">
        <v>0.25675675675675702</v>
      </c>
      <c r="Q698" s="11">
        <v>0.230769230769231</v>
      </c>
      <c r="R698" s="11">
        <v>0.29844961240310097</v>
      </c>
      <c r="S698" s="10" t="s">
        <v>84</v>
      </c>
      <c r="T698" s="10" t="s">
        <v>84</v>
      </c>
      <c r="U698" s="10"/>
      <c r="V698" s="10"/>
      <c r="W698" s="10"/>
      <c r="X698" s="10"/>
      <c r="Y698" s="10"/>
      <c r="Z698" s="10"/>
      <c r="AA698" s="10"/>
    </row>
    <row r="699" spans="1:27" ht="12.5" x14ac:dyDescent="0.25">
      <c r="A699" s="10" t="s">
        <v>34</v>
      </c>
      <c r="B699" s="10" t="s">
        <v>1042</v>
      </c>
      <c r="C699" s="10" t="s">
        <v>76</v>
      </c>
      <c r="D699" s="11">
        <v>2024</v>
      </c>
      <c r="E699" s="10" t="s">
        <v>81</v>
      </c>
      <c r="F699" s="10" t="s">
        <v>83</v>
      </c>
      <c r="G699" s="10" t="s">
        <v>84</v>
      </c>
      <c r="H699" s="12">
        <v>42344.416666666701</v>
      </c>
      <c r="I699" s="11">
        <v>905</v>
      </c>
      <c r="J699" s="11">
        <v>895</v>
      </c>
      <c r="K699" s="11">
        <v>2538</v>
      </c>
      <c r="L699" s="11">
        <v>2.1372357237179999E-2</v>
      </c>
      <c r="M699" s="11">
        <f t="shared" si="2"/>
        <v>2.1372357237180015</v>
      </c>
      <c r="N699" s="11">
        <v>0.98895027624309395</v>
      </c>
      <c r="O699" s="11">
        <v>5.9937063721506E-2</v>
      </c>
      <c r="P699" s="11">
        <v>0.255912162162162</v>
      </c>
      <c r="Q699" s="11">
        <v>0.51020408163265296</v>
      </c>
      <c r="R699" s="11">
        <v>0.29651162790697699</v>
      </c>
      <c r="S699" s="10" t="s">
        <v>84</v>
      </c>
      <c r="T699" s="10" t="s">
        <v>84</v>
      </c>
      <c r="U699" s="10"/>
      <c r="V699" s="10"/>
      <c r="W699" s="10"/>
      <c r="X699" s="10"/>
      <c r="Y699" s="10"/>
      <c r="Z699" s="10"/>
      <c r="AA699" s="10"/>
    </row>
    <row r="700" spans="1:27" ht="12.5" x14ac:dyDescent="0.25">
      <c r="A700" s="10" t="s">
        <v>42</v>
      </c>
      <c r="B700" s="10" t="s">
        <v>1045</v>
      </c>
      <c r="C700" s="10" t="s">
        <v>76</v>
      </c>
      <c r="D700" s="11">
        <v>2024</v>
      </c>
      <c r="E700" s="10" t="s">
        <v>81</v>
      </c>
      <c r="F700" s="10" t="s">
        <v>83</v>
      </c>
      <c r="G700" s="10" t="s">
        <v>84</v>
      </c>
      <c r="H700" s="12">
        <v>39561.75</v>
      </c>
      <c r="I700" s="11">
        <v>842</v>
      </c>
      <c r="J700" s="11">
        <v>682</v>
      </c>
      <c r="K700" s="11">
        <v>950</v>
      </c>
      <c r="L700" s="11">
        <v>2.12831838834227E-2</v>
      </c>
      <c r="M700" s="11">
        <f t="shared" si="2"/>
        <v>2.1283183883422749</v>
      </c>
      <c r="N700" s="11">
        <v>0.809976247030879</v>
      </c>
      <c r="O700" s="11">
        <v>2.4013093455168201E-2</v>
      </c>
      <c r="P700" s="11">
        <v>0.25506756756756799</v>
      </c>
      <c r="Q700" s="11">
        <v>0.19047619047618999</v>
      </c>
      <c r="R700" s="11">
        <v>0.29457364341085301</v>
      </c>
      <c r="S700" s="10" t="s">
        <v>84</v>
      </c>
      <c r="T700" s="10" t="s">
        <v>84</v>
      </c>
      <c r="U700" s="10"/>
      <c r="V700" s="10"/>
      <c r="W700" s="10"/>
      <c r="X700" s="10"/>
      <c r="Y700" s="10"/>
      <c r="Z700" s="10"/>
      <c r="AA700" s="10"/>
    </row>
    <row r="701" spans="1:27" ht="12.5" x14ac:dyDescent="0.25">
      <c r="A701" s="10" t="s">
        <v>82</v>
      </c>
      <c r="B701" s="10" t="s">
        <v>1047</v>
      </c>
      <c r="C701" s="10" t="s">
        <v>76</v>
      </c>
      <c r="D701" s="11">
        <v>2024</v>
      </c>
      <c r="E701" s="10" t="s">
        <v>81</v>
      </c>
      <c r="F701" s="10" t="s">
        <v>83</v>
      </c>
      <c r="G701" s="10" t="s">
        <v>84</v>
      </c>
      <c r="H701" s="12">
        <v>12320.416666666701</v>
      </c>
      <c r="I701" s="11">
        <v>262</v>
      </c>
      <c r="J701" s="11">
        <v>224</v>
      </c>
      <c r="K701" s="11">
        <v>2168</v>
      </c>
      <c r="L701" s="11">
        <v>2.1265514559166698E-2</v>
      </c>
      <c r="M701" s="11">
        <f t="shared" si="2"/>
        <v>2.1265514559166636</v>
      </c>
      <c r="N701" s="11">
        <v>0.85496183206106902</v>
      </c>
      <c r="O701" s="11">
        <v>0.17596807467279901</v>
      </c>
      <c r="P701" s="11">
        <v>0.25422297297297303</v>
      </c>
      <c r="Q701" s="11">
        <v>0.48275862068965503</v>
      </c>
      <c r="R701" s="11">
        <v>0.29263565891472898</v>
      </c>
      <c r="S701" s="10" t="s">
        <v>84</v>
      </c>
      <c r="T701" s="10" t="s">
        <v>84</v>
      </c>
      <c r="U701" s="10"/>
      <c r="V701" s="10"/>
      <c r="W701" s="10"/>
      <c r="X701" s="10"/>
      <c r="Y701" s="10"/>
      <c r="Z701" s="10"/>
      <c r="AA701" s="10"/>
    </row>
    <row r="702" spans="1:27" ht="12.5" x14ac:dyDescent="0.25">
      <c r="A702" s="10" t="s">
        <v>12</v>
      </c>
      <c r="B702" s="10" t="s">
        <v>1049</v>
      </c>
      <c r="C702" s="10" t="s">
        <v>76</v>
      </c>
      <c r="D702" s="11">
        <v>2024</v>
      </c>
      <c r="E702" s="10" t="s">
        <v>81</v>
      </c>
      <c r="F702" s="10" t="s">
        <v>83</v>
      </c>
      <c r="G702" s="10" t="s">
        <v>84</v>
      </c>
      <c r="H702" s="12">
        <v>29420</v>
      </c>
      <c r="I702" s="11">
        <v>622</v>
      </c>
      <c r="J702" s="11">
        <v>428</v>
      </c>
      <c r="K702" s="11">
        <v>2712</v>
      </c>
      <c r="L702" s="11">
        <v>2.1142080217539098E-2</v>
      </c>
      <c r="M702" s="11">
        <f t="shared" si="2"/>
        <v>2.114208021753909</v>
      </c>
      <c r="N702" s="11">
        <v>0.68810289389067503</v>
      </c>
      <c r="O702" s="11">
        <v>9.2182188987083594E-2</v>
      </c>
      <c r="P702" s="11">
        <v>0.25253378378378399</v>
      </c>
      <c r="Q702" s="11">
        <v>0.13888888888888901</v>
      </c>
      <c r="R702" s="11">
        <v>0.290697674418605</v>
      </c>
      <c r="S702" s="10" t="s">
        <v>84</v>
      </c>
      <c r="T702" s="10" t="s">
        <v>84</v>
      </c>
      <c r="U702" s="10"/>
      <c r="V702" s="10"/>
      <c r="W702" s="10"/>
      <c r="X702" s="10"/>
      <c r="Y702" s="10"/>
      <c r="Z702" s="10"/>
      <c r="AA702" s="10"/>
    </row>
    <row r="703" spans="1:27" ht="12.5" x14ac:dyDescent="0.25">
      <c r="A703" s="10" t="s">
        <v>34</v>
      </c>
      <c r="B703" s="10" t="s">
        <v>1052</v>
      </c>
      <c r="C703" s="10" t="s">
        <v>76</v>
      </c>
      <c r="D703" s="11">
        <v>2024</v>
      </c>
      <c r="E703" s="10" t="s">
        <v>81</v>
      </c>
      <c r="F703" s="10" t="s">
        <v>83</v>
      </c>
      <c r="G703" s="10" t="s">
        <v>84</v>
      </c>
      <c r="H703" s="12">
        <v>47828.083333333299</v>
      </c>
      <c r="I703" s="11">
        <v>1010</v>
      </c>
      <c r="J703" s="11">
        <v>1355</v>
      </c>
      <c r="K703" s="11">
        <v>13319</v>
      </c>
      <c r="L703" s="11">
        <v>2.1117300330872599E-2</v>
      </c>
      <c r="M703" s="11">
        <f t="shared" si="2"/>
        <v>2.1117300330872566</v>
      </c>
      <c r="N703" s="11">
        <v>1.3415841584158399</v>
      </c>
      <c r="O703" s="11">
        <v>0.27847655753157602</v>
      </c>
      <c r="P703" s="11">
        <v>0.25168918918918898</v>
      </c>
      <c r="Q703" s="11">
        <v>0.48979591836734698</v>
      </c>
      <c r="R703" s="11">
        <v>0.28875968992248102</v>
      </c>
      <c r="S703" s="10" t="s">
        <v>84</v>
      </c>
      <c r="T703" s="10" t="s">
        <v>84</v>
      </c>
      <c r="U703" s="10"/>
      <c r="V703" s="10"/>
      <c r="W703" s="10"/>
      <c r="X703" s="10"/>
      <c r="Y703" s="10"/>
      <c r="Z703" s="10"/>
      <c r="AA703" s="10"/>
    </row>
    <row r="704" spans="1:27" ht="12.5" x14ac:dyDescent="0.25">
      <c r="A704" s="10" t="s">
        <v>118</v>
      </c>
      <c r="B704" s="10" t="s">
        <v>1055</v>
      </c>
      <c r="C704" s="10" t="s">
        <v>76</v>
      </c>
      <c r="D704" s="11">
        <v>2024</v>
      </c>
      <c r="E704" s="10" t="s">
        <v>81</v>
      </c>
      <c r="F704" s="10" t="s">
        <v>83</v>
      </c>
      <c r="G704" s="10" t="s">
        <v>84</v>
      </c>
      <c r="H704" s="12">
        <v>18149.583333333299</v>
      </c>
      <c r="I704" s="11">
        <v>378</v>
      </c>
      <c r="J704" s="11">
        <v>241</v>
      </c>
      <c r="K704" s="11">
        <v>3118</v>
      </c>
      <c r="L704" s="11">
        <v>2.0826924401386601E-2</v>
      </c>
      <c r="M704" s="11">
        <f t="shared" si="2"/>
        <v>2.0826924401386662</v>
      </c>
      <c r="N704" s="11">
        <v>0.637566137566138</v>
      </c>
      <c r="O704" s="11">
        <v>0.171794577469639</v>
      </c>
      <c r="P704" s="11">
        <v>0.25084459459459502</v>
      </c>
      <c r="Q704" s="11">
        <v>0.28571428571428598</v>
      </c>
      <c r="R704" s="11">
        <v>0.28682170542635699</v>
      </c>
      <c r="S704" s="10" t="s">
        <v>84</v>
      </c>
      <c r="T704" s="10" t="s">
        <v>84</v>
      </c>
      <c r="U704" s="10"/>
      <c r="V704" s="10"/>
      <c r="W704" s="10"/>
      <c r="X704" s="10"/>
      <c r="Y704" s="10"/>
      <c r="Z704" s="10"/>
      <c r="AA704" s="10"/>
    </row>
    <row r="705" spans="1:27" ht="12.5" x14ac:dyDescent="0.25">
      <c r="A705" s="10" t="s">
        <v>82</v>
      </c>
      <c r="B705" s="10" t="s">
        <v>1126</v>
      </c>
      <c r="C705" s="10" t="s">
        <v>76</v>
      </c>
      <c r="D705" s="11">
        <v>2024</v>
      </c>
      <c r="E705" s="10" t="s">
        <v>124</v>
      </c>
      <c r="F705" s="10" t="s">
        <v>83</v>
      </c>
      <c r="G705" s="10" t="s">
        <v>84</v>
      </c>
      <c r="H705" s="12">
        <v>3601.4166666666702</v>
      </c>
      <c r="I705" s="11">
        <v>75</v>
      </c>
      <c r="J705" s="11">
        <v>75</v>
      </c>
      <c r="K705" s="11">
        <v>1601</v>
      </c>
      <c r="L705" s="11">
        <v>2.0825138255778999E-2</v>
      </c>
      <c r="M705" s="11">
        <f t="shared" si="2"/>
        <v>2.0825138255778959</v>
      </c>
      <c r="N705" s="11">
        <v>1</v>
      </c>
      <c r="O705" s="11">
        <v>0.44454728463336202</v>
      </c>
      <c r="P705" s="11">
        <v>0.25</v>
      </c>
      <c r="Q705" s="11">
        <v>0.46551724137931</v>
      </c>
      <c r="R705" s="11">
        <v>0.20357941834451901</v>
      </c>
      <c r="S705" s="10" t="s">
        <v>84</v>
      </c>
      <c r="T705" s="10" t="s">
        <v>84</v>
      </c>
      <c r="U705" s="10"/>
      <c r="V705" s="10"/>
      <c r="W705" s="10"/>
      <c r="X705" s="10"/>
      <c r="Y705" s="10"/>
      <c r="Z705" s="10"/>
      <c r="AA705" s="10"/>
    </row>
    <row r="706" spans="1:27" ht="12.5" x14ac:dyDescent="0.25">
      <c r="A706" s="10" t="s">
        <v>96</v>
      </c>
      <c r="B706" s="10" t="s">
        <v>1057</v>
      </c>
      <c r="C706" s="10" t="s">
        <v>76</v>
      </c>
      <c r="D706" s="11">
        <v>2024</v>
      </c>
      <c r="E706" s="10" t="s">
        <v>81</v>
      </c>
      <c r="F706" s="10" t="s">
        <v>83</v>
      </c>
      <c r="G706" s="10" t="s">
        <v>84</v>
      </c>
      <c r="H706" s="12">
        <v>7704.4166666666697</v>
      </c>
      <c r="I706" s="11">
        <v>159</v>
      </c>
      <c r="J706" s="11">
        <v>126</v>
      </c>
      <c r="K706" s="11">
        <v>1913</v>
      </c>
      <c r="L706" s="11">
        <v>2.0637513114771799E-2</v>
      </c>
      <c r="M706" s="11">
        <f t="shared" si="2"/>
        <v>2.0637513114771822</v>
      </c>
      <c r="N706" s="11">
        <v>0.79245283018867896</v>
      </c>
      <c r="O706" s="11">
        <v>0.248299135777098</v>
      </c>
      <c r="P706" s="11">
        <v>0.24831081081081099</v>
      </c>
      <c r="Q706" s="11">
        <v>0.41176470588235298</v>
      </c>
      <c r="R706" s="11">
        <v>0.28488372093023301</v>
      </c>
      <c r="S706" s="10" t="s">
        <v>84</v>
      </c>
      <c r="T706" s="10" t="s">
        <v>84</v>
      </c>
      <c r="U706" s="10"/>
      <c r="V706" s="10"/>
      <c r="W706" s="10"/>
      <c r="X706" s="10"/>
      <c r="Y706" s="10"/>
      <c r="Z706" s="10"/>
      <c r="AA706" s="10"/>
    </row>
    <row r="707" spans="1:27" ht="12.5" x14ac:dyDescent="0.25">
      <c r="A707" s="10" t="s">
        <v>112</v>
      </c>
      <c r="B707" s="10" t="s">
        <v>1059</v>
      </c>
      <c r="C707" s="10" t="s">
        <v>76</v>
      </c>
      <c r="D707" s="11">
        <v>2024</v>
      </c>
      <c r="E707" s="10" t="s">
        <v>81</v>
      </c>
      <c r="F707" s="10" t="s">
        <v>83</v>
      </c>
      <c r="G707" s="10" t="s">
        <v>84</v>
      </c>
      <c r="H707" s="12">
        <v>15405.833333333299</v>
      </c>
      <c r="I707" s="11">
        <v>317</v>
      </c>
      <c r="J707" s="11">
        <v>279</v>
      </c>
      <c r="K707" s="11">
        <v>24136</v>
      </c>
      <c r="L707" s="11">
        <v>2.0576621409639201E-2</v>
      </c>
      <c r="M707" s="11">
        <f t="shared" si="2"/>
        <v>2.0576621409639251</v>
      </c>
      <c r="N707" s="11">
        <v>0.88012618296529999</v>
      </c>
      <c r="O707" s="11">
        <v>1.5666792881484299</v>
      </c>
      <c r="P707" s="11">
        <v>0.24746621621621601</v>
      </c>
      <c r="Q707" s="11">
        <v>0.66666666666666696</v>
      </c>
      <c r="R707" s="11">
        <v>0.28294573643410897</v>
      </c>
      <c r="S707" s="10" t="s">
        <v>84</v>
      </c>
      <c r="T707" s="10" t="s">
        <v>84</v>
      </c>
      <c r="U707" s="10"/>
      <c r="V707" s="10"/>
      <c r="W707" s="10"/>
      <c r="X707" s="10"/>
      <c r="Y707" s="10"/>
      <c r="Z707" s="10"/>
      <c r="AA707" s="10"/>
    </row>
    <row r="708" spans="1:27" ht="12.5" x14ac:dyDescent="0.25">
      <c r="A708" s="10" t="s">
        <v>82</v>
      </c>
      <c r="B708" s="10" t="s">
        <v>1128</v>
      </c>
      <c r="C708" s="10" t="s">
        <v>76</v>
      </c>
      <c r="D708" s="11">
        <v>2024</v>
      </c>
      <c r="E708" s="10" t="s">
        <v>124</v>
      </c>
      <c r="F708" s="10" t="s">
        <v>83</v>
      </c>
      <c r="G708" s="10" t="s">
        <v>84</v>
      </c>
      <c r="H708" s="12">
        <v>8675.5833333333303</v>
      </c>
      <c r="I708" s="11">
        <v>177</v>
      </c>
      <c r="J708" s="11">
        <v>177</v>
      </c>
      <c r="K708" s="11">
        <v>2229</v>
      </c>
      <c r="L708" s="11">
        <v>2.0402086315041298E-2</v>
      </c>
      <c r="M708" s="11">
        <f t="shared" si="2"/>
        <v>2.0402086315041266</v>
      </c>
      <c r="N708" s="11">
        <v>1</v>
      </c>
      <c r="O708" s="11">
        <v>0.25692796834026499</v>
      </c>
      <c r="P708" s="11">
        <v>0.24493243243243201</v>
      </c>
      <c r="Q708" s="11">
        <v>0.44827586206896602</v>
      </c>
      <c r="R708" s="11">
        <v>0.20134228187919501</v>
      </c>
      <c r="S708" s="10" t="s">
        <v>84</v>
      </c>
      <c r="T708" s="10" t="s">
        <v>84</v>
      </c>
      <c r="U708" s="10"/>
      <c r="V708" s="10"/>
      <c r="W708" s="10"/>
      <c r="X708" s="10"/>
      <c r="Y708" s="10"/>
      <c r="Z708" s="10"/>
      <c r="AA708" s="10"/>
    </row>
    <row r="709" spans="1:27" ht="12.5" x14ac:dyDescent="0.25">
      <c r="A709" s="10" t="s">
        <v>118</v>
      </c>
      <c r="B709" s="10" t="s">
        <v>1062</v>
      </c>
      <c r="C709" s="10" t="s">
        <v>76</v>
      </c>
      <c r="D709" s="11">
        <v>2024</v>
      </c>
      <c r="E709" s="10" t="s">
        <v>81</v>
      </c>
      <c r="F709" s="10" t="s">
        <v>83</v>
      </c>
      <c r="G709" s="10" t="s">
        <v>84</v>
      </c>
      <c r="H709" s="12">
        <v>491.83333333333297</v>
      </c>
      <c r="I709" s="11">
        <v>10</v>
      </c>
      <c r="J709" s="11">
        <v>8</v>
      </c>
      <c r="K709" s="11">
        <v>285</v>
      </c>
      <c r="L709" s="11">
        <v>2.03320908166723E-2</v>
      </c>
      <c r="M709" s="11">
        <f t="shared" si="2"/>
        <v>2.0332090816672332</v>
      </c>
      <c r="N709" s="11">
        <v>0.8</v>
      </c>
      <c r="O709" s="11">
        <v>0.57946458827516101</v>
      </c>
      <c r="P709" s="11">
        <v>0.244087837837838</v>
      </c>
      <c r="Q709" s="11">
        <v>0.214285714285714</v>
      </c>
      <c r="R709" s="11">
        <v>0.281007751937984</v>
      </c>
      <c r="S709" s="10" t="s">
        <v>84</v>
      </c>
      <c r="T709" s="10" t="s">
        <v>84</v>
      </c>
      <c r="U709" s="10"/>
      <c r="V709" s="10"/>
      <c r="W709" s="10"/>
      <c r="X709" s="10"/>
      <c r="Y709" s="10"/>
      <c r="Z709" s="10"/>
      <c r="AA709" s="10"/>
    </row>
    <row r="710" spans="1:27" ht="12.5" x14ac:dyDescent="0.25">
      <c r="A710" s="10" t="s">
        <v>67</v>
      </c>
      <c r="B710" s="10" t="s">
        <v>1065</v>
      </c>
      <c r="C710" s="10" t="s">
        <v>76</v>
      </c>
      <c r="D710" s="11">
        <v>2024</v>
      </c>
      <c r="E710" s="10" t="s">
        <v>81</v>
      </c>
      <c r="F710" s="10" t="s">
        <v>83</v>
      </c>
      <c r="G710" s="10" t="s">
        <v>84</v>
      </c>
      <c r="H710" s="12">
        <v>12534.5</v>
      </c>
      <c r="I710" s="11">
        <v>254</v>
      </c>
      <c r="J710" s="11">
        <v>207</v>
      </c>
      <c r="K710" s="11">
        <v>3008</v>
      </c>
      <c r="L710" s="11">
        <v>2.0264071163588498E-2</v>
      </c>
      <c r="M710" s="11">
        <f t="shared" si="2"/>
        <v>2.0264071163588495</v>
      </c>
      <c r="N710" s="11">
        <v>0.81496062992125995</v>
      </c>
      <c r="O710" s="11">
        <v>0.23997766165383499</v>
      </c>
      <c r="P710" s="11">
        <v>0.24324324324324301</v>
      </c>
      <c r="Q710" s="11">
        <v>0.28571428571428598</v>
      </c>
      <c r="R710" s="11">
        <v>0.27906976744186002</v>
      </c>
      <c r="S710" s="10" t="s">
        <v>84</v>
      </c>
      <c r="T710" s="10" t="s">
        <v>84</v>
      </c>
      <c r="U710" s="10"/>
      <c r="V710" s="10"/>
      <c r="W710" s="10"/>
      <c r="X710" s="10"/>
      <c r="Y710" s="10"/>
      <c r="Z710" s="10"/>
      <c r="AA710" s="10"/>
    </row>
    <row r="711" spans="1:27" ht="12.5" x14ac:dyDescent="0.25">
      <c r="A711" s="10" t="s">
        <v>34</v>
      </c>
      <c r="B711" s="10" t="s">
        <v>1131</v>
      </c>
      <c r="C711" s="10" t="s">
        <v>76</v>
      </c>
      <c r="D711" s="11">
        <v>2024</v>
      </c>
      <c r="E711" s="10" t="s">
        <v>124</v>
      </c>
      <c r="F711" s="10" t="s">
        <v>125</v>
      </c>
      <c r="G711" s="10" t="s">
        <v>84</v>
      </c>
      <c r="H711" s="12">
        <v>547</v>
      </c>
      <c r="I711" s="11">
        <v>11</v>
      </c>
      <c r="J711" s="11">
        <v>11</v>
      </c>
      <c r="K711" s="11">
        <v>29</v>
      </c>
      <c r="L711" s="11">
        <v>2.0109689213894E-2</v>
      </c>
      <c r="M711" s="11">
        <f t="shared" si="2"/>
        <v>2.0109689213893969</v>
      </c>
      <c r="N711" s="11">
        <v>1</v>
      </c>
      <c r="O711" s="11">
        <v>5.3016453382084099E-2</v>
      </c>
      <c r="P711" s="11">
        <v>0.24239864864864899</v>
      </c>
      <c r="Q711" s="11">
        <v>0.469387755102041</v>
      </c>
      <c r="R711" s="11">
        <v>0.19910514541387</v>
      </c>
      <c r="S711" s="10" t="s">
        <v>84</v>
      </c>
      <c r="T711" s="10" t="s">
        <v>84</v>
      </c>
      <c r="U711" s="10"/>
      <c r="V711" s="10"/>
      <c r="W711" s="10"/>
      <c r="X711" s="10"/>
      <c r="Y711" s="10"/>
      <c r="Z711" s="10"/>
      <c r="AA711" s="10"/>
    </row>
    <row r="712" spans="1:27" ht="12.5" x14ac:dyDescent="0.25">
      <c r="A712" s="10" t="s">
        <v>16</v>
      </c>
      <c r="B712" s="10" t="s">
        <v>1134</v>
      </c>
      <c r="C712" s="10" t="s">
        <v>76</v>
      </c>
      <c r="D712" s="11">
        <v>2024</v>
      </c>
      <c r="E712" s="10" t="s">
        <v>124</v>
      </c>
      <c r="F712" s="10" t="s">
        <v>83</v>
      </c>
      <c r="G712" s="10" t="s">
        <v>84</v>
      </c>
      <c r="H712" s="12">
        <v>31045.833333333299</v>
      </c>
      <c r="I712" s="11">
        <v>624</v>
      </c>
      <c r="J712" s="11">
        <v>440</v>
      </c>
      <c r="K712" s="11">
        <v>32399</v>
      </c>
      <c r="L712" s="11">
        <v>2.0099315528117001E-2</v>
      </c>
      <c r="M712" s="11">
        <f t="shared" si="2"/>
        <v>2.0099315528117052</v>
      </c>
      <c r="N712" s="11">
        <v>0.70512820512820495</v>
      </c>
      <c r="O712" s="11">
        <v>1.0435860958260601</v>
      </c>
      <c r="P712" s="11">
        <v>0.241554054054054</v>
      </c>
      <c r="Q712" s="11">
        <v>6.6666666666666693E-2</v>
      </c>
      <c r="R712" s="11">
        <v>0.196868008948546</v>
      </c>
      <c r="S712" s="10" t="s">
        <v>84</v>
      </c>
      <c r="T712" s="10" t="s">
        <v>84</v>
      </c>
      <c r="U712" s="10"/>
      <c r="V712" s="10"/>
      <c r="W712" s="10"/>
      <c r="X712" s="10"/>
      <c r="Y712" s="10"/>
      <c r="Z712" s="10"/>
      <c r="AA712" s="10"/>
    </row>
    <row r="713" spans="1:27" ht="12.5" x14ac:dyDescent="0.25">
      <c r="A713" s="10" t="s">
        <v>43</v>
      </c>
      <c r="B713" s="10" t="s">
        <v>1137</v>
      </c>
      <c r="C713" s="10" t="s">
        <v>76</v>
      </c>
      <c r="D713" s="11">
        <v>2024</v>
      </c>
      <c r="E713" s="10" t="s">
        <v>124</v>
      </c>
      <c r="F713" s="10" t="s">
        <v>83</v>
      </c>
      <c r="G713" s="10" t="s">
        <v>84</v>
      </c>
      <c r="H713" s="12">
        <v>13384</v>
      </c>
      <c r="I713" s="11">
        <v>269</v>
      </c>
      <c r="J713" s="11">
        <v>191</v>
      </c>
      <c r="K713" s="11">
        <v>25221</v>
      </c>
      <c r="L713" s="11">
        <v>2.0098625224148198E-2</v>
      </c>
      <c r="M713" s="11">
        <f t="shared" si="2"/>
        <v>2.0098625224148234</v>
      </c>
      <c r="N713" s="11">
        <v>0.71003717472118999</v>
      </c>
      <c r="O713" s="11">
        <v>1.8844142259414201</v>
      </c>
      <c r="P713" s="11">
        <v>0.24070945945945901</v>
      </c>
      <c r="Q713" s="11">
        <v>0.46153846153846201</v>
      </c>
      <c r="R713" s="11">
        <v>0.194630872483221</v>
      </c>
      <c r="S713" s="10" t="s">
        <v>84</v>
      </c>
      <c r="T713" s="10" t="s">
        <v>84</v>
      </c>
      <c r="U713" s="10"/>
      <c r="V713" s="10"/>
      <c r="W713" s="10"/>
      <c r="X713" s="10"/>
      <c r="Y713" s="10"/>
      <c r="Z713" s="10"/>
      <c r="AA713" s="10"/>
    </row>
    <row r="714" spans="1:27" ht="12.5" x14ac:dyDescent="0.25">
      <c r="A714" s="10" t="s">
        <v>67</v>
      </c>
      <c r="B714" s="10" t="s">
        <v>1139</v>
      </c>
      <c r="C714" s="10" t="s">
        <v>76</v>
      </c>
      <c r="D714" s="11">
        <v>2024</v>
      </c>
      <c r="E714" s="10" t="s">
        <v>124</v>
      </c>
      <c r="F714" s="10" t="s">
        <v>83</v>
      </c>
      <c r="G714" s="10" t="s">
        <v>84</v>
      </c>
      <c r="H714" s="12">
        <v>10312.416666666701</v>
      </c>
      <c r="I714" s="11">
        <v>207</v>
      </c>
      <c r="J714" s="11">
        <v>203</v>
      </c>
      <c r="K714" s="11">
        <v>15693</v>
      </c>
      <c r="L714" s="11">
        <v>2.00728894778948E-2</v>
      </c>
      <c r="M714" s="11">
        <f t="shared" si="2"/>
        <v>2.0072889477894709</v>
      </c>
      <c r="N714" s="11">
        <v>0.98067632850241504</v>
      </c>
      <c r="O714" s="11">
        <v>1.52175775157779</v>
      </c>
      <c r="P714" s="11">
        <v>0.239864864864865</v>
      </c>
      <c r="Q714" s="11">
        <v>0.238095238095238</v>
      </c>
      <c r="R714" s="11">
        <v>0.192393736017897</v>
      </c>
      <c r="S714" s="10" t="s">
        <v>84</v>
      </c>
      <c r="T714" s="10" t="s">
        <v>84</v>
      </c>
      <c r="U714" s="10"/>
      <c r="V714" s="10"/>
      <c r="W714" s="10"/>
      <c r="X714" s="10"/>
      <c r="Y714" s="10"/>
      <c r="Z714" s="10"/>
      <c r="AA714" s="10"/>
    </row>
    <row r="715" spans="1:27" ht="12.5" x14ac:dyDescent="0.25">
      <c r="A715" s="10" t="s">
        <v>98</v>
      </c>
      <c r="B715" s="10" t="s">
        <v>1141</v>
      </c>
      <c r="C715" s="10" t="s">
        <v>76</v>
      </c>
      <c r="D715" s="11">
        <v>2024</v>
      </c>
      <c r="E715" s="10" t="s">
        <v>124</v>
      </c>
      <c r="F715" s="10" t="s">
        <v>83</v>
      </c>
      <c r="G715" s="10" t="s">
        <v>84</v>
      </c>
      <c r="H715" s="12">
        <v>8590.4166666666697</v>
      </c>
      <c r="I715" s="11">
        <v>171</v>
      </c>
      <c r="J715" s="11">
        <v>152</v>
      </c>
      <c r="K715" s="11">
        <v>17296</v>
      </c>
      <c r="L715" s="11">
        <v>1.9905902895668601E-2</v>
      </c>
      <c r="M715" s="11">
        <f t="shared" si="2"/>
        <v>1.9905902895668615</v>
      </c>
      <c r="N715" s="11">
        <v>0.88888888888888895</v>
      </c>
      <c r="O715" s="11">
        <v>2.01340641218412</v>
      </c>
      <c r="P715" s="11">
        <v>0.23902027027027001</v>
      </c>
      <c r="Q715" s="11">
        <v>0</v>
      </c>
      <c r="R715" s="11">
        <v>0.190156599552573</v>
      </c>
      <c r="S715" s="10" t="s">
        <v>84</v>
      </c>
      <c r="T715" s="10" t="s">
        <v>84</v>
      </c>
      <c r="U715" s="10"/>
      <c r="V715" s="10"/>
      <c r="W715" s="10"/>
      <c r="X715" s="10"/>
      <c r="Y715" s="10"/>
      <c r="Z715" s="10"/>
      <c r="AA715" s="10"/>
    </row>
    <row r="716" spans="1:27" ht="12.5" x14ac:dyDescent="0.25">
      <c r="A716" s="10" t="s">
        <v>43</v>
      </c>
      <c r="B716" s="10" t="s">
        <v>1144</v>
      </c>
      <c r="C716" s="10" t="s">
        <v>76</v>
      </c>
      <c r="D716" s="11">
        <v>2024</v>
      </c>
      <c r="E716" s="10" t="s">
        <v>124</v>
      </c>
      <c r="F716" s="10" t="s">
        <v>83</v>
      </c>
      <c r="G716" s="10" t="s">
        <v>84</v>
      </c>
      <c r="H716" s="12">
        <v>8801</v>
      </c>
      <c r="I716" s="11">
        <v>174</v>
      </c>
      <c r="J716" s="11">
        <v>94</v>
      </c>
      <c r="K716" s="11">
        <v>6035</v>
      </c>
      <c r="L716" s="11">
        <v>1.9770480627201499E-2</v>
      </c>
      <c r="M716" s="11">
        <f t="shared" si="2"/>
        <v>1.9770480627201454</v>
      </c>
      <c r="N716" s="11">
        <v>0.54022988505747105</v>
      </c>
      <c r="O716" s="11">
        <v>0.68571753209862496</v>
      </c>
      <c r="P716" s="11">
        <v>0.237331081081081</v>
      </c>
      <c r="Q716" s="11">
        <v>0.38461538461538503</v>
      </c>
      <c r="R716" s="11">
        <v>0.187919463087248</v>
      </c>
      <c r="S716" s="10" t="s">
        <v>84</v>
      </c>
      <c r="T716" s="10" t="s">
        <v>84</v>
      </c>
      <c r="U716" s="10"/>
      <c r="V716" s="10"/>
      <c r="W716" s="10"/>
      <c r="X716" s="10"/>
      <c r="Y716" s="10"/>
      <c r="Z716" s="10"/>
      <c r="AA716" s="10"/>
    </row>
    <row r="717" spans="1:27" ht="12.5" x14ac:dyDescent="0.25">
      <c r="A717" s="10" t="s">
        <v>16</v>
      </c>
      <c r="B717" s="10" t="s">
        <v>1067</v>
      </c>
      <c r="C717" s="10" t="s">
        <v>76</v>
      </c>
      <c r="D717" s="11">
        <v>2024</v>
      </c>
      <c r="E717" s="10" t="s">
        <v>81</v>
      </c>
      <c r="F717" s="10" t="s">
        <v>83</v>
      </c>
      <c r="G717" s="10" t="s">
        <v>84</v>
      </c>
      <c r="H717" s="12">
        <v>28751.083333333299</v>
      </c>
      <c r="I717" s="11">
        <v>566</v>
      </c>
      <c r="J717" s="11">
        <v>458</v>
      </c>
      <c r="K717" s="11">
        <v>21929</v>
      </c>
      <c r="L717" s="11">
        <v>1.96862147223438E-2</v>
      </c>
      <c r="M717" s="11">
        <f t="shared" si="2"/>
        <v>1.968621472234382</v>
      </c>
      <c r="N717" s="11">
        <v>0.809187279151943</v>
      </c>
      <c r="O717" s="11">
        <v>0.76271908594748605</v>
      </c>
      <c r="P717" s="11">
        <v>0.23648648648648599</v>
      </c>
      <c r="Q717" s="11">
        <v>3.3333333333333298E-2</v>
      </c>
      <c r="R717" s="11">
        <v>0.27713178294573598</v>
      </c>
      <c r="S717" s="10" t="s">
        <v>84</v>
      </c>
      <c r="T717" s="10" t="s">
        <v>84</v>
      </c>
      <c r="U717" s="10"/>
      <c r="V717" s="10"/>
      <c r="W717" s="10"/>
      <c r="X717" s="10"/>
      <c r="Y717" s="10"/>
      <c r="Z717" s="10"/>
      <c r="AA717" s="10"/>
    </row>
    <row r="718" spans="1:27" ht="12.5" x14ac:dyDescent="0.25">
      <c r="A718" s="10" t="s">
        <v>82</v>
      </c>
      <c r="B718" s="10" t="s">
        <v>1146</v>
      </c>
      <c r="C718" s="10" t="s">
        <v>76</v>
      </c>
      <c r="D718" s="11">
        <v>2024</v>
      </c>
      <c r="E718" s="10" t="s">
        <v>124</v>
      </c>
      <c r="F718" s="10" t="s">
        <v>83</v>
      </c>
      <c r="G718" s="10" t="s">
        <v>84</v>
      </c>
      <c r="H718" s="12">
        <v>8133.9166666666697</v>
      </c>
      <c r="I718" s="11">
        <v>160</v>
      </c>
      <c r="J718" s="11">
        <v>146</v>
      </c>
      <c r="K718" s="11">
        <v>493</v>
      </c>
      <c r="L718" s="11">
        <v>1.9670720337680699E-2</v>
      </c>
      <c r="M718" s="11">
        <f t="shared" si="2"/>
        <v>1.9670720337680692</v>
      </c>
      <c r="N718" s="11">
        <v>0.91249999999999998</v>
      </c>
      <c r="O718" s="11">
        <v>6.0610407040478702E-2</v>
      </c>
      <c r="P718" s="11">
        <v>0.235641891891892</v>
      </c>
      <c r="Q718" s="11">
        <v>0.431034482758621</v>
      </c>
      <c r="R718" s="11">
        <v>0.18568232662192399</v>
      </c>
      <c r="S718" s="10" t="s">
        <v>84</v>
      </c>
      <c r="T718" s="10" t="s">
        <v>84</v>
      </c>
      <c r="U718" s="10"/>
      <c r="V718" s="10"/>
      <c r="W718" s="10"/>
      <c r="X718" s="10"/>
      <c r="Y718" s="10"/>
      <c r="Z718" s="10"/>
      <c r="AA718" s="10"/>
    </row>
    <row r="719" spans="1:27" ht="12.5" x14ac:dyDescent="0.25">
      <c r="A719" s="10" t="s">
        <v>82</v>
      </c>
      <c r="B719" s="10" t="s">
        <v>1149</v>
      </c>
      <c r="C719" s="10" t="s">
        <v>76</v>
      </c>
      <c r="D719" s="11">
        <v>2024</v>
      </c>
      <c r="E719" s="10" t="s">
        <v>124</v>
      </c>
      <c r="F719" s="10" t="s">
        <v>83</v>
      </c>
      <c r="G719" s="10" t="s">
        <v>84</v>
      </c>
      <c r="H719" s="12">
        <v>5494.3333333333303</v>
      </c>
      <c r="I719" s="11">
        <v>108</v>
      </c>
      <c r="J719" s="11">
        <v>70</v>
      </c>
      <c r="K719" s="11">
        <v>561</v>
      </c>
      <c r="L719" s="11">
        <v>1.9656615907298398E-2</v>
      </c>
      <c r="M719" s="11">
        <f t="shared" si="2"/>
        <v>1.965661590729844</v>
      </c>
      <c r="N719" s="11">
        <v>0.64814814814814803</v>
      </c>
      <c r="O719" s="11">
        <v>0.10210519929624499</v>
      </c>
      <c r="P719" s="11">
        <v>0.23479729729729701</v>
      </c>
      <c r="Q719" s="11">
        <v>0.41379310344827602</v>
      </c>
      <c r="R719" s="11">
        <v>0.18344519015659999</v>
      </c>
      <c r="S719" s="10" t="s">
        <v>84</v>
      </c>
      <c r="T719" s="10" t="s">
        <v>84</v>
      </c>
      <c r="U719" s="10"/>
      <c r="V719" s="10"/>
      <c r="W719" s="10"/>
      <c r="X719" s="10"/>
      <c r="Y719" s="10"/>
      <c r="Z719" s="10"/>
      <c r="AA719" s="10"/>
    </row>
    <row r="720" spans="1:27" ht="12.5" x14ac:dyDescent="0.25">
      <c r="A720" s="10" t="s">
        <v>34</v>
      </c>
      <c r="B720" s="10" t="s">
        <v>1069</v>
      </c>
      <c r="C720" s="10" t="s">
        <v>76</v>
      </c>
      <c r="D720" s="11">
        <v>2024</v>
      </c>
      <c r="E720" s="10" t="s">
        <v>81</v>
      </c>
      <c r="F720" s="10" t="s">
        <v>83</v>
      </c>
      <c r="G720" s="10" t="s">
        <v>84</v>
      </c>
      <c r="H720" s="12">
        <v>20731.5</v>
      </c>
      <c r="I720" s="11">
        <v>406</v>
      </c>
      <c r="J720" s="11">
        <v>248</v>
      </c>
      <c r="K720" s="11">
        <v>10666</v>
      </c>
      <c r="L720" s="11">
        <v>1.9583725249017199E-2</v>
      </c>
      <c r="M720" s="11">
        <f t="shared" si="2"/>
        <v>1.9583725249017196</v>
      </c>
      <c r="N720" s="11">
        <v>0.61083743842364502</v>
      </c>
      <c r="O720" s="11">
        <v>0.51448279188674195</v>
      </c>
      <c r="P720" s="11">
        <v>0.233108108108108</v>
      </c>
      <c r="Q720" s="11">
        <v>0.44897959183673503</v>
      </c>
      <c r="R720" s="11">
        <v>0.275193798449612</v>
      </c>
      <c r="S720" s="10" t="s">
        <v>84</v>
      </c>
      <c r="T720" s="10" t="s">
        <v>84</v>
      </c>
      <c r="U720" s="10"/>
      <c r="V720" s="10"/>
      <c r="W720" s="10"/>
      <c r="X720" s="10"/>
      <c r="Y720" s="10"/>
      <c r="Z720" s="10"/>
      <c r="AA720" s="10"/>
    </row>
    <row r="721" spans="1:27" ht="12.5" x14ac:dyDescent="0.25">
      <c r="A721" s="10" t="s">
        <v>77</v>
      </c>
      <c r="B721" s="10" t="s">
        <v>1152</v>
      </c>
      <c r="C721" s="10" t="s">
        <v>76</v>
      </c>
      <c r="D721" s="11">
        <v>2024</v>
      </c>
      <c r="E721" s="10" t="s">
        <v>124</v>
      </c>
      <c r="F721" s="10" t="s">
        <v>83</v>
      </c>
      <c r="G721" s="10" t="s">
        <v>84</v>
      </c>
      <c r="H721" s="12">
        <v>14415.25</v>
      </c>
      <c r="I721" s="11">
        <v>282</v>
      </c>
      <c r="J721" s="11">
        <v>304</v>
      </c>
      <c r="K721" s="11">
        <v>282</v>
      </c>
      <c r="L721" s="11">
        <v>1.9562615979604899E-2</v>
      </c>
      <c r="M721" s="11">
        <f t="shared" si="2"/>
        <v>1.9562615979604934</v>
      </c>
      <c r="N721" s="11">
        <v>1.07801418439716</v>
      </c>
      <c r="O721" s="11">
        <v>1.9562615979604899E-2</v>
      </c>
      <c r="P721" s="11">
        <v>0.23226351351351401</v>
      </c>
      <c r="Q721" s="11">
        <v>0.17857142857142899</v>
      </c>
      <c r="R721" s="11">
        <v>0.18120805369127499</v>
      </c>
      <c r="S721" s="10" t="s">
        <v>84</v>
      </c>
      <c r="T721" s="10" t="s">
        <v>84</v>
      </c>
      <c r="U721" s="10"/>
      <c r="V721" s="10"/>
      <c r="W721" s="10"/>
      <c r="X721" s="10"/>
      <c r="Y721" s="10"/>
      <c r="Z721" s="10"/>
      <c r="AA721" s="10"/>
    </row>
    <row r="722" spans="1:27" ht="12.5" x14ac:dyDescent="0.25">
      <c r="A722" s="10" t="s">
        <v>92</v>
      </c>
      <c r="B722" s="10" t="s">
        <v>1154</v>
      </c>
      <c r="C722" s="10" t="s">
        <v>76</v>
      </c>
      <c r="D722" s="11">
        <v>2024</v>
      </c>
      <c r="E722" s="10" t="s">
        <v>124</v>
      </c>
      <c r="F722" s="10" t="s">
        <v>83</v>
      </c>
      <c r="G722" s="10" t="s">
        <v>84</v>
      </c>
      <c r="H722" s="12">
        <v>14835.5</v>
      </c>
      <c r="I722" s="11">
        <v>290</v>
      </c>
      <c r="J722" s="11">
        <v>290</v>
      </c>
      <c r="K722" s="11">
        <v>6727</v>
      </c>
      <c r="L722" s="11">
        <v>1.95477065147787E-2</v>
      </c>
      <c r="M722" s="11">
        <f t="shared" si="2"/>
        <v>1.9547706514778738</v>
      </c>
      <c r="N722" s="11">
        <v>1</v>
      </c>
      <c r="O722" s="11">
        <v>0.45343938525833299</v>
      </c>
      <c r="P722" s="11">
        <v>0.231418918918919</v>
      </c>
      <c r="Q722" s="11">
        <v>0.55555555555555602</v>
      </c>
      <c r="R722" s="11">
        <v>0.17897091722595099</v>
      </c>
      <c r="S722" s="10" t="s">
        <v>84</v>
      </c>
      <c r="T722" s="10" t="s">
        <v>84</v>
      </c>
      <c r="U722" s="10"/>
      <c r="V722" s="10"/>
      <c r="W722" s="10"/>
      <c r="X722" s="10"/>
      <c r="Y722" s="10"/>
      <c r="Z722" s="10"/>
      <c r="AA722" s="10"/>
    </row>
    <row r="723" spans="1:27" ht="12.5" x14ac:dyDescent="0.25">
      <c r="A723" s="10" t="s">
        <v>55</v>
      </c>
      <c r="B723" s="10" t="s">
        <v>1071</v>
      </c>
      <c r="C723" s="10" t="s">
        <v>76</v>
      </c>
      <c r="D723" s="11">
        <v>2024</v>
      </c>
      <c r="E723" s="10" t="s">
        <v>81</v>
      </c>
      <c r="F723" s="10" t="s">
        <v>83</v>
      </c>
      <c r="G723" s="10" t="s">
        <v>84</v>
      </c>
      <c r="H723" s="12">
        <v>204.916666666667</v>
      </c>
      <c r="I723" s="11">
        <v>4</v>
      </c>
      <c r="J723" s="11">
        <v>4</v>
      </c>
      <c r="K723" s="11">
        <v>15</v>
      </c>
      <c r="L723" s="11">
        <v>1.9520130134200901E-2</v>
      </c>
      <c r="M723" s="11">
        <f t="shared" si="2"/>
        <v>1.9520130134200862</v>
      </c>
      <c r="N723" s="11">
        <v>1</v>
      </c>
      <c r="O723" s="11">
        <v>7.3200488003253406E-2</v>
      </c>
      <c r="P723" s="11">
        <v>0.23057432432432401</v>
      </c>
      <c r="Q723" s="11">
        <v>0.13636363636363599</v>
      </c>
      <c r="R723" s="11">
        <v>0.27325581395348802</v>
      </c>
      <c r="S723" s="10" t="s">
        <v>84</v>
      </c>
      <c r="T723" s="10" t="s">
        <v>84</v>
      </c>
      <c r="U723" s="10"/>
      <c r="V723" s="10"/>
      <c r="W723" s="10"/>
      <c r="X723" s="10"/>
      <c r="Y723" s="10"/>
      <c r="Z723" s="10"/>
      <c r="AA723" s="10"/>
    </row>
    <row r="724" spans="1:27" ht="12.5" x14ac:dyDescent="0.25">
      <c r="A724" s="10" t="s">
        <v>34</v>
      </c>
      <c r="B724" s="10" t="s">
        <v>1156</v>
      </c>
      <c r="C724" s="10" t="s">
        <v>76</v>
      </c>
      <c r="D724" s="11">
        <v>2024</v>
      </c>
      <c r="E724" s="10" t="s">
        <v>124</v>
      </c>
      <c r="F724" s="10" t="s">
        <v>83</v>
      </c>
      <c r="G724" s="10" t="s">
        <v>84</v>
      </c>
      <c r="H724" s="12">
        <v>4661.9166666666697</v>
      </c>
      <c r="I724" s="11">
        <v>91</v>
      </c>
      <c r="J724" s="11">
        <v>83</v>
      </c>
      <c r="K724" s="11">
        <v>6561</v>
      </c>
      <c r="L724" s="11">
        <v>1.95198684375168E-2</v>
      </c>
      <c r="M724" s="11">
        <f t="shared" si="2"/>
        <v>1.9519868437516745</v>
      </c>
      <c r="N724" s="11">
        <v>0.91208791208791196</v>
      </c>
      <c r="O724" s="11">
        <v>1.40736106394008</v>
      </c>
      <c r="P724" s="11">
        <v>0.22972972972972999</v>
      </c>
      <c r="Q724" s="11">
        <v>0.42857142857142899</v>
      </c>
      <c r="R724" s="11">
        <v>0.17673378076062601</v>
      </c>
      <c r="S724" s="10" t="s">
        <v>84</v>
      </c>
      <c r="T724" s="10" t="s">
        <v>84</v>
      </c>
      <c r="U724" s="10"/>
      <c r="V724" s="10"/>
      <c r="W724" s="10"/>
      <c r="X724" s="10"/>
      <c r="Y724" s="10"/>
      <c r="Z724" s="10"/>
      <c r="AA724" s="10"/>
    </row>
    <row r="725" spans="1:27" ht="12.5" x14ac:dyDescent="0.25">
      <c r="A725" s="10" t="s">
        <v>109</v>
      </c>
      <c r="B725" s="10" t="s">
        <v>1073</v>
      </c>
      <c r="C725" s="10" t="s">
        <v>76</v>
      </c>
      <c r="D725" s="11">
        <v>2024</v>
      </c>
      <c r="E725" s="10" t="s">
        <v>81</v>
      </c>
      <c r="F725" s="10" t="s">
        <v>83</v>
      </c>
      <c r="G725" s="10" t="s">
        <v>84</v>
      </c>
      <c r="H725" s="12">
        <v>9226.5833333333303</v>
      </c>
      <c r="I725" s="11">
        <v>179</v>
      </c>
      <c r="J725" s="11">
        <v>170</v>
      </c>
      <c r="K725" s="11">
        <v>1335</v>
      </c>
      <c r="L725" s="11">
        <v>1.9400464238296899E-2</v>
      </c>
      <c r="M725" s="11">
        <f t="shared" si="2"/>
        <v>1.9400464238296957</v>
      </c>
      <c r="N725" s="11">
        <v>0.94972067039106101</v>
      </c>
      <c r="O725" s="11">
        <v>0.14469061317389101</v>
      </c>
      <c r="P725" s="11">
        <v>0.228885135135135</v>
      </c>
      <c r="Q725" s="11">
        <v>0.27777777777777801</v>
      </c>
      <c r="R725" s="11">
        <v>0.27131782945736399</v>
      </c>
      <c r="S725" s="10" t="s">
        <v>84</v>
      </c>
      <c r="T725" s="10" t="s">
        <v>84</v>
      </c>
      <c r="U725" s="10"/>
      <c r="V725" s="10"/>
      <c r="W725" s="10"/>
      <c r="X725" s="10"/>
      <c r="Y725" s="10"/>
      <c r="Z725" s="10"/>
      <c r="AA725" s="10"/>
    </row>
    <row r="726" spans="1:27" ht="12.5" x14ac:dyDescent="0.25">
      <c r="A726" s="10" t="s">
        <v>36</v>
      </c>
      <c r="B726" s="10" t="s">
        <v>1003</v>
      </c>
      <c r="C726" s="10" t="s">
        <v>76</v>
      </c>
      <c r="D726" s="11">
        <v>2024</v>
      </c>
      <c r="E726" s="10" t="s">
        <v>81</v>
      </c>
      <c r="F726" s="10" t="s">
        <v>83</v>
      </c>
      <c r="G726" s="10" t="s">
        <v>84</v>
      </c>
      <c r="H726" s="12">
        <v>13024.833333333299</v>
      </c>
      <c r="I726" s="11">
        <v>250</v>
      </c>
      <c r="J726" s="11">
        <v>206</v>
      </c>
      <c r="K726" s="11">
        <v>23143</v>
      </c>
      <c r="L726" s="11">
        <v>1.91941035713829E-2</v>
      </c>
      <c r="M726" s="11">
        <f t="shared" si="2"/>
        <v>1.9194103571382921</v>
      </c>
      <c r="N726" s="11">
        <v>0.82399999999999995</v>
      </c>
      <c r="O726" s="11">
        <v>1.7768365558100601</v>
      </c>
      <c r="P726" s="11">
        <v>0.227195945945946</v>
      </c>
      <c r="Q726" s="11">
        <v>0.14893617021276601</v>
      </c>
      <c r="R726" s="11">
        <v>0.26744186046511598</v>
      </c>
      <c r="S726" s="10" t="s">
        <v>84</v>
      </c>
      <c r="T726" s="10" t="s">
        <v>84</v>
      </c>
      <c r="U726" s="10"/>
      <c r="V726" s="10"/>
      <c r="W726" s="10"/>
      <c r="X726" s="10"/>
      <c r="Y726" s="10"/>
      <c r="Z726" s="10"/>
      <c r="AA726" s="10"/>
    </row>
    <row r="727" spans="1:27" ht="12.5" hidden="1" x14ac:dyDescent="0.25">
      <c r="A727" s="10" t="s">
        <v>67</v>
      </c>
      <c r="B727" s="10" t="s">
        <v>1460</v>
      </c>
      <c r="C727" s="10" t="s">
        <v>76</v>
      </c>
      <c r="D727" s="11">
        <v>2024</v>
      </c>
      <c r="E727" s="10" t="s">
        <v>257</v>
      </c>
      <c r="F727" s="10" t="s">
        <v>83</v>
      </c>
      <c r="G727" s="10" t="s">
        <v>84</v>
      </c>
      <c r="H727" s="12">
        <v>3759.5833333333298</v>
      </c>
      <c r="I727" s="11">
        <v>72</v>
      </c>
      <c r="J727" s="11">
        <v>30</v>
      </c>
      <c r="K727" s="11">
        <v>4239</v>
      </c>
      <c r="L727" s="11">
        <v>1.9151058406295E-2</v>
      </c>
      <c r="M727" s="11">
        <f t="shared" si="2"/>
        <v>1.9151058406295041</v>
      </c>
      <c r="N727" s="11">
        <v>0.41666666666666702</v>
      </c>
      <c r="O727" s="11">
        <v>1.12751856367062</v>
      </c>
      <c r="P727" s="11">
        <v>0.22635135135135101</v>
      </c>
      <c r="Q727" s="11">
        <v>0.19047619047618999</v>
      </c>
      <c r="R727" s="11">
        <v>0.36363636363636398</v>
      </c>
      <c r="S727" s="10" t="s">
        <v>84</v>
      </c>
      <c r="T727" s="10" t="s">
        <v>84</v>
      </c>
      <c r="U727" s="10"/>
      <c r="V727" s="10"/>
      <c r="W727" s="10"/>
      <c r="X727" s="10"/>
      <c r="Y727" s="10"/>
      <c r="Z727" s="10"/>
      <c r="AA727" s="10"/>
    </row>
    <row r="728" spans="1:27" ht="12.5" x14ac:dyDescent="0.25">
      <c r="A728" s="10" t="s">
        <v>77</v>
      </c>
      <c r="B728" s="10" t="s">
        <v>1078</v>
      </c>
      <c r="C728" s="10" t="s">
        <v>76</v>
      </c>
      <c r="D728" s="11">
        <v>2024</v>
      </c>
      <c r="E728" s="10" t="s">
        <v>81</v>
      </c>
      <c r="F728" s="10" t="s">
        <v>125</v>
      </c>
      <c r="G728" s="10" t="s">
        <v>84</v>
      </c>
      <c r="H728" s="12">
        <v>14010.833333333299</v>
      </c>
      <c r="I728" s="11">
        <v>267</v>
      </c>
      <c r="J728" s="11">
        <v>209</v>
      </c>
      <c r="K728" s="11">
        <v>10464</v>
      </c>
      <c r="L728" s="11">
        <v>1.9056682329150101E-2</v>
      </c>
      <c r="M728" s="11">
        <f t="shared" si="2"/>
        <v>1.9056682329150108</v>
      </c>
      <c r="N728" s="11">
        <v>0.78277153558052404</v>
      </c>
      <c r="O728" s="11">
        <v>0.74685065128174599</v>
      </c>
      <c r="P728" s="11">
        <v>0.22550675675675699</v>
      </c>
      <c r="Q728" s="11">
        <v>0.14285714285714299</v>
      </c>
      <c r="R728" s="11">
        <v>0.265503875968992</v>
      </c>
      <c r="S728" s="10" t="s">
        <v>84</v>
      </c>
      <c r="T728" s="10" t="s">
        <v>84</v>
      </c>
      <c r="U728" s="10"/>
      <c r="V728" s="10"/>
      <c r="W728" s="10"/>
      <c r="X728" s="10"/>
      <c r="Y728" s="10"/>
      <c r="Z728" s="10"/>
      <c r="AA728" s="10"/>
    </row>
    <row r="729" spans="1:27" ht="12.5" x14ac:dyDescent="0.25">
      <c r="A729" s="10" t="s">
        <v>82</v>
      </c>
      <c r="B729" s="10" t="s">
        <v>1158</v>
      </c>
      <c r="C729" s="10" t="s">
        <v>76</v>
      </c>
      <c r="D729" s="11">
        <v>2024</v>
      </c>
      <c r="E729" s="10" t="s">
        <v>124</v>
      </c>
      <c r="F729" s="10" t="s">
        <v>83</v>
      </c>
      <c r="G729" s="10" t="s">
        <v>84</v>
      </c>
      <c r="H729" s="12">
        <v>1426</v>
      </c>
      <c r="I729" s="11">
        <v>27</v>
      </c>
      <c r="J729" s="11">
        <v>20</v>
      </c>
      <c r="K729" s="11">
        <v>135</v>
      </c>
      <c r="L729" s="11">
        <v>1.89340813464236E-2</v>
      </c>
      <c r="M729" s="11">
        <f t="shared" si="2"/>
        <v>1.8934081346423561</v>
      </c>
      <c r="N729" s="11">
        <v>0.74074074074074103</v>
      </c>
      <c r="O729" s="11">
        <v>9.4670406732117796E-2</v>
      </c>
      <c r="P729" s="11">
        <v>0.22381756756756799</v>
      </c>
      <c r="Q729" s="11">
        <v>0.39655172413793099</v>
      </c>
      <c r="R729" s="11">
        <v>0.17449664429530201</v>
      </c>
      <c r="S729" s="10" t="s">
        <v>84</v>
      </c>
      <c r="T729" s="10" t="s">
        <v>84</v>
      </c>
      <c r="U729" s="10"/>
      <c r="V729" s="10"/>
      <c r="W729" s="10"/>
      <c r="X729" s="10"/>
      <c r="Y729" s="10"/>
      <c r="Z729" s="10"/>
      <c r="AA729" s="10"/>
    </row>
    <row r="730" spans="1:27" ht="12.5" x14ac:dyDescent="0.25">
      <c r="A730" s="10" t="s">
        <v>52</v>
      </c>
      <c r="B730" s="10" t="s">
        <v>1161</v>
      </c>
      <c r="C730" s="10" t="s">
        <v>76</v>
      </c>
      <c r="D730" s="11">
        <v>2024</v>
      </c>
      <c r="E730" s="10" t="s">
        <v>124</v>
      </c>
      <c r="F730" s="10" t="s">
        <v>83</v>
      </c>
      <c r="G730" s="10" t="s">
        <v>84</v>
      </c>
      <c r="H730" s="12">
        <v>10232</v>
      </c>
      <c r="I730" s="11">
        <v>192</v>
      </c>
      <c r="J730" s="11">
        <v>123</v>
      </c>
      <c r="K730" s="11">
        <v>192</v>
      </c>
      <c r="L730" s="11">
        <v>1.8764659890539499E-2</v>
      </c>
      <c r="M730" s="11">
        <f t="shared" si="2"/>
        <v>1.8764659890539486</v>
      </c>
      <c r="N730" s="11">
        <v>0.640625</v>
      </c>
      <c r="O730" s="11">
        <v>1.8764659890539499E-2</v>
      </c>
      <c r="P730" s="11">
        <v>0.222972972972973</v>
      </c>
      <c r="Q730" s="11">
        <v>0.12765957446808501</v>
      </c>
      <c r="R730" s="11">
        <v>0.17225950782997801</v>
      </c>
      <c r="S730" s="10" t="s">
        <v>84</v>
      </c>
      <c r="T730" s="10" t="s">
        <v>84</v>
      </c>
      <c r="U730" s="10"/>
      <c r="V730" s="10"/>
      <c r="W730" s="10"/>
      <c r="X730" s="10"/>
      <c r="Y730" s="10"/>
      <c r="Z730" s="10"/>
      <c r="AA730" s="10"/>
    </row>
    <row r="731" spans="1:27" ht="12.5" x14ac:dyDescent="0.25">
      <c r="A731" s="10" t="s">
        <v>29</v>
      </c>
      <c r="B731" s="10" t="s">
        <v>1163</v>
      </c>
      <c r="C731" s="10" t="s">
        <v>76</v>
      </c>
      <c r="D731" s="11">
        <v>2024</v>
      </c>
      <c r="E731" s="10" t="s">
        <v>124</v>
      </c>
      <c r="F731" s="10" t="s">
        <v>83</v>
      </c>
      <c r="G731" s="10" t="s">
        <v>84</v>
      </c>
      <c r="H731" s="12">
        <v>5737.0833333333303</v>
      </c>
      <c r="I731" s="11">
        <v>106</v>
      </c>
      <c r="J731" s="11">
        <v>92</v>
      </c>
      <c r="K731" s="11">
        <v>582</v>
      </c>
      <c r="L731" s="11">
        <v>1.8476287312077899E-2</v>
      </c>
      <c r="M731" s="11">
        <f t="shared" si="2"/>
        <v>1.8476287312077864</v>
      </c>
      <c r="N731" s="11">
        <v>0.86792452830188704</v>
      </c>
      <c r="O731" s="11">
        <v>0.101445275619144</v>
      </c>
      <c r="P731" s="11">
        <v>0.22212837837837801</v>
      </c>
      <c r="Q731" s="11">
        <v>0.14285714285714299</v>
      </c>
      <c r="R731" s="11">
        <v>0.17002237136465301</v>
      </c>
      <c r="S731" s="10" t="s">
        <v>84</v>
      </c>
      <c r="T731" s="10" t="s">
        <v>84</v>
      </c>
      <c r="U731" s="10"/>
      <c r="V731" s="10"/>
      <c r="W731" s="10"/>
      <c r="X731" s="10"/>
      <c r="Y731" s="10"/>
      <c r="Z731" s="10"/>
      <c r="AA731" s="10"/>
    </row>
    <row r="732" spans="1:27" ht="12.5" x14ac:dyDescent="0.25">
      <c r="A732" s="10" t="s">
        <v>36</v>
      </c>
      <c r="B732" s="10" t="s">
        <v>1080</v>
      </c>
      <c r="C732" s="10" t="s">
        <v>76</v>
      </c>
      <c r="D732" s="11">
        <v>2024</v>
      </c>
      <c r="E732" s="10" t="s">
        <v>81</v>
      </c>
      <c r="F732" s="10" t="s">
        <v>83</v>
      </c>
      <c r="G732" s="10" t="s">
        <v>84</v>
      </c>
      <c r="H732" s="12">
        <v>37447.833333333299</v>
      </c>
      <c r="I732" s="11">
        <v>678</v>
      </c>
      <c r="J732" s="11">
        <v>3936</v>
      </c>
      <c r="K732" s="11">
        <v>59754</v>
      </c>
      <c r="L732" s="11">
        <v>1.81051863258666E-2</v>
      </c>
      <c r="M732" s="11">
        <f t="shared" si="2"/>
        <v>1.8105186325866667</v>
      </c>
      <c r="N732" s="11">
        <v>5.80530973451327</v>
      </c>
      <c r="O732" s="11">
        <v>1.5956597399938599</v>
      </c>
      <c r="P732" s="11">
        <v>0.22128378378378399</v>
      </c>
      <c r="Q732" s="11">
        <v>0.12765957446808501</v>
      </c>
      <c r="R732" s="11">
        <v>0.26356589147286802</v>
      </c>
      <c r="S732" s="10" t="s">
        <v>84</v>
      </c>
      <c r="T732" s="10" t="s">
        <v>84</v>
      </c>
      <c r="U732" s="10"/>
      <c r="V732" s="10"/>
      <c r="W732" s="10"/>
      <c r="X732" s="10"/>
      <c r="Y732" s="10"/>
      <c r="Z732" s="10"/>
      <c r="AA732" s="10"/>
    </row>
    <row r="733" spans="1:27" ht="12.5" hidden="1" x14ac:dyDescent="0.25">
      <c r="A733" s="10" t="s">
        <v>110</v>
      </c>
      <c r="B733" s="10" t="s">
        <v>1461</v>
      </c>
      <c r="C733" s="10" t="s">
        <v>76</v>
      </c>
      <c r="D733" s="11">
        <v>2024</v>
      </c>
      <c r="E733" s="10" t="s">
        <v>257</v>
      </c>
      <c r="F733" s="10" t="s">
        <v>83</v>
      </c>
      <c r="G733" s="10" t="s">
        <v>84</v>
      </c>
      <c r="H733" s="12">
        <v>36924.333333333299</v>
      </c>
      <c r="I733" s="11">
        <v>661</v>
      </c>
      <c r="J733" s="11">
        <v>481</v>
      </c>
      <c r="K733" s="11">
        <v>16648</v>
      </c>
      <c r="L733" s="11">
        <v>1.7901474185947799E-2</v>
      </c>
      <c r="M733" s="11">
        <f t="shared" si="2"/>
        <v>1.7901474185947854</v>
      </c>
      <c r="N733" s="11">
        <v>0.72768532526475005</v>
      </c>
      <c r="O733" s="11">
        <v>0.45086799129751798</v>
      </c>
      <c r="P733" s="11">
        <v>0.22043918918918901</v>
      </c>
      <c r="Q733" s="11">
        <v>0.39393939393939398</v>
      </c>
      <c r="R733" s="11">
        <v>0.34090909090909099</v>
      </c>
      <c r="S733" s="10" t="s">
        <v>84</v>
      </c>
      <c r="T733" s="10" t="s">
        <v>84</v>
      </c>
      <c r="U733" s="10"/>
      <c r="V733" s="10"/>
      <c r="W733" s="10"/>
      <c r="X733" s="10"/>
      <c r="Y733" s="10"/>
      <c r="Z733" s="10"/>
      <c r="AA733" s="10"/>
    </row>
    <row r="734" spans="1:27" ht="12.5" x14ac:dyDescent="0.25">
      <c r="A734" s="10" t="s">
        <v>53</v>
      </c>
      <c r="B734" s="10" t="s">
        <v>1083</v>
      </c>
      <c r="C734" s="10" t="s">
        <v>76</v>
      </c>
      <c r="D734" s="11">
        <v>2024</v>
      </c>
      <c r="E734" s="10" t="s">
        <v>81</v>
      </c>
      <c r="F734" s="10" t="s">
        <v>83</v>
      </c>
      <c r="G734" s="10" t="s">
        <v>84</v>
      </c>
      <c r="H734" s="12">
        <v>7227.5833333333303</v>
      </c>
      <c r="I734" s="11">
        <v>128</v>
      </c>
      <c r="J734" s="11">
        <v>98</v>
      </c>
      <c r="K734" s="11">
        <v>1975</v>
      </c>
      <c r="L734" s="11">
        <v>1.7709930705284201E-2</v>
      </c>
      <c r="M734" s="11">
        <f t="shared" si="2"/>
        <v>1.7709930705284163</v>
      </c>
      <c r="N734" s="11">
        <v>0.765625</v>
      </c>
      <c r="O734" s="11">
        <v>0.27325869642918899</v>
      </c>
      <c r="P734" s="11">
        <v>0.21875</v>
      </c>
      <c r="Q734" s="11">
        <v>0.8</v>
      </c>
      <c r="R734" s="11">
        <v>0.26162790697674398</v>
      </c>
      <c r="S734" s="10" t="s">
        <v>84</v>
      </c>
      <c r="T734" s="10" t="s">
        <v>84</v>
      </c>
      <c r="U734" s="10"/>
      <c r="V734" s="10"/>
      <c r="W734" s="10"/>
      <c r="X734" s="10"/>
      <c r="Y734" s="10"/>
      <c r="Z734" s="10"/>
      <c r="AA734" s="10"/>
    </row>
    <row r="735" spans="1:27" ht="12.5" x14ac:dyDescent="0.25">
      <c r="A735" s="10" t="s">
        <v>53</v>
      </c>
      <c r="B735" s="10" t="s">
        <v>1164</v>
      </c>
      <c r="C735" s="10" t="s">
        <v>76</v>
      </c>
      <c r="D735" s="11">
        <v>2024</v>
      </c>
      <c r="E735" s="10" t="s">
        <v>124</v>
      </c>
      <c r="F735" s="10" t="s">
        <v>83</v>
      </c>
      <c r="G735" s="10" t="s">
        <v>84</v>
      </c>
      <c r="H735" s="12">
        <v>16049.25</v>
      </c>
      <c r="I735" s="11">
        <v>284</v>
      </c>
      <c r="J735" s="11">
        <v>212</v>
      </c>
      <c r="K735" s="11">
        <v>16687</v>
      </c>
      <c r="L735" s="11">
        <v>1.7695530943813601E-2</v>
      </c>
      <c r="M735" s="11">
        <f t="shared" si="2"/>
        <v>1.7695530943813573</v>
      </c>
      <c r="N735" s="11">
        <v>0.74647887323943696</v>
      </c>
      <c r="O735" s="11">
        <v>1.03973705936414</v>
      </c>
      <c r="P735" s="11">
        <v>0.21790540540540501</v>
      </c>
      <c r="Q735" s="11">
        <v>0.77500000000000002</v>
      </c>
      <c r="R735" s="11">
        <v>0.16778523489932901</v>
      </c>
      <c r="S735" s="10" t="s">
        <v>84</v>
      </c>
      <c r="T735" s="10" t="s">
        <v>84</v>
      </c>
      <c r="U735" s="10"/>
      <c r="V735" s="10"/>
      <c r="W735" s="10"/>
      <c r="X735" s="10"/>
      <c r="Y735" s="10"/>
      <c r="Z735" s="10"/>
      <c r="AA735" s="10"/>
    </row>
    <row r="736" spans="1:27" ht="12.5" x14ac:dyDescent="0.25">
      <c r="A736" s="10" t="s">
        <v>92</v>
      </c>
      <c r="B736" s="10" t="s">
        <v>1165</v>
      </c>
      <c r="C736" s="10" t="s">
        <v>76</v>
      </c>
      <c r="D736" s="11">
        <v>2024</v>
      </c>
      <c r="E736" s="10" t="s">
        <v>124</v>
      </c>
      <c r="F736" s="10" t="s">
        <v>83</v>
      </c>
      <c r="G736" s="10" t="s">
        <v>84</v>
      </c>
      <c r="H736" s="12">
        <v>13458.5</v>
      </c>
      <c r="I736" s="11">
        <v>236</v>
      </c>
      <c r="J736" s="11">
        <v>226</v>
      </c>
      <c r="K736" s="11">
        <v>629</v>
      </c>
      <c r="L736" s="11">
        <v>1.7535386558680401E-2</v>
      </c>
      <c r="M736" s="11">
        <f t="shared" si="2"/>
        <v>1.7535386558680386</v>
      </c>
      <c r="N736" s="11">
        <v>0.95762711864406802</v>
      </c>
      <c r="O736" s="11">
        <v>4.6736263328008301E-2</v>
      </c>
      <c r="P736" s="11">
        <v>0.21706081081081099</v>
      </c>
      <c r="Q736" s="11">
        <v>0.5</v>
      </c>
      <c r="R736" s="11">
        <v>0.165548098434004</v>
      </c>
      <c r="S736" s="10" t="s">
        <v>84</v>
      </c>
      <c r="T736" s="10" t="s">
        <v>84</v>
      </c>
      <c r="U736" s="10"/>
      <c r="V736" s="10"/>
      <c r="W736" s="10"/>
      <c r="X736" s="10"/>
      <c r="Y736" s="10"/>
      <c r="Z736" s="10"/>
      <c r="AA736" s="10"/>
    </row>
    <row r="737" spans="1:27" ht="12.5" x14ac:dyDescent="0.25">
      <c r="A737" s="10" t="s">
        <v>88</v>
      </c>
      <c r="B737" s="10" t="s">
        <v>1167</v>
      </c>
      <c r="C737" s="10" t="s">
        <v>76</v>
      </c>
      <c r="D737" s="11">
        <v>2024</v>
      </c>
      <c r="E737" s="10" t="s">
        <v>124</v>
      </c>
      <c r="F737" s="10" t="s">
        <v>83</v>
      </c>
      <c r="G737" s="10" t="s">
        <v>84</v>
      </c>
      <c r="H737" s="12">
        <v>17858.083333333299</v>
      </c>
      <c r="I737" s="11">
        <v>308</v>
      </c>
      <c r="J737" s="11">
        <v>276</v>
      </c>
      <c r="K737" s="11">
        <v>27312</v>
      </c>
      <c r="L737" s="11">
        <v>1.72470916531729E-2</v>
      </c>
      <c r="M737" s="11">
        <f t="shared" si="2"/>
        <v>1.7247091653172966</v>
      </c>
      <c r="N737" s="11">
        <v>0.89610389610389596</v>
      </c>
      <c r="O737" s="11">
        <v>1.5293914520501899</v>
      </c>
      <c r="P737" s="11">
        <v>0.21621621621621601</v>
      </c>
      <c r="Q737" s="11">
        <v>0.33333333333333298</v>
      </c>
      <c r="R737" s="11">
        <v>0.16331096196868</v>
      </c>
      <c r="S737" s="10" t="s">
        <v>84</v>
      </c>
      <c r="T737" s="10" t="s">
        <v>84</v>
      </c>
      <c r="U737" s="10"/>
      <c r="V737" s="10"/>
      <c r="W737" s="10"/>
      <c r="X737" s="10"/>
      <c r="Y737" s="10"/>
      <c r="Z737" s="10"/>
      <c r="AA737" s="10"/>
    </row>
    <row r="738" spans="1:27" ht="12.5" x14ac:dyDescent="0.25">
      <c r="A738" s="10" t="s">
        <v>42</v>
      </c>
      <c r="B738" s="10" t="s">
        <v>1085</v>
      </c>
      <c r="C738" s="10" t="s">
        <v>76</v>
      </c>
      <c r="D738" s="11">
        <v>2024</v>
      </c>
      <c r="E738" s="10" t="s">
        <v>81</v>
      </c>
      <c r="F738" s="10" t="s">
        <v>83</v>
      </c>
      <c r="G738" s="10" t="s">
        <v>84</v>
      </c>
      <c r="H738" s="12">
        <v>16550</v>
      </c>
      <c r="I738" s="11">
        <v>284</v>
      </c>
      <c r="J738" s="11">
        <v>225</v>
      </c>
      <c r="K738" s="11">
        <v>19611</v>
      </c>
      <c r="L738" s="11">
        <v>1.71601208459215E-2</v>
      </c>
      <c r="M738" s="11">
        <f t="shared" si="2"/>
        <v>1.7160120845921452</v>
      </c>
      <c r="N738" s="11">
        <v>0.79225352112676095</v>
      </c>
      <c r="O738" s="11">
        <v>1.1849546827794599</v>
      </c>
      <c r="P738" s="11">
        <v>0.21537162162162199</v>
      </c>
      <c r="Q738" s="11">
        <v>0.16666666666666699</v>
      </c>
      <c r="R738" s="11">
        <v>0.25968992248062001</v>
      </c>
      <c r="S738" s="10" t="s">
        <v>84</v>
      </c>
      <c r="T738" s="10" t="s">
        <v>84</v>
      </c>
      <c r="U738" s="10"/>
      <c r="V738" s="10"/>
      <c r="W738" s="10"/>
      <c r="X738" s="10"/>
      <c r="Y738" s="10"/>
      <c r="Z738" s="10"/>
      <c r="AA738" s="10"/>
    </row>
    <row r="739" spans="1:27" ht="12.5" x14ac:dyDescent="0.25">
      <c r="A739" s="10" t="s">
        <v>12</v>
      </c>
      <c r="B739" s="10" t="s">
        <v>1086</v>
      </c>
      <c r="C739" s="10" t="s">
        <v>76</v>
      </c>
      <c r="D739" s="11">
        <v>2024</v>
      </c>
      <c r="E739" s="10" t="s">
        <v>81</v>
      </c>
      <c r="F739" s="10" t="s">
        <v>83</v>
      </c>
      <c r="G739" s="10" t="s">
        <v>84</v>
      </c>
      <c r="H739" s="12">
        <v>175</v>
      </c>
      <c r="I739" s="11">
        <v>3</v>
      </c>
      <c r="J739" s="11">
        <v>3</v>
      </c>
      <c r="K739" s="11">
        <v>72</v>
      </c>
      <c r="L739" s="11">
        <v>1.7142857142857099E-2</v>
      </c>
      <c r="M739" s="11">
        <f t="shared" si="2"/>
        <v>1.7142857142857144</v>
      </c>
      <c r="N739" s="11">
        <v>1</v>
      </c>
      <c r="O739" s="11">
        <v>0.41142857142857098</v>
      </c>
      <c r="P739" s="11">
        <v>0.214527027027027</v>
      </c>
      <c r="Q739" s="11">
        <v>0.125</v>
      </c>
      <c r="R739" s="11">
        <v>0.25775193798449603</v>
      </c>
      <c r="S739" s="10" t="s">
        <v>84</v>
      </c>
      <c r="T739" s="10" t="s">
        <v>84</v>
      </c>
      <c r="U739" s="10"/>
      <c r="V739" s="10"/>
      <c r="W739" s="10"/>
      <c r="X739" s="10"/>
      <c r="Y739" s="10"/>
      <c r="Z739" s="10"/>
      <c r="AA739" s="10"/>
    </row>
    <row r="740" spans="1:27" ht="12.5" x14ac:dyDescent="0.25">
      <c r="A740" s="10" t="s">
        <v>82</v>
      </c>
      <c r="B740" s="10" t="s">
        <v>1169</v>
      </c>
      <c r="C740" s="10" t="s">
        <v>76</v>
      </c>
      <c r="D740" s="11">
        <v>2024</v>
      </c>
      <c r="E740" s="10" t="s">
        <v>124</v>
      </c>
      <c r="F740" s="10" t="s">
        <v>83</v>
      </c>
      <c r="G740" s="10" t="s">
        <v>84</v>
      </c>
      <c r="H740" s="12">
        <v>14537.75</v>
      </c>
      <c r="I740" s="11">
        <v>248</v>
      </c>
      <c r="J740" s="11">
        <v>248</v>
      </c>
      <c r="K740" s="11">
        <v>4863</v>
      </c>
      <c r="L740" s="11">
        <v>1.7059035958109099E-2</v>
      </c>
      <c r="M740" s="11">
        <f t="shared" si="2"/>
        <v>1.7059035958109061</v>
      </c>
      <c r="N740" s="11">
        <v>1</v>
      </c>
      <c r="O740" s="11">
        <v>0.33450843493663002</v>
      </c>
      <c r="P740" s="11">
        <v>0.21368243243243201</v>
      </c>
      <c r="Q740" s="11">
        <v>0.36206896551724099</v>
      </c>
      <c r="R740" s="11">
        <v>0.161073825503356</v>
      </c>
      <c r="S740" s="10" t="s">
        <v>84</v>
      </c>
      <c r="T740" s="10" t="s">
        <v>84</v>
      </c>
      <c r="U740" s="10"/>
      <c r="V740" s="10"/>
      <c r="W740" s="10"/>
      <c r="X740" s="10"/>
      <c r="Y740" s="10"/>
      <c r="Z740" s="10"/>
      <c r="AA740" s="10"/>
    </row>
    <row r="741" spans="1:27" ht="12.5" hidden="1" x14ac:dyDescent="0.25">
      <c r="A741" s="10" t="s">
        <v>6</v>
      </c>
      <c r="B741" s="10" t="s">
        <v>1465</v>
      </c>
      <c r="C741" s="10" t="s">
        <v>76</v>
      </c>
      <c r="D741" s="11">
        <v>2024</v>
      </c>
      <c r="E741" s="10" t="s">
        <v>257</v>
      </c>
      <c r="F741" s="10" t="s">
        <v>83</v>
      </c>
      <c r="G741" s="10" t="s">
        <v>84</v>
      </c>
      <c r="H741" s="12">
        <v>3192</v>
      </c>
      <c r="I741" s="11">
        <v>54</v>
      </c>
      <c r="J741" s="11">
        <v>47</v>
      </c>
      <c r="K741" s="11">
        <v>2925</v>
      </c>
      <c r="L741" s="11">
        <v>1.6917293233082699E-2</v>
      </c>
      <c r="M741" s="11">
        <f t="shared" si="2"/>
        <v>1.6917293233082706</v>
      </c>
      <c r="N741" s="11">
        <v>0.87037037037037002</v>
      </c>
      <c r="O741" s="11">
        <v>0.91635338345864703</v>
      </c>
      <c r="P741" s="11">
        <v>0.212837837837838</v>
      </c>
      <c r="Q741" s="11">
        <v>0.41935483870967699</v>
      </c>
      <c r="R741" s="11">
        <v>0.31818181818181801</v>
      </c>
      <c r="S741" s="10" t="s">
        <v>84</v>
      </c>
      <c r="T741" s="10" t="s">
        <v>84</v>
      </c>
      <c r="U741" s="10"/>
      <c r="V741" s="10"/>
      <c r="W741" s="10"/>
      <c r="X741" s="10"/>
      <c r="Y741" s="10"/>
      <c r="Z741" s="10"/>
      <c r="AA741" s="10"/>
    </row>
    <row r="742" spans="1:27" ht="12.5" hidden="1" x14ac:dyDescent="0.25">
      <c r="A742" s="10" t="s">
        <v>110</v>
      </c>
      <c r="B742" s="10" t="s">
        <v>1466</v>
      </c>
      <c r="C742" s="10" t="s">
        <v>76</v>
      </c>
      <c r="D742" s="11">
        <v>2024</v>
      </c>
      <c r="E742" s="10" t="s">
        <v>257</v>
      </c>
      <c r="F742" s="10" t="s">
        <v>83</v>
      </c>
      <c r="G742" s="10" t="s">
        <v>84</v>
      </c>
      <c r="H742" s="12">
        <v>33837.833333333299</v>
      </c>
      <c r="I742" s="11">
        <v>570</v>
      </c>
      <c r="J742" s="11">
        <v>570</v>
      </c>
      <c r="K742" s="11">
        <v>30686</v>
      </c>
      <c r="L742" s="11">
        <v>1.6845050165741501E-2</v>
      </c>
      <c r="M742" s="11">
        <f t="shared" si="2"/>
        <v>1.6845050165741517</v>
      </c>
      <c r="N742" s="11">
        <v>1</v>
      </c>
      <c r="O742" s="11">
        <v>0.90685475330867304</v>
      </c>
      <c r="P742" s="11">
        <v>0.21199324324324301</v>
      </c>
      <c r="Q742" s="11">
        <v>0.36363636363636398</v>
      </c>
      <c r="R742" s="11">
        <v>0.29545454545454503</v>
      </c>
      <c r="S742" s="10" t="s">
        <v>84</v>
      </c>
      <c r="T742" s="10" t="s">
        <v>84</v>
      </c>
      <c r="U742" s="10"/>
      <c r="V742" s="10"/>
      <c r="W742" s="10"/>
      <c r="X742" s="10"/>
      <c r="Y742" s="10"/>
      <c r="Z742" s="10"/>
      <c r="AA742" s="10"/>
    </row>
    <row r="743" spans="1:27" ht="12.5" hidden="1" x14ac:dyDescent="0.25">
      <c r="A743" s="10" t="s">
        <v>6</v>
      </c>
      <c r="B743" s="10" t="s">
        <v>1468</v>
      </c>
      <c r="C743" s="10" t="s">
        <v>76</v>
      </c>
      <c r="D743" s="11">
        <v>2024</v>
      </c>
      <c r="E743" s="10" t="s">
        <v>257</v>
      </c>
      <c r="F743" s="10" t="s">
        <v>83</v>
      </c>
      <c r="G743" s="10" t="s">
        <v>84</v>
      </c>
      <c r="H743" s="12">
        <v>5958.8333333333303</v>
      </c>
      <c r="I743" s="11">
        <v>99</v>
      </c>
      <c r="J743" s="11">
        <v>90</v>
      </c>
      <c r="K743" s="11">
        <v>5765</v>
      </c>
      <c r="L743" s="11">
        <v>1.6613990434369098E-2</v>
      </c>
      <c r="M743" s="11">
        <f t="shared" si="2"/>
        <v>1.6613990434369155</v>
      </c>
      <c r="N743" s="11">
        <v>0.90909090909090895</v>
      </c>
      <c r="O743" s="11">
        <v>0.96747126115291004</v>
      </c>
      <c r="P743" s="11">
        <v>0.21114864864864899</v>
      </c>
      <c r="Q743" s="11">
        <v>0.38709677419354799</v>
      </c>
      <c r="R743" s="11">
        <v>0.27272727272727298</v>
      </c>
      <c r="S743" s="10" t="s">
        <v>84</v>
      </c>
      <c r="T743" s="10" t="s">
        <v>84</v>
      </c>
      <c r="U743" s="10"/>
      <c r="V743" s="10"/>
      <c r="W743" s="10"/>
      <c r="X743" s="10"/>
      <c r="Y743" s="10"/>
      <c r="Z743" s="10"/>
      <c r="AA743" s="10"/>
    </row>
    <row r="744" spans="1:27" ht="12.5" x14ac:dyDescent="0.25">
      <c r="A744" s="10" t="s">
        <v>36</v>
      </c>
      <c r="B744" s="10" t="s">
        <v>1088</v>
      </c>
      <c r="C744" s="10" t="s">
        <v>76</v>
      </c>
      <c r="D744" s="11">
        <v>2024</v>
      </c>
      <c r="E744" s="10" t="s">
        <v>81</v>
      </c>
      <c r="F744" s="10" t="s">
        <v>83</v>
      </c>
      <c r="G744" s="10" t="s">
        <v>84</v>
      </c>
      <c r="H744" s="12">
        <v>96943.416666666701</v>
      </c>
      <c r="I744" s="11">
        <v>1603</v>
      </c>
      <c r="J744" s="11">
        <v>1</v>
      </c>
      <c r="K744" s="11">
        <v>148680</v>
      </c>
      <c r="L744" s="11">
        <v>1.6535418856876101E-2</v>
      </c>
      <c r="M744" s="11">
        <f t="shared" si="2"/>
        <v>1.653541885687613</v>
      </c>
      <c r="N744" s="11">
        <v>6.2383031815346204E-4</v>
      </c>
      <c r="O744" s="11">
        <v>1.5336781507425701</v>
      </c>
      <c r="P744" s="11">
        <v>0.210304054054054</v>
      </c>
      <c r="Q744" s="11">
        <v>0.10638297872340401</v>
      </c>
      <c r="R744" s="11">
        <v>0.25581395348837199</v>
      </c>
      <c r="S744" s="10" t="s">
        <v>84</v>
      </c>
      <c r="T744" s="10" t="s">
        <v>84</v>
      </c>
      <c r="U744" s="10"/>
      <c r="V744" s="10"/>
      <c r="W744" s="10"/>
      <c r="X744" s="10"/>
      <c r="Y744" s="10"/>
      <c r="Z744" s="10"/>
      <c r="AA744" s="10"/>
    </row>
    <row r="745" spans="1:27" ht="12.5" x14ac:dyDescent="0.25">
      <c r="A745" s="10" t="s">
        <v>91</v>
      </c>
      <c r="B745" s="10" t="s">
        <v>1091</v>
      </c>
      <c r="C745" s="10" t="s">
        <v>76</v>
      </c>
      <c r="D745" s="11">
        <v>2024</v>
      </c>
      <c r="E745" s="10" t="s">
        <v>81</v>
      </c>
      <c r="F745" s="10" t="s">
        <v>83</v>
      </c>
      <c r="G745" s="10" t="s">
        <v>84</v>
      </c>
      <c r="H745" s="12">
        <v>1151.6666666666699</v>
      </c>
      <c r="I745" s="11">
        <v>19</v>
      </c>
      <c r="J745" s="11">
        <v>18</v>
      </c>
      <c r="K745" s="11">
        <v>451</v>
      </c>
      <c r="L745" s="11">
        <v>1.6497829232995701E-2</v>
      </c>
      <c r="M745" s="11">
        <f t="shared" si="2"/>
        <v>1.6497829232995611</v>
      </c>
      <c r="N745" s="11">
        <v>0.94736842105263197</v>
      </c>
      <c r="O745" s="11">
        <v>0.39160636758321299</v>
      </c>
      <c r="P745" s="11">
        <v>0.20945945945945901</v>
      </c>
      <c r="Q745" s="11">
        <v>0.266666666666667</v>
      </c>
      <c r="R745" s="11">
        <v>0.25387596899224801</v>
      </c>
      <c r="S745" s="10" t="s">
        <v>84</v>
      </c>
      <c r="T745" s="10" t="s">
        <v>84</v>
      </c>
      <c r="U745" s="10"/>
      <c r="V745" s="10"/>
      <c r="W745" s="10"/>
      <c r="X745" s="10"/>
      <c r="Y745" s="10"/>
      <c r="Z745" s="10"/>
      <c r="AA745" s="10"/>
    </row>
    <row r="746" spans="1:27" ht="12.5" x14ac:dyDescent="0.25">
      <c r="A746" s="10" t="s">
        <v>77</v>
      </c>
      <c r="B746" s="10" t="s">
        <v>1093</v>
      </c>
      <c r="C746" s="10" t="s">
        <v>76</v>
      </c>
      <c r="D746" s="11">
        <v>2024</v>
      </c>
      <c r="E746" s="10" t="s">
        <v>81</v>
      </c>
      <c r="F746" s="10" t="s">
        <v>83</v>
      </c>
      <c r="G746" s="10" t="s">
        <v>84</v>
      </c>
      <c r="H746" s="12">
        <v>9336.5</v>
      </c>
      <c r="I746" s="11">
        <v>154</v>
      </c>
      <c r="J746" s="11">
        <v>130</v>
      </c>
      <c r="K746" s="11">
        <v>154</v>
      </c>
      <c r="L746" s="11">
        <v>1.6494403684464198E-2</v>
      </c>
      <c r="M746" s="11">
        <f t="shared" si="2"/>
        <v>1.6494403684464198</v>
      </c>
      <c r="N746" s="11">
        <v>0.84415584415584399</v>
      </c>
      <c r="O746" s="11">
        <v>1.6494403684464198E-2</v>
      </c>
      <c r="P746" s="11">
        <v>0.208614864864865</v>
      </c>
      <c r="Q746" s="11">
        <v>0.107142857142857</v>
      </c>
      <c r="R746" s="11">
        <v>0.25193798449612398</v>
      </c>
      <c r="S746" s="10" t="s">
        <v>84</v>
      </c>
      <c r="T746" s="10" t="s">
        <v>84</v>
      </c>
      <c r="U746" s="10"/>
      <c r="V746" s="10"/>
      <c r="W746" s="10"/>
      <c r="X746" s="10"/>
      <c r="Y746" s="10"/>
      <c r="Z746" s="10"/>
      <c r="AA746" s="10"/>
    </row>
    <row r="747" spans="1:27" ht="12.5" x14ac:dyDescent="0.25">
      <c r="A747" s="10" t="s">
        <v>34</v>
      </c>
      <c r="B747" s="10" t="s">
        <v>1095</v>
      </c>
      <c r="C747" s="10" t="s">
        <v>76</v>
      </c>
      <c r="D747" s="11">
        <v>2024</v>
      </c>
      <c r="E747" s="10" t="s">
        <v>81</v>
      </c>
      <c r="F747" s="10" t="s">
        <v>83</v>
      </c>
      <c r="G747" s="10" t="s">
        <v>84</v>
      </c>
      <c r="H747" s="12">
        <v>14492.666666666701</v>
      </c>
      <c r="I747" s="11">
        <v>238</v>
      </c>
      <c r="J747" s="11">
        <v>168</v>
      </c>
      <c r="K747" s="11">
        <v>981</v>
      </c>
      <c r="L747" s="11">
        <v>1.64220985325912E-2</v>
      </c>
      <c r="M747" s="11">
        <f t="shared" si="2"/>
        <v>1.6422098532591158</v>
      </c>
      <c r="N747" s="11">
        <v>0.70588235294117696</v>
      </c>
      <c r="O747" s="11">
        <v>6.76894061364368E-2</v>
      </c>
      <c r="P747" s="11">
        <v>0.20777027027027001</v>
      </c>
      <c r="Q747" s="11">
        <v>0.38775510204081598</v>
      </c>
      <c r="R747" s="11">
        <v>0.25</v>
      </c>
      <c r="S747" s="10" t="s">
        <v>84</v>
      </c>
      <c r="T747" s="10" t="s">
        <v>84</v>
      </c>
      <c r="U747" s="10"/>
      <c r="V747" s="10"/>
      <c r="W747" s="10"/>
      <c r="X747" s="10"/>
      <c r="Y747" s="10"/>
      <c r="Z747" s="10"/>
      <c r="AA747" s="10"/>
    </row>
    <row r="748" spans="1:27" ht="12.5" hidden="1" x14ac:dyDescent="0.25">
      <c r="A748" s="10" t="s">
        <v>67</v>
      </c>
      <c r="B748" s="10" t="s">
        <v>1471</v>
      </c>
      <c r="C748" s="10" t="s">
        <v>76</v>
      </c>
      <c r="D748" s="11">
        <v>2024</v>
      </c>
      <c r="E748" s="10" t="s">
        <v>257</v>
      </c>
      <c r="F748" s="10" t="s">
        <v>83</v>
      </c>
      <c r="G748" s="10" t="s">
        <v>84</v>
      </c>
      <c r="H748" s="12">
        <v>20131</v>
      </c>
      <c r="I748" s="11">
        <v>329</v>
      </c>
      <c r="J748" s="11">
        <v>308</v>
      </c>
      <c r="K748" s="11">
        <v>13728</v>
      </c>
      <c r="L748" s="11">
        <v>1.6342953653569098E-2</v>
      </c>
      <c r="M748" s="11">
        <f t="shared" si="2"/>
        <v>1.6342953653569123</v>
      </c>
      <c r="N748" s="11">
        <v>0.93617021276595702</v>
      </c>
      <c r="O748" s="11">
        <v>0.68193333664497502</v>
      </c>
      <c r="P748" s="11">
        <v>0.206081081081081</v>
      </c>
      <c r="Q748" s="11">
        <v>0.14285714285714299</v>
      </c>
      <c r="R748" s="11">
        <v>0.25</v>
      </c>
      <c r="S748" s="10" t="s">
        <v>84</v>
      </c>
      <c r="T748" s="10" t="s">
        <v>84</v>
      </c>
      <c r="U748" s="10"/>
      <c r="V748" s="10"/>
      <c r="W748" s="10"/>
      <c r="X748" s="10"/>
      <c r="Y748" s="10"/>
      <c r="Z748" s="10"/>
      <c r="AA748" s="10"/>
    </row>
    <row r="749" spans="1:27" ht="12.5" x14ac:dyDescent="0.25">
      <c r="A749" s="10" t="s">
        <v>96</v>
      </c>
      <c r="B749" s="10" t="s">
        <v>1097</v>
      </c>
      <c r="C749" s="10" t="s">
        <v>76</v>
      </c>
      <c r="D749" s="11">
        <v>2024</v>
      </c>
      <c r="E749" s="10" t="s">
        <v>81</v>
      </c>
      <c r="F749" s="10" t="s">
        <v>83</v>
      </c>
      <c r="G749" s="10" t="s">
        <v>84</v>
      </c>
      <c r="H749" s="12">
        <v>19288.083333333299</v>
      </c>
      <c r="I749" s="11">
        <v>315</v>
      </c>
      <c r="J749" s="11">
        <v>195</v>
      </c>
      <c r="K749" s="11">
        <v>2036</v>
      </c>
      <c r="L749" s="11">
        <v>1.63313272011648E-2</v>
      </c>
      <c r="M749" s="11">
        <f t="shared" si="2"/>
        <v>1.6331327201164825</v>
      </c>
      <c r="N749" s="11">
        <v>0.61904761904761896</v>
      </c>
      <c r="O749" s="11">
        <v>0.105557403751021</v>
      </c>
      <c r="P749" s="11">
        <v>0.20523648648648599</v>
      </c>
      <c r="Q749" s="11">
        <v>0.35294117647058798</v>
      </c>
      <c r="R749" s="11">
        <v>0.24806201550387599</v>
      </c>
      <c r="S749" s="10" t="s">
        <v>84</v>
      </c>
      <c r="T749" s="10" t="s">
        <v>84</v>
      </c>
      <c r="U749" s="10"/>
      <c r="V749" s="10"/>
      <c r="W749" s="10"/>
      <c r="X749" s="10"/>
      <c r="Y749" s="10"/>
      <c r="Z749" s="10"/>
      <c r="AA749" s="10"/>
    </row>
    <row r="750" spans="1:27" ht="12.5" x14ac:dyDescent="0.25">
      <c r="A750" s="10" t="s">
        <v>96</v>
      </c>
      <c r="B750" s="10" t="s">
        <v>1099</v>
      </c>
      <c r="C750" s="10" t="s">
        <v>76</v>
      </c>
      <c r="D750" s="11">
        <v>2024</v>
      </c>
      <c r="E750" s="10" t="s">
        <v>81</v>
      </c>
      <c r="F750" s="10" t="s">
        <v>83</v>
      </c>
      <c r="G750" s="10" t="s">
        <v>84</v>
      </c>
      <c r="H750" s="12">
        <v>13118.25</v>
      </c>
      <c r="I750" s="11">
        <v>214</v>
      </c>
      <c r="J750" s="11">
        <v>238</v>
      </c>
      <c r="K750" s="11">
        <v>5136</v>
      </c>
      <c r="L750" s="11">
        <v>1.63131515255465E-2</v>
      </c>
      <c r="M750" s="11">
        <f t="shared" si="2"/>
        <v>1.6313151525546472</v>
      </c>
      <c r="N750" s="11">
        <v>1.1121495327102799</v>
      </c>
      <c r="O750" s="11">
        <v>0.391515636613115</v>
      </c>
      <c r="P750" s="11">
        <v>0.204391891891892</v>
      </c>
      <c r="Q750" s="11">
        <v>0.29411764705882398</v>
      </c>
      <c r="R750" s="11">
        <v>0.24612403100775199</v>
      </c>
      <c r="S750" s="10" t="s">
        <v>84</v>
      </c>
      <c r="T750" s="10" t="s">
        <v>84</v>
      </c>
      <c r="U750" s="10"/>
      <c r="V750" s="10"/>
      <c r="W750" s="10"/>
      <c r="X750" s="10"/>
      <c r="Y750" s="10"/>
      <c r="Z750" s="10"/>
      <c r="AA750" s="10"/>
    </row>
    <row r="751" spans="1:27" ht="12.5" x14ac:dyDescent="0.25">
      <c r="A751" s="10" t="s">
        <v>52</v>
      </c>
      <c r="B751" s="10" t="s">
        <v>1104</v>
      </c>
      <c r="C751" s="10" t="s">
        <v>76</v>
      </c>
      <c r="D751" s="11">
        <v>2024</v>
      </c>
      <c r="E751" s="10" t="s">
        <v>81</v>
      </c>
      <c r="F751" s="10" t="s">
        <v>83</v>
      </c>
      <c r="G751" s="10" t="s">
        <v>84</v>
      </c>
      <c r="H751" s="12">
        <v>10728.333333333299</v>
      </c>
      <c r="I751" s="11">
        <v>174</v>
      </c>
      <c r="J751" s="11">
        <v>67</v>
      </c>
      <c r="K751" s="11">
        <v>13743</v>
      </c>
      <c r="L751" s="11">
        <v>1.6218735435762001E-2</v>
      </c>
      <c r="M751" s="11">
        <f t="shared" si="2"/>
        <v>1.6218735435762053</v>
      </c>
      <c r="N751" s="11">
        <v>0.38505747126436801</v>
      </c>
      <c r="O751" s="11">
        <v>1.28100046605562</v>
      </c>
      <c r="P751" s="11">
        <v>0.20270270270270299</v>
      </c>
      <c r="Q751" s="11">
        <v>0.10638297872340401</v>
      </c>
      <c r="R751" s="11">
        <v>0.242248062015504</v>
      </c>
      <c r="S751" s="10" t="s">
        <v>84</v>
      </c>
      <c r="T751" s="10" t="s">
        <v>84</v>
      </c>
      <c r="U751" s="10"/>
      <c r="V751" s="10"/>
      <c r="W751" s="10"/>
      <c r="X751" s="10"/>
      <c r="Y751" s="10"/>
      <c r="Z751" s="10"/>
      <c r="AA751" s="10"/>
    </row>
    <row r="752" spans="1:27" ht="12.5" x14ac:dyDescent="0.25">
      <c r="A752" s="10" t="s">
        <v>82</v>
      </c>
      <c r="B752" s="10" t="s">
        <v>1170</v>
      </c>
      <c r="C752" s="10" t="s">
        <v>76</v>
      </c>
      <c r="D752" s="11">
        <v>2024</v>
      </c>
      <c r="E752" s="10" t="s">
        <v>124</v>
      </c>
      <c r="F752" s="10" t="s">
        <v>83</v>
      </c>
      <c r="G752" s="10" t="s">
        <v>84</v>
      </c>
      <c r="H752" s="12">
        <v>9877.9166666666697</v>
      </c>
      <c r="I752" s="11">
        <v>160</v>
      </c>
      <c r="J752" s="11">
        <v>158</v>
      </c>
      <c r="K752" s="11">
        <v>1563</v>
      </c>
      <c r="L752" s="11">
        <v>1.6197747500738199E-2</v>
      </c>
      <c r="M752" s="11">
        <f t="shared" si="2"/>
        <v>1.6197747500738175</v>
      </c>
      <c r="N752" s="11">
        <v>0.98750000000000004</v>
      </c>
      <c r="O752" s="11">
        <v>0.15823174589783601</v>
      </c>
      <c r="P752" s="11">
        <v>0.201858108108108</v>
      </c>
      <c r="Q752" s="11">
        <v>0.34482758620689702</v>
      </c>
      <c r="R752" s="11">
        <v>0.158836689038031</v>
      </c>
      <c r="S752" s="10" t="s">
        <v>84</v>
      </c>
      <c r="T752" s="10" t="s">
        <v>84</v>
      </c>
      <c r="U752" s="10"/>
      <c r="V752" s="10"/>
      <c r="W752" s="10"/>
      <c r="X752" s="10"/>
      <c r="Y752" s="10"/>
      <c r="Z752" s="10"/>
      <c r="AA752" s="10"/>
    </row>
    <row r="753" spans="1:27" ht="12.5" hidden="1" x14ac:dyDescent="0.25">
      <c r="A753" s="10" t="s">
        <v>6</v>
      </c>
      <c r="B753" s="10" t="s">
        <v>1474</v>
      </c>
      <c r="C753" s="10" t="s">
        <v>76</v>
      </c>
      <c r="D753" s="11">
        <v>2024</v>
      </c>
      <c r="E753" s="10" t="s">
        <v>257</v>
      </c>
      <c r="F753" s="10" t="s">
        <v>83</v>
      </c>
      <c r="G753" s="10" t="s">
        <v>84</v>
      </c>
      <c r="H753" s="12">
        <v>6135.9166666666697</v>
      </c>
      <c r="I753" s="11">
        <v>99</v>
      </c>
      <c r="J753" s="11">
        <v>99</v>
      </c>
      <c r="K753" s="11">
        <v>1665</v>
      </c>
      <c r="L753" s="11">
        <v>1.6134508562969399E-2</v>
      </c>
      <c r="M753" s="11">
        <f t="shared" si="2"/>
        <v>1.6134508562969392</v>
      </c>
      <c r="N753" s="11">
        <v>1</v>
      </c>
      <c r="O753" s="11">
        <v>0.271353098559031</v>
      </c>
      <c r="P753" s="11">
        <v>0.20101351351351401</v>
      </c>
      <c r="Q753" s="11">
        <v>0.35483870967741898</v>
      </c>
      <c r="R753" s="11">
        <v>0.22727272727272699</v>
      </c>
      <c r="S753" s="10" t="s">
        <v>84</v>
      </c>
      <c r="T753" s="10" t="s">
        <v>84</v>
      </c>
      <c r="U753" s="10"/>
      <c r="V753" s="10"/>
      <c r="W753" s="10"/>
      <c r="X753" s="10"/>
      <c r="Y753" s="10"/>
      <c r="Z753" s="10"/>
      <c r="AA753" s="10"/>
    </row>
    <row r="754" spans="1:27" ht="12.5" x14ac:dyDescent="0.25">
      <c r="A754" s="10" t="s">
        <v>49</v>
      </c>
      <c r="B754" s="10" t="s">
        <v>1173</v>
      </c>
      <c r="C754" s="10" t="s">
        <v>76</v>
      </c>
      <c r="D754" s="11">
        <v>2024</v>
      </c>
      <c r="E754" s="10" t="s">
        <v>124</v>
      </c>
      <c r="F754" s="10" t="s">
        <v>83</v>
      </c>
      <c r="G754" s="10" t="s">
        <v>84</v>
      </c>
      <c r="H754" s="12">
        <v>15014.166666666701</v>
      </c>
      <c r="I754" s="11">
        <v>242</v>
      </c>
      <c r="J754" s="11">
        <v>221</v>
      </c>
      <c r="K754" s="11">
        <v>7222</v>
      </c>
      <c r="L754" s="11">
        <v>1.6118110673253E-2</v>
      </c>
      <c r="M754" s="11">
        <f t="shared" si="2"/>
        <v>1.6118110673253003</v>
      </c>
      <c r="N754" s="11">
        <v>0.91322314049586795</v>
      </c>
      <c r="O754" s="11">
        <v>0.481012377199312</v>
      </c>
      <c r="P754" s="11">
        <v>0.200168918918919</v>
      </c>
      <c r="Q754" s="11">
        <v>0.30769230769230799</v>
      </c>
      <c r="R754" s="11">
        <v>0.156599552572707</v>
      </c>
      <c r="S754" s="10" t="s">
        <v>84</v>
      </c>
      <c r="T754" s="10" t="s">
        <v>84</v>
      </c>
      <c r="U754" s="10"/>
      <c r="V754" s="10"/>
      <c r="W754" s="10"/>
      <c r="X754" s="10"/>
      <c r="Y754" s="10"/>
      <c r="Z754" s="10"/>
      <c r="AA754" s="10"/>
    </row>
    <row r="755" spans="1:27" ht="12.5" x14ac:dyDescent="0.25">
      <c r="A755" s="10" t="s">
        <v>29</v>
      </c>
      <c r="B755" s="10" t="s">
        <v>1175</v>
      </c>
      <c r="C755" s="10" t="s">
        <v>76</v>
      </c>
      <c r="D755" s="11">
        <v>2024</v>
      </c>
      <c r="E755" s="10" t="s">
        <v>124</v>
      </c>
      <c r="F755" s="10" t="s">
        <v>83</v>
      </c>
      <c r="G755" s="10" t="s">
        <v>84</v>
      </c>
      <c r="H755" s="12">
        <v>70892</v>
      </c>
      <c r="I755" s="11">
        <v>1140</v>
      </c>
      <c r="J755" s="11">
        <v>732</v>
      </c>
      <c r="K755" s="11">
        <v>5676</v>
      </c>
      <c r="L755" s="11">
        <v>1.6080798961801E-2</v>
      </c>
      <c r="M755" s="11">
        <f t="shared" si="2"/>
        <v>1.6080798961801048</v>
      </c>
      <c r="N755" s="11">
        <v>0.64210526315789496</v>
      </c>
      <c r="O755" s="11">
        <v>8.0065451672967303E-2</v>
      </c>
      <c r="P755" s="11">
        <v>0.19932432432432401</v>
      </c>
      <c r="Q755" s="11">
        <v>0.122448979591837</v>
      </c>
      <c r="R755" s="11">
        <v>0.15436241610738299</v>
      </c>
      <c r="S755" s="10" t="s">
        <v>84</v>
      </c>
      <c r="T755" s="10" t="s">
        <v>84</v>
      </c>
      <c r="U755" s="10"/>
      <c r="V755" s="10"/>
      <c r="W755" s="10"/>
      <c r="X755" s="10"/>
      <c r="Y755" s="10"/>
      <c r="Z755" s="10"/>
      <c r="AA755" s="10"/>
    </row>
    <row r="756" spans="1:27" ht="12.5" x14ac:dyDescent="0.25">
      <c r="A756" s="10" t="s">
        <v>29</v>
      </c>
      <c r="B756" s="10" t="s">
        <v>1177</v>
      </c>
      <c r="C756" s="10" t="s">
        <v>76</v>
      </c>
      <c r="D756" s="11">
        <v>2024</v>
      </c>
      <c r="E756" s="10" t="s">
        <v>124</v>
      </c>
      <c r="F756" s="10" t="s">
        <v>83</v>
      </c>
      <c r="G756" s="10" t="s">
        <v>84</v>
      </c>
      <c r="H756" s="12">
        <v>73520</v>
      </c>
      <c r="I756" s="11">
        <v>1176</v>
      </c>
      <c r="J756" s="11">
        <v>768</v>
      </c>
      <c r="K756" s="11">
        <v>5880</v>
      </c>
      <c r="L756" s="11">
        <v>1.5995647442872699E-2</v>
      </c>
      <c r="M756" s="11">
        <f t="shared" si="2"/>
        <v>1.5995647442872689</v>
      </c>
      <c r="N756" s="11">
        <v>0.65306122448979598</v>
      </c>
      <c r="O756" s="11">
        <v>7.9978237214363396E-2</v>
      </c>
      <c r="P756" s="11">
        <v>0.197635135135135</v>
      </c>
      <c r="Q756" s="11">
        <v>0.102040816326531</v>
      </c>
      <c r="R756" s="11">
        <v>0.15212527964205799</v>
      </c>
      <c r="S756" s="10" t="s">
        <v>84</v>
      </c>
      <c r="T756" s="10" t="s">
        <v>84</v>
      </c>
      <c r="U756" s="10"/>
      <c r="V756" s="10"/>
      <c r="W756" s="10"/>
      <c r="X756" s="10"/>
      <c r="Y756" s="10"/>
      <c r="Z756" s="10"/>
      <c r="AA756" s="10"/>
    </row>
    <row r="757" spans="1:27" ht="12.5" x14ac:dyDescent="0.25">
      <c r="A757" s="10" t="s">
        <v>29</v>
      </c>
      <c r="B757" s="10" t="s">
        <v>1179</v>
      </c>
      <c r="C757" s="10" t="s">
        <v>76</v>
      </c>
      <c r="D757" s="11">
        <v>2024</v>
      </c>
      <c r="E757" s="10" t="s">
        <v>124</v>
      </c>
      <c r="F757" s="10" t="s">
        <v>83</v>
      </c>
      <c r="G757" s="10" t="s">
        <v>84</v>
      </c>
      <c r="H757" s="12">
        <v>40000</v>
      </c>
      <c r="I757" s="11">
        <v>636</v>
      </c>
      <c r="J757" s="11">
        <v>420</v>
      </c>
      <c r="K757" s="11">
        <v>3204</v>
      </c>
      <c r="L757" s="11">
        <v>1.5900000000000001E-2</v>
      </c>
      <c r="M757" s="11">
        <f t="shared" si="2"/>
        <v>1.59</v>
      </c>
      <c r="N757" s="11">
        <v>0.660377358490566</v>
      </c>
      <c r="O757" s="11">
        <v>8.0100000000000005E-2</v>
      </c>
      <c r="P757" s="11">
        <v>0.19679054054054099</v>
      </c>
      <c r="Q757" s="11">
        <v>8.1632653061224497E-2</v>
      </c>
      <c r="R757" s="11">
        <v>0.14988814317673399</v>
      </c>
      <c r="S757" s="10" t="s">
        <v>84</v>
      </c>
      <c r="T757" s="10" t="s">
        <v>84</v>
      </c>
      <c r="U757" s="10"/>
      <c r="V757" s="10"/>
      <c r="W757" s="10"/>
      <c r="X757" s="10"/>
      <c r="Y757" s="10"/>
      <c r="Z757" s="10"/>
      <c r="AA757" s="10"/>
    </row>
    <row r="758" spans="1:27" ht="12.5" x14ac:dyDescent="0.25">
      <c r="A758" s="10" t="s">
        <v>53</v>
      </c>
      <c r="B758" s="10" t="s">
        <v>1182</v>
      </c>
      <c r="C758" s="10" t="s">
        <v>76</v>
      </c>
      <c r="D758" s="11">
        <v>2024</v>
      </c>
      <c r="E758" s="10" t="s">
        <v>124</v>
      </c>
      <c r="F758" s="10" t="s">
        <v>125</v>
      </c>
      <c r="G758" s="10" t="s">
        <v>84</v>
      </c>
      <c r="H758" s="12">
        <v>505.41666666666703</v>
      </c>
      <c r="I758" s="11">
        <v>8</v>
      </c>
      <c r="J758" s="11">
        <v>8</v>
      </c>
      <c r="K758" s="11">
        <v>787</v>
      </c>
      <c r="L758" s="11">
        <v>1.5828524319868101E-2</v>
      </c>
      <c r="M758" s="11">
        <f t="shared" si="2"/>
        <v>1.5828524319868083</v>
      </c>
      <c r="N758" s="11">
        <v>1</v>
      </c>
      <c r="O758" s="11">
        <v>1.5571310799670199</v>
      </c>
      <c r="P758" s="11">
        <v>0.195945945945946</v>
      </c>
      <c r="Q758" s="11">
        <v>0.75</v>
      </c>
      <c r="R758" s="11">
        <v>0.14765100671140899</v>
      </c>
      <c r="S758" s="10" t="s">
        <v>84</v>
      </c>
      <c r="T758" s="10" t="s">
        <v>84</v>
      </c>
      <c r="U758" s="10"/>
      <c r="V758" s="10"/>
      <c r="W758" s="10"/>
      <c r="X758" s="10"/>
      <c r="Y758" s="10"/>
      <c r="Z758" s="10"/>
      <c r="AA758" s="10"/>
    </row>
    <row r="759" spans="1:27" ht="12.5" x14ac:dyDescent="0.25">
      <c r="A759" s="10" t="s">
        <v>65</v>
      </c>
      <c r="B759" s="10" t="s">
        <v>1186</v>
      </c>
      <c r="C759" s="10" t="s">
        <v>76</v>
      </c>
      <c r="D759" s="11">
        <v>2024</v>
      </c>
      <c r="E759" s="10" t="s">
        <v>124</v>
      </c>
      <c r="F759" s="10" t="s">
        <v>83</v>
      </c>
      <c r="G759" s="10" t="s">
        <v>84</v>
      </c>
      <c r="H759" s="12">
        <v>8030.5833333333303</v>
      </c>
      <c r="I759" s="11">
        <v>127</v>
      </c>
      <c r="J759" s="11">
        <v>127</v>
      </c>
      <c r="K759" s="11">
        <v>0</v>
      </c>
      <c r="L759" s="11">
        <v>1.5814542322579301E-2</v>
      </c>
      <c r="M759" s="11">
        <f t="shared" si="2"/>
        <v>1.581454232257931</v>
      </c>
      <c r="N759" s="11">
        <v>1</v>
      </c>
      <c r="O759" s="11">
        <v>0</v>
      </c>
      <c r="P759" s="11">
        <v>0.19510135135135101</v>
      </c>
      <c r="Q759" s="11">
        <v>7.69230769230769E-2</v>
      </c>
      <c r="R759" s="11">
        <v>0.14541387024608499</v>
      </c>
      <c r="S759" s="10" t="s">
        <v>84</v>
      </c>
      <c r="T759" s="10" t="s">
        <v>84</v>
      </c>
      <c r="U759" s="10"/>
      <c r="V759" s="10"/>
      <c r="W759" s="10"/>
      <c r="X759" s="10"/>
      <c r="Y759" s="10"/>
      <c r="Z759" s="10"/>
      <c r="AA759" s="10"/>
    </row>
    <row r="760" spans="1:27" ht="12.5" x14ac:dyDescent="0.25">
      <c r="A760" s="10" t="s">
        <v>103</v>
      </c>
      <c r="B760" s="10" t="s">
        <v>1106</v>
      </c>
      <c r="C760" s="10" t="s">
        <v>76</v>
      </c>
      <c r="D760" s="11">
        <v>2024</v>
      </c>
      <c r="E760" s="10" t="s">
        <v>81</v>
      </c>
      <c r="F760" s="10" t="s">
        <v>83</v>
      </c>
      <c r="G760" s="10" t="s">
        <v>84</v>
      </c>
      <c r="H760" s="12">
        <v>2784.5833333333298</v>
      </c>
      <c r="I760" s="11">
        <v>44</v>
      </c>
      <c r="J760" s="11">
        <v>58</v>
      </c>
      <c r="K760" s="11">
        <v>149</v>
      </c>
      <c r="L760" s="11">
        <v>1.5801286847224299E-2</v>
      </c>
      <c r="M760" s="11">
        <f t="shared" si="2"/>
        <v>1.5801286847224321</v>
      </c>
      <c r="N760" s="11">
        <v>1.3181818181818199</v>
      </c>
      <c r="O760" s="11">
        <v>5.3508903187191398E-2</v>
      </c>
      <c r="P760" s="11">
        <v>0.19425675675675699</v>
      </c>
      <c r="Q760" s="11">
        <v>0.13043478260869601</v>
      </c>
      <c r="R760" s="11">
        <v>0.24031007751937999</v>
      </c>
      <c r="S760" s="10" t="s">
        <v>84</v>
      </c>
      <c r="T760" s="10" t="s">
        <v>84</v>
      </c>
      <c r="U760" s="10"/>
      <c r="V760" s="10"/>
      <c r="W760" s="10"/>
      <c r="X760" s="10"/>
      <c r="Y760" s="10"/>
      <c r="Z760" s="10"/>
      <c r="AA760" s="10"/>
    </row>
    <row r="761" spans="1:27" ht="12.5" x14ac:dyDescent="0.25">
      <c r="A761" s="10" t="s">
        <v>36</v>
      </c>
      <c r="B761" s="10" t="s">
        <v>1188</v>
      </c>
      <c r="C761" s="10" t="s">
        <v>76</v>
      </c>
      <c r="D761" s="11">
        <v>2024</v>
      </c>
      <c r="E761" s="10" t="s">
        <v>124</v>
      </c>
      <c r="F761" s="10" t="s">
        <v>125</v>
      </c>
      <c r="G761" s="10" t="s">
        <v>84</v>
      </c>
      <c r="H761" s="12">
        <v>5280</v>
      </c>
      <c r="I761" s="11">
        <v>83</v>
      </c>
      <c r="J761" s="11">
        <v>94</v>
      </c>
      <c r="K761" s="11">
        <v>188</v>
      </c>
      <c r="L761" s="11">
        <v>1.5719696969697002E-2</v>
      </c>
      <c r="M761" s="11">
        <f t="shared" si="2"/>
        <v>1.571969696969697</v>
      </c>
      <c r="N761" s="11">
        <v>1.13253012048193</v>
      </c>
      <c r="O761" s="11">
        <v>3.5606060606060599E-2</v>
      </c>
      <c r="P761" s="11">
        <v>0.193412162162162</v>
      </c>
      <c r="Q761" s="11">
        <v>8.5106382978723402E-2</v>
      </c>
      <c r="R761" s="11">
        <v>0.14317673378076101</v>
      </c>
      <c r="S761" s="10" t="s">
        <v>84</v>
      </c>
      <c r="T761" s="10" t="s">
        <v>84</v>
      </c>
      <c r="U761" s="10"/>
      <c r="V761" s="10"/>
      <c r="W761" s="10"/>
      <c r="X761" s="10"/>
      <c r="Y761" s="10"/>
      <c r="Z761" s="10"/>
      <c r="AA761" s="10"/>
    </row>
    <row r="762" spans="1:27" ht="12.5" x14ac:dyDescent="0.25">
      <c r="A762" s="10" t="s">
        <v>42</v>
      </c>
      <c r="B762" s="10" t="s">
        <v>1189</v>
      </c>
      <c r="C762" s="10" t="s">
        <v>76</v>
      </c>
      <c r="D762" s="11">
        <v>2024</v>
      </c>
      <c r="E762" s="10" t="s">
        <v>124</v>
      </c>
      <c r="F762" s="10" t="s">
        <v>125</v>
      </c>
      <c r="G762" s="10" t="s">
        <v>84</v>
      </c>
      <c r="H762" s="12">
        <v>3706</v>
      </c>
      <c r="I762" s="11">
        <v>58</v>
      </c>
      <c r="J762" s="11">
        <v>58</v>
      </c>
      <c r="K762" s="11">
        <v>7011</v>
      </c>
      <c r="L762" s="11">
        <v>1.5650296815974098E-2</v>
      </c>
      <c r="M762" s="11">
        <f t="shared" si="2"/>
        <v>1.5650296815974094</v>
      </c>
      <c r="N762" s="11">
        <v>1</v>
      </c>
      <c r="O762" s="11">
        <v>1.8917970858068001</v>
      </c>
      <c r="P762" s="11">
        <v>0.19256756756756799</v>
      </c>
      <c r="Q762" s="11">
        <v>0.14285714285714299</v>
      </c>
      <c r="R762" s="11">
        <v>0.14093959731543601</v>
      </c>
      <c r="S762" s="10" t="s">
        <v>84</v>
      </c>
      <c r="T762" s="10" t="s">
        <v>84</v>
      </c>
      <c r="U762" s="10"/>
      <c r="V762" s="10"/>
      <c r="W762" s="10"/>
      <c r="X762" s="10"/>
      <c r="Y762" s="10"/>
      <c r="Z762" s="10"/>
      <c r="AA762" s="10"/>
    </row>
    <row r="763" spans="1:27" ht="12.5" x14ac:dyDescent="0.25">
      <c r="A763" s="10" t="s">
        <v>109</v>
      </c>
      <c r="B763" s="10" t="s">
        <v>1108</v>
      </c>
      <c r="C763" s="10" t="s">
        <v>76</v>
      </c>
      <c r="D763" s="11">
        <v>2024</v>
      </c>
      <c r="E763" s="10" t="s">
        <v>81</v>
      </c>
      <c r="F763" s="10" t="s">
        <v>125</v>
      </c>
      <c r="G763" s="10" t="s">
        <v>84</v>
      </c>
      <c r="H763" s="12">
        <v>2310.8333333333298</v>
      </c>
      <c r="I763" s="11">
        <v>36</v>
      </c>
      <c r="J763" s="11">
        <v>30</v>
      </c>
      <c r="K763" s="11">
        <v>792</v>
      </c>
      <c r="L763" s="11">
        <v>1.55787955283087E-2</v>
      </c>
      <c r="M763" s="11">
        <f t="shared" si="2"/>
        <v>1.5578795528308713</v>
      </c>
      <c r="N763" s="11">
        <v>0.83333333333333304</v>
      </c>
      <c r="O763" s="11">
        <v>0.34273350162279098</v>
      </c>
      <c r="P763" s="11">
        <v>0.191722972972973</v>
      </c>
      <c r="Q763" s="11">
        <v>0.22222222222222199</v>
      </c>
      <c r="R763" s="11">
        <v>0.23837209302325599</v>
      </c>
      <c r="S763" s="10" t="s">
        <v>84</v>
      </c>
      <c r="T763" s="10" t="s">
        <v>84</v>
      </c>
      <c r="U763" s="10"/>
      <c r="V763" s="10"/>
      <c r="W763" s="10"/>
      <c r="X763" s="10"/>
      <c r="Y763" s="10"/>
      <c r="Z763" s="10"/>
      <c r="AA763" s="10"/>
    </row>
    <row r="764" spans="1:27" ht="12.5" x14ac:dyDescent="0.25">
      <c r="A764" s="10" t="s">
        <v>42</v>
      </c>
      <c r="B764" s="10" t="s">
        <v>1110</v>
      </c>
      <c r="C764" s="10" t="s">
        <v>76</v>
      </c>
      <c r="D764" s="11">
        <v>2024</v>
      </c>
      <c r="E764" s="10" t="s">
        <v>81</v>
      </c>
      <c r="F764" s="10" t="s">
        <v>83</v>
      </c>
      <c r="G764" s="10" t="s">
        <v>84</v>
      </c>
      <c r="H764" s="12">
        <v>20059.166666666701</v>
      </c>
      <c r="I764" s="11">
        <v>310</v>
      </c>
      <c r="J764" s="11">
        <v>226</v>
      </c>
      <c r="K764" s="11">
        <v>1090</v>
      </c>
      <c r="L764" s="11">
        <v>1.54542810851232E-2</v>
      </c>
      <c r="M764" s="11">
        <f t="shared" si="2"/>
        <v>1.5454281085123152</v>
      </c>
      <c r="N764" s="11">
        <v>0.72903225806451599</v>
      </c>
      <c r="O764" s="11">
        <v>5.4339246396078303E-2</v>
      </c>
      <c r="P764" s="11">
        <v>0.19003378378378399</v>
      </c>
      <c r="Q764" s="11">
        <v>0.119047619047619</v>
      </c>
      <c r="R764" s="11">
        <v>0.23643410852713201</v>
      </c>
      <c r="S764" s="10" t="s">
        <v>84</v>
      </c>
      <c r="T764" s="10" t="s">
        <v>84</v>
      </c>
      <c r="U764" s="10"/>
      <c r="V764" s="10"/>
      <c r="W764" s="10"/>
      <c r="X764" s="10"/>
      <c r="Y764" s="10"/>
      <c r="Z764" s="10"/>
      <c r="AA764" s="10"/>
    </row>
    <row r="765" spans="1:27" ht="12.5" x14ac:dyDescent="0.25">
      <c r="A765" s="10" t="s">
        <v>49</v>
      </c>
      <c r="B765" s="10" t="s">
        <v>1193</v>
      </c>
      <c r="C765" s="10" t="s">
        <v>76</v>
      </c>
      <c r="D765" s="11">
        <v>2024</v>
      </c>
      <c r="E765" s="10" t="s">
        <v>124</v>
      </c>
      <c r="F765" s="10" t="s">
        <v>83</v>
      </c>
      <c r="G765" s="10" t="s">
        <v>84</v>
      </c>
      <c r="H765" s="12">
        <v>2266.1666666666702</v>
      </c>
      <c r="I765" s="11">
        <v>35</v>
      </c>
      <c r="J765" s="11">
        <v>31</v>
      </c>
      <c r="K765" s="11">
        <v>492</v>
      </c>
      <c r="L765" s="11">
        <v>1.5444583363977299E-2</v>
      </c>
      <c r="M765" s="11">
        <f t="shared" si="2"/>
        <v>1.5444583363977324</v>
      </c>
      <c r="N765" s="11">
        <v>0.88571428571428601</v>
      </c>
      <c r="O765" s="11">
        <v>0.21710671471648199</v>
      </c>
      <c r="P765" s="11">
        <v>0.18918918918918901</v>
      </c>
      <c r="Q765" s="11">
        <v>0.269230769230769</v>
      </c>
      <c r="R765" s="11">
        <v>0.13870246085011201</v>
      </c>
      <c r="S765" s="10" t="s">
        <v>84</v>
      </c>
      <c r="T765" s="10" t="s">
        <v>84</v>
      </c>
      <c r="U765" s="10"/>
      <c r="V765" s="10"/>
      <c r="W765" s="10"/>
      <c r="X765" s="10"/>
      <c r="Y765" s="10"/>
      <c r="Z765" s="10"/>
      <c r="AA765" s="10"/>
    </row>
    <row r="766" spans="1:27" ht="12.5" x14ac:dyDescent="0.25">
      <c r="A766" s="10" t="s">
        <v>32</v>
      </c>
      <c r="B766" s="10" t="s">
        <v>1112</v>
      </c>
      <c r="C766" s="10" t="s">
        <v>76</v>
      </c>
      <c r="D766" s="11">
        <v>2024</v>
      </c>
      <c r="E766" s="10" t="s">
        <v>81</v>
      </c>
      <c r="F766" s="10" t="s">
        <v>83</v>
      </c>
      <c r="G766" s="10" t="s">
        <v>84</v>
      </c>
      <c r="H766" s="12">
        <v>74143.083333333299</v>
      </c>
      <c r="I766" s="11">
        <v>1143</v>
      </c>
      <c r="J766" s="11">
        <v>974</v>
      </c>
      <c r="K766" s="11">
        <v>112252</v>
      </c>
      <c r="L766" s="11">
        <v>1.54161379404912E-2</v>
      </c>
      <c r="M766" s="11">
        <f t="shared" si="2"/>
        <v>1.5416137940491197</v>
      </c>
      <c r="N766" s="11">
        <v>0.852143482064742</v>
      </c>
      <c r="O766" s="11">
        <v>1.51399152764306</v>
      </c>
      <c r="P766" s="11">
        <v>0.18834459459459499</v>
      </c>
      <c r="Q766" s="11">
        <v>3.4482758620689703E-2</v>
      </c>
      <c r="R766" s="11">
        <v>0.234496124031008</v>
      </c>
      <c r="S766" s="10" t="s">
        <v>84</v>
      </c>
      <c r="T766" s="10" t="s">
        <v>84</v>
      </c>
      <c r="U766" s="10"/>
      <c r="V766" s="10"/>
      <c r="W766" s="10"/>
      <c r="X766" s="10"/>
      <c r="Y766" s="10"/>
      <c r="Z766" s="10"/>
      <c r="AA766" s="10"/>
    </row>
    <row r="767" spans="1:27" ht="12.5" x14ac:dyDescent="0.25">
      <c r="A767" s="10" t="s">
        <v>42</v>
      </c>
      <c r="B767" s="10" t="s">
        <v>1195</v>
      </c>
      <c r="C767" s="10" t="s">
        <v>76</v>
      </c>
      <c r="D767" s="11">
        <v>2024</v>
      </c>
      <c r="E767" s="10" t="s">
        <v>124</v>
      </c>
      <c r="F767" s="10" t="s">
        <v>83</v>
      </c>
      <c r="G767" s="10" t="s">
        <v>84</v>
      </c>
      <c r="H767" s="12">
        <v>8139.5833333333303</v>
      </c>
      <c r="I767" s="11">
        <v>124</v>
      </c>
      <c r="J767" s="11">
        <v>124</v>
      </c>
      <c r="K767" s="11">
        <v>10636</v>
      </c>
      <c r="L767" s="11">
        <v>1.5234195034553401E-2</v>
      </c>
      <c r="M767" s="11">
        <f t="shared" ref="M767:M948" si="3">(I767/H767)*100</f>
        <v>1.5234195034553371</v>
      </c>
      <c r="N767" s="11">
        <v>1</v>
      </c>
      <c r="O767" s="11">
        <v>1.30670079344766</v>
      </c>
      <c r="P767" s="11">
        <v>0.18581081081081099</v>
      </c>
      <c r="Q767" s="11">
        <v>9.5238095238095205E-2</v>
      </c>
      <c r="R767" s="11">
        <v>0.13646532438478701</v>
      </c>
      <c r="S767" s="10" t="s">
        <v>84</v>
      </c>
      <c r="T767" s="10" t="s">
        <v>84</v>
      </c>
      <c r="U767" s="10"/>
      <c r="V767" s="10"/>
      <c r="W767" s="10"/>
      <c r="X767" s="10"/>
      <c r="Y767" s="10"/>
      <c r="Z767" s="10"/>
      <c r="AA767" s="10"/>
    </row>
    <row r="768" spans="1:27" ht="12.5" x14ac:dyDescent="0.25">
      <c r="A768" s="10" t="s">
        <v>86</v>
      </c>
      <c r="B768" s="10" t="s">
        <v>1114</v>
      </c>
      <c r="C768" s="10" t="s">
        <v>76</v>
      </c>
      <c r="D768" s="11">
        <v>2024</v>
      </c>
      <c r="E768" s="10" t="s">
        <v>81</v>
      </c>
      <c r="F768" s="10" t="s">
        <v>83</v>
      </c>
      <c r="G768" s="10" t="s">
        <v>84</v>
      </c>
      <c r="H768" s="12">
        <v>13794.833333333299</v>
      </c>
      <c r="I768" s="11">
        <v>210</v>
      </c>
      <c r="J768" s="11">
        <v>121</v>
      </c>
      <c r="K768" s="11">
        <v>2279</v>
      </c>
      <c r="L768" s="11">
        <v>1.5223090770699201E-2</v>
      </c>
      <c r="M768" s="11">
        <f t="shared" si="3"/>
        <v>1.5223090770699212</v>
      </c>
      <c r="N768" s="11">
        <v>0.57619047619047603</v>
      </c>
      <c r="O768" s="11">
        <v>0.16520678031630201</v>
      </c>
      <c r="P768" s="11">
        <v>0.18496621621621601</v>
      </c>
      <c r="Q768" s="11">
        <v>8.6956521739130405E-2</v>
      </c>
      <c r="R768" s="11">
        <v>0.232558139534884</v>
      </c>
      <c r="S768" s="10" t="s">
        <v>84</v>
      </c>
      <c r="T768" s="10" t="s">
        <v>84</v>
      </c>
      <c r="U768" s="10"/>
      <c r="V768" s="10"/>
      <c r="W768" s="10"/>
      <c r="X768" s="10"/>
      <c r="Y768" s="10"/>
      <c r="Z768" s="10"/>
      <c r="AA768" s="10"/>
    </row>
    <row r="769" spans="1:27" ht="12.5" x14ac:dyDescent="0.25">
      <c r="A769" s="10" t="s">
        <v>42</v>
      </c>
      <c r="B769" s="10" t="s">
        <v>1117</v>
      </c>
      <c r="C769" s="10" t="s">
        <v>76</v>
      </c>
      <c r="D769" s="11">
        <v>2024</v>
      </c>
      <c r="E769" s="10" t="s">
        <v>81</v>
      </c>
      <c r="F769" s="10" t="s">
        <v>83</v>
      </c>
      <c r="G769" s="10" t="s">
        <v>84</v>
      </c>
      <c r="H769" s="12">
        <v>13695.833333333299</v>
      </c>
      <c r="I769" s="11">
        <v>208</v>
      </c>
      <c r="J769" s="11">
        <v>191</v>
      </c>
      <c r="K769" s="11">
        <v>9752</v>
      </c>
      <c r="L769" s="11">
        <v>1.5187100699726201E-2</v>
      </c>
      <c r="M769" s="11">
        <f t="shared" si="3"/>
        <v>1.5187100699726233</v>
      </c>
      <c r="N769" s="11">
        <v>0.91826923076923095</v>
      </c>
      <c r="O769" s="11">
        <v>0.71204137511408605</v>
      </c>
      <c r="P769" s="11">
        <v>0.18412162162162199</v>
      </c>
      <c r="Q769" s="11">
        <v>7.1428571428571397E-2</v>
      </c>
      <c r="R769" s="11">
        <v>0.23062015503875999</v>
      </c>
      <c r="S769" s="10" t="s">
        <v>84</v>
      </c>
      <c r="T769" s="10" t="s">
        <v>84</v>
      </c>
      <c r="U769" s="10"/>
      <c r="V769" s="10"/>
      <c r="W769" s="10"/>
      <c r="X769" s="10"/>
      <c r="Y769" s="10"/>
      <c r="Z769" s="10"/>
      <c r="AA769" s="10"/>
    </row>
    <row r="770" spans="1:27" ht="12.5" x14ac:dyDescent="0.25">
      <c r="A770" s="10" t="s">
        <v>72</v>
      </c>
      <c r="B770" s="10" t="s">
        <v>1120</v>
      </c>
      <c r="C770" s="10" t="s">
        <v>76</v>
      </c>
      <c r="D770" s="11">
        <v>2024</v>
      </c>
      <c r="E770" s="10" t="s">
        <v>81</v>
      </c>
      <c r="F770" s="10" t="s">
        <v>83</v>
      </c>
      <c r="G770" s="10" t="s">
        <v>84</v>
      </c>
      <c r="H770" s="12">
        <v>98555</v>
      </c>
      <c r="I770" s="11">
        <v>1492</v>
      </c>
      <c r="J770" s="11">
        <v>1668</v>
      </c>
      <c r="K770" s="11">
        <v>19886</v>
      </c>
      <c r="L770" s="11">
        <v>1.5138755009893E-2</v>
      </c>
      <c r="M770" s="11">
        <f t="shared" si="3"/>
        <v>1.5138755009892952</v>
      </c>
      <c r="N770" s="11">
        <v>1.11796246648794</v>
      </c>
      <c r="O770" s="11">
        <v>0.20177565826188401</v>
      </c>
      <c r="P770" s="11">
        <v>0.183277027027027</v>
      </c>
      <c r="Q770" s="11">
        <v>0.3</v>
      </c>
      <c r="R770" s="11">
        <v>0.22868217054263601</v>
      </c>
      <c r="S770" s="10" t="s">
        <v>84</v>
      </c>
      <c r="T770" s="10" t="s">
        <v>84</v>
      </c>
      <c r="U770" s="10"/>
      <c r="V770" s="10"/>
      <c r="W770" s="10"/>
      <c r="X770" s="10"/>
      <c r="Y770" s="10"/>
      <c r="Z770" s="10"/>
      <c r="AA770" s="10"/>
    </row>
    <row r="771" spans="1:27" ht="12.5" x14ac:dyDescent="0.25">
      <c r="A771" s="10" t="s">
        <v>82</v>
      </c>
      <c r="B771" s="10" t="s">
        <v>1197</v>
      </c>
      <c r="C771" s="10" t="s">
        <v>76</v>
      </c>
      <c r="D771" s="11">
        <v>2024</v>
      </c>
      <c r="E771" s="10" t="s">
        <v>124</v>
      </c>
      <c r="F771" s="10" t="s">
        <v>83</v>
      </c>
      <c r="G771" s="10" t="s">
        <v>84</v>
      </c>
      <c r="H771" s="12">
        <v>11927.416666666701</v>
      </c>
      <c r="I771" s="11">
        <v>179</v>
      </c>
      <c r="J771" s="11">
        <v>176</v>
      </c>
      <c r="K771" s="11">
        <v>6599</v>
      </c>
      <c r="L771" s="11">
        <v>1.50074408400813E-2</v>
      </c>
      <c r="M771" s="11">
        <f t="shared" si="3"/>
        <v>1.5007440840081283</v>
      </c>
      <c r="N771" s="11">
        <v>0.983240223463687</v>
      </c>
      <c r="O771" s="11">
        <v>0.55326314024411505</v>
      </c>
      <c r="P771" s="11">
        <v>0.18243243243243201</v>
      </c>
      <c r="Q771" s="11">
        <v>0.32758620689655199</v>
      </c>
      <c r="R771" s="11">
        <v>0.134228187919463</v>
      </c>
      <c r="S771" s="10" t="s">
        <v>84</v>
      </c>
      <c r="T771" s="10" t="s">
        <v>84</v>
      </c>
      <c r="U771" s="10"/>
      <c r="V771" s="10"/>
      <c r="W771" s="10"/>
      <c r="X771" s="10"/>
      <c r="Y771" s="10"/>
      <c r="Z771" s="10"/>
      <c r="AA771" s="10"/>
    </row>
    <row r="772" spans="1:27" ht="12.5" x14ac:dyDescent="0.25">
      <c r="A772" s="10" t="s">
        <v>91</v>
      </c>
      <c r="B772" s="10" t="s">
        <v>1122</v>
      </c>
      <c r="C772" s="10" t="s">
        <v>76</v>
      </c>
      <c r="D772" s="11">
        <v>2024</v>
      </c>
      <c r="E772" s="10" t="s">
        <v>81</v>
      </c>
      <c r="F772" s="10" t="s">
        <v>83</v>
      </c>
      <c r="G772" s="10" t="s">
        <v>84</v>
      </c>
      <c r="H772" s="12">
        <v>14335.5</v>
      </c>
      <c r="I772" s="11">
        <v>214</v>
      </c>
      <c r="J772" s="11">
        <v>202</v>
      </c>
      <c r="K772" s="11">
        <v>4744</v>
      </c>
      <c r="L772" s="11">
        <v>1.49279760036274E-2</v>
      </c>
      <c r="M772" s="11">
        <f t="shared" si="3"/>
        <v>1.4927976003627359</v>
      </c>
      <c r="N772" s="11">
        <v>0.94392523364486003</v>
      </c>
      <c r="O772" s="11">
        <v>0.33092672037947801</v>
      </c>
      <c r="P772" s="11">
        <v>0.181587837837838</v>
      </c>
      <c r="Q772" s="11">
        <v>0.2</v>
      </c>
      <c r="R772" s="11">
        <v>0.226744186046512</v>
      </c>
      <c r="S772" s="10" t="s">
        <v>84</v>
      </c>
      <c r="T772" s="10" t="s">
        <v>84</v>
      </c>
      <c r="U772" s="10"/>
      <c r="V772" s="10"/>
      <c r="W772" s="10"/>
      <c r="X772" s="10"/>
      <c r="Y772" s="10"/>
      <c r="Z772" s="10"/>
      <c r="AA772" s="10"/>
    </row>
    <row r="773" spans="1:27" ht="12.5" x14ac:dyDescent="0.25">
      <c r="A773" s="10" t="s">
        <v>42</v>
      </c>
      <c r="B773" s="10" t="s">
        <v>1123</v>
      </c>
      <c r="C773" s="10" t="s">
        <v>76</v>
      </c>
      <c r="D773" s="11">
        <v>2024</v>
      </c>
      <c r="E773" s="10" t="s">
        <v>81</v>
      </c>
      <c r="F773" s="10" t="s">
        <v>83</v>
      </c>
      <c r="G773" s="10" t="s">
        <v>84</v>
      </c>
      <c r="H773" s="12">
        <v>14600.75</v>
      </c>
      <c r="I773" s="11">
        <v>217</v>
      </c>
      <c r="J773" s="11">
        <v>104</v>
      </c>
      <c r="K773" s="11">
        <v>785</v>
      </c>
      <c r="L773" s="11">
        <v>1.48622502268719E-2</v>
      </c>
      <c r="M773" s="11">
        <f t="shared" si="3"/>
        <v>1.4862250226871907</v>
      </c>
      <c r="N773" s="11">
        <v>0.47926267281106</v>
      </c>
      <c r="O773" s="11">
        <v>5.3764361419790102E-2</v>
      </c>
      <c r="P773" s="11">
        <v>0.17989864864864899</v>
      </c>
      <c r="Q773" s="11">
        <v>4.7619047619047603E-2</v>
      </c>
      <c r="R773" s="11">
        <v>0.224806201550388</v>
      </c>
      <c r="S773" s="10" t="s">
        <v>84</v>
      </c>
      <c r="T773" s="10" t="s">
        <v>84</v>
      </c>
      <c r="U773" s="10"/>
      <c r="V773" s="10"/>
      <c r="W773" s="10"/>
      <c r="X773" s="10"/>
      <c r="Y773" s="10"/>
      <c r="Z773" s="10"/>
      <c r="AA773" s="10"/>
    </row>
    <row r="774" spans="1:27" ht="12.5" x14ac:dyDescent="0.25">
      <c r="A774" s="10" t="s">
        <v>86</v>
      </c>
      <c r="B774" s="10" t="s">
        <v>1127</v>
      </c>
      <c r="C774" s="10" t="s">
        <v>76</v>
      </c>
      <c r="D774" s="11">
        <v>2024</v>
      </c>
      <c r="E774" s="10" t="s">
        <v>81</v>
      </c>
      <c r="F774" s="10" t="s">
        <v>83</v>
      </c>
      <c r="G774" s="10" t="s">
        <v>84</v>
      </c>
      <c r="H774" s="12">
        <v>80741.583333333299</v>
      </c>
      <c r="I774" s="11">
        <v>1198</v>
      </c>
      <c r="J774" s="11">
        <v>1002</v>
      </c>
      <c r="K774" s="11">
        <v>43184</v>
      </c>
      <c r="L774" s="11">
        <v>1.48374598384352E-2</v>
      </c>
      <c r="M774" s="11">
        <f t="shared" si="3"/>
        <v>1.4837459838435179</v>
      </c>
      <c r="N774" s="11">
        <v>0.83639398998330505</v>
      </c>
      <c r="O774" s="11">
        <v>0.53484212492736605</v>
      </c>
      <c r="P774" s="11">
        <v>0.179054054054054</v>
      </c>
      <c r="Q774" s="11">
        <v>6.5217391304347797E-2</v>
      </c>
      <c r="R774" s="11">
        <v>0.22286821705426399</v>
      </c>
      <c r="S774" s="10" t="s">
        <v>84</v>
      </c>
      <c r="T774" s="10" t="s">
        <v>84</v>
      </c>
      <c r="U774" s="10"/>
      <c r="V774" s="10"/>
      <c r="W774" s="10"/>
      <c r="X774" s="10"/>
      <c r="Y774" s="10"/>
      <c r="Z774" s="10"/>
      <c r="AA774" s="10"/>
    </row>
    <row r="775" spans="1:27" ht="12.5" x14ac:dyDescent="0.25">
      <c r="A775" s="10" t="s">
        <v>96</v>
      </c>
      <c r="B775" s="10" t="s">
        <v>1129</v>
      </c>
      <c r="C775" s="10" t="s">
        <v>76</v>
      </c>
      <c r="D775" s="11">
        <v>2024</v>
      </c>
      <c r="E775" s="10" t="s">
        <v>81</v>
      </c>
      <c r="F775" s="10" t="s">
        <v>83</v>
      </c>
      <c r="G775" s="10" t="s">
        <v>84</v>
      </c>
      <c r="H775" s="12">
        <v>20934.666666666701</v>
      </c>
      <c r="I775" s="11">
        <v>310</v>
      </c>
      <c r="J775" s="11">
        <v>279</v>
      </c>
      <c r="K775" s="11">
        <v>832</v>
      </c>
      <c r="L775" s="11">
        <v>1.4807974014394E-2</v>
      </c>
      <c r="M775" s="11">
        <f t="shared" si="3"/>
        <v>1.4807974014393963</v>
      </c>
      <c r="N775" s="11">
        <v>0.9</v>
      </c>
      <c r="O775" s="11">
        <v>3.9742691548308999E-2</v>
      </c>
      <c r="P775" s="11">
        <v>0.17820945945945901</v>
      </c>
      <c r="Q775" s="11">
        <v>0.23529411764705899</v>
      </c>
      <c r="R775" s="11">
        <v>0.22093023255814001</v>
      </c>
      <c r="S775" s="10" t="s">
        <v>84</v>
      </c>
      <c r="T775" s="10" t="s">
        <v>84</v>
      </c>
      <c r="U775" s="10"/>
      <c r="V775" s="10"/>
      <c r="W775" s="10"/>
      <c r="X775" s="10"/>
      <c r="Y775" s="10"/>
      <c r="Z775" s="10"/>
      <c r="AA775" s="10"/>
    </row>
    <row r="776" spans="1:27" ht="12.5" x14ac:dyDescent="0.25">
      <c r="A776" s="10" t="s">
        <v>45</v>
      </c>
      <c r="B776" s="10" t="s">
        <v>1200</v>
      </c>
      <c r="C776" s="10" t="s">
        <v>76</v>
      </c>
      <c r="D776" s="11">
        <v>2024</v>
      </c>
      <c r="E776" s="10" t="s">
        <v>124</v>
      </c>
      <c r="F776" s="10" t="s">
        <v>83</v>
      </c>
      <c r="G776" s="10" t="s">
        <v>84</v>
      </c>
      <c r="H776" s="12">
        <v>2873</v>
      </c>
      <c r="I776" s="11">
        <v>42</v>
      </c>
      <c r="J776" s="11">
        <v>40</v>
      </c>
      <c r="K776" s="11">
        <v>1331</v>
      </c>
      <c r="L776" s="11">
        <v>1.46188652975983E-2</v>
      </c>
      <c r="M776" s="11">
        <f t="shared" si="3"/>
        <v>1.4618865297598329</v>
      </c>
      <c r="N776" s="11">
        <v>0.952380952380952</v>
      </c>
      <c r="O776" s="11">
        <v>0.46327880264531801</v>
      </c>
      <c r="P776" s="11">
        <v>0.177364864864865</v>
      </c>
      <c r="Q776" s="11">
        <v>0</v>
      </c>
      <c r="R776" s="11">
        <v>0.131991051454139</v>
      </c>
      <c r="S776" s="10" t="s">
        <v>84</v>
      </c>
      <c r="T776" s="10" t="s">
        <v>84</v>
      </c>
      <c r="U776" s="10"/>
      <c r="V776" s="10"/>
      <c r="W776" s="10"/>
      <c r="X776" s="10"/>
      <c r="Y776" s="10"/>
      <c r="Z776" s="10"/>
      <c r="AA776" s="10"/>
    </row>
    <row r="777" spans="1:27" ht="12.5" x14ac:dyDescent="0.25">
      <c r="A777" s="10" t="s">
        <v>34</v>
      </c>
      <c r="B777" s="10" t="s">
        <v>1132</v>
      </c>
      <c r="C777" s="10" t="s">
        <v>76</v>
      </c>
      <c r="D777" s="11">
        <v>2024</v>
      </c>
      <c r="E777" s="10" t="s">
        <v>81</v>
      </c>
      <c r="F777" s="10" t="s">
        <v>83</v>
      </c>
      <c r="G777" s="10" t="s">
        <v>84</v>
      </c>
      <c r="H777" s="12">
        <v>4663.5833333333303</v>
      </c>
      <c r="I777" s="11">
        <v>68</v>
      </c>
      <c r="J777" s="11">
        <v>46</v>
      </c>
      <c r="K777" s="11">
        <v>681</v>
      </c>
      <c r="L777" s="11">
        <v>1.45810624877151E-2</v>
      </c>
      <c r="M777" s="11">
        <f t="shared" si="3"/>
        <v>1.4581062487715106</v>
      </c>
      <c r="N777" s="11">
        <v>0.67647058823529405</v>
      </c>
      <c r="O777" s="11">
        <v>0.146025052266676</v>
      </c>
      <c r="P777" s="11">
        <v>0.17652027027027001</v>
      </c>
      <c r="Q777" s="11">
        <v>0.36734693877551</v>
      </c>
      <c r="R777" s="11">
        <v>0.218992248062016</v>
      </c>
      <c r="S777" s="10" t="s">
        <v>84</v>
      </c>
      <c r="T777" s="10" t="s">
        <v>84</v>
      </c>
      <c r="U777" s="10"/>
      <c r="V777" s="10"/>
      <c r="W777" s="10"/>
      <c r="X777" s="10"/>
      <c r="Y777" s="10"/>
      <c r="Z777" s="10"/>
      <c r="AA777" s="10"/>
    </row>
    <row r="778" spans="1:27" ht="12.5" x14ac:dyDescent="0.25">
      <c r="A778" s="10" t="s">
        <v>52</v>
      </c>
      <c r="B778" s="10" t="s">
        <v>1135</v>
      </c>
      <c r="C778" s="10" t="s">
        <v>76</v>
      </c>
      <c r="D778" s="11">
        <v>2024</v>
      </c>
      <c r="E778" s="10" t="s">
        <v>81</v>
      </c>
      <c r="F778" s="10" t="s">
        <v>83</v>
      </c>
      <c r="G778" s="10" t="s">
        <v>84</v>
      </c>
      <c r="H778" s="12">
        <v>11043.25</v>
      </c>
      <c r="I778" s="11">
        <v>161</v>
      </c>
      <c r="J778" s="11">
        <v>114</v>
      </c>
      <c r="K778" s="11">
        <v>969</v>
      </c>
      <c r="L778" s="11">
        <v>1.4579041495936401E-2</v>
      </c>
      <c r="M778" s="11">
        <f t="shared" si="3"/>
        <v>1.4579041495936431</v>
      </c>
      <c r="N778" s="11">
        <v>0.70807453416149102</v>
      </c>
      <c r="O778" s="11">
        <v>8.7745908133928005E-2</v>
      </c>
      <c r="P778" s="11">
        <v>0.17567567567567599</v>
      </c>
      <c r="Q778" s="11">
        <v>8.5106382978723402E-2</v>
      </c>
      <c r="R778" s="11">
        <v>0.217054263565891</v>
      </c>
      <c r="S778" s="10" t="s">
        <v>84</v>
      </c>
      <c r="T778" s="10" t="s">
        <v>84</v>
      </c>
      <c r="U778" s="10"/>
      <c r="V778" s="10"/>
      <c r="W778" s="10"/>
      <c r="X778" s="10"/>
      <c r="Y778" s="10"/>
      <c r="Z778" s="10"/>
      <c r="AA778" s="10"/>
    </row>
    <row r="779" spans="1:27" ht="12.5" x14ac:dyDescent="0.25">
      <c r="A779" s="10" t="s">
        <v>34</v>
      </c>
      <c r="B779" s="10" t="s">
        <v>1138</v>
      </c>
      <c r="C779" s="10" t="s">
        <v>76</v>
      </c>
      <c r="D779" s="11">
        <v>2024</v>
      </c>
      <c r="E779" s="10" t="s">
        <v>81</v>
      </c>
      <c r="F779" s="10" t="s">
        <v>83</v>
      </c>
      <c r="G779" s="10" t="s">
        <v>84</v>
      </c>
      <c r="H779" s="12">
        <v>9537</v>
      </c>
      <c r="I779" s="11">
        <v>139</v>
      </c>
      <c r="J779" s="11">
        <v>128</v>
      </c>
      <c r="K779" s="11">
        <v>277</v>
      </c>
      <c r="L779" s="11">
        <v>1.4574813882772399E-2</v>
      </c>
      <c r="M779" s="11">
        <f t="shared" si="3"/>
        <v>1.4574813882772362</v>
      </c>
      <c r="N779" s="11">
        <v>0.92086330935251803</v>
      </c>
      <c r="O779" s="11">
        <v>2.90447729894097E-2</v>
      </c>
      <c r="P779" s="11">
        <v>0.174831081081081</v>
      </c>
      <c r="Q779" s="11">
        <v>0.34693877551020402</v>
      </c>
      <c r="R779" s="11">
        <v>0.21511627906976699</v>
      </c>
      <c r="S779" s="10" t="s">
        <v>84</v>
      </c>
      <c r="T779" s="10" t="s">
        <v>84</v>
      </c>
      <c r="U779" s="10"/>
      <c r="V779" s="10"/>
      <c r="W779" s="10"/>
      <c r="X779" s="10"/>
      <c r="Y779" s="10"/>
      <c r="Z779" s="10"/>
      <c r="AA779" s="10"/>
    </row>
    <row r="780" spans="1:27" ht="12.5" x14ac:dyDescent="0.25">
      <c r="A780" s="10" t="s">
        <v>52</v>
      </c>
      <c r="B780" s="10" t="s">
        <v>1140</v>
      </c>
      <c r="C780" s="10" t="s">
        <v>76</v>
      </c>
      <c r="D780" s="11">
        <v>2024</v>
      </c>
      <c r="E780" s="10" t="s">
        <v>81</v>
      </c>
      <c r="F780" s="10" t="s">
        <v>83</v>
      </c>
      <c r="G780" s="10" t="s">
        <v>84</v>
      </c>
      <c r="H780" s="12">
        <v>9276.5833333333303</v>
      </c>
      <c r="I780" s="11">
        <v>135</v>
      </c>
      <c r="J780" s="11">
        <v>76</v>
      </c>
      <c r="K780" s="11">
        <v>669</v>
      </c>
      <c r="L780" s="11">
        <v>1.45527717640295E-2</v>
      </c>
      <c r="M780" s="11">
        <f t="shared" si="3"/>
        <v>1.4552771764029506</v>
      </c>
      <c r="N780" s="11">
        <v>0.562962962962963</v>
      </c>
      <c r="O780" s="11">
        <v>7.2117068963968398E-2</v>
      </c>
      <c r="P780" s="11">
        <v>0.17398648648648599</v>
      </c>
      <c r="Q780" s="11">
        <v>6.3829787234042507E-2</v>
      </c>
      <c r="R780" s="11">
        <v>0.21317829457364301</v>
      </c>
      <c r="S780" s="10" t="s">
        <v>84</v>
      </c>
      <c r="T780" s="10" t="s">
        <v>84</v>
      </c>
      <c r="U780" s="10"/>
      <c r="V780" s="10"/>
      <c r="W780" s="10"/>
      <c r="X780" s="10"/>
      <c r="Y780" s="10"/>
      <c r="Z780" s="10"/>
      <c r="AA780" s="10"/>
    </row>
    <row r="781" spans="1:27" ht="12.5" x14ac:dyDescent="0.25">
      <c r="A781" s="10" t="s">
        <v>96</v>
      </c>
      <c r="B781" s="10" t="s">
        <v>1142</v>
      </c>
      <c r="C781" s="10" t="s">
        <v>76</v>
      </c>
      <c r="D781" s="11">
        <v>2024</v>
      </c>
      <c r="E781" s="10" t="s">
        <v>81</v>
      </c>
      <c r="F781" s="10" t="s">
        <v>83</v>
      </c>
      <c r="G781" s="10" t="s">
        <v>84</v>
      </c>
      <c r="H781" s="12">
        <v>19542.333333333299</v>
      </c>
      <c r="I781" s="11">
        <v>283</v>
      </c>
      <c r="J781" s="11">
        <v>261</v>
      </c>
      <c r="K781" s="11">
        <v>5259</v>
      </c>
      <c r="L781" s="11">
        <v>1.44813822982585E-2</v>
      </c>
      <c r="M781" s="11">
        <f t="shared" si="3"/>
        <v>1.4481382298258507</v>
      </c>
      <c r="N781" s="11">
        <v>0.92226148409894004</v>
      </c>
      <c r="O781" s="11">
        <v>0.26910809012912101</v>
      </c>
      <c r="P781" s="11">
        <v>0.173141891891892</v>
      </c>
      <c r="Q781" s="11">
        <v>0.17647058823529399</v>
      </c>
      <c r="R781" s="11">
        <v>0.21124031007751901</v>
      </c>
      <c r="S781" s="10" t="s">
        <v>84</v>
      </c>
      <c r="T781" s="10" t="s">
        <v>84</v>
      </c>
      <c r="U781" s="10"/>
      <c r="V781" s="10"/>
      <c r="W781" s="10"/>
      <c r="X781" s="10"/>
      <c r="Y781" s="10"/>
      <c r="Z781" s="10"/>
      <c r="AA781" s="10"/>
    </row>
    <row r="782" spans="1:27" ht="12.5" x14ac:dyDescent="0.25">
      <c r="A782" s="10" t="s">
        <v>34</v>
      </c>
      <c r="B782" s="10" t="s">
        <v>1202</v>
      </c>
      <c r="C782" s="10" t="s">
        <v>76</v>
      </c>
      <c r="D782" s="11">
        <v>2024</v>
      </c>
      <c r="E782" s="10" t="s">
        <v>124</v>
      </c>
      <c r="F782" s="10" t="s">
        <v>83</v>
      </c>
      <c r="G782" s="10" t="s">
        <v>84</v>
      </c>
      <c r="H782" s="12">
        <v>1245.8333333333301</v>
      </c>
      <c r="I782" s="11">
        <v>18</v>
      </c>
      <c r="J782" s="11">
        <v>18</v>
      </c>
      <c r="K782" s="11">
        <v>1717</v>
      </c>
      <c r="L782" s="11">
        <v>1.44481605351171E-2</v>
      </c>
      <c r="M782" s="11">
        <f t="shared" si="3"/>
        <v>1.4448160535117094</v>
      </c>
      <c r="N782" s="11">
        <v>1</v>
      </c>
      <c r="O782" s="11">
        <v>1.37819397993311</v>
      </c>
      <c r="P782" s="11">
        <v>0.17229729729729701</v>
      </c>
      <c r="Q782" s="11">
        <v>0.32653061224489799</v>
      </c>
      <c r="R782" s="11">
        <v>0.129753914988814</v>
      </c>
      <c r="S782" s="10" t="s">
        <v>84</v>
      </c>
      <c r="T782" s="10" t="s">
        <v>84</v>
      </c>
      <c r="U782" s="10"/>
      <c r="V782" s="10"/>
      <c r="W782" s="10"/>
      <c r="X782" s="10"/>
      <c r="Y782" s="10"/>
      <c r="Z782" s="10"/>
      <c r="AA782" s="10"/>
    </row>
    <row r="783" spans="1:27" ht="12.5" x14ac:dyDescent="0.25">
      <c r="A783" s="10" t="s">
        <v>82</v>
      </c>
      <c r="B783" s="10" t="s">
        <v>1145</v>
      </c>
      <c r="C783" s="10" t="s">
        <v>76</v>
      </c>
      <c r="D783" s="11">
        <v>2024</v>
      </c>
      <c r="E783" s="10" t="s">
        <v>81</v>
      </c>
      <c r="F783" s="10" t="s">
        <v>83</v>
      </c>
      <c r="G783" s="10" t="s">
        <v>84</v>
      </c>
      <c r="H783" s="12">
        <v>32926.833333333299</v>
      </c>
      <c r="I783" s="11">
        <v>473</v>
      </c>
      <c r="J783" s="11">
        <v>384</v>
      </c>
      <c r="K783" s="11">
        <v>6423</v>
      </c>
      <c r="L783" s="11">
        <v>1.43651834117058E-2</v>
      </c>
      <c r="M783" s="11">
        <f t="shared" si="3"/>
        <v>1.4365183411705766</v>
      </c>
      <c r="N783" s="11">
        <v>0.81183932346722998</v>
      </c>
      <c r="O783" s="11">
        <v>0.195068864806313</v>
      </c>
      <c r="P783" s="11">
        <v>0.170608108108108</v>
      </c>
      <c r="Q783" s="11">
        <v>0.31034482758620702</v>
      </c>
      <c r="R783" s="11">
        <v>0.209302325581395</v>
      </c>
      <c r="S783" s="10" t="s">
        <v>84</v>
      </c>
      <c r="T783" s="10" t="s">
        <v>84</v>
      </c>
      <c r="U783" s="10"/>
      <c r="V783" s="10"/>
      <c r="W783" s="10"/>
      <c r="X783" s="10"/>
      <c r="Y783" s="10"/>
      <c r="Z783" s="10"/>
      <c r="AA783" s="10"/>
    </row>
    <row r="784" spans="1:27" ht="12.5" x14ac:dyDescent="0.25">
      <c r="A784" s="10" t="s">
        <v>13</v>
      </c>
      <c r="B784" s="10" t="s">
        <v>1147</v>
      </c>
      <c r="C784" s="10" t="s">
        <v>76</v>
      </c>
      <c r="D784" s="11">
        <v>2024</v>
      </c>
      <c r="E784" s="10" t="s">
        <v>81</v>
      </c>
      <c r="F784" s="10" t="s">
        <v>83</v>
      </c>
      <c r="G784" s="10" t="s">
        <v>84</v>
      </c>
      <c r="H784" s="12">
        <v>16997.416666666701</v>
      </c>
      <c r="I784" s="11">
        <v>242</v>
      </c>
      <c r="J784" s="11">
        <v>168</v>
      </c>
      <c r="K784" s="11">
        <v>40252</v>
      </c>
      <c r="L784" s="11">
        <v>1.42374576528786E-2</v>
      </c>
      <c r="M784" s="11">
        <f t="shared" si="3"/>
        <v>1.4237457652878596</v>
      </c>
      <c r="N784" s="11">
        <v>0.69421487603305798</v>
      </c>
      <c r="O784" s="11">
        <v>2.3681245679490499</v>
      </c>
      <c r="P784" s="11">
        <v>0.168918918918919</v>
      </c>
      <c r="Q784" s="11">
        <v>0</v>
      </c>
      <c r="R784" s="11">
        <v>0.20736434108527099</v>
      </c>
      <c r="S784" s="10" t="s">
        <v>84</v>
      </c>
      <c r="T784" s="10" t="s">
        <v>84</v>
      </c>
      <c r="U784" s="10"/>
      <c r="V784" s="10"/>
      <c r="W784" s="10"/>
      <c r="X784" s="10"/>
      <c r="Y784" s="10"/>
      <c r="Z784" s="10"/>
      <c r="AA784" s="10"/>
    </row>
    <row r="785" spans="1:27" ht="12.5" x14ac:dyDescent="0.25">
      <c r="A785" s="10" t="s">
        <v>52</v>
      </c>
      <c r="B785" s="10" t="s">
        <v>1150</v>
      </c>
      <c r="C785" s="10" t="s">
        <v>76</v>
      </c>
      <c r="D785" s="11">
        <v>2024</v>
      </c>
      <c r="E785" s="10" t="s">
        <v>81</v>
      </c>
      <c r="F785" s="10" t="s">
        <v>83</v>
      </c>
      <c r="G785" s="10" t="s">
        <v>84</v>
      </c>
      <c r="H785" s="12">
        <v>23439.666666666701</v>
      </c>
      <c r="I785" s="11">
        <v>329</v>
      </c>
      <c r="J785" s="11">
        <v>273</v>
      </c>
      <c r="K785" s="11">
        <v>17698</v>
      </c>
      <c r="L785" s="11">
        <v>1.40360357798035E-2</v>
      </c>
      <c r="M785" s="11">
        <f t="shared" si="3"/>
        <v>1.4036035779803446</v>
      </c>
      <c r="N785" s="11">
        <v>0.82978723404255295</v>
      </c>
      <c r="O785" s="11">
        <v>0.75504486696341</v>
      </c>
      <c r="P785" s="11">
        <v>0.16807432432432401</v>
      </c>
      <c r="Q785" s="11">
        <v>4.2553191489361701E-2</v>
      </c>
      <c r="R785" s="11">
        <v>0.20542635658914701</v>
      </c>
      <c r="S785" s="10" t="s">
        <v>84</v>
      </c>
      <c r="T785" s="10" t="s">
        <v>84</v>
      </c>
      <c r="U785" s="10"/>
      <c r="V785" s="10"/>
      <c r="W785" s="10"/>
      <c r="X785" s="10"/>
      <c r="Y785" s="10"/>
      <c r="Z785" s="10"/>
      <c r="AA785" s="10"/>
    </row>
    <row r="786" spans="1:27" ht="12.5" x14ac:dyDescent="0.25">
      <c r="A786" s="10" t="s">
        <v>12</v>
      </c>
      <c r="B786" s="10" t="s">
        <v>1153</v>
      </c>
      <c r="C786" s="10" t="s">
        <v>76</v>
      </c>
      <c r="D786" s="11">
        <v>2024</v>
      </c>
      <c r="E786" s="10" t="s">
        <v>81</v>
      </c>
      <c r="F786" s="10" t="s">
        <v>83</v>
      </c>
      <c r="G786" s="10" t="s">
        <v>84</v>
      </c>
      <c r="H786" s="12">
        <v>21160.75</v>
      </c>
      <c r="I786" s="11">
        <v>295</v>
      </c>
      <c r="J786" s="11">
        <v>347</v>
      </c>
      <c r="K786" s="11">
        <v>46221</v>
      </c>
      <c r="L786" s="11">
        <v>1.3940904741089E-2</v>
      </c>
      <c r="M786" s="11">
        <f t="shared" si="3"/>
        <v>1.3940904741089044</v>
      </c>
      <c r="N786" s="11">
        <v>1.1762711864406801</v>
      </c>
      <c r="O786" s="11">
        <v>2.1842798577555098</v>
      </c>
      <c r="P786" s="11">
        <v>0.16722972972972999</v>
      </c>
      <c r="Q786" s="11">
        <v>0.11111111111111099</v>
      </c>
      <c r="R786" s="11">
        <v>0.20348837209302301</v>
      </c>
      <c r="S786" s="10" t="s">
        <v>84</v>
      </c>
      <c r="T786" s="10" t="s">
        <v>84</v>
      </c>
      <c r="U786" s="10"/>
      <c r="V786" s="10"/>
      <c r="W786" s="10"/>
      <c r="X786" s="10"/>
      <c r="Y786" s="10"/>
      <c r="Z786" s="10"/>
      <c r="AA786" s="10"/>
    </row>
    <row r="787" spans="1:27" ht="12.5" x14ac:dyDescent="0.25">
      <c r="A787" s="10" t="s">
        <v>104</v>
      </c>
      <c r="B787" s="10" t="s">
        <v>1055</v>
      </c>
      <c r="C787" s="10" t="s">
        <v>76</v>
      </c>
      <c r="D787" s="11">
        <v>2024</v>
      </c>
      <c r="E787" s="10" t="s">
        <v>81</v>
      </c>
      <c r="F787" s="10" t="s">
        <v>83</v>
      </c>
      <c r="G787" s="10" t="s">
        <v>84</v>
      </c>
      <c r="H787" s="12">
        <v>2226.25</v>
      </c>
      <c r="I787" s="11">
        <v>31</v>
      </c>
      <c r="J787" s="11">
        <v>10</v>
      </c>
      <c r="K787" s="11">
        <v>328</v>
      </c>
      <c r="L787" s="11">
        <v>1.3924761370016799E-2</v>
      </c>
      <c r="M787" s="11">
        <f t="shared" si="3"/>
        <v>1.3924761370016845</v>
      </c>
      <c r="N787" s="11">
        <v>0.32258064516128998</v>
      </c>
      <c r="O787" s="11">
        <v>0.147332959011791</v>
      </c>
      <c r="P787" s="11">
        <v>0.166385135135135</v>
      </c>
      <c r="Q787" s="11">
        <v>0.13793103448275901</v>
      </c>
      <c r="R787" s="11">
        <v>0.201550387596899</v>
      </c>
      <c r="S787" s="10" t="s">
        <v>84</v>
      </c>
      <c r="T787" s="10" t="s">
        <v>84</v>
      </c>
      <c r="U787" s="10"/>
      <c r="V787" s="10"/>
      <c r="W787" s="10"/>
      <c r="X787" s="10"/>
      <c r="Y787" s="10"/>
      <c r="Z787" s="10"/>
      <c r="AA787" s="10"/>
    </row>
    <row r="788" spans="1:27" ht="12.5" x14ac:dyDescent="0.25">
      <c r="A788" s="10" t="s">
        <v>95</v>
      </c>
      <c r="B788" s="10" t="s">
        <v>1157</v>
      </c>
      <c r="C788" s="10" t="s">
        <v>76</v>
      </c>
      <c r="D788" s="11">
        <v>2024</v>
      </c>
      <c r="E788" s="10" t="s">
        <v>81</v>
      </c>
      <c r="F788" s="10" t="s">
        <v>83</v>
      </c>
      <c r="G788" s="10" t="s">
        <v>84</v>
      </c>
      <c r="H788" s="12">
        <v>84122</v>
      </c>
      <c r="I788" s="11">
        <v>1160</v>
      </c>
      <c r="J788" s="11">
        <v>1013</v>
      </c>
      <c r="K788" s="11">
        <v>20205</v>
      </c>
      <c r="L788" s="11">
        <v>1.37894962078885E-2</v>
      </c>
      <c r="M788" s="11">
        <f t="shared" si="3"/>
        <v>1.3789496207888543</v>
      </c>
      <c r="N788" s="11">
        <v>0.87327586206896601</v>
      </c>
      <c r="O788" s="11">
        <v>0.24018687144861001</v>
      </c>
      <c r="P788" s="11">
        <v>0.16554054054054099</v>
      </c>
      <c r="Q788" s="11">
        <v>0</v>
      </c>
      <c r="R788" s="11">
        <v>0.19961240310077499</v>
      </c>
      <c r="S788" s="10" t="s">
        <v>84</v>
      </c>
      <c r="T788" s="10" t="s">
        <v>84</v>
      </c>
      <c r="U788" s="10"/>
      <c r="V788" s="10"/>
      <c r="W788" s="10"/>
      <c r="X788" s="10"/>
      <c r="Y788" s="10"/>
      <c r="Z788" s="10"/>
      <c r="AA788" s="10"/>
    </row>
    <row r="789" spans="1:27" ht="12.5" x14ac:dyDescent="0.25">
      <c r="A789" s="10" t="s">
        <v>53</v>
      </c>
      <c r="B789" s="10" t="s">
        <v>1205</v>
      </c>
      <c r="C789" s="10" t="s">
        <v>76</v>
      </c>
      <c r="D789" s="11">
        <v>2024</v>
      </c>
      <c r="E789" s="10" t="s">
        <v>124</v>
      </c>
      <c r="F789" s="10" t="s">
        <v>125</v>
      </c>
      <c r="G789" s="10" t="s">
        <v>84</v>
      </c>
      <c r="H789" s="12">
        <v>2250.3333333333298</v>
      </c>
      <c r="I789" s="11">
        <v>31</v>
      </c>
      <c r="J789" s="11">
        <v>24</v>
      </c>
      <c r="K789" s="11">
        <v>3447</v>
      </c>
      <c r="L789" s="11">
        <v>1.3775736927862501E-2</v>
      </c>
      <c r="M789" s="11">
        <f t="shared" si="3"/>
        <v>1.3775736927862559</v>
      </c>
      <c r="N789" s="11">
        <v>0.77419354838709697</v>
      </c>
      <c r="O789" s="11">
        <v>1.5317730706562001</v>
      </c>
      <c r="P789" s="11">
        <v>0.164695945945946</v>
      </c>
      <c r="Q789" s="11">
        <v>0.72499999999999998</v>
      </c>
      <c r="R789" s="11">
        <v>0.12751677852349</v>
      </c>
      <c r="S789" s="10" t="s">
        <v>84</v>
      </c>
      <c r="T789" s="10" t="s">
        <v>84</v>
      </c>
      <c r="U789" s="10"/>
      <c r="V789" s="10"/>
      <c r="W789" s="10"/>
      <c r="X789" s="10"/>
      <c r="Y789" s="10"/>
      <c r="Z789" s="10"/>
      <c r="AA789" s="10"/>
    </row>
    <row r="790" spans="1:27" ht="12.5" x14ac:dyDescent="0.25">
      <c r="A790" s="10" t="s">
        <v>67</v>
      </c>
      <c r="B790" s="10" t="s">
        <v>1160</v>
      </c>
      <c r="C790" s="10" t="s">
        <v>76</v>
      </c>
      <c r="D790" s="11">
        <v>2024</v>
      </c>
      <c r="E790" s="10" t="s">
        <v>81</v>
      </c>
      <c r="F790" s="10" t="s">
        <v>83</v>
      </c>
      <c r="G790" s="10" t="s">
        <v>84</v>
      </c>
      <c r="H790" s="12">
        <v>18737</v>
      </c>
      <c r="I790" s="11">
        <v>258</v>
      </c>
      <c r="J790" s="11">
        <v>184</v>
      </c>
      <c r="K790" s="11">
        <v>20512</v>
      </c>
      <c r="L790" s="11">
        <v>1.3769546885840801E-2</v>
      </c>
      <c r="M790" s="11">
        <f t="shared" si="3"/>
        <v>1.3769546885840849</v>
      </c>
      <c r="N790" s="11">
        <v>0.71317829457364301</v>
      </c>
      <c r="O790" s="11">
        <v>1.0947323477611099</v>
      </c>
      <c r="P790" s="11">
        <v>0.16385135135135101</v>
      </c>
      <c r="Q790" s="11">
        <v>9.5238095238095205E-2</v>
      </c>
      <c r="R790" s="11">
        <v>0.19767441860465099</v>
      </c>
      <c r="S790" s="10" t="s">
        <v>84</v>
      </c>
      <c r="T790" s="10" t="s">
        <v>84</v>
      </c>
      <c r="U790" s="10"/>
      <c r="V790" s="10"/>
      <c r="W790" s="10"/>
      <c r="X790" s="10"/>
      <c r="Y790" s="10"/>
      <c r="Z790" s="10"/>
      <c r="AA790" s="10"/>
    </row>
    <row r="791" spans="1:27" ht="12.5" x14ac:dyDescent="0.25">
      <c r="A791" s="10" t="s">
        <v>53</v>
      </c>
      <c r="B791" s="10" t="s">
        <v>1162</v>
      </c>
      <c r="C791" s="10" t="s">
        <v>76</v>
      </c>
      <c r="D791" s="11">
        <v>2024</v>
      </c>
      <c r="E791" s="10" t="s">
        <v>81</v>
      </c>
      <c r="F791" s="10" t="s">
        <v>125</v>
      </c>
      <c r="G791" s="10" t="s">
        <v>84</v>
      </c>
      <c r="H791" s="12">
        <v>6844.25</v>
      </c>
      <c r="I791" s="11">
        <v>93</v>
      </c>
      <c r="J791" s="11">
        <v>78</v>
      </c>
      <c r="K791" s="11">
        <v>933</v>
      </c>
      <c r="L791" s="11">
        <v>1.35880483617635E-2</v>
      </c>
      <c r="M791" s="11">
        <f t="shared" si="3"/>
        <v>1.3588048361763523</v>
      </c>
      <c r="N791" s="11">
        <v>0.83870967741935498</v>
      </c>
      <c r="O791" s="11">
        <v>0.13631880775833699</v>
      </c>
      <c r="P791" s="11">
        <v>0.162162162162162</v>
      </c>
      <c r="Q791" s="11">
        <v>0.7</v>
      </c>
      <c r="R791" s="11">
        <v>0.19573643410852701</v>
      </c>
      <c r="S791" s="10" t="s">
        <v>84</v>
      </c>
      <c r="T791" s="10" t="s">
        <v>84</v>
      </c>
      <c r="U791" s="10"/>
      <c r="V791" s="10"/>
      <c r="W791" s="10"/>
      <c r="X791" s="10"/>
      <c r="Y791" s="10"/>
      <c r="Z791" s="10"/>
      <c r="AA791" s="10"/>
    </row>
    <row r="792" spans="1:27" ht="12.5" x14ac:dyDescent="0.25">
      <c r="A792" s="10" t="s">
        <v>34</v>
      </c>
      <c r="B792" s="10" t="s">
        <v>1207</v>
      </c>
      <c r="C792" s="10" t="s">
        <v>76</v>
      </c>
      <c r="D792" s="11">
        <v>2024</v>
      </c>
      <c r="E792" s="10" t="s">
        <v>124</v>
      </c>
      <c r="F792" s="10" t="s">
        <v>83</v>
      </c>
      <c r="G792" s="10" t="s">
        <v>84</v>
      </c>
      <c r="H792" s="12">
        <v>8662</v>
      </c>
      <c r="I792" s="11">
        <v>115</v>
      </c>
      <c r="J792" s="11">
        <v>124</v>
      </c>
      <c r="K792" s="11">
        <v>19865</v>
      </c>
      <c r="L792" s="11">
        <v>1.3276379589009501E-2</v>
      </c>
      <c r="M792" s="11">
        <f t="shared" si="3"/>
        <v>1.3276379589009466</v>
      </c>
      <c r="N792" s="11">
        <v>1.07826086956522</v>
      </c>
      <c r="O792" s="11">
        <v>2.2933502655275899</v>
      </c>
      <c r="P792" s="11">
        <v>0.16131756756756799</v>
      </c>
      <c r="Q792" s="11">
        <v>0.30612244897959201</v>
      </c>
      <c r="R792" s="11">
        <v>0.125279642058166</v>
      </c>
      <c r="S792" s="10" t="s">
        <v>84</v>
      </c>
      <c r="T792" s="10" t="s">
        <v>84</v>
      </c>
      <c r="U792" s="10"/>
      <c r="V792" s="10"/>
      <c r="W792" s="10"/>
      <c r="X792" s="10"/>
      <c r="Y792" s="10"/>
      <c r="Z792" s="10"/>
      <c r="AA792" s="10"/>
    </row>
    <row r="793" spans="1:27" ht="12.5" x14ac:dyDescent="0.25">
      <c r="A793" s="10" t="s">
        <v>53</v>
      </c>
      <c r="B793" s="10" t="s">
        <v>1210</v>
      </c>
      <c r="C793" s="10" t="s">
        <v>76</v>
      </c>
      <c r="D793" s="11">
        <v>2024</v>
      </c>
      <c r="E793" s="10" t="s">
        <v>124</v>
      </c>
      <c r="F793" s="10" t="s">
        <v>125</v>
      </c>
      <c r="G793" s="10" t="s">
        <v>84</v>
      </c>
      <c r="H793" s="12">
        <v>453.33333333333297</v>
      </c>
      <c r="I793" s="11">
        <v>6</v>
      </c>
      <c r="J793" s="11">
        <v>6</v>
      </c>
      <c r="K793" s="11">
        <v>150</v>
      </c>
      <c r="L793" s="11">
        <v>1.32352941176471E-2</v>
      </c>
      <c r="M793" s="11">
        <f t="shared" si="3"/>
        <v>1.323529411764707</v>
      </c>
      <c r="N793" s="11">
        <v>1</v>
      </c>
      <c r="O793" s="11">
        <v>0.33088235294117602</v>
      </c>
      <c r="P793" s="11">
        <v>0.160472972972973</v>
      </c>
      <c r="Q793" s="11">
        <v>0.67500000000000004</v>
      </c>
      <c r="R793" s="11">
        <v>0.12304250559284099</v>
      </c>
      <c r="S793" s="10" t="s">
        <v>84</v>
      </c>
      <c r="T793" s="10" t="s">
        <v>84</v>
      </c>
      <c r="U793" s="10"/>
      <c r="V793" s="10"/>
      <c r="W793" s="10"/>
      <c r="X793" s="10"/>
      <c r="Y793" s="10"/>
      <c r="Z793" s="10"/>
      <c r="AA793" s="10"/>
    </row>
    <row r="794" spans="1:27" ht="12.5" x14ac:dyDescent="0.25">
      <c r="A794" s="10" t="s">
        <v>67</v>
      </c>
      <c r="B794" s="10" t="s">
        <v>1106</v>
      </c>
      <c r="C794" s="10" t="s">
        <v>76</v>
      </c>
      <c r="D794" s="11">
        <v>2024</v>
      </c>
      <c r="E794" s="10" t="s">
        <v>81</v>
      </c>
      <c r="F794" s="10" t="s">
        <v>83</v>
      </c>
      <c r="G794" s="10" t="s">
        <v>84</v>
      </c>
      <c r="H794" s="12">
        <v>1211</v>
      </c>
      <c r="I794" s="11">
        <v>16</v>
      </c>
      <c r="J794" s="11">
        <v>11</v>
      </c>
      <c r="K794" s="11">
        <v>60</v>
      </c>
      <c r="L794" s="11">
        <v>1.32122213047069E-2</v>
      </c>
      <c r="M794" s="11">
        <f t="shared" si="3"/>
        <v>1.3212221304706853</v>
      </c>
      <c r="N794" s="11">
        <v>0.6875</v>
      </c>
      <c r="O794" s="11">
        <v>4.9545829892650703E-2</v>
      </c>
      <c r="P794" s="11">
        <v>0.15962837837837801</v>
      </c>
      <c r="Q794" s="11">
        <v>4.7619047619047603E-2</v>
      </c>
      <c r="R794" s="11">
        <v>0.193798449612403</v>
      </c>
      <c r="S794" s="10" t="s">
        <v>84</v>
      </c>
      <c r="T794" s="10" t="s">
        <v>84</v>
      </c>
      <c r="U794" s="10"/>
      <c r="V794" s="10"/>
      <c r="W794" s="10"/>
      <c r="X794" s="10"/>
      <c r="Y794" s="10"/>
      <c r="Z794" s="10"/>
      <c r="AA794" s="10"/>
    </row>
    <row r="795" spans="1:27" ht="12.5" x14ac:dyDescent="0.25">
      <c r="A795" s="10" t="s">
        <v>6</v>
      </c>
      <c r="B795" s="10" t="s">
        <v>761</v>
      </c>
      <c r="C795" s="10" t="s">
        <v>76</v>
      </c>
      <c r="D795" s="11">
        <v>2024</v>
      </c>
      <c r="E795" s="10" t="s">
        <v>81</v>
      </c>
      <c r="F795" s="10" t="s">
        <v>83</v>
      </c>
      <c r="G795" s="10" t="s">
        <v>84</v>
      </c>
      <c r="H795" s="12">
        <v>759.08333333333303</v>
      </c>
      <c r="I795" s="11">
        <v>10</v>
      </c>
      <c r="J795" s="11">
        <v>7</v>
      </c>
      <c r="K795" s="11">
        <v>811</v>
      </c>
      <c r="L795" s="11">
        <v>1.3173784169502699E-2</v>
      </c>
      <c r="M795" s="11">
        <f t="shared" si="3"/>
        <v>1.3173784169502696</v>
      </c>
      <c r="N795" s="11">
        <v>0.7</v>
      </c>
      <c r="O795" s="11">
        <v>1.0683938961466699</v>
      </c>
      <c r="P795" s="11">
        <v>0.15878378378378399</v>
      </c>
      <c r="Q795" s="11">
        <v>0.32258064516128998</v>
      </c>
      <c r="R795" s="11">
        <v>0.19186046511627899</v>
      </c>
      <c r="S795" s="10" t="s">
        <v>84</v>
      </c>
      <c r="T795" s="10" t="s">
        <v>84</v>
      </c>
      <c r="U795" s="10"/>
      <c r="V795" s="10"/>
      <c r="W795" s="10"/>
      <c r="X795" s="10"/>
      <c r="Y795" s="10"/>
      <c r="Z795" s="10"/>
      <c r="AA795" s="10"/>
    </row>
    <row r="796" spans="1:27" ht="12.5" x14ac:dyDescent="0.25">
      <c r="A796" s="10" t="s">
        <v>104</v>
      </c>
      <c r="B796" s="10" t="s">
        <v>1166</v>
      </c>
      <c r="C796" s="10" t="s">
        <v>76</v>
      </c>
      <c r="D796" s="11">
        <v>2024</v>
      </c>
      <c r="E796" s="10" t="s">
        <v>81</v>
      </c>
      <c r="F796" s="10" t="s">
        <v>83</v>
      </c>
      <c r="G796" s="10" t="s">
        <v>84</v>
      </c>
      <c r="H796" s="12">
        <v>15293.916666666701</v>
      </c>
      <c r="I796" s="11">
        <v>201</v>
      </c>
      <c r="J796" s="11">
        <v>79</v>
      </c>
      <c r="K796" s="11">
        <v>297</v>
      </c>
      <c r="L796" s="11">
        <v>1.31424803979796E-2</v>
      </c>
      <c r="M796" s="11">
        <f t="shared" si="3"/>
        <v>1.3142480397979559</v>
      </c>
      <c r="N796" s="11">
        <v>0.39303482587064698</v>
      </c>
      <c r="O796" s="11">
        <v>1.9419485961193701E-2</v>
      </c>
      <c r="P796" s="11">
        <v>0.15793918918918901</v>
      </c>
      <c r="Q796" s="11">
        <v>0.10344827586206901</v>
      </c>
      <c r="R796" s="11">
        <v>0.18992248062015499</v>
      </c>
      <c r="S796" s="10" t="s">
        <v>84</v>
      </c>
      <c r="T796" s="10" t="s">
        <v>84</v>
      </c>
      <c r="U796" s="10"/>
      <c r="V796" s="10"/>
      <c r="W796" s="10"/>
      <c r="X796" s="10"/>
      <c r="Y796" s="10"/>
      <c r="Z796" s="10"/>
      <c r="AA796" s="10"/>
    </row>
    <row r="797" spans="1:27" ht="12.5" x14ac:dyDescent="0.25">
      <c r="A797" s="10" t="s">
        <v>6</v>
      </c>
      <c r="B797" s="10" t="s">
        <v>1213</v>
      </c>
      <c r="C797" s="10" t="s">
        <v>76</v>
      </c>
      <c r="D797" s="11">
        <v>2024</v>
      </c>
      <c r="E797" s="10" t="s">
        <v>124</v>
      </c>
      <c r="F797" s="10" t="s">
        <v>125</v>
      </c>
      <c r="G797" s="10" t="s">
        <v>84</v>
      </c>
      <c r="H797" s="12">
        <v>685.41666666666697</v>
      </c>
      <c r="I797" s="11">
        <v>9</v>
      </c>
      <c r="J797" s="11">
        <v>7</v>
      </c>
      <c r="K797" s="11">
        <v>452</v>
      </c>
      <c r="L797" s="11">
        <v>1.3130699088145899E-2</v>
      </c>
      <c r="M797" s="11">
        <f t="shared" si="3"/>
        <v>1.3130699088145892</v>
      </c>
      <c r="N797" s="11">
        <v>0.77777777777777801</v>
      </c>
      <c r="O797" s="11">
        <v>0.65945288753799403</v>
      </c>
      <c r="P797" s="11">
        <v>0.15709459459459499</v>
      </c>
      <c r="Q797" s="11">
        <v>0.29032258064516098</v>
      </c>
      <c r="R797" s="11">
        <v>0.12080536912751701</v>
      </c>
      <c r="S797" s="10" t="s">
        <v>84</v>
      </c>
      <c r="T797" s="10" t="s">
        <v>84</v>
      </c>
      <c r="U797" s="10"/>
      <c r="V797" s="10"/>
      <c r="W797" s="10"/>
      <c r="X797" s="10"/>
      <c r="Y797" s="10"/>
      <c r="Z797" s="10"/>
      <c r="AA797" s="10"/>
    </row>
    <row r="798" spans="1:27" ht="12.5" x14ac:dyDescent="0.25">
      <c r="A798" s="10" t="s">
        <v>34</v>
      </c>
      <c r="B798" s="10" t="s">
        <v>1168</v>
      </c>
      <c r="C798" s="10" t="s">
        <v>76</v>
      </c>
      <c r="D798" s="11">
        <v>2024</v>
      </c>
      <c r="E798" s="10" t="s">
        <v>81</v>
      </c>
      <c r="F798" s="10" t="s">
        <v>83</v>
      </c>
      <c r="G798" s="10" t="s">
        <v>84</v>
      </c>
      <c r="H798" s="12">
        <v>61738.166666666701</v>
      </c>
      <c r="I798" s="11">
        <v>808</v>
      </c>
      <c r="J798" s="11">
        <v>505</v>
      </c>
      <c r="K798" s="11">
        <v>33952</v>
      </c>
      <c r="L798" s="11">
        <v>1.30875282442789E-2</v>
      </c>
      <c r="M798" s="11">
        <f t="shared" si="3"/>
        <v>1.3087528244278923</v>
      </c>
      <c r="N798" s="11">
        <v>0.625</v>
      </c>
      <c r="O798" s="11">
        <v>0.54993534523484899</v>
      </c>
      <c r="P798" s="11">
        <v>0.15625</v>
      </c>
      <c r="Q798" s="11">
        <v>0.28571428571428598</v>
      </c>
      <c r="R798" s="11">
        <v>0.18798449612403101</v>
      </c>
      <c r="S798" s="10" t="s">
        <v>84</v>
      </c>
      <c r="T798" s="10" t="s">
        <v>84</v>
      </c>
      <c r="U798" s="10"/>
      <c r="V798" s="10"/>
      <c r="W798" s="10"/>
      <c r="X798" s="10"/>
      <c r="Y798" s="10"/>
      <c r="Z798" s="10"/>
      <c r="AA798" s="10"/>
    </row>
    <row r="799" spans="1:27" ht="12.5" x14ac:dyDescent="0.25">
      <c r="A799" s="10" t="s">
        <v>26</v>
      </c>
      <c r="B799" s="10" t="s">
        <v>1215</v>
      </c>
      <c r="C799" s="10" t="s">
        <v>76</v>
      </c>
      <c r="D799" s="11">
        <v>2024</v>
      </c>
      <c r="E799" s="10" t="s">
        <v>124</v>
      </c>
      <c r="F799" s="10" t="s">
        <v>83</v>
      </c>
      <c r="G799" s="10" t="s">
        <v>84</v>
      </c>
      <c r="H799" s="12">
        <v>12929.333333333299</v>
      </c>
      <c r="I799" s="11">
        <v>169</v>
      </c>
      <c r="J799" s="11">
        <v>166</v>
      </c>
      <c r="K799" s="11">
        <v>3150</v>
      </c>
      <c r="L799" s="11">
        <v>1.30710529029597E-2</v>
      </c>
      <c r="M799" s="11">
        <f t="shared" si="3"/>
        <v>1.3071052902959712</v>
      </c>
      <c r="N799" s="11">
        <v>0.98224852071005897</v>
      </c>
      <c r="O799" s="11">
        <v>0.24363205114983999</v>
      </c>
      <c r="P799" s="11">
        <v>0.15540540540540501</v>
      </c>
      <c r="Q799" s="11">
        <v>3.8461538461538498E-2</v>
      </c>
      <c r="R799" s="11">
        <v>0.11856823266219201</v>
      </c>
      <c r="S799" s="10" t="s">
        <v>84</v>
      </c>
      <c r="T799" s="10" t="s">
        <v>84</v>
      </c>
      <c r="U799" s="10"/>
      <c r="V799" s="10"/>
      <c r="W799" s="10"/>
      <c r="X799" s="10"/>
      <c r="Y799" s="10"/>
      <c r="Z799" s="10"/>
      <c r="AA799" s="10"/>
    </row>
    <row r="800" spans="1:27" ht="12.5" x14ac:dyDescent="0.25">
      <c r="A800" s="10" t="s">
        <v>53</v>
      </c>
      <c r="B800" s="10" t="s">
        <v>1217</v>
      </c>
      <c r="C800" s="10" t="s">
        <v>76</v>
      </c>
      <c r="D800" s="11">
        <v>2024</v>
      </c>
      <c r="E800" s="10" t="s">
        <v>124</v>
      </c>
      <c r="F800" s="10" t="s">
        <v>125</v>
      </c>
      <c r="G800" s="10" t="s">
        <v>84</v>
      </c>
      <c r="H800" s="12">
        <v>690.16666666666697</v>
      </c>
      <c r="I800" s="11">
        <v>9</v>
      </c>
      <c r="J800" s="11">
        <v>8</v>
      </c>
      <c r="K800" s="11">
        <v>773</v>
      </c>
      <c r="L800" s="11">
        <v>1.30403284230862E-2</v>
      </c>
      <c r="M800" s="11">
        <f t="shared" si="3"/>
        <v>1.3040328423086205</v>
      </c>
      <c r="N800" s="11">
        <v>0.88888888888888895</v>
      </c>
      <c r="O800" s="11">
        <v>1.12001931900507</v>
      </c>
      <c r="P800" s="11">
        <v>0.15456081081081099</v>
      </c>
      <c r="Q800" s="11">
        <v>0.65</v>
      </c>
      <c r="R800" s="11">
        <v>0.116331096196868</v>
      </c>
      <c r="S800" s="10" t="s">
        <v>84</v>
      </c>
      <c r="T800" s="10" t="s">
        <v>84</v>
      </c>
      <c r="U800" s="10"/>
      <c r="V800" s="10"/>
      <c r="W800" s="10"/>
      <c r="X800" s="10"/>
      <c r="Y800" s="10"/>
      <c r="Z800" s="10"/>
      <c r="AA800" s="10"/>
    </row>
    <row r="801" spans="1:27" ht="12.5" x14ac:dyDescent="0.25">
      <c r="A801" s="10" t="s">
        <v>86</v>
      </c>
      <c r="B801" s="10" t="s">
        <v>1171</v>
      </c>
      <c r="C801" s="10" t="s">
        <v>76</v>
      </c>
      <c r="D801" s="11">
        <v>2024</v>
      </c>
      <c r="E801" s="10" t="s">
        <v>81</v>
      </c>
      <c r="F801" s="10" t="s">
        <v>83</v>
      </c>
      <c r="G801" s="10" t="s">
        <v>84</v>
      </c>
      <c r="H801" s="12">
        <v>36144.25</v>
      </c>
      <c r="I801" s="11">
        <v>470</v>
      </c>
      <c r="J801" s="11">
        <v>204</v>
      </c>
      <c r="K801" s="11">
        <v>11229</v>
      </c>
      <c r="L801" s="11">
        <v>1.30034514480173E-2</v>
      </c>
      <c r="M801" s="11">
        <f t="shared" si="3"/>
        <v>1.3003451448017318</v>
      </c>
      <c r="N801" s="11">
        <v>0.43404255319148899</v>
      </c>
      <c r="O801" s="11">
        <v>0.31067182193571602</v>
      </c>
      <c r="P801" s="11">
        <v>0.15371621621621601</v>
      </c>
      <c r="Q801" s="11">
        <v>4.3478260869565202E-2</v>
      </c>
      <c r="R801" s="11">
        <v>0.186046511627907</v>
      </c>
      <c r="S801" s="10" t="s">
        <v>84</v>
      </c>
      <c r="T801" s="10" t="s">
        <v>84</v>
      </c>
      <c r="U801" s="10"/>
      <c r="V801" s="10"/>
      <c r="W801" s="10"/>
      <c r="X801" s="10"/>
      <c r="Y801" s="10"/>
      <c r="Z801" s="10"/>
      <c r="AA801" s="10"/>
    </row>
    <row r="802" spans="1:27" ht="12.5" x14ac:dyDescent="0.25">
      <c r="A802" s="10" t="s">
        <v>86</v>
      </c>
      <c r="B802" s="10" t="s">
        <v>1219</v>
      </c>
      <c r="C802" s="10" t="s">
        <v>76</v>
      </c>
      <c r="D802" s="11">
        <v>2024</v>
      </c>
      <c r="E802" s="10" t="s">
        <v>124</v>
      </c>
      <c r="F802" s="10" t="s">
        <v>83</v>
      </c>
      <c r="G802" s="10" t="s">
        <v>84</v>
      </c>
      <c r="H802" s="12">
        <v>30684.416666666701</v>
      </c>
      <c r="I802" s="11">
        <v>397</v>
      </c>
      <c r="J802" s="11">
        <v>380</v>
      </c>
      <c r="K802" s="11">
        <v>15061</v>
      </c>
      <c r="L802" s="11">
        <v>1.2938163508621399E-2</v>
      </c>
      <c r="M802" s="11">
        <f t="shared" si="3"/>
        <v>1.2938163508621354</v>
      </c>
      <c r="N802" s="11">
        <v>0.957178841309824</v>
      </c>
      <c r="O802" s="11">
        <v>0.49083546751472701</v>
      </c>
      <c r="P802" s="11">
        <v>0.15287162162162199</v>
      </c>
      <c r="Q802" s="11">
        <v>2.1739130434782601E-2</v>
      </c>
      <c r="R802" s="11">
        <v>0.114093959731544</v>
      </c>
      <c r="S802" s="10" t="s">
        <v>84</v>
      </c>
      <c r="T802" s="10" t="s">
        <v>84</v>
      </c>
      <c r="U802" s="10"/>
      <c r="V802" s="10"/>
      <c r="W802" s="10"/>
      <c r="X802" s="10"/>
      <c r="Y802" s="10"/>
      <c r="Z802" s="10"/>
      <c r="AA802" s="10"/>
    </row>
    <row r="803" spans="1:27" ht="12.5" x14ac:dyDescent="0.25">
      <c r="A803" s="10" t="s">
        <v>29</v>
      </c>
      <c r="B803" s="10" t="s">
        <v>1220</v>
      </c>
      <c r="C803" s="10" t="s">
        <v>76</v>
      </c>
      <c r="D803" s="11">
        <v>2024</v>
      </c>
      <c r="E803" s="10" t="s">
        <v>124</v>
      </c>
      <c r="F803" s="10" t="s">
        <v>83</v>
      </c>
      <c r="G803" s="10" t="s">
        <v>84</v>
      </c>
      <c r="H803" s="12">
        <v>15368.416666666701</v>
      </c>
      <c r="I803" s="11">
        <v>198</v>
      </c>
      <c r="J803" s="11">
        <v>187</v>
      </c>
      <c r="K803" s="11">
        <v>567</v>
      </c>
      <c r="L803" s="11">
        <v>1.2883565320652201E-2</v>
      </c>
      <c r="M803" s="11">
        <f t="shared" si="3"/>
        <v>1.2883565320652175</v>
      </c>
      <c r="N803" s="11">
        <v>0.94444444444444398</v>
      </c>
      <c r="O803" s="11">
        <v>3.6893846145503999E-2</v>
      </c>
      <c r="P803" s="11">
        <v>0.152027027027027</v>
      </c>
      <c r="Q803" s="11">
        <v>6.1224489795918401E-2</v>
      </c>
      <c r="R803" s="11">
        <v>0.111856823266219</v>
      </c>
      <c r="S803" s="10" t="s">
        <v>84</v>
      </c>
      <c r="T803" s="10" t="s">
        <v>84</v>
      </c>
      <c r="U803" s="10"/>
      <c r="V803" s="10"/>
      <c r="W803" s="10"/>
      <c r="X803" s="10"/>
      <c r="Y803" s="10"/>
      <c r="Z803" s="10"/>
      <c r="AA803" s="10"/>
    </row>
    <row r="804" spans="1:27" ht="12.5" hidden="1" x14ac:dyDescent="0.25">
      <c r="A804" s="10" t="s">
        <v>6</v>
      </c>
      <c r="B804" s="10" t="s">
        <v>1489</v>
      </c>
      <c r="C804" s="10" t="s">
        <v>76</v>
      </c>
      <c r="D804" s="11">
        <v>2024</v>
      </c>
      <c r="E804" s="10" t="s">
        <v>257</v>
      </c>
      <c r="F804" s="10" t="s">
        <v>83</v>
      </c>
      <c r="G804" s="10" t="s">
        <v>84</v>
      </c>
      <c r="H804" s="12">
        <v>7712.4166666666697</v>
      </c>
      <c r="I804" s="11">
        <v>99</v>
      </c>
      <c r="J804" s="11">
        <v>95</v>
      </c>
      <c r="K804" s="11">
        <v>399</v>
      </c>
      <c r="L804" s="11">
        <v>1.28364433975516E-2</v>
      </c>
      <c r="M804" s="11">
        <f t="shared" si="3"/>
        <v>1.2836443397551562</v>
      </c>
      <c r="N804" s="11">
        <v>0.95959595959596</v>
      </c>
      <c r="O804" s="11">
        <v>5.1734756723465398E-2</v>
      </c>
      <c r="P804" s="11">
        <v>0.15118243243243201</v>
      </c>
      <c r="Q804" s="11">
        <v>0.25806451612903197</v>
      </c>
      <c r="R804" s="11">
        <v>0.204545454545455</v>
      </c>
      <c r="S804" s="10" t="s">
        <v>84</v>
      </c>
      <c r="T804" s="10" t="s">
        <v>84</v>
      </c>
      <c r="U804" s="10"/>
      <c r="V804" s="10"/>
      <c r="W804" s="10"/>
      <c r="X804" s="10"/>
      <c r="Y804" s="10"/>
      <c r="Z804" s="10"/>
      <c r="AA804" s="10"/>
    </row>
    <row r="805" spans="1:27" ht="12.5" x14ac:dyDescent="0.25">
      <c r="A805" s="10" t="s">
        <v>14</v>
      </c>
      <c r="B805" s="10" t="s">
        <v>1174</v>
      </c>
      <c r="C805" s="10" t="s">
        <v>76</v>
      </c>
      <c r="D805" s="11">
        <v>2024</v>
      </c>
      <c r="E805" s="10" t="s">
        <v>81</v>
      </c>
      <c r="F805" s="10" t="s">
        <v>83</v>
      </c>
      <c r="G805" s="10" t="s">
        <v>84</v>
      </c>
      <c r="H805" s="12">
        <v>27108.333333333299</v>
      </c>
      <c r="I805" s="11">
        <v>346</v>
      </c>
      <c r="J805" s="11">
        <v>402</v>
      </c>
      <c r="K805" s="11">
        <v>5691</v>
      </c>
      <c r="L805" s="11">
        <v>1.27636028281586E-2</v>
      </c>
      <c r="M805" s="11">
        <f t="shared" si="3"/>
        <v>1.276360282815864</v>
      </c>
      <c r="N805" s="11">
        <v>1.16184971098266</v>
      </c>
      <c r="O805" s="11">
        <v>0.20993544420534899</v>
      </c>
      <c r="P805" s="11">
        <v>0.150337837837838</v>
      </c>
      <c r="Q805" s="11">
        <v>3.5714285714285698E-2</v>
      </c>
      <c r="R805" s="11">
        <v>0.184108527131783</v>
      </c>
      <c r="S805" s="10" t="s">
        <v>84</v>
      </c>
      <c r="T805" s="10" t="s">
        <v>84</v>
      </c>
      <c r="U805" s="10"/>
      <c r="V805" s="10"/>
      <c r="W805" s="10"/>
      <c r="X805" s="10"/>
      <c r="Y805" s="10"/>
      <c r="Z805" s="10"/>
      <c r="AA805" s="10"/>
    </row>
    <row r="806" spans="1:27" ht="12.5" x14ac:dyDescent="0.25">
      <c r="A806" s="10" t="s">
        <v>110</v>
      </c>
      <c r="B806" s="10" t="s">
        <v>1176</v>
      </c>
      <c r="C806" s="10" t="s">
        <v>76</v>
      </c>
      <c r="D806" s="11">
        <v>2024</v>
      </c>
      <c r="E806" s="10" t="s">
        <v>81</v>
      </c>
      <c r="F806" s="10" t="s">
        <v>83</v>
      </c>
      <c r="G806" s="10" t="s">
        <v>84</v>
      </c>
      <c r="H806" s="12">
        <v>31181.916666666701</v>
      </c>
      <c r="I806" s="11">
        <v>397</v>
      </c>
      <c r="J806" s="11">
        <v>359</v>
      </c>
      <c r="K806" s="11">
        <v>28819</v>
      </c>
      <c r="L806" s="11">
        <v>1.27317382136548E-2</v>
      </c>
      <c r="M806" s="11">
        <f t="shared" si="3"/>
        <v>1.2731738213654802</v>
      </c>
      <c r="N806" s="11">
        <v>0.90428211586901797</v>
      </c>
      <c r="O806" s="11">
        <v>0.92422157072876099</v>
      </c>
      <c r="P806" s="11">
        <v>0.14949324324324301</v>
      </c>
      <c r="Q806" s="11">
        <v>0.33333333333333298</v>
      </c>
      <c r="R806" s="11">
        <v>0.18217054263565899</v>
      </c>
      <c r="S806" s="10" t="s">
        <v>84</v>
      </c>
      <c r="T806" s="10" t="s">
        <v>84</v>
      </c>
      <c r="U806" s="10"/>
      <c r="V806" s="10"/>
      <c r="W806" s="10"/>
      <c r="X806" s="10"/>
      <c r="Y806" s="10"/>
      <c r="Z806" s="10"/>
      <c r="AA806" s="10"/>
    </row>
    <row r="807" spans="1:27" ht="12.5" x14ac:dyDescent="0.25">
      <c r="A807" s="10" t="s">
        <v>53</v>
      </c>
      <c r="B807" s="10" t="s">
        <v>1222</v>
      </c>
      <c r="C807" s="10" t="s">
        <v>76</v>
      </c>
      <c r="D807" s="11">
        <v>2024</v>
      </c>
      <c r="E807" s="10" t="s">
        <v>124</v>
      </c>
      <c r="F807" s="10" t="s">
        <v>125</v>
      </c>
      <c r="G807" s="10" t="s">
        <v>84</v>
      </c>
      <c r="H807" s="12">
        <v>1180.5833333333301</v>
      </c>
      <c r="I807" s="11">
        <v>15</v>
      </c>
      <c r="J807" s="11">
        <v>15</v>
      </c>
      <c r="K807" s="11">
        <v>85</v>
      </c>
      <c r="L807" s="11">
        <v>1.2705583398037699E-2</v>
      </c>
      <c r="M807" s="11">
        <f t="shared" si="3"/>
        <v>1.270558339803773</v>
      </c>
      <c r="N807" s="11">
        <v>1</v>
      </c>
      <c r="O807" s="11">
        <v>7.1998305922213596E-2</v>
      </c>
      <c r="P807" s="11">
        <v>0.147804054054054</v>
      </c>
      <c r="Q807" s="11">
        <v>0.625</v>
      </c>
      <c r="R807" s="11">
        <v>0.109619686800895</v>
      </c>
      <c r="S807" s="10" t="s">
        <v>84</v>
      </c>
      <c r="T807" s="10" t="s">
        <v>84</v>
      </c>
      <c r="U807" s="10"/>
      <c r="V807" s="10"/>
      <c r="W807" s="10"/>
      <c r="X807" s="10"/>
      <c r="Y807" s="10"/>
      <c r="Z807" s="10"/>
      <c r="AA807" s="10"/>
    </row>
    <row r="808" spans="1:27" ht="12.5" x14ac:dyDescent="0.25">
      <c r="A808" s="10" t="s">
        <v>67</v>
      </c>
      <c r="B808" s="10" t="s">
        <v>1178</v>
      </c>
      <c r="C808" s="10" t="s">
        <v>76</v>
      </c>
      <c r="D808" s="11">
        <v>2024</v>
      </c>
      <c r="E808" s="10" t="s">
        <v>81</v>
      </c>
      <c r="F808" s="10" t="s">
        <v>83</v>
      </c>
      <c r="G808" s="10" t="s">
        <v>84</v>
      </c>
      <c r="H808" s="12">
        <v>34394.416666666701</v>
      </c>
      <c r="I808" s="11">
        <v>437</v>
      </c>
      <c r="J808" s="11">
        <v>367</v>
      </c>
      <c r="K808" s="11">
        <v>17284</v>
      </c>
      <c r="L808" s="11">
        <v>1.2705550561743301E-2</v>
      </c>
      <c r="M808" s="11">
        <f t="shared" si="3"/>
        <v>1.2705550561743293</v>
      </c>
      <c r="N808" s="11">
        <v>0.83981693363844401</v>
      </c>
      <c r="O808" s="11">
        <v>0.50252342313311504</v>
      </c>
      <c r="P808" s="11">
        <v>0.14695945945945901</v>
      </c>
      <c r="Q808" s="11">
        <v>0</v>
      </c>
      <c r="R808" s="11">
        <v>0.18023255813953501</v>
      </c>
      <c r="S808" s="10" t="s">
        <v>84</v>
      </c>
      <c r="T808" s="10" t="s">
        <v>84</v>
      </c>
      <c r="U808" s="10"/>
      <c r="V808" s="10"/>
      <c r="W808" s="10"/>
      <c r="X808" s="10"/>
      <c r="Y808" s="10"/>
      <c r="Z808" s="10"/>
      <c r="AA808" s="10"/>
    </row>
    <row r="809" spans="1:27" ht="12.5" x14ac:dyDescent="0.25">
      <c r="A809" s="10" t="s">
        <v>82</v>
      </c>
      <c r="B809" s="10" t="s">
        <v>1225</v>
      </c>
      <c r="C809" s="10" t="s">
        <v>76</v>
      </c>
      <c r="D809" s="11">
        <v>2024</v>
      </c>
      <c r="E809" s="10" t="s">
        <v>124</v>
      </c>
      <c r="F809" s="10" t="s">
        <v>83</v>
      </c>
      <c r="G809" s="10" t="s">
        <v>84</v>
      </c>
      <c r="H809" s="12">
        <v>1899.4166666666699</v>
      </c>
      <c r="I809" s="11">
        <v>24</v>
      </c>
      <c r="J809" s="11">
        <v>23</v>
      </c>
      <c r="K809" s="11">
        <v>2642</v>
      </c>
      <c r="L809" s="11">
        <v>1.26354582547273E-2</v>
      </c>
      <c r="M809" s="11">
        <f t="shared" si="3"/>
        <v>1.2635458254727308</v>
      </c>
      <c r="N809" s="11">
        <v>0.95833333333333304</v>
      </c>
      <c r="O809" s="11">
        <v>1.3909533628745701</v>
      </c>
      <c r="P809" s="11">
        <v>0.146114864864865</v>
      </c>
      <c r="Q809" s="11">
        <v>0.29310344827586199</v>
      </c>
      <c r="R809" s="11">
        <v>0.10738255033557</v>
      </c>
      <c r="S809" s="10" t="s">
        <v>84</v>
      </c>
      <c r="T809" s="10" t="s">
        <v>84</v>
      </c>
      <c r="U809" s="10"/>
      <c r="V809" s="10"/>
      <c r="W809" s="10"/>
      <c r="X809" s="10"/>
      <c r="Y809" s="10"/>
      <c r="Z809" s="10"/>
      <c r="AA809" s="10"/>
    </row>
    <row r="810" spans="1:27" ht="12.5" x14ac:dyDescent="0.25">
      <c r="A810" s="10" t="s">
        <v>36</v>
      </c>
      <c r="B810" s="10" t="s">
        <v>1181</v>
      </c>
      <c r="C810" s="10" t="s">
        <v>76</v>
      </c>
      <c r="D810" s="11">
        <v>2024</v>
      </c>
      <c r="E810" s="10" t="s">
        <v>81</v>
      </c>
      <c r="F810" s="10" t="s">
        <v>83</v>
      </c>
      <c r="G810" s="10" t="s">
        <v>84</v>
      </c>
      <c r="H810" s="12">
        <v>21613.583333333299</v>
      </c>
      <c r="I810" s="11">
        <v>272</v>
      </c>
      <c r="J810" s="11">
        <v>58</v>
      </c>
      <c r="K810" s="11">
        <v>36974</v>
      </c>
      <c r="L810" s="11">
        <v>1.2584678616456501E-2</v>
      </c>
      <c r="M810" s="11">
        <f t="shared" si="3"/>
        <v>1.2584678616456493</v>
      </c>
      <c r="N810" s="11">
        <v>0.213235294117647</v>
      </c>
      <c r="O810" s="11">
        <v>1.71068348222376</v>
      </c>
      <c r="P810" s="11">
        <v>0.14527027027027001</v>
      </c>
      <c r="Q810" s="11">
        <v>6.3829787234042507E-2</v>
      </c>
      <c r="R810" s="11">
        <v>0.178294573643411</v>
      </c>
      <c r="S810" s="10" t="s">
        <v>84</v>
      </c>
      <c r="T810" s="10" t="s">
        <v>84</v>
      </c>
      <c r="U810" s="10"/>
      <c r="V810" s="10"/>
      <c r="W810" s="10"/>
      <c r="X810" s="10"/>
      <c r="Y810" s="10"/>
      <c r="Z810" s="10"/>
      <c r="AA810" s="10"/>
    </row>
    <row r="811" spans="1:27" ht="12.5" x14ac:dyDescent="0.25">
      <c r="A811" s="10" t="s">
        <v>110</v>
      </c>
      <c r="B811" s="10" t="s">
        <v>1183</v>
      </c>
      <c r="C811" s="10" t="s">
        <v>76</v>
      </c>
      <c r="D811" s="11">
        <v>2024</v>
      </c>
      <c r="E811" s="10" t="s">
        <v>81</v>
      </c>
      <c r="F811" s="10" t="s">
        <v>83</v>
      </c>
      <c r="G811" s="10" t="s">
        <v>84</v>
      </c>
      <c r="H811" s="12">
        <v>13307.166666666701</v>
      </c>
      <c r="I811" s="11">
        <v>167</v>
      </c>
      <c r="J811" s="11">
        <v>122</v>
      </c>
      <c r="K811" s="11">
        <v>2467</v>
      </c>
      <c r="L811" s="11">
        <v>1.2549628646218201E-2</v>
      </c>
      <c r="M811" s="11">
        <f t="shared" si="3"/>
        <v>1.2549628646218172</v>
      </c>
      <c r="N811" s="11">
        <v>0.73053892215568905</v>
      </c>
      <c r="O811" s="11">
        <v>0.18538882557018099</v>
      </c>
      <c r="P811" s="11">
        <v>0.143581081081081</v>
      </c>
      <c r="Q811" s="11">
        <v>0.30303030303030298</v>
      </c>
      <c r="R811" s="11">
        <v>0.176356589147287</v>
      </c>
      <c r="S811" s="10" t="s">
        <v>84</v>
      </c>
      <c r="T811" s="10" t="s">
        <v>84</v>
      </c>
      <c r="U811" s="10"/>
      <c r="V811" s="10"/>
      <c r="W811" s="10"/>
      <c r="X811" s="10"/>
      <c r="Y811" s="10"/>
      <c r="Z811" s="10"/>
      <c r="AA811" s="10"/>
    </row>
    <row r="812" spans="1:27" ht="12.5" hidden="1" x14ac:dyDescent="0.25">
      <c r="A812" s="10" t="s">
        <v>110</v>
      </c>
      <c r="B812" s="10" t="s">
        <v>1494</v>
      </c>
      <c r="C812" s="10" t="s">
        <v>76</v>
      </c>
      <c r="D812" s="11">
        <v>2024</v>
      </c>
      <c r="E812" s="10" t="s">
        <v>257</v>
      </c>
      <c r="F812" s="10" t="s">
        <v>83</v>
      </c>
      <c r="G812" s="10" t="s">
        <v>84</v>
      </c>
      <c r="H812" s="12">
        <v>42119.833333333299</v>
      </c>
      <c r="I812" s="11">
        <v>527</v>
      </c>
      <c r="J812" s="11">
        <v>527</v>
      </c>
      <c r="K812" s="11">
        <v>12648</v>
      </c>
      <c r="L812" s="11">
        <v>1.25119203542274E-2</v>
      </c>
      <c r="M812" s="11">
        <f t="shared" si="3"/>
        <v>1.2511920354227433</v>
      </c>
      <c r="N812" s="11">
        <v>1</v>
      </c>
      <c r="O812" s="11">
        <v>0.30028608850145799</v>
      </c>
      <c r="P812" s="11">
        <v>0.14273648648648599</v>
      </c>
      <c r="Q812" s="11">
        <v>0.27272727272727298</v>
      </c>
      <c r="R812" s="11">
        <v>0.18181818181818199</v>
      </c>
      <c r="S812" s="10" t="s">
        <v>84</v>
      </c>
      <c r="T812" s="10" t="s">
        <v>84</v>
      </c>
      <c r="U812" s="10"/>
      <c r="V812" s="10"/>
      <c r="W812" s="10"/>
      <c r="X812" s="10"/>
      <c r="Y812" s="10"/>
      <c r="Z812" s="10"/>
      <c r="AA812" s="10"/>
    </row>
    <row r="813" spans="1:27" ht="12.5" x14ac:dyDescent="0.25">
      <c r="A813" s="10" t="s">
        <v>53</v>
      </c>
      <c r="B813" s="10" t="s">
        <v>1185</v>
      </c>
      <c r="C813" s="10" t="s">
        <v>76</v>
      </c>
      <c r="D813" s="11">
        <v>2024</v>
      </c>
      <c r="E813" s="10" t="s">
        <v>81</v>
      </c>
      <c r="F813" s="10" t="s">
        <v>83</v>
      </c>
      <c r="G813" s="10" t="s">
        <v>84</v>
      </c>
      <c r="H813" s="12">
        <v>29414.583333333299</v>
      </c>
      <c r="I813" s="11">
        <v>368</v>
      </c>
      <c r="J813" s="11">
        <v>275</v>
      </c>
      <c r="K813" s="11">
        <v>4780</v>
      </c>
      <c r="L813" s="11">
        <v>1.2510801048232901E-2</v>
      </c>
      <c r="M813" s="11">
        <f t="shared" si="3"/>
        <v>1.2510801048232891</v>
      </c>
      <c r="N813" s="11">
        <v>0.747282608695652</v>
      </c>
      <c r="O813" s="11">
        <v>0.16250442665911199</v>
      </c>
      <c r="P813" s="11">
        <v>0.141891891891892</v>
      </c>
      <c r="Q813" s="11">
        <v>0.6</v>
      </c>
      <c r="R813" s="11">
        <v>0.17441860465116299</v>
      </c>
      <c r="S813" s="10" t="s">
        <v>84</v>
      </c>
      <c r="T813" s="10" t="s">
        <v>84</v>
      </c>
      <c r="U813" s="10"/>
      <c r="V813" s="10"/>
      <c r="W813" s="10"/>
      <c r="X813" s="10"/>
      <c r="Y813" s="10"/>
      <c r="Z813" s="10"/>
      <c r="AA813" s="10"/>
    </row>
    <row r="814" spans="1:27" ht="12.5" x14ac:dyDescent="0.25">
      <c r="A814" s="10" t="s">
        <v>42</v>
      </c>
      <c r="B814" s="10" t="s">
        <v>1187</v>
      </c>
      <c r="C814" s="10" t="s">
        <v>76</v>
      </c>
      <c r="D814" s="11">
        <v>2024</v>
      </c>
      <c r="E814" s="10" t="s">
        <v>81</v>
      </c>
      <c r="F814" s="10" t="s">
        <v>83</v>
      </c>
      <c r="G814" s="10" t="s">
        <v>84</v>
      </c>
      <c r="H814" s="12">
        <v>13377.166666666701</v>
      </c>
      <c r="I814" s="11">
        <v>167</v>
      </c>
      <c r="J814" s="11">
        <v>121</v>
      </c>
      <c r="K814" s="11">
        <v>1562</v>
      </c>
      <c r="L814" s="11">
        <v>1.24839589848373E-2</v>
      </c>
      <c r="M814" s="11">
        <f t="shared" si="3"/>
        <v>1.2483958984837316</v>
      </c>
      <c r="N814" s="11">
        <v>0.72455089820359297</v>
      </c>
      <c r="O814" s="11">
        <v>0.116766131343209</v>
      </c>
      <c r="P814" s="11">
        <v>0.14104729729729701</v>
      </c>
      <c r="Q814" s="11">
        <v>2.3809523809523801E-2</v>
      </c>
      <c r="R814" s="11">
        <v>0.17248062015503901</v>
      </c>
      <c r="S814" s="10" t="s">
        <v>84</v>
      </c>
      <c r="T814" s="10" t="s">
        <v>84</v>
      </c>
      <c r="U814" s="10"/>
      <c r="V814" s="10"/>
      <c r="W814" s="10"/>
      <c r="X814" s="10"/>
      <c r="Y814" s="10"/>
      <c r="Z814" s="10"/>
      <c r="AA814" s="10"/>
    </row>
    <row r="815" spans="1:27" ht="12.5" x14ac:dyDescent="0.25">
      <c r="A815" s="10" t="s">
        <v>49</v>
      </c>
      <c r="B815" s="10" t="s">
        <v>1227</v>
      </c>
      <c r="C815" s="10" t="s">
        <v>76</v>
      </c>
      <c r="D815" s="11">
        <v>2024</v>
      </c>
      <c r="E815" s="10" t="s">
        <v>124</v>
      </c>
      <c r="F815" s="10" t="s">
        <v>83</v>
      </c>
      <c r="G815" s="10" t="s">
        <v>84</v>
      </c>
      <c r="H815" s="12">
        <v>5989.3333333333303</v>
      </c>
      <c r="I815" s="11">
        <v>74</v>
      </c>
      <c r="J815" s="11">
        <v>73</v>
      </c>
      <c r="K815" s="11">
        <v>2848</v>
      </c>
      <c r="L815" s="11">
        <v>1.23552983081033E-2</v>
      </c>
      <c r="M815" s="11">
        <f t="shared" si="3"/>
        <v>1.23552983081033</v>
      </c>
      <c r="N815" s="11">
        <v>0.98648648648648696</v>
      </c>
      <c r="O815" s="11">
        <v>0.47551202137132698</v>
      </c>
      <c r="P815" s="11">
        <v>0.14020270270270299</v>
      </c>
      <c r="Q815" s="11">
        <v>0.19230769230769201</v>
      </c>
      <c r="R815" s="11">
        <v>0.10514541387024599</v>
      </c>
      <c r="S815" s="10" t="s">
        <v>84</v>
      </c>
      <c r="T815" s="10" t="s">
        <v>84</v>
      </c>
      <c r="U815" s="10"/>
      <c r="V815" s="10"/>
      <c r="W815" s="10"/>
      <c r="X815" s="10"/>
      <c r="Y815" s="10"/>
      <c r="Z815" s="10"/>
      <c r="AA815" s="10"/>
    </row>
    <row r="816" spans="1:27" ht="12.5" x14ac:dyDescent="0.25">
      <c r="A816" s="10" t="s">
        <v>29</v>
      </c>
      <c r="B816" s="10" t="s">
        <v>1190</v>
      </c>
      <c r="C816" s="10" t="s">
        <v>76</v>
      </c>
      <c r="D816" s="11">
        <v>2024</v>
      </c>
      <c r="E816" s="10" t="s">
        <v>81</v>
      </c>
      <c r="F816" s="10" t="s">
        <v>83</v>
      </c>
      <c r="G816" s="10" t="s">
        <v>84</v>
      </c>
      <c r="H816" s="12">
        <v>45299.583333333299</v>
      </c>
      <c r="I816" s="11">
        <v>553</v>
      </c>
      <c r="J816" s="11">
        <v>195</v>
      </c>
      <c r="K816" s="11">
        <v>6121</v>
      </c>
      <c r="L816" s="11">
        <v>1.22076178036958E-2</v>
      </c>
      <c r="M816" s="11">
        <f t="shared" si="3"/>
        <v>1.2207617803695776</v>
      </c>
      <c r="N816" s="11">
        <v>0.35262206148282099</v>
      </c>
      <c r="O816" s="11">
        <v>0.13512265565356599</v>
      </c>
      <c r="P816" s="11">
        <v>0.139358108108108</v>
      </c>
      <c r="Q816" s="11">
        <v>4.08163265306122E-2</v>
      </c>
      <c r="R816" s="11">
        <v>0.170542635658915</v>
      </c>
      <c r="S816" s="10" t="s">
        <v>84</v>
      </c>
      <c r="T816" s="10" t="s">
        <v>84</v>
      </c>
      <c r="U816" s="10"/>
      <c r="V816" s="10"/>
      <c r="W816" s="10"/>
      <c r="X816" s="10"/>
      <c r="Y816" s="10"/>
      <c r="Z816" s="10"/>
      <c r="AA816" s="10"/>
    </row>
    <row r="817" spans="1:27" ht="12.5" x14ac:dyDescent="0.25">
      <c r="A817" s="10" t="s">
        <v>52</v>
      </c>
      <c r="B817" s="10" t="s">
        <v>1192</v>
      </c>
      <c r="C817" s="10" t="s">
        <v>76</v>
      </c>
      <c r="D817" s="11">
        <v>2024</v>
      </c>
      <c r="E817" s="10" t="s">
        <v>81</v>
      </c>
      <c r="F817" s="10" t="s">
        <v>83</v>
      </c>
      <c r="G817" s="10" t="s">
        <v>84</v>
      </c>
      <c r="H817" s="12">
        <v>8884.75</v>
      </c>
      <c r="I817" s="11">
        <v>108</v>
      </c>
      <c r="J817" s="11">
        <v>91</v>
      </c>
      <c r="K817" s="11">
        <v>2311</v>
      </c>
      <c r="L817" s="11">
        <v>1.2155659979177801E-2</v>
      </c>
      <c r="M817" s="11">
        <f t="shared" si="3"/>
        <v>1.2155659979177804</v>
      </c>
      <c r="N817" s="11">
        <v>0.842592592592593</v>
      </c>
      <c r="O817" s="11">
        <v>0.26010861307296201</v>
      </c>
      <c r="P817" s="11">
        <v>0.13851351351351401</v>
      </c>
      <c r="Q817" s="11">
        <v>2.1276595744680899E-2</v>
      </c>
      <c r="R817" s="11">
        <v>0.168604651162791</v>
      </c>
      <c r="S817" s="10" t="s">
        <v>84</v>
      </c>
      <c r="T817" s="10" t="s">
        <v>84</v>
      </c>
      <c r="U817" s="10"/>
      <c r="V817" s="10"/>
      <c r="W817" s="10"/>
      <c r="X817" s="10"/>
      <c r="Y817" s="10"/>
      <c r="Z817" s="10"/>
      <c r="AA817" s="10"/>
    </row>
    <row r="818" spans="1:27" ht="12.5" x14ac:dyDescent="0.25">
      <c r="A818" s="10" t="s">
        <v>36</v>
      </c>
      <c r="B818" s="10" t="s">
        <v>1196</v>
      </c>
      <c r="C818" s="10" t="s">
        <v>76</v>
      </c>
      <c r="D818" s="11">
        <v>2024</v>
      </c>
      <c r="E818" s="10" t="s">
        <v>81</v>
      </c>
      <c r="F818" s="10" t="s">
        <v>83</v>
      </c>
      <c r="G818" s="10" t="s">
        <v>84</v>
      </c>
      <c r="H818" s="12">
        <v>30136.083333333299</v>
      </c>
      <c r="I818" s="11">
        <v>366</v>
      </c>
      <c r="J818" s="11">
        <v>84</v>
      </c>
      <c r="K818" s="11">
        <v>49810</v>
      </c>
      <c r="L818" s="11">
        <v>1.2144909341791301E-2</v>
      </c>
      <c r="M818" s="11">
        <f t="shared" si="3"/>
        <v>1.2144909341791277</v>
      </c>
      <c r="N818" s="11">
        <v>0.22950819672131101</v>
      </c>
      <c r="O818" s="11">
        <v>1.6528358861055299</v>
      </c>
      <c r="P818" s="11">
        <v>0.137668918918919</v>
      </c>
      <c r="Q818" s="11">
        <v>4.2553191489361701E-2</v>
      </c>
      <c r="R818" s="11">
        <v>0.16666666666666699</v>
      </c>
      <c r="S818" s="10" t="s">
        <v>84</v>
      </c>
      <c r="T818" s="10" t="s">
        <v>84</v>
      </c>
      <c r="U818" s="10"/>
      <c r="V818" s="10"/>
      <c r="W818" s="10"/>
      <c r="X818" s="10"/>
      <c r="Y818" s="10"/>
      <c r="Z818" s="10"/>
      <c r="AA818" s="10"/>
    </row>
    <row r="819" spans="1:27" ht="12.5" hidden="1" x14ac:dyDescent="0.25">
      <c r="A819" s="10" t="s">
        <v>6</v>
      </c>
      <c r="B819" s="10" t="s">
        <v>1497</v>
      </c>
      <c r="C819" s="10" t="s">
        <v>76</v>
      </c>
      <c r="D819" s="11">
        <v>2024</v>
      </c>
      <c r="E819" s="10" t="s">
        <v>257</v>
      </c>
      <c r="F819" s="10" t="s">
        <v>83</v>
      </c>
      <c r="G819" s="10" t="s">
        <v>84</v>
      </c>
      <c r="H819" s="12">
        <v>27874.25</v>
      </c>
      <c r="I819" s="11">
        <v>331</v>
      </c>
      <c r="J819" s="11">
        <v>302</v>
      </c>
      <c r="K819" s="11">
        <v>8469</v>
      </c>
      <c r="L819" s="11">
        <v>1.1874758962124501E-2</v>
      </c>
      <c r="M819" s="11">
        <f t="shared" si="3"/>
        <v>1.1874758962124541</v>
      </c>
      <c r="N819" s="11">
        <v>0.91238670694863999</v>
      </c>
      <c r="O819" s="11">
        <v>0.303828802568679</v>
      </c>
      <c r="P819" s="11">
        <v>0.13597972972972999</v>
      </c>
      <c r="Q819" s="11">
        <v>0.225806451612903</v>
      </c>
      <c r="R819" s="11">
        <v>0.15909090909090901</v>
      </c>
      <c r="S819" s="10" t="s">
        <v>84</v>
      </c>
      <c r="T819" s="10" t="s">
        <v>84</v>
      </c>
      <c r="U819" s="10"/>
      <c r="V819" s="10"/>
      <c r="W819" s="10"/>
      <c r="X819" s="10"/>
      <c r="Y819" s="10"/>
      <c r="Z819" s="10"/>
      <c r="AA819" s="10"/>
    </row>
    <row r="820" spans="1:27" ht="12.5" x14ac:dyDescent="0.25">
      <c r="A820" s="10" t="s">
        <v>103</v>
      </c>
      <c r="B820" s="10" t="s">
        <v>1230</v>
      </c>
      <c r="C820" s="10" t="s">
        <v>76</v>
      </c>
      <c r="D820" s="11">
        <v>2024</v>
      </c>
      <c r="E820" s="10" t="s">
        <v>124</v>
      </c>
      <c r="F820" s="10" t="s">
        <v>125</v>
      </c>
      <c r="G820" s="10" t="s">
        <v>84</v>
      </c>
      <c r="H820" s="12">
        <v>593.08333333333303</v>
      </c>
      <c r="I820" s="11">
        <v>7</v>
      </c>
      <c r="J820" s="11">
        <v>5</v>
      </c>
      <c r="K820" s="11">
        <v>328</v>
      </c>
      <c r="L820" s="11">
        <v>1.18027258676409E-2</v>
      </c>
      <c r="M820" s="11">
        <f t="shared" si="3"/>
        <v>1.1802725867640866</v>
      </c>
      <c r="N820" s="11">
        <v>0.71428571428571397</v>
      </c>
      <c r="O820" s="11">
        <v>0.55304201208374304</v>
      </c>
      <c r="P820" s="11">
        <v>0.135135135135135</v>
      </c>
      <c r="Q820" s="11">
        <v>8.6956521739130405E-2</v>
      </c>
      <c r="R820" s="11">
        <v>0.10290827740492201</v>
      </c>
      <c r="S820" s="10" t="s">
        <v>84</v>
      </c>
      <c r="T820" s="10" t="s">
        <v>84</v>
      </c>
      <c r="U820" s="10"/>
      <c r="V820" s="10"/>
      <c r="W820" s="10"/>
      <c r="X820" s="10"/>
      <c r="Y820" s="10"/>
      <c r="Z820" s="10"/>
      <c r="AA820" s="10"/>
    </row>
    <row r="821" spans="1:27" ht="12.5" x14ac:dyDescent="0.25">
      <c r="A821" s="10" t="s">
        <v>12</v>
      </c>
      <c r="B821" s="10" t="s">
        <v>1198</v>
      </c>
      <c r="C821" s="10" t="s">
        <v>76</v>
      </c>
      <c r="D821" s="11">
        <v>2024</v>
      </c>
      <c r="E821" s="10" t="s">
        <v>81</v>
      </c>
      <c r="F821" s="10" t="s">
        <v>83</v>
      </c>
      <c r="G821" s="10" t="s">
        <v>84</v>
      </c>
      <c r="H821" s="12">
        <v>55057.083333333299</v>
      </c>
      <c r="I821" s="11">
        <v>640</v>
      </c>
      <c r="J821" s="11">
        <v>144</v>
      </c>
      <c r="K821" s="11">
        <v>138146</v>
      </c>
      <c r="L821" s="11">
        <v>1.1624299022983699E-2</v>
      </c>
      <c r="M821" s="11">
        <f t="shared" si="3"/>
        <v>1.1624299022983728</v>
      </c>
      <c r="N821" s="11">
        <v>0.22500000000000001</v>
      </c>
      <c r="O821" s="11">
        <v>2.5091412700454798</v>
      </c>
      <c r="P821" s="11">
        <v>0.133445945945946</v>
      </c>
      <c r="Q821" s="11">
        <v>9.7222222222222196E-2</v>
      </c>
      <c r="R821" s="11">
        <v>0.16472868217054301</v>
      </c>
      <c r="S821" s="10" t="s">
        <v>84</v>
      </c>
      <c r="T821" s="10" t="s">
        <v>84</v>
      </c>
      <c r="U821" s="10"/>
      <c r="V821" s="10"/>
      <c r="W821" s="10"/>
      <c r="X821" s="10"/>
      <c r="Y821" s="10"/>
      <c r="Z821" s="10"/>
      <c r="AA821" s="10"/>
    </row>
    <row r="822" spans="1:27" ht="12.5" x14ac:dyDescent="0.25">
      <c r="A822" s="10" t="s">
        <v>49</v>
      </c>
      <c r="B822" s="10" t="s">
        <v>1201</v>
      </c>
      <c r="C822" s="10" t="s">
        <v>76</v>
      </c>
      <c r="D822" s="11">
        <v>2024</v>
      </c>
      <c r="E822" s="10" t="s">
        <v>81</v>
      </c>
      <c r="F822" s="10" t="s">
        <v>83</v>
      </c>
      <c r="G822" s="10" t="s">
        <v>84</v>
      </c>
      <c r="H822" s="12">
        <v>35259.916666666701</v>
      </c>
      <c r="I822" s="11">
        <v>402</v>
      </c>
      <c r="J822" s="11">
        <v>330</v>
      </c>
      <c r="K822" s="11">
        <v>6561</v>
      </c>
      <c r="L822" s="11">
        <v>1.1401047932142E-2</v>
      </c>
      <c r="M822" s="11">
        <f t="shared" si="3"/>
        <v>1.140104793214201</v>
      </c>
      <c r="N822" s="11">
        <v>0.82089552238805996</v>
      </c>
      <c r="O822" s="11">
        <v>0.18607531214622799</v>
      </c>
      <c r="P822" s="11">
        <v>0.13175675675675699</v>
      </c>
      <c r="Q822" s="11">
        <v>0.15384615384615399</v>
      </c>
      <c r="R822" s="11">
        <v>0.162790697674419</v>
      </c>
      <c r="S822" s="10" t="s">
        <v>84</v>
      </c>
      <c r="T822" s="10" t="s">
        <v>84</v>
      </c>
      <c r="U822" s="10"/>
      <c r="V822" s="10"/>
      <c r="W822" s="10"/>
      <c r="X822" s="10"/>
      <c r="Y822" s="10"/>
      <c r="Z822" s="10"/>
      <c r="AA822" s="10"/>
    </row>
    <row r="823" spans="1:27" ht="12.5" x14ac:dyDescent="0.25">
      <c r="A823" s="10" t="s">
        <v>53</v>
      </c>
      <c r="B823" s="10" t="s">
        <v>1232</v>
      </c>
      <c r="C823" s="10" t="s">
        <v>76</v>
      </c>
      <c r="D823" s="11">
        <v>2024</v>
      </c>
      <c r="E823" s="10" t="s">
        <v>124</v>
      </c>
      <c r="F823" s="10" t="s">
        <v>83</v>
      </c>
      <c r="G823" s="10" t="s">
        <v>84</v>
      </c>
      <c r="H823" s="12">
        <v>2736.9166666666702</v>
      </c>
      <c r="I823" s="11">
        <v>31</v>
      </c>
      <c r="J823" s="11">
        <v>33</v>
      </c>
      <c r="K823" s="11">
        <v>2334</v>
      </c>
      <c r="L823" s="11">
        <v>1.13266144992845E-2</v>
      </c>
      <c r="M823" s="11">
        <f t="shared" si="3"/>
        <v>1.132661449928446</v>
      </c>
      <c r="N823" s="11">
        <v>1.06451612903226</v>
      </c>
      <c r="O823" s="11">
        <v>0.85278445939774095</v>
      </c>
      <c r="P823" s="11">
        <v>0.130912162162162</v>
      </c>
      <c r="Q823" s="11">
        <v>0.57499999999999996</v>
      </c>
      <c r="R823" s="11">
        <v>0.100671140939597</v>
      </c>
      <c r="S823" s="10" t="s">
        <v>84</v>
      </c>
      <c r="T823" s="10" t="s">
        <v>84</v>
      </c>
      <c r="U823" s="10"/>
      <c r="V823" s="10"/>
      <c r="W823" s="10"/>
      <c r="X823" s="10"/>
      <c r="Y823" s="10"/>
      <c r="Z823" s="10"/>
      <c r="AA823" s="10"/>
    </row>
    <row r="824" spans="1:27" ht="12.5" x14ac:dyDescent="0.25">
      <c r="A824" s="10" t="s">
        <v>82</v>
      </c>
      <c r="B824" s="10" t="s">
        <v>1235</v>
      </c>
      <c r="C824" s="10" t="s">
        <v>76</v>
      </c>
      <c r="D824" s="11">
        <v>2024</v>
      </c>
      <c r="E824" s="10" t="s">
        <v>124</v>
      </c>
      <c r="F824" s="10" t="s">
        <v>83</v>
      </c>
      <c r="G824" s="10" t="s">
        <v>84</v>
      </c>
      <c r="H824" s="12">
        <v>4976.9166666666697</v>
      </c>
      <c r="I824" s="11">
        <v>56</v>
      </c>
      <c r="J824" s="11">
        <v>56</v>
      </c>
      <c r="K824" s="11">
        <v>961</v>
      </c>
      <c r="L824" s="11">
        <v>1.1251946486278299E-2</v>
      </c>
      <c r="M824" s="11">
        <f t="shared" si="3"/>
        <v>1.1251946486278313</v>
      </c>
      <c r="N824" s="11">
        <v>1</v>
      </c>
      <c r="O824" s="11">
        <v>0.19309143880916901</v>
      </c>
      <c r="P824" s="11">
        <v>0.13006756756756799</v>
      </c>
      <c r="Q824" s="11">
        <v>0.27586206896551702</v>
      </c>
      <c r="R824" s="11">
        <v>9.8434004474272904E-2</v>
      </c>
      <c r="S824" s="10" t="s">
        <v>84</v>
      </c>
      <c r="T824" s="10" t="s">
        <v>84</v>
      </c>
      <c r="U824" s="10"/>
      <c r="V824" s="10"/>
      <c r="W824" s="10"/>
      <c r="X824" s="10"/>
      <c r="Y824" s="10"/>
      <c r="Z824" s="10"/>
      <c r="AA824" s="10"/>
    </row>
    <row r="825" spans="1:27" ht="12.5" x14ac:dyDescent="0.25">
      <c r="A825" s="10" t="s">
        <v>110</v>
      </c>
      <c r="B825" s="10" t="s">
        <v>1237</v>
      </c>
      <c r="C825" s="10" t="s">
        <v>76</v>
      </c>
      <c r="D825" s="11">
        <v>2024</v>
      </c>
      <c r="E825" s="10" t="s">
        <v>124</v>
      </c>
      <c r="F825" s="10" t="s">
        <v>83</v>
      </c>
      <c r="G825" s="10" t="s">
        <v>84</v>
      </c>
      <c r="H825" s="12">
        <v>11047.583333333299</v>
      </c>
      <c r="I825" s="11">
        <v>124</v>
      </c>
      <c r="J825" s="11">
        <v>62</v>
      </c>
      <c r="K825" s="11">
        <v>20633</v>
      </c>
      <c r="L825" s="11">
        <v>1.12241742160804E-2</v>
      </c>
      <c r="M825" s="11">
        <f t="shared" si="3"/>
        <v>1.1224174216080474</v>
      </c>
      <c r="N825" s="11">
        <v>0.5</v>
      </c>
      <c r="O825" s="11">
        <v>1.8676482790353801</v>
      </c>
      <c r="P825" s="11">
        <v>0.129222972972973</v>
      </c>
      <c r="Q825" s="11">
        <v>0.21212121212121199</v>
      </c>
      <c r="R825" s="11">
        <v>9.61968680089485E-2</v>
      </c>
      <c r="S825" s="10" t="s">
        <v>84</v>
      </c>
      <c r="T825" s="10" t="s">
        <v>84</v>
      </c>
      <c r="U825" s="10"/>
      <c r="V825" s="10"/>
      <c r="W825" s="10"/>
      <c r="X825" s="10"/>
      <c r="Y825" s="10"/>
      <c r="Z825" s="10"/>
      <c r="AA825" s="10"/>
    </row>
    <row r="826" spans="1:27" ht="12.5" x14ac:dyDescent="0.25">
      <c r="A826" s="10" t="s">
        <v>34</v>
      </c>
      <c r="B826" s="10" t="s">
        <v>1203</v>
      </c>
      <c r="C826" s="10" t="s">
        <v>76</v>
      </c>
      <c r="D826" s="11">
        <v>2024</v>
      </c>
      <c r="E826" s="10" t="s">
        <v>81</v>
      </c>
      <c r="F826" s="10" t="s">
        <v>83</v>
      </c>
      <c r="G826" s="10" t="s">
        <v>84</v>
      </c>
      <c r="H826" s="12">
        <v>4292.75</v>
      </c>
      <c r="I826" s="11">
        <v>48</v>
      </c>
      <c r="J826" s="11">
        <v>40</v>
      </c>
      <c r="K826" s="11">
        <v>1119</v>
      </c>
      <c r="L826" s="11">
        <v>1.1181643468639001E-2</v>
      </c>
      <c r="M826" s="11">
        <f t="shared" si="3"/>
        <v>1.1181643468638984</v>
      </c>
      <c r="N826" s="11">
        <v>0.83333333333333304</v>
      </c>
      <c r="O826" s="11">
        <v>0.26067206336264598</v>
      </c>
      <c r="P826" s="11">
        <v>0.12837837837837801</v>
      </c>
      <c r="Q826" s="11">
        <v>0.26530612244898</v>
      </c>
      <c r="R826" s="11">
        <v>0.160852713178295</v>
      </c>
      <c r="S826" s="10" t="s">
        <v>84</v>
      </c>
      <c r="T826" s="10" t="s">
        <v>84</v>
      </c>
      <c r="U826" s="10"/>
      <c r="V826" s="10"/>
      <c r="W826" s="10"/>
      <c r="X826" s="10"/>
      <c r="Y826" s="10"/>
      <c r="Z826" s="10"/>
      <c r="AA826" s="10"/>
    </row>
    <row r="827" spans="1:27" ht="12.5" x14ac:dyDescent="0.25">
      <c r="A827" s="10" t="s">
        <v>62</v>
      </c>
      <c r="B827" s="10" t="s">
        <v>1238</v>
      </c>
      <c r="C827" s="10" t="s">
        <v>76</v>
      </c>
      <c r="D827" s="11">
        <v>2024</v>
      </c>
      <c r="E827" s="10" t="s">
        <v>124</v>
      </c>
      <c r="F827" s="10" t="s">
        <v>83</v>
      </c>
      <c r="G827" s="10" t="s">
        <v>84</v>
      </c>
      <c r="H827" s="12">
        <v>13812.5</v>
      </c>
      <c r="I827" s="11">
        <v>153</v>
      </c>
      <c r="J827" s="11">
        <v>38</v>
      </c>
      <c r="K827" s="11">
        <v>14248</v>
      </c>
      <c r="L827" s="11">
        <v>1.1076923076923101E-2</v>
      </c>
      <c r="M827" s="11">
        <f t="shared" si="3"/>
        <v>1.1076923076923075</v>
      </c>
      <c r="N827" s="11">
        <v>0.24836601307189499</v>
      </c>
      <c r="O827" s="11">
        <v>1.03152941176471</v>
      </c>
      <c r="P827" s="11">
        <v>0.12753378378378399</v>
      </c>
      <c r="Q827" s="11">
        <v>0.11111111111111099</v>
      </c>
      <c r="R827" s="11">
        <v>9.3959731543624206E-2</v>
      </c>
      <c r="S827" s="10" t="s">
        <v>84</v>
      </c>
      <c r="T827" s="10" t="s">
        <v>84</v>
      </c>
      <c r="U827" s="10"/>
      <c r="V827" s="10"/>
      <c r="W827" s="10"/>
      <c r="X827" s="10"/>
      <c r="Y827" s="10"/>
      <c r="Z827" s="10"/>
      <c r="AA827" s="10"/>
    </row>
    <row r="828" spans="1:27" ht="12.5" x14ac:dyDescent="0.25">
      <c r="A828" s="10" t="s">
        <v>80</v>
      </c>
      <c r="B828" s="10" t="s">
        <v>1206</v>
      </c>
      <c r="C828" s="10" t="s">
        <v>76</v>
      </c>
      <c r="D828" s="11">
        <v>2024</v>
      </c>
      <c r="E828" s="10" t="s">
        <v>81</v>
      </c>
      <c r="F828" s="10" t="s">
        <v>83</v>
      </c>
      <c r="G828" s="10" t="s">
        <v>84</v>
      </c>
      <c r="H828" s="12">
        <v>7503.1666666666697</v>
      </c>
      <c r="I828" s="11">
        <v>82</v>
      </c>
      <c r="J828" s="11">
        <v>80</v>
      </c>
      <c r="K828" s="11">
        <v>4883</v>
      </c>
      <c r="L828" s="11">
        <v>1.09287189853173E-2</v>
      </c>
      <c r="M828" s="11">
        <f t="shared" si="3"/>
        <v>1.0928718985317305</v>
      </c>
      <c r="N828" s="11">
        <v>0.97560975609756095</v>
      </c>
      <c r="O828" s="11">
        <v>0.65079188786956599</v>
      </c>
      <c r="P828" s="11">
        <v>0.12584459459459499</v>
      </c>
      <c r="Q828" s="11">
        <v>0.2</v>
      </c>
      <c r="R828" s="11">
        <v>0.15891472868217099</v>
      </c>
      <c r="S828" s="10" t="s">
        <v>84</v>
      </c>
      <c r="T828" s="10" t="s">
        <v>84</v>
      </c>
      <c r="U828" s="10"/>
      <c r="V828" s="10"/>
      <c r="W828" s="10"/>
      <c r="X828" s="10"/>
      <c r="Y828" s="10"/>
      <c r="Z828" s="10"/>
      <c r="AA828" s="10"/>
    </row>
    <row r="829" spans="1:27" ht="12.5" x14ac:dyDescent="0.25">
      <c r="A829" s="10" t="s">
        <v>53</v>
      </c>
      <c r="B829" s="10" t="s">
        <v>1208</v>
      </c>
      <c r="C829" s="10" t="s">
        <v>76</v>
      </c>
      <c r="D829" s="11">
        <v>2024</v>
      </c>
      <c r="E829" s="10" t="s">
        <v>81</v>
      </c>
      <c r="F829" s="10" t="s">
        <v>83</v>
      </c>
      <c r="G829" s="10" t="s">
        <v>84</v>
      </c>
      <c r="H829" s="12">
        <v>18908.916666666701</v>
      </c>
      <c r="I829" s="11">
        <v>200</v>
      </c>
      <c r="J829" s="11">
        <v>159</v>
      </c>
      <c r="K829" s="11">
        <v>2261</v>
      </c>
      <c r="L829" s="11">
        <v>1.05770205414553E-2</v>
      </c>
      <c r="M829" s="11">
        <f t="shared" si="3"/>
        <v>1.0577020541455291</v>
      </c>
      <c r="N829" s="11">
        <v>0.79500000000000004</v>
      </c>
      <c r="O829" s="11">
        <v>0.119573217221152</v>
      </c>
      <c r="P829" s="11">
        <v>0.124155405405405</v>
      </c>
      <c r="Q829" s="11">
        <v>0.55000000000000004</v>
      </c>
      <c r="R829" s="11">
        <v>0.15697674418604701</v>
      </c>
      <c r="S829" s="10" t="s">
        <v>84</v>
      </c>
      <c r="T829" s="10" t="s">
        <v>84</v>
      </c>
      <c r="U829" s="10"/>
      <c r="V829" s="10"/>
      <c r="W829" s="10"/>
      <c r="X829" s="10"/>
      <c r="Y829" s="10"/>
      <c r="Z829" s="10"/>
      <c r="AA829" s="10"/>
    </row>
    <row r="830" spans="1:27" ht="12.5" x14ac:dyDescent="0.25">
      <c r="A830" s="10" t="s">
        <v>96</v>
      </c>
      <c r="B830" s="10" t="s">
        <v>1211</v>
      </c>
      <c r="C830" s="10" t="s">
        <v>76</v>
      </c>
      <c r="D830" s="11">
        <v>2024</v>
      </c>
      <c r="E830" s="10" t="s">
        <v>81</v>
      </c>
      <c r="F830" s="10" t="s">
        <v>83</v>
      </c>
      <c r="G830" s="10" t="s">
        <v>84</v>
      </c>
      <c r="H830" s="12">
        <v>18167.583333333299</v>
      </c>
      <c r="I830" s="11">
        <v>191</v>
      </c>
      <c r="J830" s="11">
        <v>119</v>
      </c>
      <c r="K830" s="11">
        <v>4351</v>
      </c>
      <c r="L830" s="11">
        <v>1.05132309837577E-2</v>
      </c>
      <c r="M830" s="11">
        <f t="shared" si="3"/>
        <v>1.051323098375772</v>
      </c>
      <c r="N830" s="11">
        <v>0.62303664921465995</v>
      </c>
      <c r="O830" s="11">
        <v>0.23949250267188399</v>
      </c>
      <c r="P830" s="11">
        <v>0.12331081081081099</v>
      </c>
      <c r="Q830" s="11">
        <v>0.11764705882352899</v>
      </c>
      <c r="R830" s="11">
        <v>0.15503875968992201</v>
      </c>
      <c r="S830" s="10" t="s">
        <v>84</v>
      </c>
      <c r="T830" s="10" t="s">
        <v>84</v>
      </c>
      <c r="U830" s="10"/>
      <c r="V830" s="10"/>
      <c r="W830" s="10"/>
      <c r="X830" s="10"/>
      <c r="Y830" s="10"/>
      <c r="Z830" s="10"/>
      <c r="AA830" s="10"/>
    </row>
    <row r="831" spans="1:27" ht="12.5" x14ac:dyDescent="0.25">
      <c r="A831" s="10" t="s">
        <v>12</v>
      </c>
      <c r="B831" s="10" t="s">
        <v>1214</v>
      </c>
      <c r="C831" s="10" t="s">
        <v>76</v>
      </c>
      <c r="D831" s="11">
        <v>2024</v>
      </c>
      <c r="E831" s="10" t="s">
        <v>81</v>
      </c>
      <c r="F831" s="10" t="s">
        <v>83</v>
      </c>
      <c r="G831" s="10" t="s">
        <v>84</v>
      </c>
      <c r="H831" s="12">
        <v>6292.6666666666697</v>
      </c>
      <c r="I831" s="11">
        <v>66</v>
      </c>
      <c r="J831" s="11">
        <v>22</v>
      </c>
      <c r="K831" s="11">
        <v>10566</v>
      </c>
      <c r="L831" s="11">
        <v>1.048839919483E-2</v>
      </c>
      <c r="M831" s="11">
        <f t="shared" si="3"/>
        <v>1.0488399194829956</v>
      </c>
      <c r="N831" s="11">
        <v>0.33333333333333298</v>
      </c>
      <c r="O831" s="11">
        <v>1.67909736200869</v>
      </c>
      <c r="P831" s="11">
        <v>0.12246621621621601</v>
      </c>
      <c r="Q831" s="11">
        <v>8.3333333333333301E-2</v>
      </c>
      <c r="R831" s="11">
        <v>0.153100775193798</v>
      </c>
      <c r="S831" s="10" t="s">
        <v>84</v>
      </c>
      <c r="T831" s="10" t="s">
        <v>84</v>
      </c>
      <c r="U831" s="10"/>
      <c r="V831" s="10"/>
      <c r="W831" s="10"/>
      <c r="X831" s="10"/>
      <c r="Y831" s="10"/>
      <c r="Z831" s="10"/>
      <c r="AA831" s="10"/>
    </row>
    <row r="832" spans="1:27" ht="12.5" x14ac:dyDescent="0.25">
      <c r="A832" s="10" t="s">
        <v>10</v>
      </c>
      <c r="B832" s="10" t="s">
        <v>1216</v>
      </c>
      <c r="C832" s="10" t="s">
        <v>76</v>
      </c>
      <c r="D832" s="11">
        <v>2024</v>
      </c>
      <c r="E832" s="10" t="s">
        <v>81</v>
      </c>
      <c r="F832" s="10" t="s">
        <v>83</v>
      </c>
      <c r="G832" s="10" t="s">
        <v>84</v>
      </c>
      <c r="H832" s="12">
        <v>15081.416666666701</v>
      </c>
      <c r="I832" s="11">
        <v>158</v>
      </c>
      <c r="J832" s="11">
        <v>122</v>
      </c>
      <c r="K832" s="11">
        <v>26990</v>
      </c>
      <c r="L832" s="11">
        <v>1.0476469385612501E-2</v>
      </c>
      <c r="M832" s="11">
        <f t="shared" si="3"/>
        <v>1.0476469385612512</v>
      </c>
      <c r="N832" s="11">
        <v>0.772151898734177</v>
      </c>
      <c r="O832" s="11">
        <v>1.78961967542837</v>
      </c>
      <c r="P832" s="11">
        <v>0.121621621621622</v>
      </c>
      <c r="Q832" s="11">
        <v>0.16666666666666699</v>
      </c>
      <c r="R832" s="11">
        <v>0.15116279069767399</v>
      </c>
      <c r="S832" s="10" t="s">
        <v>84</v>
      </c>
      <c r="T832" s="10" t="s">
        <v>84</v>
      </c>
      <c r="U832" s="10"/>
      <c r="V832" s="10"/>
      <c r="W832" s="10"/>
      <c r="X832" s="10"/>
      <c r="Y832" s="10"/>
      <c r="Z832" s="10"/>
      <c r="AA832" s="10"/>
    </row>
    <row r="833" spans="1:27" ht="12.5" hidden="1" x14ac:dyDescent="0.25">
      <c r="A833" s="10" t="s">
        <v>6</v>
      </c>
      <c r="B833" s="10" t="s">
        <v>1504</v>
      </c>
      <c r="C833" s="10" t="s">
        <v>76</v>
      </c>
      <c r="D833" s="11">
        <v>2024</v>
      </c>
      <c r="E833" s="10" t="s">
        <v>257</v>
      </c>
      <c r="F833" s="10" t="s">
        <v>83</v>
      </c>
      <c r="G833" s="10" t="s">
        <v>84</v>
      </c>
      <c r="H833" s="12">
        <v>20276</v>
      </c>
      <c r="I833" s="11">
        <v>210</v>
      </c>
      <c r="J833" s="11">
        <v>105</v>
      </c>
      <c r="K833" s="11">
        <v>3000</v>
      </c>
      <c r="L833" s="11">
        <v>1.0357072400868E-2</v>
      </c>
      <c r="M833" s="11">
        <f t="shared" si="3"/>
        <v>1.0357072400868022</v>
      </c>
      <c r="N833" s="11">
        <v>0.5</v>
      </c>
      <c r="O833" s="11">
        <v>0.147958177155257</v>
      </c>
      <c r="P833" s="11">
        <v>0.120777027027027</v>
      </c>
      <c r="Q833" s="11">
        <v>0.19354838709677399</v>
      </c>
      <c r="R833" s="11">
        <v>0.11363636363636399</v>
      </c>
      <c r="S833" s="10" t="s">
        <v>84</v>
      </c>
      <c r="T833" s="10" t="s">
        <v>84</v>
      </c>
      <c r="U833" s="10"/>
      <c r="V833" s="10"/>
      <c r="W833" s="10"/>
      <c r="X833" s="10"/>
      <c r="Y833" s="10"/>
      <c r="Z833" s="10"/>
      <c r="AA833" s="10"/>
    </row>
    <row r="834" spans="1:27" ht="12.5" x14ac:dyDescent="0.25">
      <c r="A834" s="10" t="s">
        <v>77</v>
      </c>
      <c r="B834" s="10" t="s">
        <v>1218</v>
      </c>
      <c r="C834" s="10" t="s">
        <v>76</v>
      </c>
      <c r="D834" s="11">
        <v>2024</v>
      </c>
      <c r="E834" s="10" t="s">
        <v>81</v>
      </c>
      <c r="F834" s="10" t="s">
        <v>83</v>
      </c>
      <c r="G834" s="10" t="s">
        <v>84</v>
      </c>
      <c r="H834" s="12">
        <v>13643.583333333299</v>
      </c>
      <c r="I834" s="11">
        <v>140</v>
      </c>
      <c r="J834" s="11">
        <v>122</v>
      </c>
      <c r="K834" s="11">
        <v>6515</v>
      </c>
      <c r="L834" s="11">
        <v>1.02612339133781E-2</v>
      </c>
      <c r="M834" s="11">
        <f t="shared" si="3"/>
        <v>1.0261233913378109</v>
      </c>
      <c r="N834" s="11">
        <v>0.871428571428571</v>
      </c>
      <c r="O834" s="11">
        <v>0.47751384961184401</v>
      </c>
      <c r="P834" s="11">
        <v>0.119932432432432</v>
      </c>
      <c r="Q834" s="11">
        <v>7.1428571428571397E-2</v>
      </c>
      <c r="R834" s="11">
        <v>0.14922480620154999</v>
      </c>
      <c r="S834" s="10" t="s">
        <v>84</v>
      </c>
      <c r="T834" s="10" t="s">
        <v>84</v>
      </c>
      <c r="U834" s="10"/>
      <c r="V834" s="10"/>
      <c r="W834" s="10"/>
      <c r="X834" s="10"/>
      <c r="Y834" s="10"/>
      <c r="Z834" s="10"/>
      <c r="AA834" s="10"/>
    </row>
    <row r="835" spans="1:27" ht="12.5" x14ac:dyDescent="0.25">
      <c r="A835" s="10" t="s">
        <v>34</v>
      </c>
      <c r="B835" s="10" t="s">
        <v>1239</v>
      </c>
      <c r="C835" s="10" t="s">
        <v>76</v>
      </c>
      <c r="D835" s="11">
        <v>2024</v>
      </c>
      <c r="E835" s="10" t="s">
        <v>124</v>
      </c>
      <c r="F835" s="10" t="s">
        <v>125</v>
      </c>
      <c r="G835" s="10" t="s">
        <v>84</v>
      </c>
      <c r="H835" s="12">
        <v>196</v>
      </c>
      <c r="I835" s="11">
        <v>2</v>
      </c>
      <c r="J835" s="11">
        <v>2</v>
      </c>
      <c r="K835" s="11">
        <v>54</v>
      </c>
      <c r="L835" s="11">
        <v>1.02040816326531E-2</v>
      </c>
      <c r="M835" s="11">
        <f t="shared" si="3"/>
        <v>1.0204081632653061</v>
      </c>
      <c r="N835" s="11">
        <v>1</v>
      </c>
      <c r="O835" s="11">
        <v>0.27551020408163301</v>
      </c>
      <c r="P835" s="11">
        <v>0.11824324324324299</v>
      </c>
      <c r="Q835" s="11">
        <v>0.24489795918367299</v>
      </c>
      <c r="R835" s="11">
        <v>9.1722595078299801E-2</v>
      </c>
      <c r="S835" s="10" t="s">
        <v>84</v>
      </c>
      <c r="T835" s="10" t="s">
        <v>84</v>
      </c>
      <c r="U835" s="10"/>
      <c r="V835" s="10"/>
      <c r="W835" s="10"/>
      <c r="X835" s="10"/>
      <c r="Y835" s="10"/>
      <c r="Z835" s="10"/>
      <c r="AA835" s="10"/>
    </row>
    <row r="836" spans="1:27" ht="12.5" x14ac:dyDescent="0.25">
      <c r="A836" s="10" t="s">
        <v>29</v>
      </c>
      <c r="B836" s="10" t="s">
        <v>1171</v>
      </c>
      <c r="C836" s="10" t="s">
        <v>76</v>
      </c>
      <c r="D836" s="11">
        <v>2024</v>
      </c>
      <c r="E836" s="10" t="s">
        <v>81</v>
      </c>
      <c r="F836" s="10" t="s">
        <v>83</v>
      </c>
      <c r="G836" s="10" t="s">
        <v>84</v>
      </c>
      <c r="H836" s="12">
        <v>996.83333333333303</v>
      </c>
      <c r="I836" s="11">
        <v>10</v>
      </c>
      <c r="J836" s="11">
        <v>3</v>
      </c>
      <c r="K836" s="11">
        <v>214</v>
      </c>
      <c r="L836" s="11">
        <v>1.0031767262999499E-2</v>
      </c>
      <c r="M836" s="11">
        <f t="shared" si="3"/>
        <v>1.00317672629995</v>
      </c>
      <c r="N836" s="11">
        <v>0.3</v>
      </c>
      <c r="O836" s="11">
        <v>0.21467981942818901</v>
      </c>
      <c r="P836" s="11">
        <v>0.117398648648649</v>
      </c>
      <c r="Q836" s="11">
        <v>2.04081632653061E-2</v>
      </c>
      <c r="R836" s="11">
        <v>0.14728682170542601</v>
      </c>
      <c r="S836" s="10" t="s">
        <v>84</v>
      </c>
      <c r="T836" s="10" t="s">
        <v>84</v>
      </c>
      <c r="U836" s="10"/>
      <c r="V836" s="10"/>
      <c r="W836" s="10"/>
      <c r="X836" s="10"/>
      <c r="Y836" s="10"/>
      <c r="Z836" s="10"/>
      <c r="AA836" s="10"/>
    </row>
    <row r="837" spans="1:27" ht="12.5" x14ac:dyDescent="0.25">
      <c r="A837" s="10" t="s">
        <v>22</v>
      </c>
      <c r="B837" s="10" t="s">
        <v>1062</v>
      </c>
      <c r="C837" s="10" t="s">
        <v>76</v>
      </c>
      <c r="D837" s="11">
        <v>2024</v>
      </c>
      <c r="E837" s="10" t="s">
        <v>81</v>
      </c>
      <c r="F837" s="10" t="s">
        <v>83</v>
      </c>
      <c r="G837" s="10" t="s">
        <v>84</v>
      </c>
      <c r="H837" s="12">
        <v>4541.4166666666697</v>
      </c>
      <c r="I837" s="11">
        <v>45</v>
      </c>
      <c r="J837" s="11">
        <v>38</v>
      </c>
      <c r="K837" s="11">
        <v>2611</v>
      </c>
      <c r="L837" s="11">
        <v>9.9088023193937298E-3</v>
      </c>
      <c r="M837" s="11">
        <f t="shared" si="3"/>
        <v>0.99088023193937214</v>
      </c>
      <c r="N837" s="11">
        <v>0.844444444444444</v>
      </c>
      <c r="O837" s="11">
        <v>0.57493073013193396</v>
      </c>
      <c r="P837" s="11">
        <v>0.116554054054054</v>
      </c>
      <c r="Q837" s="11">
        <v>0</v>
      </c>
      <c r="R837" s="11">
        <v>0.145348837209302</v>
      </c>
      <c r="S837" s="10" t="s">
        <v>84</v>
      </c>
      <c r="T837" s="10" t="s">
        <v>84</v>
      </c>
      <c r="U837" s="10"/>
      <c r="V837" s="10"/>
      <c r="W837" s="10"/>
      <c r="X837" s="10"/>
      <c r="Y837" s="10"/>
      <c r="Z837" s="10"/>
      <c r="AA837" s="10"/>
    </row>
    <row r="838" spans="1:27" ht="12.5" x14ac:dyDescent="0.25">
      <c r="A838" s="10" t="s">
        <v>92</v>
      </c>
      <c r="B838" s="10" t="s">
        <v>1242</v>
      </c>
      <c r="C838" s="10" t="s">
        <v>76</v>
      </c>
      <c r="D838" s="11">
        <v>2024</v>
      </c>
      <c r="E838" s="10" t="s">
        <v>124</v>
      </c>
      <c r="F838" s="10" t="s">
        <v>83</v>
      </c>
      <c r="G838" s="10" t="s">
        <v>84</v>
      </c>
      <c r="H838" s="12">
        <v>15193</v>
      </c>
      <c r="I838" s="11">
        <v>150</v>
      </c>
      <c r="J838" s="11">
        <v>128</v>
      </c>
      <c r="K838" s="11">
        <v>2458</v>
      </c>
      <c r="L838" s="11">
        <v>9.8729678141249305E-3</v>
      </c>
      <c r="M838" s="11">
        <f t="shared" si="3"/>
        <v>0.98729678141249255</v>
      </c>
      <c r="N838" s="11">
        <v>0.85333333333333306</v>
      </c>
      <c r="O838" s="11">
        <v>0.16178503258079399</v>
      </c>
      <c r="P838" s="11">
        <v>0.115709459459459</v>
      </c>
      <c r="Q838" s="11">
        <v>0.38888888888888901</v>
      </c>
      <c r="R838" s="11">
        <v>8.9485458612975396E-2</v>
      </c>
      <c r="S838" s="10" t="s">
        <v>84</v>
      </c>
      <c r="T838" s="10" t="s">
        <v>84</v>
      </c>
      <c r="U838" s="10"/>
      <c r="V838" s="10"/>
      <c r="W838" s="10"/>
      <c r="X838" s="10"/>
      <c r="Y838" s="10"/>
      <c r="Z838" s="10"/>
      <c r="AA838" s="10"/>
    </row>
    <row r="839" spans="1:27" ht="12.5" x14ac:dyDescent="0.25">
      <c r="A839" s="10" t="s">
        <v>92</v>
      </c>
      <c r="B839" s="10" t="s">
        <v>1244</v>
      </c>
      <c r="C839" s="10" t="s">
        <v>76</v>
      </c>
      <c r="D839" s="11">
        <v>2024</v>
      </c>
      <c r="E839" s="10" t="s">
        <v>124</v>
      </c>
      <c r="F839" s="10" t="s">
        <v>83</v>
      </c>
      <c r="G839" s="10" t="s">
        <v>84</v>
      </c>
      <c r="H839" s="12">
        <v>10539</v>
      </c>
      <c r="I839" s="11">
        <v>103</v>
      </c>
      <c r="J839" s="11">
        <v>103</v>
      </c>
      <c r="K839" s="11">
        <v>974</v>
      </c>
      <c r="L839" s="11">
        <v>9.7732232659645101E-3</v>
      </c>
      <c r="M839" s="11">
        <f t="shared" si="3"/>
        <v>0.97732232659645135</v>
      </c>
      <c r="N839" s="11">
        <v>1</v>
      </c>
      <c r="O839" s="11">
        <v>9.2418635544169306E-2</v>
      </c>
      <c r="P839" s="11">
        <v>0.114864864864865</v>
      </c>
      <c r="Q839" s="11">
        <v>0.33333333333333298</v>
      </c>
      <c r="R839" s="11">
        <v>8.7248322147651006E-2</v>
      </c>
      <c r="S839" s="10" t="s">
        <v>84</v>
      </c>
      <c r="T839" s="10" t="s">
        <v>84</v>
      </c>
      <c r="U839" s="10"/>
      <c r="V839" s="10"/>
      <c r="W839" s="10"/>
      <c r="X839" s="10"/>
      <c r="Y839" s="10"/>
      <c r="Z839" s="10"/>
      <c r="AA839" s="10"/>
    </row>
    <row r="840" spans="1:27" ht="12.5" x14ac:dyDescent="0.25">
      <c r="A840" s="10" t="s">
        <v>72</v>
      </c>
      <c r="B840" s="10" t="s">
        <v>1221</v>
      </c>
      <c r="C840" s="10" t="s">
        <v>76</v>
      </c>
      <c r="D840" s="11">
        <v>2024</v>
      </c>
      <c r="E840" s="10" t="s">
        <v>81</v>
      </c>
      <c r="F840" s="10" t="s">
        <v>83</v>
      </c>
      <c r="G840" s="10" t="s">
        <v>84</v>
      </c>
      <c r="H840" s="12">
        <v>64385.416666666701</v>
      </c>
      <c r="I840" s="11">
        <v>629</v>
      </c>
      <c r="J840" s="11">
        <v>375</v>
      </c>
      <c r="K840" s="11">
        <v>19197</v>
      </c>
      <c r="L840" s="11">
        <v>9.7692929946610607E-3</v>
      </c>
      <c r="M840" s="11">
        <f t="shared" si="3"/>
        <v>0.97692929946610541</v>
      </c>
      <c r="N840" s="11">
        <v>0.59618441971383196</v>
      </c>
      <c r="O840" s="11">
        <v>0.298157579679663</v>
      </c>
      <c r="P840" s="11">
        <v>0.11402027027026999</v>
      </c>
      <c r="Q840" s="11">
        <v>0.2</v>
      </c>
      <c r="R840" s="11">
        <v>0.14341085271317799</v>
      </c>
      <c r="S840" s="10" t="s">
        <v>84</v>
      </c>
      <c r="T840" s="10" t="s">
        <v>84</v>
      </c>
      <c r="U840" s="10"/>
      <c r="V840" s="10"/>
      <c r="W840" s="10"/>
      <c r="X840" s="10"/>
      <c r="Y840" s="10"/>
      <c r="Z840" s="10"/>
      <c r="AA840" s="10"/>
    </row>
    <row r="841" spans="1:27" ht="12.5" x14ac:dyDescent="0.25">
      <c r="A841" s="10" t="s">
        <v>82</v>
      </c>
      <c r="B841" s="10" t="s">
        <v>1246</v>
      </c>
      <c r="C841" s="10" t="s">
        <v>76</v>
      </c>
      <c r="D841" s="11">
        <v>2024</v>
      </c>
      <c r="E841" s="10" t="s">
        <v>124</v>
      </c>
      <c r="F841" s="10" t="s">
        <v>83</v>
      </c>
      <c r="G841" s="10" t="s">
        <v>84</v>
      </c>
      <c r="H841" s="12">
        <v>2254</v>
      </c>
      <c r="I841" s="11">
        <v>22</v>
      </c>
      <c r="J841" s="11">
        <v>22</v>
      </c>
      <c r="K841" s="11">
        <v>309</v>
      </c>
      <c r="L841" s="11">
        <v>9.7604259094942296E-3</v>
      </c>
      <c r="M841" s="11">
        <f t="shared" si="3"/>
        <v>0.97604259094942325</v>
      </c>
      <c r="N841" s="11">
        <v>1</v>
      </c>
      <c r="O841" s="11">
        <v>0.13708961845607801</v>
      </c>
      <c r="P841" s="11">
        <v>0.113175675675676</v>
      </c>
      <c r="Q841" s="11">
        <v>0.24137931034482801</v>
      </c>
      <c r="R841" s="11">
        <v>8.5011185682326601E-2</v>
      </c>
      <c r="S841" s="10" t="s">
        <v>84</v>
      </c>
      <c r="T841" s="10" t="s">
        <v>84</v>
      </c>
      <c r="U841" s="10"/>
      <c r="V841" s="10"/>
      <c r="W841" s="10"/>
      <c r="X841" s="10"/>
      <c r="Y841" s="10"/>
      <c r="Z841" s="10"/>
      <c r="AA841" s="10"/>
    </row>
    <row r="842" spans="1:27" ht="12.5" x14ac:dyDescent="0.25">
      <c r="A842" s="10" t="s">
        <v>6</v>
      </c>
      <c r="B842" s="10" t="s">
        <v>1248</v>
      </c>
      <c r="C842" s="10" t="s">
        <v>76</v>
      </c>
      <c r="D842" s="11">
        <v>2024</v>
      </c>
      <c r="E842" s="10" t="s">
        <v>124</v>
      </c>
      <c r="F842" s="10" t="s">
        <v>125</v>
      </c>
      <c r="G842" s="10" t="s">
        <v>84</v>
      </c>
      <c r="H842" s="12">
        <v>1043.4166666666699</v>
      </c>
      <c r="I842" s="11">
        <v>10</v>
      </c>
      <c r="J842" s="11">
        <v>7</v>
      </c>
      <c r="K842" s="11">
        <v>45</v>
      </c>
      <c r="L842" s="11">
        <v>9.5838990495966808E-3</v>
      </c>
      <c r="M842" s="11">
        <f t="shared" si="3"/>
        <v>0.95838990495966481</v>
      </c>
      <c r="N842" s="11">
        <v>0.7</v>
      </c>
      <c r="O842" s="11">
        <v>4.3127545723185001E-2</v>
      </c>
      <c r="P842" s="11">
        <v>0.112331081081081</v>
      </c>
      <c r="Q842" s="11">
        <v>0.16129032258064499</v>
      </c>
      <c r="R842" s="11">
        <v>8.2774049217002196E-2</v>
      </c>
      <c r="S842" s="10" t="s">
        <v>84</v>
      </c>
      <c r="T842" s="10" t="s">
        <v>84</v>
      </c>
      <c r="U842" s="10"/>
      <c r="V842" s="10"/>
      <c r="W842" s="10"/>
      <c r="X842" s="10"/>
      <c r="Y842" s="10"/>
      <c r="Z842" s="10"/>
      <c r="AA842" s="10"/>
    </row>
    <row r="843" spans="1:27" ht="12.5" hidden="1" x14ac:dyDescent="0.25">
      <c r="A843" s="10" t="s">
        <v>118</v>
      </c>
      <c r="B843" s="10" t="s">
        <v>1508</v>
      </c>
      <c r="C843" s="10" t="s">
        <v>76</v>
      </c>
      <c r="D843" s="11">
        <v>2024</v>
      </c>
      <c r="E843" s="10" t="s">
        <v>257</v>
      </c>
      <c r="F843" s="10" t="s">
        <v>83</v>
      </c>
      <c r="G843" s="10" t="s">
        <v>84</v>
      </c>
      <c r="H843" s="12">
        <v>4072.25</v>
      </c>
      <c r="I843" s="11">
        <v>39</v>
      </c>
      <c r="J843" s="11">
        <v>39</v>
      </c>
      <c r="K843" s="11">
        <v>484</v>
      </c>
      <c r="L843" s="11">
        <v>9.5770151636073407E-3</v>
      </c>
      <c r="M843" s="11">
        <f t="shared" si="3"/>
        <v>0.9577015163607342</v>
      </c>
      <c r="N843" s="11">
        <v>1</v>
      </c>
      <c r="O843" s="11">
        <v>0.118853213825281</v>
      </c>
      <c r="P843" s="11">
        <v>0.111486486486486</v>
      </c>
      <c r="Q843" s="11">
        <v>7.1428571428571397E-2</v>
      </c>
      <c r="R843" s="11">
        <v>9.0909090909090898E-2</v>
      </c>
      <c r="S843" s="10" t="s">
        <v>84</v>
      </c>
      <c r="T843" s="10" t="s">
        <v>84</v>
      </c>
      <c r="U843" s="10"/>
      <c r="V843" s="10"/>
      <c r="W843" s="10"/>
      <c r="X843" s="10"/>
      <c r="Y843" s="10"/>
      <c r="Z843" s="10"/>
      <c r="AA843" s="10"/>
    </row>
    <row r="844" spans="1:27" ht="12.5" x14ac:dyDescent="0.25">
      <c r="A844" s="10" t="s">
        <v>53</v>
      </c>
      <c r="B844" s="10" t="s">
        <v>1250</v>
      </c>
      <c r="C844" s="10" t="s">
        <v>76</v>
      </c>
      <c r="D844" s="11">
        <v>2024</v>
      </c>
      <c r="E844" s="10" t="s">
        <v>124</v>
      </c>
      <c r="F844" s="10" t="s">
        <v>125</v>
      </c>
      <c r="G844" s="10" t="s">
        <v>84</v>
      </c>
      <c r="H844" s="12">
        <v>420</v>
      </c>
      <c r="I844" s="11">
        <v>4</v>
      </c>
      <c r="J844" s="11">
        <v>4</v>
      </c>
      <c r="K844" s="11">
        <v>47</v>
      </c>
      <c r="L844" s="11">
        <v>9.5238095238095195E-3</v>
      </c>
      <c r="M844" s="11">
        <f t="shared" si="3"/>
        <v>0.95238095238095244</v>
      </c>
      <c r="N844" s="11">
        <v>1</v>
      </c>
      <c r="O844" s="11">
        <v>0.11190476190476201</v>
      </c>
      <c r="P844" s="11">
        <v>0.110641891891892</v>
      </c>
      <c r="Q844" s="11">
        <v>0.52500000000000002</v>
      </c>
      <c r="R844" s="11">
        <v>8.0536912751677805E-2</v>
      </c>
      <c r="S844" s="10" t="s">
        <v>84</v>
      </c>
      <c r="T844" s="10" t="s">
        <v>84</v>
      </c>
      <c r="U844" s="10"/>
      <c r="V844" s="10"/>
      <c r="W844" s="10"/>
      <c r="X844" s="10"/>
      <c r="Y844" s="10"/>
      <c r="Z844" s="10"/>
      <c r="AA844" s="10"/>
    </row>
    <row r="845" spans="1:27" ht="12.5" x14ac:dyDescent="0.25">
      <c r="A845" s="10" t="s">
        <v>12</v>
      </c>
      <c r="B845" s="10" t="s">
        <v>1223</v>
      </c>
      <c r="C845" s="10" t="s">
        <v>76</v>
      </c>
      <c r="D845" s="11">
        <v>2024</v>
      </c>
      <c r="E845" s="10" t="s">
        <v>81</v>
      </c>
      <c r="F845" s="10" t="s">
        <v>83</v>
      </c>
      <c r="G845" s="10" t="s">
        <v>84</v>
      </c>
      <c r="H845" s="12">
        <v>32725.5</v>
      </c>
      <c r="I845" s="11">
        <v>310</v>
      </c>
      <c r="J845" s="11">
        <v>5443</v>
      </c>
      <c r="K845" s="11">
        <v>31859</v>
      </c>
      <c r="L845" s="11">
        <v>9.4727353287191902E-3</v>
      </c>
      <c r="M845" s="11">
        <f t="shared" si="3"/>
        <v>0.9472735328719194</v>
      </c>
      <c r="N845" s="11">
        <v>17.558064516129001</v>
      </c>
      <c r="O845" s="11">
        <v>0.97352217689569298</v>
      </c>
      <c r="P845" s="11">
        <v>0.10979729729729699</v>
      </c>
      <c r="Q845" s="11">
        <v>6.9444444444444406E-2</v>
      </c>
      <c r="R845" s="11">
        <v>0.14147286821705399</v>
      </c>
      <c r="S845" s="10" t="s">
        <v>84</v>
      </c>
      <c r="T845" s="10" t="s">
        <v>84</v>
      </c>
      <c r="U845" s="10"/>
      <c r="V845" s="10"/>
      <c r="W845" s="10"/>
      <c r="X845" s="10"/>
      <c r="Y845" s="10"/>
      <c r="Z845" s="10"/>
      <c r="AA845" s="10"/>
    </row>
    <row r="846" spans="1:27" ht="12.5" hidden="1" x14ac:dyDescent="0.25">
      <c r="A846" s="10" t="s">
        <v>110</v>
      </c>
      <c r="B846" s="10" t="s">
        <v>1511</v>
      </c>
      <c r="C846" s="10" t="s">
        <v>76</v>
      </c>
      <c r="D846" s="11">
        <v>2024</v>
      </c>
      <c r="E846" s="10" t="s">
        <v>257</v>
      </c>
      <c r="F846" s="10" t="s">
        <v>83</v>
      </c>
      <c r="G846" s="10" t="s">
        <v>84</v>
      </c>
      <c r="H846" s="12">
        <v>9119.6666666666697</v>
      </c>
      <c r="I846" s="11">
        <v>84</v>
      </c>
      <c r="J846" s="11">
        <v>56</v>
      </c>
      <c r="K846" s="11">
        <v>5631</v>
      </c>
      <c r="L846" s="11">
        <v>9.2108629701378002E-3</v>
      </c>
      <c r="M846" s="11">
        <f t="shared" si="3"/>
        <v>0.92108629701377953</v>
      </c>
      <c r="N846" s="11">
        <v>0.66666666666666696</v>
      </c>
      <c r="O846" s="11">
        <v>0.61745677839102298</v>
      </c>
      <c r="P846" s="11">
        <v>0.108108108108108</v>
      </c>
      <c r="Q846" s="11">
        <v>0.15151515151515199</v>
      </c>
      <c r="R846" s="11">
        <v>6.8181818181818205E-2</v>
      </c>
      <c r="S846" s="10" t="s">
        <v>84</v>
      </c>
      <c r="T846" s="10" t="s">
        <v>84</v>
      </c>
      <c r="U846" s="10"/>
      <c r="V846" s="10"/>
      <c r="W846" s="10"/>
      <c r="X846" s="10"/>
      <c r="Y846" s="10"/>
      <c r="Z846" s="10"/>
      <c r="AA846" s="10"/>
    </row>
    <row r="847" spans="1:27" ht="12.5" x14ac:dyDescent="0.25">
      <c r="A847" s="10" t="s">
        <v>53</v>
      </c>
      <c r="B847" s="10" t="s">
        <v>1252</v>
      </c>
      <c r="C847" s="10" t="s">
        <v>76</v>
      </c>
      <c r="D847" s="11">
        <v>2024</v>
      </c>
      <c r="E847" s="10" t="s">
        <v>124</v>
      </c>
      <c r="F847" s="10" t="s">
        <v>125</v>
      </c>
      <c r="G847" s="10" t="s">
        <v>84</v>
      </c>
      <c r="H847" s="12">
        <v>872.5</v>
      </c>
      <c r="I847" s="11">
        <v>8</v>
      </c>
      <c r="J847" s="11">
        <v>8</v>
      </c>
      <c r="K847" s="11">
        <v>266</v>
      </c>
      <c r="L847" s="11">
        <v>9.1690544412607392E-3</v>
      </c>
      <c r="M847" s="11">
        <f t="shared" si="3"/>
        <v>0.91690544412607444</v>
      </c>
      <c r="N847" s="11">
        <v>1</v>
      </c>
      <c r="O847" s="11">
        <v>0.30487106017192001</v>
      </c>
      <c r="P847" s="11">
        <v>0.107263513513514</v>
      </c>
      <c r="Q847" s="11">
        <v>0.5</v>
      </c>
      <c r="R847" s="11">
        <v>7.8299776286353498E-2</v>
      </c>
      <c r="S847" s="10" t="s">
        <v>84</v>
      </c>
      <c r="T847" s="10" t="s">
        <v>84</v>
      </c>
      <c r="U847" s="10"/>
      <c r="V847" s="10"/>
      <c r="W847" s="10"/>
      <c r="X847" s="10"/>
      <c r="Y847" s="10"/>
      <c r="Z847" s="10"/>
      <c r="AA847" s="10"/>
    </row>
    <row r="848" spans="1:27" ht="12.5" x14ac:dyDescent="0.25">
      <c r="A848" s="10" t="s">
        <v>12</v>
      </c>
      <c r="B848" s="10" t="s">
        <v>1226</v>
      </c>
      <c r="C848" s="10" t="s">
        <v>76</v>
      </c>
      <c r="D848" s="11">
        <v>2024</v>
      </c>
      <c r="E848" s="10" t="s">
        <v>81</v>
      </c>
      <c r="F848" s="10" t="s">
        <v>83</v>
      </c>
      <c r="G848" s="10" t="s">
        <v>84</v>
      </c>
      <c r="H848" s="12">
        <v>13157.083333333299</v>
      </c>
      <c r="I848" s="11">
        <v>120</v>
      </c>
      <c r="J848" s="11">
        <v>11</v>
      </c>
      <c r="K848" s="11">
        <v>8111</v>
      </c>
      <c r="L848" s="11">
        <v>9.1205624346834702E-3</v>
      </c>
      <c r="M848" s="11">
        <f t="shared" si="3"/>
        <v>0.91205624346834968</v>
      </c>
      <c r="N848" s="11">
        <v>9.1666666666666702E-2</v>
      </c>
      <c r="O848" s="11">
        <v>0.61647401589764705</v>
      </c>
      <c r="P848" s="11">
        <v>0.106418918918919</v>
      </c>
      <c r="Q848" s="11">
        <v>5.5555555555555601E-2</v>
      </c>
      <c r="R848" s="11">
        <v>0.13953488372093001</v>
      </c>
      <c r="S848" s="10" t="s">
        <v>84</v>
      </c>
      <c r="T848" s="10" t="s">
        <v>84</v>
      </c>
      <c r="U848" s="10"/>
      <c r="V848" s="10"/>
      <c r="W848" s="10"/>
      <c r="X848" s="10"/>
      <c r="Y848" s="10"/>
      <c r="Z848" s="10"/>
      <c r="AA848" s="10"/>
    </row>
    <row r="849" spans="1:27" ht="12.5" x14ac:dyDescent="0.25">
      <c r="A849" s="10" t="s">
        <v>82</v>
      </c>
      <c r="B849" s="10" t="s">
        <v>1255</v>
      </c>
      <c r="C849" s="10" t="s">
        <v>76</v>
      </c>
      <c r="D849" s="11">
        <v>2024</v>
      </c>
      <c r="E849" s="10" t="s">
        <v>124</v>
      </c>
      <c r="F849" s="10" t="s">
        <v>83</v>
      </c>
      <c r="G849" s="10" t="s">
        <v>84</v>
      </c>
      <c r="H849" s="12">
        <v>1101</v>
      </c>
      <c r="I849" s="11">
        <v>10</v>
      </c>
      <c r="J849" s="11">
        <v>9</v>
      </c>
      <c r="K849" s="11">
        <v>554</v>
      </c>
      <c r="L849" s="11">
        <v>9.0826521344232504E-3</v>
      </c>
      <c r="M849" s="11">
        <f t="shared" si="3"/>
        <v>0.90826521344232525</v>
      </c>
      <c r="N849" s="11">
        <v>0.9</v>
      </c>
      <c r="O849" s="11">
        <v>0.50317892824704802</v>
      </c>
      <c r="P849" s="11">
        <v>0.105574324324324</v>
      </c>
      <c r="Q849" s="11">
        <v>0.22413793103448301</v>
      </c>
      <c r="R849" s="11">
        <v>7.6062639821029093E-2</v>
      </c>
      <c r="S849" s="10" t="s">
        <v>84</v>
      </c>
      <c r="T849" s="10" t="s">
        <v>84</v>
      </c>
      <c r="U849" s="10"/>
      <c r="V849" s="10"/>
      <c r="W849" s="10"/>
      <c r="X849" s="10"/>
      <c r="Y849" s="10"/>
      <c r="Z849" s="10"/>
      <c r="AA849" s="10"/>
    </row>
    <row r="850" spans="1:27" ht="12.5" x14ac:dyDescent="0.25">
      <c r="A850" s="10" t="s">
        <v>10</v>
      </c>
      <c r="B850" s="10" t="s">
        <v>1228</v>
      </c>
      <c r="C850" s="10" t="s">
        <v>76</v>
      </c>
      <c r="D850" s="11">
        <v>2024</v>
      </c>
      <c r="E850" s="10" t="s">
        <v>81</v>
      </c>
      <c r="F850" s="10" t="s">
        <v>125</v>
      </c>
      <c r="G850" s="10" t="s">
        <v>84</v>
      </c>
      <c r="H850" s="12">
        <v>11945</v>
      </c>
      <c r="I850" s="11">
        <v>108</v>
      </c>
      <c r="J850" s="11">
        <v>102</v>
      </c>
      <c r="K850" s="11">
        <v>4075</v>
      </c>
      <c r="L850" s="11">
        <v>9.0414399330263698E-3</v>
      </c>
      <c r="M850" s="11">
        <f t="shared" si="3"/>
        <v>0.90414399330263717</v>
      </c>
      <c r="N850" s="11">
        <v>0.94444444444444398</v>
      </c>
      <c r="O850" s="11">
        <v>0.34114692339891201</v>
      </c>
      <c r="P850" s="11">
        <v>0.10472972972973001</v>
      </c>
      <c r="Q850" s="11">
        <v>0.133333333333333</v>
      </c>
      <c r="R850" s="11">
        <v>0.137596899224806</v>
      </c>
      <c r="S850" s="10" t="s">
        <v>84</v>
      </c>
      <c r="T850" s="10" t="s">
        <v>84</v>
      </c>
      <c r="U850" s="10"/>
      <c r="V850" s="10"/>
      <c r="W850" s="10"/>
      <c r="X850" s="10"/>
      <c r="Y850" s="10"/>
      <c r="Z850" s="10"/>
      <c r="AA850" s="10"/>
    </row>
    <row r="851" spans="1:27" ht="12.5" x14ac:dyDescent="0.25">
      <c r="A851" s="10" t="s">
        <v>77</v>
      </c>
      <c r="B851" s="10" t="s">
        <v>1231</v>
      </c>
      <c r="C851" s="10" t="s">
        <v>76</v>
      </c>
      <c r="D851" s="11">
        <v>2024</v>
      </c>
      <c r="E851" s="10" t="s">
        <v>81</v>
      </c>
      <c r="F851" s="10" t="s">
        <v>83</v>
      </c>
      <c r="G851" s="10" t="s">
        <v>84</v>
      </c>
      <c r="H851" s="12">
        <v>16303.166666666701</v>
      </c>
      <c r="I851" s="11">
        <v>147</v>
      </c>
      <c r="J851" s="11">
        <v>156</v>
      </c>
      <c r="K851" s="11">
        <v>1219</v>
      </c>
      <c r="L851" s="11">
        <v>9.0166532064322891E-3</v>
      </c>
      <c r="M851" s="11">
        <f t="shared" si="3"/>
        <v>0.90166532064322702</v>
      </c>
      <c r="N851" s="11">
        <v>1.06122448979592</v>
      </c>
      <c r="O851" s="11">
        <v>7.4770750058782004E-2</v>
      </c>
      <c r="P851" s="11">
        <v>0.103885135135135</v>
      </c>
      <c r="Q851" s="11">
        <v>3.5714285714285698E-2</v>
      </c>
      <c r="R851" s="11">
        <v>0.135658914728682</v>
      </c>
      <c r="S851" s="10" t="s">
        <v>84</v>
      </c>
      <c r="T851" s="10" t="s">
        <v>84</v>
      </c>
      <c r="U851" s="10"/>
      <c r="V851" s="10"/>
      <c r="W851" s="10"/>
      <c r="X851" s="10"/>
      <c r="Y851" s="10"/>
      <c r="Z851" s="10"/>
      <c r="AA851" s="10"/>
    </row>
    <row r="852" spans="1:27" ht="12.5" x14ac:dyDescent="0.25">
      <c r="A852" s="10" t="s">
        <v>91</v>
      </c>
      <c r="B852" s="10" t="s">
        <v>1233</v>
      </c>
      <c r="C852" s="10" t="s">
        <v>76</v>
      </c>
      <c r="D852" s="11">
        <v>2024</v>
      </c>
      <c r="E852" s="10" t="s">
        <v>81</v>
      </c>
      <c r="F852" s="10" t="s">
        <v>83</v>
      </c>
      <c r="G852" s="10" t="s">
        <v>84</v>
      </c>
      <c r="H852" s="12">
        <v>20697.416666666701</v>
      </c>
      <c r="I852" s="11">
        <v>186</v>
      </c>
      <c r="J852" s="11">
        <v>166</v>
      </c>
      <c r="K852" s="11">
        <v>3278</v>
      </c>
      <c r="L852" s="11">
        <v>8.9866287660698395E-3</v>
      </c>
      <c r="M852" s="11">
        <f t="shared" si="3"/>
        <v>0.89866287660698252</v>
      </c>
      <c r="N852" s="11">
        <v>0.89247311827956999</v>
      </c>
      <c r="O852" s="11">
        <v>0.158377253199876</v>
      </c>
      <c r="P852" s="11">
        <v>0.103040540540541</v>
      </c>
      <c r="Q852" s="11">
        <v>0.133333333333333</v>
      </c>
      <c r="R852" s="11">
        <v>0.13372093023255799</v>
      </c>
      <c r="S852" s="10" t="s">
        <v>84</v>
      </c>
      <c r="T852" s="10" t="s">
        <v>84</v>
      </c>
      <c r="U852" s="10"/>
      <c r="V852" s="10"/>
      <c r="W852" s="10"/>
      <c r="X852" s="10"/>
      <c r="Y852" s="10"/>
      <c r="Z852" s="10"/>
      <c r="AA852" s="10"/>
    </row>
    <row r="853" spans="1:27" ht="12.5" x14ac:dyDescent="0.25">
      <c r="A853" s="10" t="s">
        <v>104</v>
      </c>
      <c r="B853" s="10" t="s">
        <v>1234</v>
      </c>
      <c r="C853" s="10" t="s">
        <v>76</v>
      </c>
      <c r="D853" s="11">
        <v>2024</v>
      </c>
      <c r="E853" s="10" t="s">
        <v>81</v>
      </c>
      <c r="F853" s="10" t="s">
        <v>83</v>
      </c>
      <c r="G853" s="10" t="s">
        <v>84</v>
      </c>
      <c r="H853" s="12">
        <v>50010</v>
      </c>
      <c r="I853" s="11">
        <v>446</v>
      </c>
      <c r="J853" s="11">
        <v>309</v>
      </c>
      <c r="K853" s="11">
        <v>1957</v>
      </c>
      <c r="L853" s="11">
        <v>8.9182163567286497E-3</v>
      </c>
      <c r="M853" s="11">
        <f t="shared" si="3"/>
        <v>0.89182163567286554</v>
      </c>
      <c r="N853" s="11">
        <v>0.69282511210762299</v>
      </c>
      <c r="O853" s="11">
        <v>3.91321735652869E-2</v>
      </c>
      <c r="P853" s="11">
        <v>0.102195945945946</v>
      </c>
      <c r="Q853" s="11">
        <v>6.8965517241379296E-2</v>
      </c>
      <c r="R853" s="11">
        <v>0.13178294573643401</v>
      </c>
      <c r="S853" s="10" t="s">
        <v>84</v>
      </c>
      <c r="T853" s="10" t="s">
        <v>84</v>
      </c>
      <c r="U853" s="10"/>
      <c r="V853" s="10"/>
      <c r="W853" s="10"/>
      <c r="X853" s="10"/>
      <c r="Y853" s="10"/>
      <c r="Z853" s="10"/>
      <c r="AA853" s="10"/>
    </row>
    <row r="854" spans="1:27" ht="12.5" x14ac:dyDescent="0.25">
      <c r="A854" s="10" t="s">
        <v>65</v>
      </c>
      <c r="B854" s="10" t="s">
        <v>1236</v>
      </c>
      <c r="C854" s="10" t="s">
        <v>76</v>
      </c>
      <c r="D854" s="11">
        <v>2024</v>
      </c>
      <c r="E854" s="10" t="s">
        <v>81</v>
      </c>
      <c r="F854" s="10" t="s">
        <v>83</v>
      </c>
      <c r="G854" s="10" t="s">
        <v>84</v>
      </c>
      <c r="H854" s="12">
        <v>1016.41666666667</v>
      </c>
      <c r="I854" s="11">
        <v>9</v>
      </c>
      <c r="J854" s="11">
        <v>7</v>
      </c>
      <c r="K854" s="11">
        <v>119</v>
      </c>
      <c r="L854" s="11">
        <v>8.8546363859965602E-3</v>
      </c>
      <c r="M854" s="11">
        <f t="shared" si="3"/>
        <v>0.88546363859965271</v>
      </c>
      <c r="N854" s="11">
        <v>0.77777777777777801</v>
      </c>
      <c r="O854" s="11">
        <v>0.117077969992621</v>
      </c>
      <c r="P854" s="11">
        <v>0.101351351351351</v>
      </c>
      <c r="Q854" s="11">
        <v>0</v>
      </c>
      <c r="R854" s="11">
        <v>0.12984496124031</v>
      </c>
      <c r="S854" s="10" t="s">
        <v>84</v>
      </c>
      <c r="T854" s="10" t="s">
        <v>84</v>
      </c>
      <c r="U854" s="10"/>
      <c r="V854" s="10"/>
      <c r="W854" s="10"/>
      <c r="X854" s="10"/>
      <c r="Y854" s="10"/>
      <c r="Z854" s="10"/>
      <c r="AA854" s="10"/>
    </row>
    <row r="855" spans="1:27" ht="12.5" x14ac:dyDescent="0.25">
      <c r="A855" s="10" t="s">
        <v>14</v>
      </c>
      <c r="B855" s="10" t="s">
        <v>292</v>
      </c>
      <c r="C855" s="10" t="s">
        <v>76</v>
      </c>
      <c r="D855" s="11">
        <v>2024</v>
      </c>
      <c r="E855" s="10" t="s">
        <v>81</v>
      </c>
      <c r="F855" s="10" t="s">
        <v>83</v>
      </c>
      <c r="G855" s="10" t="s">
        <v>84</v>
      </c>
      <c r="H855" s="12">
        <v>342</v>
      </c>
      <c r="I855" s="11">
        <v>3</v>
      </c>
      <c r="J855" s="11">
        <v>3</v>
      </c>
      <c r="K855" s="11">
        <v>47</v>
      </c>
      <c r="L855" s="11">
        <v>8.7719298245613996E-3</v>
      </c>
      <c r="M855" s="11">
        <f t="shared" si="3"/>
        <v>0.8771929824561403</v>
      </c>
      <c r="N855" s="11">
        <v>1</v>
      </c>
      <c r="O855" s="11">
        <v>0.13742690058479501</v>
      </c>
      <c r="P855" s="11">
        <v>0.10050675675675701</v>
      </c>
      <c r="Q855" s="11">
        <v>0</v>
      </c>
      <c r="R855" s="11">
        <v>0.127906976744186</v>
      </c>
      <c r="S855" s="10" t="s">
        <v>84</v>
      </c>
      <c r="T855" s="10" t="s">
        <v>84</v>
      </c>
      <c r="U855" s="10"/>
      <c r="V855" s="10"/>
      <c r="W855" s="10"/>
      <c r="X855" s="10"/>
      <c r="Y855" s="10"/>
      <c r="Z855" s="10"/>
      <c r="AA855" s="10"/>
    </row>
    <row r="856" spans="1:27" ht="12.5" x14ac:dyDescent="0.25">
      <c r="A856" s="10" t="s">
        <v>53</v>
      </c>
      <c r="B856" s="10" t="s">
        <v>1257</v>
      </c>
      <c r="C856" s="10" t="s">
        <v>76</v>
      </c>
      <c r="D856" s="11">
        <v>2024</v>
      </c>
      <c r="E856" s="10" t="s">
        <v>124</v>
      </c>
      <c r="F856" s="10" t="s">
        <v>125</v>
      </c>
      <c r="G856" s="10" t="s">
        <v>84</v>
      </c>
      <c r="H856" s="12">
        <v>582.91666666666697</v>
      </c>
      <c r="I856" s="11">
        <v>5</v>
      </c>
      <c r="J856" s="11">
        <v>5</v>
      </c>
      <c r="K856" s="11">
        <v>2985</v>
      </c>
      <c r="L856" s="11">
        <v>8.5775553967119399E-3</v>
      </c>
      <c r="M856" s="11">
        <f t="shared" si="3"/>
        <v>0.85775553967119333</v>
      </c>
      <c r="N856" s="11">
        <v>1</v>
      </c>
      <c r="O856" s="11">
        <v>5.1208005718370302</v>
      </c>
      <c r="P856" s="11">
        <v>9.9662162162162199E-2</v>
      </c>
      <c r="Q856" s="11">
        <v>0.47499999999999998</v>
      </c>
      <c r="R856" s="11">
        <v>7.3825503355704702E-2</v>
      </c>
      <c r="S856" s="10" t="s">
        <v>84</v>
      </c>
      <c r="T856" s="10" t="s">
        <v>84</v>
      </c>
      <c r="U856" s="10"/>
      <c r="V856" s="10"/>
      <c r="W856" s="10"/>
      <c r="X856" s="10"/>
      <c r="Y856" s="10"/>
      <c r="Z856" s="10"/>
      <c r="AA856" s="10"/>
    </row>
    <row r="857" spans="1:27" ht="12.5" x14ac:dyDescent="0.25">
      <c r="A857" s="10" t="s">
        <v>55</v>
      </c>
      <c r="B857" s="10" t="s">
        <v>1259</v>
      </c>
      <c r="C857" s="10" t="s">
        <v>76</v>
      </c>
      <c r="D857" s="11">
        <v>2024</v>
      </c>
      <c r="E857" s="10" t="s">
        <v>124</v>
      </c>
      <c r="F857" s="10" t="s">
        <v>125</v>
      </c>
      <c r="G857" s="10" t="s">
        <v>84</v>
      </c>
      <c r="H857" s="12">
        <v>1060.3333333333301</v>
      </c>
      <c r="I857" s="11">
        <v>9</v>
      </c>
      <c r="J857" s="11">
        <v>9</v>
      </c>
      <c r="K857" s="11">
        <v>347</v>
      </c>
      <c r="L857" s="11">
        <v>8.4878968877711396E-3</v>
      </c>
      <c r="M857" s="11">
        <f t="shared" si="3"/>
        <v>0.84878968877711669</v>
      </c>
      <c r="N857" s="11">
        <v>1</v>
      </c>
      <c r="O857" s="11">
        <v>0.32725558000628702</v>
      </c>
      <c r="P857" s="11">
        <v>9.8817567567567599E-2</v>
      </c>
      <c r="Q857" s="11">
        <v>9.0909090909090898E-2</v>
      </c>
      <c r="R857" s="11">
        <v>7.1588366890380298E-2</v>
      </c>
      <c r="S857" s="10" t="s">
        <v>84</v>
      </c>
      <c r="T857" s="10" t="s">
        <v>84</v>
      </c>
      <c r="U857" s="10"/>
      <c r="V857" s="10"/>
      <c r="W857" s="10"/>
      <c r="X857" s="10"/>
      <c r="Y857" s="10"/>
      <c r="Z857" s="10"/>
      <c r="AA857" s="10"/>
    </row>
    <row r="858" spans="1:27" ht="12.5" x14ac:dyDescent="0.25">
      <c r="A858" s="10" t="s">
        <v>34</v>
      </c>
      <c r="B858" s="10" t="s">
        <v>1262</v>
      </c>
      <c r="C858" s="10" t="s">
        <v>76</v>
      </c>
      <c r="D858" s="11">
        <v>2024</v>
      </c>
      <c r="E858" s="10" t="s">
        <v>124</v>
      </c>
      <c r="F858" s="10" t="s">
        <v>125</v>
      </c>
      <c r="G858" s="10" t="s">
        <v>84</v>
      </c>
      <c r="H858" s="12">
        <v>359</v>
      </c>
      <c r="I858" s="11">
        <v>3</v>
      </c>
      <c r="J858" s="11">
        <v>1</v>
      </c>
      <c r="K858" s="11">
        <v>12</v>
      </c>
      <c r="L858" s="11">
        <v>8.3565459610027894E-3</v>
      </c>
      <c r="M858" s="11">
        <f t="shared" si="3"/>
        <v>0.83565459610027859</v>
      </c>
      <c r="N858" s="11">
        <v>0.33333333333333298</v>
      </c>
      <c r="O858" s="11">
        <v>3.3426183844011102E-2</v>
      </c>
      <c r="P858" s="11">
        <v>9.7972972972972999E-2</v>
      </c>
      <c r="Q858" s="11">
        <v>0.22448979591836701</v>
      </c>
      <c r="R858" s="11">
        <v>6.9351230425055893E-2</v>
      </c>
      <c r="S858" s="10" t="s">
        <v>84</v>
      </c>
      <c r="T858" s="10" t="s">
        <v>84</v>
      </c>
      <c r="U858" s="10"/>
      <c r="V858" s="10"/>
      <c r="W858" s="10"/>
      <c r="X858" s="10"/>
      <c r="Y858" s="10"/>
      <c r="Z858" s="10"/>
      <c r="AA858" s="10"/>
    </row>
    <row r="859" spans="1:27" ht="12.5" x14ac:dyDescent="0.25">
      <c r="A859" s="10" t="s">
        <v>82</v>
      </c>
      <c r="B859" s="10" t="s">
        <v>1168</v>
      </c>
      <c r="C859" s="10" t="s">
        <v>76</v>
      </c>
      <c r="D859" s="11">
        <v>2024</v>
      </c>
      <c r="E859" s="10" t="s">
        <v>81</v>
      </c>
      <c r="F859" s="10" t="s">
        <v>83</v>
      </c>
      <c r="G859" s="10" t="s">
        <v>84</v>
      </c>
      <c r="H859" s="12">
        <v>5538.75</v>
      </c>
      <c r="I859" s="11">
        <v>46</v>
      </c>
      <c r="J859" s="11">
        <v>27</v>
      </c>
      <c r="K859" s="11">
        <v>1923</v>
      </c>
      <c r="L859" s="11">
        <v>8.3051229970661292E-3</v>
      </c>
      <c r="M859" s="11">
        <f t="shared" si="3"/>
        <v>0.83051229970661256</v>
      </c>
      <c r="N859" s="11">
        <v>0.58695652173913004</v>
      </c>
      <c r="O859" s="11">
        <v>0.34719025050778601</v>
      </c>
      <c r="P859" s="11">
        <v>9.7128378378378399E-2</v>
      </c>
      <c r="Q859" s="11">
        <v>0.20689655172413801</v>
      </c>
      <c r="R859" s="11">
        <v>0.12596899224806199</v>
      </c>
      <c r="S859" s="10" t="s">
        <v>84</v>
      </c>
      <c r="T859" s="10" t="s">
        <v>84</v>
      </c>
      <c r="U859" s="10"/>
      <c r="V859" s="10"/>
      <c r="W859" s="10"/>
      <c r="X859" s="10"/>
      <c r="Y859" s="10"/>
      <c r="Z859" s="10"/>
      <c r="AA859" s="10"/>
    </row>
    <row r="860" spans="1:27" ht="12.5" x14ac:dyDescent="0.25">
      <c r="A860" s="10" t="s">
        <v>29</v>
      </c>
      <c r="B860" s="10" t="s">
        <v>1240</v>
      </c>
      <c r="C860" s="10" t="s">
        <v>76</v>
      </c>
      <c r="D860" s="11">
        <v>2024</v>
      </c>
      <c r="E860" s="10" t="s">
        <v>81</v>
      </c>
      <c r="F860" s="10" t="s">
        <v>83</v>
      </c>
      <c r="G860" s="10" t="s">
        <v>84</v>
      </c>
      <c r="H860" s="12">
        <v>71335</v>
      </c>
      <c r="I860" s="11">
        <v>592</v>
      </c>
      <c r="J860" s="11">
        <v>64</v>
      </c>
      <c r="K860" s="11">
        <v>94778</v>
      </c>
      <c r="L860" s="11">
        <v>8.2988715216934204E-3</v>
      </c>
      <c r="M860" s="11">
        <f t="shared" si="3"/>
        <v>0.82988715216934184</v>
      </c>
      <c r="N860" s="11">
        <v>0.108108108108108</v>
      </c>
      <c r="O860" s="11">
        <v>1.32863250858625</v>
      </c>
      <c r="P860" s="11">
        <v>9.62837837837838E-2</v>
      </c>
      <c r="Q860" s="11">
        <v>0</v>
      </c>
      <c r="R860" s="11">
        <v>0.124031007751938</v>
      </c>
      <c r="S860" s="10" t="s">
        <v>84</v>
      </c>
      <c r="T860" s="10" t="s">
        <v>84</v>
      </c>
      <c r="U860" s="10"/>
      <c r="V860" s="10"/>
      <c r="W860" s="10"/>
      <c r="X860" s="10"/>
      <c r="Y860" s="10"/>
      <c r="Z860" s="10"/>
      <c r="AA860" s="10"/>
    </row>
    <row r="861" spans="1:27" ht="12.5" x14ac:dyDescent="0.25">
      <c r="A861" s="10" t="s">
        <v>12</v>
      </c>
      <c r="B861" s="10" t="s">
        <v>1243</v>
      </c>
      <c r="C861" s="10" t="s">
        <v>76</v>
      </c>
      <c r="D861" s="11">
        <v>2024</v>
      </c>
      <c r="E861" s="10" t="s">
        <v>81</v>
      </c>
      <c r="F861" s="10" t="s">
        <v>83</v>
      </c>
      <c r="G861" s="10" t="s">
        <v>84</v>
      </c>
      <c r="H861" s="12">
        <v>3912.1666666666702</v>
      </c>
      <c r="I861" s="11">
        <v>32</v>
      </c>
      <c r="J861" s="11">
        <v>28</v>
      </c>
      <c r="K861" s="11">
        <v>544</v>
      </c>
      <c r="L861" s="11">
        <v>8.1796106164529498E-3</v>
      </c>
      <c r="M861" s="11">
        <f t="shared" si="3"/>
        <v>0.81796106164529392</v>
      </c>
      <c r="N861" s="11">
        <v>0.875</v>
      </c>
      <c r="O861" s="11">
        <v>0.13905338047970001</v>
      </c>
      <c r="P861" s="11">
        <v>9.54391891891892E-2</v>
      </c>
      <c r="Q861" s="11">
        <v>4.1666666666666699E-2</v>
      </c>
      <c r="R861" s="11">
        <v>0.122093023255814</v>
      </c>
      <c r="S861" s="10" t="s">
        <v>84</v>
      </c>
      <c r="T861" s="10" t="s">
        <v>84</v>
      </c>
      <c r="U861" s="10"/>
      <c r="V861" s="10"/>
      <c r="W861" s="10"/>
      <c r="X861" s="10"/>
      <c r="Y861" s="10"/>
      <c r="Z861" s="10"/>
      <c r="AA861" s="10"/>
    </row>
    <row r="862" spans="1:27" ht="12.5" x14ac:dyDescent="0.25">
      <c r="A862" s="10" t="s">
        <v>82</v>
      </c>
      <c r="B862" s="10" t="s">
        <v>1264</v>
      </c>
      <c r="C862" s="10" t="s">
        <v>76</v>
      </c>
      <c r="D862" s="11">
        <v>2024</v>
      </c>
      <c r="E862" s="10" t="s">
        <v>124</v>
      </c>
      <c r="F862" s="10" t="s">
        <v>83</v>
      </c>
      <c r="G862" s="10" t="s">
        <v>84</v>
      </c>
      <c r="H862" s="12">
        <v>2336.8333333333298</v>
      </c>
      <c r="I862" s="11">
        <v>19</v>
      </c>
      <c r="J862" s="11">
        <v>16</v>
      </c>
      <c r="K862" s="11">
        <v>494</v>
      </c>
      <c r="L862" s="11">
        <v>8.1306611511304493E-3</v>
      </c>
      <c r="M862" s="11">
        <f t="shared" si="3"/>
        <v>0.81306611511304594</v>
      </c>
      <c r="N862" s="11">
        <v>0.84210526315789502</v>
      </c>
      <c r="O862" s="11">
        <v>0.21139718992939199</v>
      </c>
      <c r="P862" s="11">
        <v>9.45945945945946E-2</v>
      </c>
      <c r="Q862" s="11">
        <v>0.18965517241379301</v>
      </c>
      <c r="R862" s="11">
        <v>6.7114093959731502E-2</v>
      </c>
      <c r="S862" s="10" t="s">
        <v>84</v>
      </c>
      <c r="T862" s="10" t="s">
        <v>84</v>
      </c>
      <c r="U862" s="10"/>
      <c r="V862" s="10"/>
      <c r="W862" s="10"/>
      <c r="X862" s="10"/>
      <c r="Y862" s="10"/>
      <c r="Z862" s="10"/>
      <c r="AA862" s="10"/>
    </row>
    <row r="863" spans="1:27" ht="12.5" x14ac:dyDescent="0.25">
      <c r="A863" s="10" t="s">
        <v>53</v>
      </c>
      <c r="B863" s="10" t="s">
        <v>1268</v>
      </c>
      <c r="C863" s="10" t="s">
        <v>76</v>
      </c>
      <c r="D863" s="11">
        <v>2024</v>
      </c>
      <c r="E863" s="10" t="s">
        <v>124</v>
      </c>
      <c r="F863" s="10" t="s">
        <v>125</v>
      </c>
      <c r="G863" s="10" t="s">
        <v>84</v>
      </c>
      <c r="H863" s="12">
        <v>621.75</v>
      </c>
      <c r="I863" s="11">
        <v>5</v>
      </c>
      <c r="J863" s="11">
        <v>5</v>
      </c>
      <c r="K863" s="11">
        <v>30</v>
      </c>
      <c r="L863" s="11">
        <v>8.0418174507438708E-3</v>
      </c>
      <c r="M863" s="11">
        <f t="shared" si="3"/>
        <v>0.80418174507438678</v>
      </c>
      <c r="N863" s="11">
        <v>1</v>
      </c>
      <c r="O863" s="11">
        <v>4.82509047044632E-2</v>
      </c>
      <c r="P863" s="11">
        <v>9.375E-2</v>
      </c>
      <c r="Q863" s="11">
        <v>0.45</v>
      </c>
      <c r="R863" s="11">
        <v>6.4876957494407195E-2</v>
      </c>
      <c r="S863" s="10" t="s">
        <v>84</v>
      </c>
      <c r="T863" s="10" t="s">
        <v>84</v>
      </c>
      <c r="U863" s="10"/>
      <c r="V863" s="10"/>
      <c r="W863" s="10"/>
      <c r="X863" s="10"/>
      <c r="Y863" s="10"/>
      <c r="Z863" s="10"/>
      <c r="AA863" s="10"/>
    </row>
    <row r="864" spans="1:27" ht="12.5" x14ac:dyDescent="0.25">
      <c r="A864" s="10" t="s">
        <v>34</v>
      </c>
      <c r="B864" s="10" t="s">
        <v>1245</v>
      </c>
      <c r="C864" s="10" t="s">
        <v>76</v>
      </c>
      <c r="D864" s="11">
        <v>2024</v>
      </c>
      <c r="E864" s="10" t="s">
        <v>81</v>
      </c>
      <c r="F864" s="10" t="s">
        <v>83</v>
      </c>
      <c r="G864" s="10" t="s">
        <v>84</v>
      </c>
      <c r="H864" s="12">
        <v>44640.916666666701</v>
      </c>
      <c r="I864" s="11">
        <v>357</v>
      </c>
      <c r="J864" s="11">
        <v>309</v>
      </c>
      <c r="K864" s="11">
        <v>16653</v>
      </c>
      <c r="L864" s="11">
        <v>7.9971476093494195E-3</v>
      </c>
      <c r="M864" s="11">
        <f t="shared" si="3"/>
        <v>0.79971476093494143</v>
      </c>
      <c r="N864" s="11">
        <v>0.86554621848739499</v>
      </c>
      <c r="O864" s="11">
        <v>0.37304341495377003</v>
      </c>
      <c r="P864" s="11">
        <v>9.29054054054054E-2</v>
      </c>
      <c r="Q864" s="11">
        <v>0.20408163265306101</v>
      </c>
      <c r="R864" s="11">
        <v>0.12015503875969</v>
      </c>
      <c r="S864" s="10" t="s">
        <v>84</v>
      </c>
      <c r="T864" s="10" t="s">
        <v>84</v>
      </c>
      <c r="U864" s="10"/>
      <c r="V864" s="10"/>
      <c r="W864" s="10"/>
      <c r="X864" s="10"/>
      <c r="Y864" s="10"/>
      <c r="Z864" s="10"/>
      <c r="AA864" s="10"/>
    </row>
    <row r="865" spans="1:27" ht="12.5" x14ac:dyDescent="0.25">
      <c r="A865" s="10" t="s">
        <v>82</v>
      </c>
      <c r="B865" s="10" t="s">
        <v>1093</v>
      </c>
      <c r="C865" s="10" t="s">
        <v>76</v>
      </c>
      <c r="D865" s="11">
        <v>2024</v>
      </c>
      <c r="E865" s="10" t="s">
        <v>81</v>
      </c>
      <c r="F865" s="10" t="s">
        <v>83</v>
      </c>
      <c r="G865" s="10" t="s">
        <v>84</v>
      </c>
      <c r="H865" s="12">
        <v>7309.75</v>
      </c>
      <c r="I865" s="11">
        <v>58</v>
      </c>
      <c r="J865" s="11">
        <v>54</v>
      </c>
      <c r="K865" s="11">
        <v>58</v>
      </c>
      <c r="L865" s="11">
        <v>7.9346078867266294E-3</v>
      </c>
      <c r="M865" s="11">
        <f t="shared" si="3"/>
        <v>0.79346078867266323</v>
      </c>
      <c r="N865" s="11">
        <v>0.931034482758621</v>
      </c>
      <c r="O865" s="11">
        <v>7.9346078867266294E-3</v>
      </c>
      <c r="P865" s="11">
        <v>9.20608108108108E-2</v>
      </c>
      <c r="Q865" s="11">
        <v>0.17241379310344801</v>
      </c>
      <c r="R865" s="11">
        <v>0.118217054263566</v>
      </c>
      <c r="S865" s="10" t="s">
        <v>84</v>
      </c>
      <c r="T865" s="10" t="s">
        <v>84</v>
      </c>
      <c r="U865" s="10"/>
      <c r="V865" s="10"/>
      <c r="W865" s="10"/>
      <c r="X865" s="10"/>
      <c r="Y865" s="10"/>
      <c r="Z865" s="10"/>
      <c r="AA865" s="10"/>
    </row>
    <row r="866" spans="1:27" ht="12.5" x14ac:dyDescent="0.25">
      <c r="A866" s="10" t="s">
        <v>82</v>
      </c>
      <c r="B866" s="10" t="s">
        <v>1270</v>
      </c>
      <c r="C866" s="10" t="s">
        <v>76</v>
      </c>
      <c r="D866" s="11">
        <v>2024</v>
      </c>
      <c r="E866" s="10" t="s">
        <v>124</v>
      </c>
      <c r="F866" s="10" t="s">
        <v>83</v>
      </c>
      <c r="G866" s="10" t="s">
        <v>84</v>
      </c>
      <c r="H866" s="12">
        <v>1649.1666666666699</v>
      </c>
      <c r="I866" s="11">
        <v>13</v>
      </c>
      <c r="J866" s="11">
        <v>13</v>
      </c>
      <c r="K866" s="11">
        <v>387</v>
      </c>
      <c r="L866" s="11">
        <v>7.8827690752905494E-3</v>
      </c>
      <c r="M866" s="11">
        <f t="shared" si="3"/>
        <v>0.78827690752905355</v>
      </c>
      <c r="N866" s="11">
        <v>1</v>
      </c>
      <c r="O866" s="11">
        <v>0.23466397170288</v>
      </c>
      <c r="P866" s="11">
        <v>9.12162162162162E-2</v>
      </c>
      <c r="Q866" s="11">
        <v>0.15517241379310301</v>
      </c>
      <c r="R866" s="11">
        <v>6.2639821029082804E-2</v>
      </c>
      <c r="S866" s="10" t="s">
        <v>84</v>
      </c>
      <c r="T866" s="10" t="s">
        <v>84</v>
      </c>
      <c r="U866" s="10"/>
      <c r="V866" s="10"/>
      <c r="W866" s="10"/>
      <c r="X866" s="10"/>
      <c r="Y866" s="10"/>
      <c r="Z866" s="10"/>
      <c r="AA866" s="10"/>
    </row>
    <row r="867" spans="1:27" ht="12.5" x14ac:dyDescent="0.25">
      <c r="A867" s="10" t="s">
        <v>77</v>
      </c>
      <c r="B867" s="10" t="s">
        <v>1247</v>
      </c>
      <c r="C867" s="10" t="s">
        <v>76</v>
      </c>
      <c r="D867" s="11">
        <v>2024</v>
      </c>
      <c r="E867" s="10" t="s">
        <v>81</v>
      </c>
      <c r="F867" s="10" t="s">
        <v>83</v>
      </c>
      <c r="G867" s="10" t="s">
        <v>84</v>
      </c>
      <c r="H867" s="12">
        <v>16593</v>
      </c>
      <c r="I867" s="11">
        <v>130</v>
      </c>
      <c r="J867" s="11">
        <v>25</v>
      </c>
      <c r="K867" s="11">
        <v>15922</v>
      </c>
      <c r="L867" s="11">
        <v>7.8346290604471795E-3</v>
      </c>
      <c r="M867" s="11">
        <f t="shared" si="3"/>
        <v>0.78346290604471758</v>
      </c>
      <c r="N867" s="11">
        <v>0.19230769230769201</v>
      </c>
      <c r="O867" s="11">
        <v>0.95956126077261505</v>
      </c>
      <c r="P867" s="11">
        <v>9.0371621621621601E-2</v>
      </c>
      <c r="Q867" s="11">
        <v>0</v>
      </c>
      <c r="R867" s="11">
        <v>0.116279069767442</v>
      </c>
      <c r="S867" s="10" t="s">
        <v>84</v>
      </c>
      <c r="T867" s="10" t="s">
        <v>84</v>
      </c>
      <c r="U867" s="10"/>
      <c r="V867" s="10"/>
      <c r="W867" s="10"/>
      <c r="X867" s="10"/>
      <c r="Y867" s="10"/>
      <c r="Z867" s="10"/>
      <c r="AA867" s="10"/>
    </row>
    <row r="868" spans="1:27" ht="12.5" x14ac:dyDescent="0.25">
      <c r="A868" s="10" t="s">
        <v>36</v>
      </c>
      <c r="B868" s="10" t="s">
        <v>1249</v>
      </c>
      <c r="C868" s="10" t="s">
        <v>76</v>
      </c>
      <c r="D868" s="11">
        <v>2024</v>
      </c>
      <c r="E868" s="10" t="s">
        <v>81</v>
      </c>
      <c r="F868" s="10" t="s">
        <v>83</v>
      </c>
      <c r="G868" s="10" t="s">
        <v>84</v>
      </c>
      <c r="H868" s="12">
        <v>91061.666666666701</v>
      </c>
      <c r="I868" s="11">
        <v>702</v>
      </c>
      <c r="J868" s="11">
        <v>1216</v>
      </c>
      <c r="K868" s="11">
        <v>49811</v>
      </c>
      <c r="L868" s="11">
        <v>7.7090616249062003E-3</v>
      </c>
      <c r="M868" s="11">
        <f t="shared" si="3"/>
        <v>0.77090616249061961</v>
      </c>
      <c r="N868" s="11">
        <v>1.73219373219373</v>
      </c>
      <c r="O868" s="11">
        <v>0.54700294672108596</v>
      </c>
      <c r="P868" s="11">
        <v>8.8682432432432401E-2</v>
      </c>
      <c r="Q868" s="11">
        <v>2.1276595744680899E-2</v>
      </c>
      <c r="R868" s="11">
        <v>0.114341085271318</v>
      </c>
      <c r="S868" s="10" t="s">
        <v>84</v>
      </c>
      <c r="T868" s="10" t="s">
        <v>84</v>
      </c>
      <c r="U868" s="10"/>
      <c r="V868" s="10"/>
      <c r="W868" s="10"/>
      <c r="X868" s="10"/>
      <c r="Y868" s="10"/>
      <c r="Z868" s="10"/>
      <c r="AA868" s="10"/>
    </row>
    <row r="869" spans="1:27" ht="12.5" x14ac:dyDescent="0.25">
      <c r="A869" s="10" t="s">
        <v>55</v>
      </c>
      <c r="B869" s="10" t="s">
        <v>1272</v>
      </c>
      <c r="C869" s="10" t="s">
        <v>76</v>
      </c>
      <c r="D869" s="11">
        <v>2024</v>
      </c>
      <c r="E869" s="10" t="s">
        <v>124</v>
      </c>
      <c r="F869" s="10" t="s">
        <v>125</v>
      </c>
      <c r="G869" s="10" t="s">
        <v>84</v>
      </c>
      <c r="H869" s="12">
        <v>520</v>
      </c>
      <c r="I869" s="11">
        <v>4</v>
      </c>
      <c r="J869" s="11">
        <v>4</v>
      </c>
      <c r="K869" s="11">
        <v>490</v>
      </c>
      <c r="L869" s="11">
        <v>7.6923076923076901E-3</v>
      </c>
      <c r="M869" s="11">
        <f t="shared" si="3"/>
        <v>0.76923076923076927</v>
      </c>
      <c r="N869" s="11">
        <v>1</v>
      </c>
      <c r="O869" s="11">
        <v>0.94230769230769196</v>
      </c>
      <c r="P869" s="11">
        <v>8.7837837837837801E-2</v>
      </c>
      <c r="Q869" s="11">
        <v>4.5454545454545497E-2</v>
      </c>
      <c r="R869" s="11">
        <v>6.0402684563758399E-2</v>
      </c>
      <c r="S869" s="10" t="s">
        <v>84</v>
      </c>
      <c r="T869" s="10" t="s">
        <v>84</v>
      </c>
      <c r="U869" s="10"/>
      <c r="V869" s="10"/>
      <c r="W869" s="10"/>
      <c r="X869" s="10"/>
      <c r="Y869" s="10"/>
      <c r="Z869" s="10"/>
      <c r="AA869" s="10"/>
    </row>
    <row r="870" spans="1:27" ht="12.5" x14ac:dyDescent="0.25">
      <c r="A870" s="10" t="s">
        <v>82</v>
      </c>
      <c r="B870" s="10" t="s">
        <v>1274</v>
      </c>
      <c r="C870" s="10" t="s">
        <v>76</v>
      </c>
      <c r="D870" s="11">
        <v>2024</v>
      </c>
      <c r="E870" s="10" t="s">
        <v>124</v>
      </c>
      <c r="F870" s="10" t="s">
        <v>83</v>
      </c>
      <c r="G870" s="10" t="s">
        <v>84</v>
      </c>
      <c r="H870" s="12">
        <v>6119.9166666666697</v>
      </c>
      <c r="I870" s="11">
        <v>47</v>
      </c>
      <c r="J870" s="11">
        <v>47</v>
      </c>
      <c r="K870" s="11">
        <v>799</v>
      </c>
      <c r="L870" s="11">
        <v>7.6798431351189399E-3</v>
      </c>
      <c r="M870" s="11">
        <f t="shared" si="3"/>
        <v>0.76798431351189378</v>
      </c>
      <c r="N870" s="11">
        <v>1</v>
      </c>
      <c r="O870" s="11">
        <v>0.13055733329702199</v>
      </c>
      <c r="P870" s="11">
        <v>8.6993243243243201E-2</v>
      </c>
      <c r="Q870" s="11">
        <v>0.13793103448275901</v>
      </c>
      <c r="R870" s="11">
        <v>5.8165548098434001E-2</v>
      </c>
      <c r="S870" s="10" t="s">
        <v>84</v>
      </c>
      <c r="T870" s="10" t="s">
        <v>84</v>
      </c>
      <c r="U870" s="10"/>
      <c r="V870" s="10"/>
      <c r="W870" s="10"/>
      <c r="X870" s="10"/>
      <c r="Y870" s="10"/>
      <c r="Z870" s="10"/>
      <c r="AA870" s="10"/>
    </row>
    <row r="871" spans="1:27" ht="12.5" x14ac:dyDescent="0.25">
      <c r="A871" s="10" t="s">
        <v>53</v>
      </c>
      <c r="B871" s="10" t="s">
        <v>1276</v>
      </c>
      <c r="C871" s="10" t="s">
        <v>76</v>
      </c>
      <c r="D871" s="11">
        <v>2024</v>
      </c>
      <c r="E871" s="10" t="s">
        <v>124</v>
      </c>
      <c r="F871" s="10" t="s">
        <v>125</v>
      </c>
      <c r="G871" s="10" t="s">
        <v>84</v>
      </c>
      <c r="H871" s="12">
        <v>2888.75</v>
      </c>
      <c r="I871" s="11">
        <v>22</v>
      </c>
      <c r="J871" s="11">
        <v>22</v>
      </c>
      <c r="K871" s="11">
        <v>895</v>
      </c>
      <c r="L871" s="11">
        <v>7.6157507572479502E-3</v>
      </c>
      <c r="M871" s="11">
        <f t="shared" si="3"/>
        <v>0.76157507572479455</v>
      </c>
      <c r="N871" s="11">
        <v>1</v>
      </c>
      <c r="O871" s="11">
        <v>0.30982258762440501</v>
      </c>
      <c r="P871" s="11">
        <v>8.6148648648648601E-2</v>
      </c>
      <c r="Q871" s="11">
        <v>0.42499999999999999</v>
      </c>
      <c r="R871" s="11">
        <v>5.5928411633109597E-2</v>
      </c>
      <c r="S871" s="10" t="s">
        <v>84</v>
      </c>
      <c r="T871" s="10" t="s">
        <v>84</v>
      </c>
      <c r="U871" s="10"/>
      <c r="V871" s="10"/>
      <c r="W871" s="10"/>
      <c r="X871" s="10"/>
      <c r="Y871" s="10"/>
      <c r="Z871" s="10"/>
      <c r="AA871" s="10"/>
    </row>
    <row r="872" spans="1:27" ht="12.5" x14ac:dyDescent="0.25">
      <c r="A872" s="10" t="s">
        <v>10</v>
      </c>
      <c r="B872" s="10" t="s">
        <v>1251</v>
      </c>
      <c r="C872" s="10" t="s">
        <v>76</v>
      </c>
      <c r="D872" s="11">
        <v>2024</v>
      </c>
      <c r="E872" s="10" t="s">
        <v>81</v>
      </c>
      <c r="F872" s="10" t="s">
        <v>83</v>
      </c>
      <c r="G872" s="10" t="s">
        <v>84</v>
      </c>
      <c r="H872" s="12">
        <v>9198.5833333333303</v>
      </c>
      <c r="I872" s="11">
        <v>70</v>
      </c>
      <c r="J872" s="11">
        <v>50</v>
      </c>
      <c r="K872" s="11">
        <v>5511</v>
      </c>
      <c r="L872" s="11">
        <v>7.6098674614750502E-3</v>
      </c>
      <c r="M872" s="11">
        <f t="shared" si="3"/>
        <v>0.76098674614750483</v>
      </c>
      <c r="N872" s="11">
        <v>0.71428571428571397</v>
      </c>
      <c r="O872" s="11">
        <v>0.59911399400270005</v>
      </c>
      <c r="P872" s="11">
        <v>8.5304054054054099E-2</v>
      </c>
      <c r="Q872" s="11">
        <v>6.6666666666666693E-2</v>
      </c>
      <c r="R872" s="11">
        <v>0.112403100775194</v>
      </c>
      <c r="S872" s="10" t="s">
        <v>84</v>
      </c>
      <c r="T872" s="10" t="s">
        <v>84</v>
      </c>
      <c r="U872" s="10"/>
      <c r="V872" s="10"/>
      <c r="W872" s="10"/>
      <c r="X872" s="10"/>
      <c r="Y872" s="10"/>
      <c r="Z872" s="10"/>
      <c r="AA872" s="10"/>
    </row>
    <row r="873" spans="1:27" ht="12.5" x14ac:dyDescent="0.25">
      <c r="A873" s="10" t="s">
        <v>110</v>
      </c>
      <c r="B873" s="10" t="s">
        <v>1253</v>
      </c>
      <c r="C873" s="10" t="s">
        <v>76</v>
      </c>
      <c r="D873" s="11">
        <v>2024</v>
      </c>
      <c r="E873" s="10" t="s">
        <v>81</v>
      </c>
      <c r="F873" s="10" t="s">
        <v>83</v>
      </c>
      <c r="G873" s="10" t="s">
        <v>84</v>
      </c>
      <c r="H873" s="12">
        <v>14406.666666666701</v>
      </c>
      <c r="I873" s="11">
        <v>109</v>
      </c>
      <c r="J873" s="11">
        <v>103</v>
      </c>
      <c r="K873" s="11">
        <v>4461</v>
      </c>
      <c r="L873" s="11">
        <v>7.5659416936603397E-3</v>
      </c>
      <c r="M873" s="11">
        <f t="shared" si="3"/>
        <v>0.75659416936603252</v>
      </c>
      <c r="N873" s="11">
        <v>0.94495412844036697</v>
      </c>
      <c r="O873" s="11">
        <v>0.30964831096714501</v>
      </c>
      <c r="P873" s="11">
        <v>8.4459459459459499E-2</v>
      </c>
      <c r="Q873" s="11">
        <v>0.12121212121212099</v>
      </c>
      <c r="R873" s="11">
        <v>0.11046511627907001</v>
      </c>
      <c r="S873" s="10" t="s">
        <v>84</v>
      </c>
      <c r="T873" s="10" t="s">
        <v>84</v>
      </c>
      <c r="U873" s="10"/>
      <c r="V873" s="10"/>
      <c r="W873" s="10"/>
      <c r="X873" s="10"/>
      <c r="Y873" s="10"/>
      <c r="Z873" s="10"/>
      <c r="AA873" s="10"/>
    </row>
    <row r="874" spans="1:27" ht="12.5" x14ac:dyDescent="0.25">
      <c r="A874" s="10" t="s">
        <v>32</v>
      </c>
      <c r="B874" s="10" t="s">
        <v>1280</v>
      </c>
      <c r="C874" s="10" t="s">
        <v>76</v>
      </c>
      <c r="D874" s="11">
        <v>2024</v>
      </c>
      <c r="E874" s="10" t="s">
        <v>124</v>
      </c>
      <c r="F874" s="10" t="s">
        <v>125</v>
      </c>
      <c r="G874" s="10" t="s">
        <v>84</v>
      </c>
      <c r="H874" s="12">
        <v>5512.5833333333303</v>
      </c>
      <c r="I874" s="11">
        <v>41</v>
      </c>
      <c r="J874" s="11">
        <v>33</v>
      </c>
      <c r="K874" s="11">
        <v>7394</v>
      </c>
      <c r="L874" s="11">
        <v>7.4375292890508102E-3</v>
      </c>
      <c r="M874" s="11">
        <f t="shared" si="3"/>
        <v>0.74375292890508116</v>
      </c>
      <c r="N874" s="11">
        <v>0.80487804878048796</v>
      </c>
      <c r="O874" s="11">
        <v>1.3412949161766301</v>
      </c>
      <c r="P874" s="11">
        <v>8.3614864864864899E-2</v>
      </c>
      <c r="Q874" s="11">
        <v>0</v>
      </c>
      <c r="R874" s="11">
        <v>5.3691275167785199E-2</v>
      </c>
      <c r="S874" s="10" t="s">
        <v>84</v>
      </c>
      <c r="T874" s="10" t="s">
        <v>84</v>
      </c>
      <c r="U874" s="10"/>
      <c r="V874" s="10"/>
      <c r="W874" s="10"/>
      <c r="X874" s="10"/>
      <c r="Y874" s="10"/>
      <c r="Z874" s="10"/>
      <c r="AA874" s="10"/>
    </row>
    <row r="875" spans="1:27" ht="12.5" x14ac:dyDescent="0.25">
      <c r="A875" s="10" t="s">
        <v>82</v>
      </c>
      <c r="B875" s="10" t="s">
        <v>1281</v>
      </c>
      <c r="C875" s="10" t="s">
        <v>76</v>
      </c>
      <c r="D875" s="11">
        <v>2024</v>
      </c>
      <c r="E875" s="10" t="s">
        <v>124</v>
      </c>
      <c r="F875" s="10" t="s">
        <v>83</v>
      </c>
      <c r="G875" s="10" t="s">
        <v>84</v>
      </c>
      <c r="H875" s="12">
        <v>1488</v>
      </c>
      <c r="I875" s="11">
        <v>11</v>
      </c>
      <c r="J875" s="11">
        <v>11</v>
      </c>
      <c r="K875" s="11">
        <v>284</v>
      </c>
      <c r="L875" s="11">
        <v>7.3924731182795703E-3</v>
      </c>
      <c r="M875" s="11">
        <f t="shared" si="3"/>
        <v>0.739247311827957</v>
      </c>
      <c r="N875" s="11">
        <v>1</v>
      </c>
      <c r="O875" s="11">
        <v>0.19086021505376299</v>
      </c>
      <c r="P875" s="11">
        <v>8.2770270270270299E-2</v>
      </c>
      <c r="Q875" s="11">
        <v>0.12068965517241401</v>
      </c>
      <c r="R875" s="11">
        <v>5.1454138702460801E-2</v>
      </c>
      <c r="S875" s="10" t="s">
        <v>84</v>
      </c>
      <c r="T875" s="10" t="s">
        <v>84</v>
      </c>
      <c r="U875" s="10"/>
      <c r="V875" s="10"/>
      <c r="W875" s="10"/>
      <c r="X875" s="10"/>
      <c r="Y875" s="10"/>
      <c r="Z875" s="10"/>
      <c r="AA875" s="10"/>
    </row>
    <row r="876" spans="1:27" ht="12.5" x14ac:dyDescent="0.25">
      <c r="A876" s="10" t="s">
        <v>91</v>
      </c>
      <c r="B876" s="10" t="s">
        <v>1254</v>
      </c>
      <c r="C876" s="10" t="s">
        <v>76</v>
      </c>
      <c r="D876" s="11">
        <v>2024</v>
      </c>
      <c r="E876" s="10" t="s">
        <v>81</v>
      </c>
      <c r="F876" s="10" t="s">
        <v>83</v>
      </c>
      <c r="G876" s="10" t="s">
        <v>84</v>
      </c>
      <c r="H876" s="12">
        <v>3711</v>
      </c>
      <c r="I876" s="11">
        <v>26</v>
      </c>
      <c r="J876" s="11">
        <v>23</v>
      </c>
      <c r="K876" s="11">
        <v>1907</v>
      </c>
      <c r="L876" s="11">
        <v>7.0061977903529997E-3</v>
      </c>
      <c r="M876" s="11">
        <f t="shared" si="3"/>
        <v>0.70061977903530048</v>
      </c>
      <c r="N876" s="11">
        <v>0.88461538461538503</v>
      </c>
      <c r="O876" s="11">
        <v>0.51387766100781496</v>
      </c>
      <c r="P876" s="11">
        <v>8.1081081081081099E-2</v>
      </c>
      <c r="Q876" s="11">
        <v>6.6666666666666693E-2</v>
      </c>
      <c r="R876" s="11">
        <v>0.108527131782946</v>
      </c>
      <c r="S876" s="10" t="s">
        <v>84</v>
      </c>
      <c r="T876" s="10" t="s">
        <v>84</v>
      </c>
      <c r="U876" s="10"/>
      <c r="V876" s="10"/>
      <c r="W876" s="10"/>
      <c r="X876" s="10"/>
      <c r="Y876" s="10"/>
      <c r="Z876" s="10"/>
      <c r="AA876" s="10"/>
    </row>
    <row r="877" spans="1:27" ht="12.5" x14ac:dyDescent="0.25">
      <c r="A877" s="10" t="s">
        <v>72</v>
      </c>
      <c r="B877" s="10" t="s">
        <v>1256</v>
      </c>
      <c r="C877" s="10" t="s">
        <v>76</v>
      </c>
      <c r="D877" s="11">
        <v>2024</v>
      </c>
      <c r="E877" s="10" t="s">
        <v>81</v>
      </c>
      <c r="F877" s="10" t="s">
        <v>83</v>
      </c>
      <c r="G877" s="10" t="s">
        <v>84</v>
      </c>
      <c r="H877" s="12">
        <v>29580.5</v>
      </c>
      <c r="I877" s="11">
        <v>206</v>
      </c>
      <c r="J877" s="11">
        <v>113</v>
      </c>
      <c r="K877" s="11">
        <v>2795</v>
      </c>
      <c r="L877" s="11">
        <v>6.9640472608644196E-3</v>
      </c>
      <c r="M877" s="11">
        <f t="shared" si="3"/>
        <v>0.69640472608644199</v>
      </c>
      <c r="N877" s="11">
        <v>0.54854368932038799</v>
      </c>
      <c r="O877" s="11">
        <v>9.4487922786971101E-2</v>
      </c>
      <c r="P877" s="11">
        <v>7.93918918918919E-2</v>
      </c>
      <c r="Q877" s="11">
        <v>0.1</v>
      </c>
      <c r="R877" s="11">
        <v>0.10658914728682201</v>
      </c>
      <c r="S877" s="10" t="s">
        <v>84</v>
      </c>
      <c r="T877" s="10" t="s">
        <v>84</v>
      </c>
      <c r="U877" s="10"/>
      <c r="V877" s="10"/>
      <c r="W877" s="10"/>
      <c r="X877" s="10"/>
      <c r="Y877" s="10"/>
      <c r="Z877" s="10"/>
      <c r="AA877" s="10"/>
    </row>
    <row r="878" spans="1:27" ht="12.5" x14ac:dyDescent="0.25">
      <c r="A878" s="10" t="s">
        <v>43</v>
      </c>
      <c r="B878" s="10" t="s">
        <v>1284</v>
      </c>
      <c r="C878" s="10" t="s">
        <v>76</v>
      </c>
      <c r="D878" s="11">
        <v>2024</v>
      </c>
      <c r="E878" s="10" t="s">
        <v>124</v>
      </c>
      <c r="F878" s="10" t="s">
        <v>83</v>
      </c>
      <c r="G878" s="10" t="s">
        <v>84</v>
      </c>
      <c r="H878" s="12">
        <v>17996</v>
      </c>
      <c r="I878" s="11">
        <v>125</v>
      </c>
      <c r="J878" s="11">
        <v>125</v>
      </c>
      <c r="K878" s="11">
        <v>2481</v>
      </c>
      <c r="L878" s="11">
        <v>6.9459879973327397E-3</v>
      </c>
      <c r="M878" s="11">
        <f t="shared" si="3"/>
        <v>0.6945987997332741</v>
      </c>
      <c r="N878" s="11">
        <v>1</v>
      </c>
      <c r="O878" s="11">
        <v>0.13786396977106</v>
      </c>
      <c r="P878" s="11">
        <v>7.85472972972973E-2</v>
      </c>
      <c r="Q878" s="11">
        <v>0.30769230769230799</v>
      </c>
      <c r="R878" s="11">
        <v>4.9217002237136501E-2</v>
      </c>
      <c r="S878" s="10" t="s">
        <v>84</v>
      </c>
      <c r="T878" s="10" t="s">
        <v>84</v>
      </c>
      <c r="U878" s="10"/>
      <c r="V878" s="10"/>
      <c r="W878" s="10"/>
      <c r="X878" s="10"/>
      <c r="Y878" s="10"/>
      <c r="Z878" s="10"/>
      <c r="AA878" s="10"/>
    </row>
    <row r="879" spans="1:27" ht="12.5" x14ac:dyDescent="0.25">
      <c r="A879" s="10" t="s">
        <v>92</v>
      </c>
      <c r="B879" s="10" t="s">
        <v>1285</v>
      </c>
      <c r="C879" s="10" t="s">
        <v>76</v>
      </c>
      <c r="D879" s="11">
        <v>2024</v>
      </c>
      <c r="E879" s="10" t="s">
        <v>124</v>
      </c>
      <c r="F879" s="10" t="s">
        <v>83</v>
      </c>
      <c r="G879" s="10" t="s">
        <v>84</v>
      </c>
      <c r="H879" s="12">
        <v>6698.0833333333303</v>
      </c>
      <c r="I879" s="11">
        <v>46</v>
      </c>
      <c r="J879" s="11">
        <v>45</v>
      </c>
      <c r="K879" s="11">
        <v>288</v>
      </c>
      <c r="L879" s="11">
        <v>6.8676362641053998E-3</v>
      </c>
      <c r="M879" s="11">
        <f t="shared" si="3"/>
        <v>0.68676362641054067</v>
      </c>
      <c r="N879" s="11">
        <v>0.97826086956521696</v>
      </c>
      <c r="O879" s="11">
        <v>4.2997374870920799E-2</v>
      </c>
      <c r="P879" s="11">
        <v>7.68581081081081E-2</v>
      </c>
      <c r="Q879" s="11">
        <v>0.27777777777777801</v>
      </c>
      <c r="R879" s="11">
        <v>4.6979865771812103E-2</v>
      </c>
      <c r="S879" s="10" t="s">
        <v>84</v>
      </c>
      <c r="T879" s="10" t="s">
        <v>84</v>
      </c>
      <c r="U879" s="10"/>
      <c r="V879" s="10"/>
      <c r="W879" s="10"/>
      <c r="X879" s="10"/>
      <c r="Y879" s="10"/>
      <c r="Z879" s="10"/>
      <c r="AA879" s="10"/>
    </row>
    <row r="880" spans="1:27" ht="12.5" x14ac:dyDescent="0.25">
      <c r="A880" s="10" t="s">
        <v>82</v>
      </c>
      <c r="B880" s="10" t="s">
        <v>1288</v>
      </c>
      <c r="C880" s="10" t="s">
        <v>76</v>
      </c>
      <c r="D880" s="11">
        <v>2024</v>
      </c>
      <c r="E880" s="10" t="s">
        <v>124</v>
      </c>
      <c r="F880" s="10" t="s">
        <v>83</v>
      </c>
      <c r="G880" s="10" t="s">
        <v>84</v>
      </c>
      <c r="H880" s="12">
        <v>6438.5833333333303</v>
      </c>
      <c r="I880" s="11">
        <v>44</v>
      </c>
      <c r="J880" s="11">
        <v>44</v>
      </c>
      <c r="K880" s="11">
        <v>160</v>
      </c>
      <c r="L880" s="11">
        <v>6.8338014314743203E-3</v>
      </c>
      <c r="M880" s="11">
        <f t="shared" si="3"/>
        <v>0.6833801431474319</v>
      </c>
      <c r="N880" s="11">
        <v>1</v>
      </c>
      <c r="O880" s="11">
        <v>2.4850187023543E-2</v>
      </c>
      <c r="P880" s="11">
        <v>7.60135135135135E-2</v>
      </c>
      <c r="Q880" s="11">
        <v>0.10344827586206901</v>
      </c>
      <c r="R880" s="11">
        <v>4.4742729306487698E-2</v>
      </c>
      <c r="S880" s="10" t="s">
        <v>84</v>
      </c>
      <c r="T880" s="10" t="s">
        <v>84</v>
      </c>
      <c r="U880" s="10"/>
      <c r="V880" s="10"/>
      <c r="W880" s="10"/>
      <c r="X880" s="10"/>
      <c r="Y880" s="10"/>
      <c r="Z880" s="10"/>
      <c r="AA880" s="10"/>
    </row>
    <row r="881" spans="1:27" ht="12.5" x14ac:dyDescent="0.25">
      <c r="A881" s="10" t="s">
        <v>49</v>
      </c>
      <c r="B881" s="10" t="s">
        <v>1258</v>
      </c>
      <c r="C881" s="10" t="s">
        <v>76</v>
      </c>
      <c r="D881" s="11">
        <v>2024</v>
      </c>
      <c r="E881" s="10" t="s">
        <v>81</v>
      </c>
      <c r="F881" s="10" t="s">
        <v>125</v>
      </c>
      <c r="G881" s="10" t="s">
        <v>84</v>
      </c>
      <c r="H881" s="12">
        <v>27115.833333333299</v>
      </c>
      <c r="I881" s="11">
        <v>185</v>
      </c>
      <c r="J881" s="11">
        <v>65</v>
      </c>
      <c r="K881" s="11">
        <v>8170</v>
      </c>
      <c r="L881" s="11">
        <v>6.8225821322105799E-3</v>
      </c>
      <c r="M881" s="11">
        <f t="shared" si="3"/>
        <v>0.68225821322105873</v>
      </c>
      <c r="N881" s="11">
        <v>0.35135135135135098</v>
      </c>
      <c r="O881" s="11">
        <v>0.30129997848735401</v>
      </c>
      <c r="P881" s="11">
        <v>7.5168918918918901E-2</v>
      </c>
      <c r="Q881" s="11">
        <v>0.115384615384615</v>
      </c>
      <c r="R881" s="11">
        <v>0.104651162790698</v>
      </c>
      <c r="S881" s="10" t="s">
        <v>84</v>
      </c>
      <c r="T881" s="10" t="s">
        <v>84</v>
      </c>
      <c r="U881" s="10"/>
      <c r="V881" s="10"/>
      <c r="W881" s="10"/>
      <c r="X881" s="10"/>
      <c r="Y881" s="10"/>
      <c r="Z881" s="10"/>
      <c r="AA881" s="10"/>
    </row>
    <row r="882" spans="1:27" ht="12.5" x14ac:dyDescent="0.25">
      <c r="A882" s="10" t="s">
        <v>6</v>
      </c>
      <c r="B882" s="10" t="s">
        <v>1291</v>
      </c>
      <c r="C882" s="10" t="s">
        <v>76</v>
      </c>
      <c r="D882" s="11">
        <v>2024</v>
      </c>
      <c r="E882" s="10" t="s">
        <v>124</v>
      </c>
      <c r="F882" s="10" t="s">
        <v>125</v>
      </c>
      <c r="G882" s="10" t="s">
        <v>84</v>
      </c>
      <c r="H882" s="12">
        <v>443.25</v>
      </c>
      <c r="I882" s="11">
        <v>3</v>
      </c>
      <c r="J882" s="11">
        <v>3</v>
      </c>
      <c r="K882" s="11">
        <v>680</v>
      </c>
      <c r="L882" s="11">
        <v>6.7681895093062603E-3</v>
      </c>
      <c r="M882" s="11">
        <f t="shared" si="3"/>
        <v>0.67681895093062605</v>
      </c>
      <c r="N882" s="11">
        <v>1</v>
      </c>
      <c r="O882" s="11">
        <v>1.53412295544275</v>
      </c>
      <c r="P882" s="11">
        <v>7.4324324324324301E-2</v>
      </c>
      <c r="Q882" s="11">
        <v>0.12903225806451599</v>
      </c>
      <c r="R882" s="11">
        <v>4.25055928411633E-2</v>
      </c>
      <c r="S882" s="10" t="s">
        <v>84</v>
      </c>
      <c r="T882" s="10" t="s">
        <v>84</v>
      </c>
      <c r="U882" s="10"/>
      <c r="V882" s="10"/>
      <c r="W882" s="10"/>
      <c r="X882" s="10"/>
      <c r="Y882" s="10"/>
      <c r="Z882" s="10"/>
      <c r="AA882" s="10"/>
    </row>
    <row r="883" spans="1:27" ht="12.5" x14ac:dyDescent="0.25">
      <c r="A883" s="10" t="s">
        <v>6</v>
      </c>
      <c r="B883" s="10" t="s">
        <v>1294</v>
      </c>
      <c r="C883" s="10" t="s">
        <v>76</v>
      </c>
      <c r="D883" s="11">
        <v>2024</v>
      </c>
      <c r="E883" s="10" t="s">
        <v>124</v>
      </c>
      <c r="F883" s="10" t="s">
        <v>125</v>
      </c>
      <c r="G883" s="10" t="s">
        <v>84</v>
      </c>
      <c r="H883" s="12">
        <v>443.5</v>
      </c>
      <c r="I883" s="11">
        <v>3</v>
      </c>
      <c r="J883" s="11">
        <v>4</v>
      </c>
      <c r="K883" s="11">
        <v>3</v>
      </c>
      <c r="L883" s="11">
        <v>6.7643742953776799E-3</v>
      </c>
      <c r="M883" s="11">
        <f t="shared" si="3"/>
        <v>0.67643742953776775</v>
      </c>
      <c r="N883" s="11">
        <v>1.3333333333333299</v>
      </c>
      <c r="O883" s="11">
        <v>6.7643742953776799E-3</v>
      </c>
      <c r="P883" s="11">
        <v>7.3479729729729701E-2</v>
      </c>
      <c r="Q883" s="11">
        <v>9.6774193548387094E-2</v>
      </c>
      <c r="R883" s="11">
        <v>4.0268456375838903E-2</v>
      </c>
      <c r="S883" s="10" t="s">
        <v>84</v>
      </c>
      <c r="T883" s="10" t="s">
        <v>84</v>
      </c>
      <c r="U883" s="10"/>
      <c r="V883" s="10"/>
      <c r="W883" s="10"/>
      <c r="X883" s="10"/>
      <c r="Y883" s="10"/>
      <c r="Z883" s="10"/>
      <c r="AA883" s="10"/>
    </row>
    <row r="884" spans="1:27" ht="12.5" hidden="1" x14ac:dyDescent="0.25">
      <c r="A884" s="10" t="s">
        <v>101</v>
      </c>
      <c r="B884" s="10" t="s">
        <v>1523</v>
      </c>
      <c r="C884" s="10" t="s">
        <v>76</v>
      </c>
      <c r="D884" s="11">
        <v>2024</v>
      </c>
      <c r="E884" s="10" t="s">
        <v>257</v>
      </c>
      <c r="F884" s="10" t="s">
        <v>83</v>
      </c>
      <c r="G884" s="10" t="s">
        <v>84</v>
      </c>
      <c r="H884" s="12">
        <v>31377.916666666701</v>
      </c>
      <c r="I884" s="11">
        <v>212</v>
      </c>
      <c r="J884" s="11">
        <v>1398</v>
      </c>
      <c r="K884" s="11">
        <v>1610</v>
      </c>
      <c r="L884" s="11">
        <v>6.7563440317633203E-3</v>
      </c>
      <c r="M884" s="11">
        <f t="shared" si="3"/>
        <v>0.67563440317633083</v>
      </c>
      <c r="N884" s="11">
        <v>6.5943396226415096</v>
      </c>
      <c r="O884" s="11">
        <v>5.1309971184617602E-2</v>
      </c>
      <c r="P884" s="11">
        <v>7.2635135135135101E-2</v>
      </c>
      <c r="Q884" s="11">
        <v>7.1428571428571397E-2</v>
      </c>
      <c r="R884" s="11">
        <v>4.5454545454545497E-2</v>
      </c>
      <c r="S884" s="10" t="s">
        <v>84</v>
      </c>
      <c r="T884" s="10" t="s">
        <v>84</v>
      </c>
      <c r="U884" s="10"/>
      <c r="V884" s="10"/>
      <c r="W884" s="10"/>
      <c r="X884" s="10"/>
      <c r="Y884" s="10"/>
      <c r="Z884" s="10"/>
      <c r="AA884" s="10"/>
    </row>
    <row r="885" spans="1:27" ht="12.5" x14ac:dyDescent="0.25">
      <c r="A885" s="10" t="s">
        <v>49</v>
      </c>
      <c r="B885" s="10" t="s">
        <v>1296</v>
      </c>
      <c r="C885" s="10" t="s">
        <v>76</v>
      </c>
      <c r="D885" s="11">
        <v>2024</v>
      </c>
      <c r="E885" s="10" t="s">
        <v>124</v>
      </c>
      <c r="F885" s="10" t="s">
        <v>83</v>
      </c>
      <c r="G885" s="10" t="s">
        <v>84</v>
      </c>
      <c r="H885" s="12">
        <v>2084.0833333333298</v>
      </c>
      <c r="I885" s="11">
        <v>14</v>
      </c>
      <c r="J885" s="11">
        <v>11</v>
      </c>
      <c r="K885" s="11">
        <v>883</v>
      </c>
      <c r="L885" s="11">
        <v>6.7175816705985804E-3</v>
      </c>
      <c r="M885" s="11">
        <f t="shared" si="3"/>
        <v>0.67175816705985958</v>
      </c>
      <c r="N885" s="11">
        <v>0.78571428571428603</v>
      </c>
      <c r="O885" s="11">
        <v>0.42368747250989602</v>
      </c>
      <c r="P885" s="11">
        <v>7.1790540540540501E-2</v>
      </c>
      <c r="Q885" s="11">
        <v>7.69230769230769E-2</v>
      </c>
      <c r="R885" s="11">
        <v>3.8031319910514498E-2</v>
      </c>
      <c r="S885" s="10" t="s">
        <v>84</v>
      </c>
      <c r="T885" s="10" t="s">
        <v>84</v>
      </c>
      <c r="U885" s="10"/>
      <c r="V885" s="10"/>
      <c r="W885" s="10"/>
      <c r="X885" s="10"/>
      <c r="Y885" s="10"/>
      <c r="Z885" s="10"/>
      <c r="AA885" s="10"/>
    </row>
    <row r="886" spans="1:27" ht="12.5" x14ac:dyDescent="0.25">
      <c r="A886" s="10" t="s">
        <v>34</v>
      </c>
      <c r="B886" s="10" t="s">
        <v>1260</v>
      </c>
      <c r="C886" s="10" t="s">
        <v>76</v>
      </c>
      <c r="D886" s="11">
        <v>2024</v>
      </c>
      <c r="E886" s="10" t="s">
        <v>81</v>
      </c>
      <c r="F886" s="10" t="s">
        <v>83</v>
      </c>
      <c r="G886" s="10" t="s">
        <v>84</v>
      </c>
      <c r="H886" s="12">
        <v>11132.583333333299</v>
      </c>
      <c r="I886" s="11">
        <v>73</v>
      </c>
      <c r="J886" s="11">
        <v>42</v>
      </c>
      <c r="K886" s="11">
        <v>5884</v>
      </c>
      <c r="L886" s="11">
        <v>6.5573279637101299E-3</v>
      </c>
      <c r="M886" s="11">
        <f t="shared" si="3"/>
        <v>0.655732796371015</v>
      </c>
      <c r="N886" s="11">
        <v>0.57534246575342496</v>
      </c>
      <c r="O886" s="11">
        <v>0.52853859915712897</v>
      </c>
      <c r="P886" s="11">
        <v>7.0101351351351399E-2</v>
      </c>
      <c r="Q886" s="11">
        <v>0.183673469387755</v>
      </c>
      <c r="R886" s="11">
        <v>0.10271317829457401</v>
      </c>
      <c r="S886" s="10" t="s">
        <v>84</v>
      </c>
      <c r="T886" s="10" t="s">
        <v>84</v>
      </c>
      <c r="U886" s="10"/>
      <c r="V886" s="10"/>
      <c r="W886" s="10"/>
      <c r="X886" s="10"/>
      <c r="Y886" s="10"/>
      <c r="Z886" s="10"/>
      <c r="AA886" s="10"/>
    </row>
    <row r="887" spans="1:27" ht="12.5" x14ac:dyDescent="0.25">
      <c r="A887" s="10" t="s">
        <v>12</v>
      </c>
      <c r="B887" s="10" t="s">
        <v>1263</v>
      </c>
      <c r="C887" s="10" t="s">
        <v>76</v>
      </c>
      <c r="D887" s="11">
        <v>2024</v>
      </c>
      <c r="E887" s="10" t="s">
        <v>81</v>
      </c>
      <c r="F887" s="10" t="s">
        <v>83</v>
      </c>
      <c r="G887" s="10" t="s">
        <v>84</v>
      </c>
      <c r="H887" s="12">
        <v>9565.6666666666697</v>
      </c>
      <c r="I887" s="11">
        <v>62</v>
      </c>
      <c r="J887" s="11">
        <v>162</v>
      </c>
      <c r="K887" s="11">
        <v>10697</v>
      </c>
      <c r="L887" s="11">
        <v>6.4815137470815801E-3</v>
      </c>
      <c r="M887" s="11">
        <f t="shared" si="3"/>
        <v>0.64815137470815742</v>
      </c>
      <c r="N887" s="11">
        <v>2.6129032258064502</v>
      </c>
      <c r="O887" s="11">
        <v>1.11827020246019</v>
      </c>
      <c r="P887" s="11">
        <v>6.9256756756756799E-2</v>
      </c>
      <c r="Q887" s="11">
        <v>2.7777777777777801E-2</v>
      </c>
      <c r="R887" s="11">
        <v>0.10077519379845</v>
      </c>
      <c r="S887" s="10" t="s">
        <v>84</v>
      </c>
      <c r="T887" s="10" t="s">
        <v>84</v>
      </c>
      <c r="U887" s="10"/>
      <c r="V887" s="10"/>
      <c r="W887" s="10"/>
      <c r="X887" s="10"/>
      <c r="Y887" s="10"/>
      <c r="Z887" s="10"/>
      <c r="AA887" s="10"/>
    </row>
    <row r="888" spans="1:27" ht="12.5" x14ac:dyDescent="0.25">
      <c r="A888" s="10" t="s">
        <v>53</v>
      </c>
      <c r="B888" s="10" t="s">
        <v>1265</v>
      </c>
      <c r="C888" s="10" t="s">
        <v>76</v>
      </c>
      <c r="D888" s="11">
        <v>2024</v>
      </c>
      <c r="E888" s="10" t="s">
        <v>81</v>
      </c>
      <c r="F888" s="10" t="s">
        <v>83</v>
      </c>
      <c r="G888" s="10" t="s">
        <v>84</v>
      </c>
      <c r="H888" s="12">
        <v>3446.5833333333298</v>
      </c>
      <c r="I888" s="11">
        <v>22</v>
      </c>
      <c r="J888" s="11">
        <v>12</v>
      </c>
      <c r="K888" s="11">
        <v>98</v>
      </c>
      <c r="L888" s="11">
        <v>6.3831330544742403E-3</v>
      </c>
      <c r="M888" s="11">
        <f t="shared" si="3"/>
        <v>0.63831330544742448</v>
      </c>
      <c r="N888" s="11">
        <v>0.54545454545454497</v>
      </c>
      <c r="O888" s="11">
        <v>2.8433956333567101E-2</v>
      </c>
      <c r="P888" s="11">
        <v>6.8412162162162199E-2</v>
      </c>
      <c r="Q888" s="11">
        <v>0.4</v>
      </c>
      <c r="R888" s="11">
        <v>9.8837209302325604E-2</v>
      </c>
      <c r="S888" s="10" t="s">
        <v>84</v>
      </c>
      <c r="T888" s="10" t="s">
        <v>84</v>
      </c>
      <c r="U888" s="10"/>
      <c r="V888" s="10"/>
      <c r="W888" s="10"/>
      <c r="X888" s="10"/>
      <c r="Y888" s="10"/>
      <c r="Z888" s="10"/>
      <c r="AA888" s="10"/>
    </row>
    <row r="889" spans="1:27" ht="12.5" x14ac:dyDescent="0.25">
      <c r="A889" s="10" t="s">
        <v>92</v>
      </c>
      <c r="B889" s="10" t="s">
        <v>1298</v>
      </c>
      <c r="C889" s="10" t="s">
        <v>76</v>
      </c>
      <c r="D889" s="11">
        <v>2024</v>
      </c>
      <c r="E889" s="10" t="s">
        <v>124</v>
      </c>
      <c r="F889" s="10" t="s">
        <v>83</v>
      </c>
      <c r="G889" s="10" t="s">
        <v>84</v>
      </c>
      <c r="H889" s="12">
        <v>13976.333333333299</v>
      </c>
      <c r="I889" s="11">
        <v>88</v>
      </c>
      <c r="J889" s="11">
        <v>79</v>
      </c>
      <c r="K889" s="11">
        <v>3802</v>
      </c>
      <c r="L889" s="11">
        <v>6.2963581292184399E-3</v>
      </c>
      <c r="M889" s="11">
        <f t="shared" si="3"/>
        <v>0.62963581292184567</v>
      </c>
      <c r="N889" s="11">
        <v>0.89772727272727304</v>
      </c>
      <c r="O889" s="11">
        <v>0.27203129099191498</v>
      </c>
      <c r="P889" s="11">
        <v>6.6722972972972999E-2</v>
      </c>
      <c r="Q889" s="11">
        <v>0.22222222222222199</v>
      </c>
      <c r="R889" s="11">
        <v>3.5794183445190197E-2</v>
      </c>
      <c r="S889" s="10" t="s">
        <v>84</v>
      </c>
      <c r="T889" s="10" t="s">
        <v>84</v>
      </c>
      <c r="U889" s="10"/>
      <c r="V889" s="10"/>
      <c r="W889" s="10"/>
      <c r="X889" s="10"/>
      <c r="Y889" s="10"/>
      <c r="Z889" s="10"/>
      <c r="AA889" s="10"/>
    </row>
    <row r="890" spans="1:27" ht="12.5" x14ac:dyDescent="0.25">
      <c r="A890" s="10" t="s">
        <v>49</v>
      </c>
      <c r="B890" s="10" t="s">
        <v>1266</v>
      </c>
      <c r="C890" s="10" t="s">
        <v>76</v>
      </c>
      <c r="D890" s="11">
        <v>2024</v>
      </c>
      <c r="E890" s="10" t="s">
        <v>81</v>
      </c>
      <c r="F890" s="10" t="s">
        <v>83</v>
      </c>
      <c r="G890" s="10" t="s">
        <v>84</v>
      </c>
      <c r="H890" s="12">
        <v>9812.5</v>
      </c>
      <c r="I890" s="11">
        <v>59</v>
      </c>
      <c r="J890" s="11">
        <v>26</v>
      </c>
      <c r="K890" s="11">
        <v>5960</v>
      </c>
      <c r="L890" s="11">
        <v>6.0127388535031797E-3</v>
      </c>
      <c r="M890" s="11">
        <f t="shared" si="3"/>
        <v>0.60127388535031845</v>
      </c>
      <c r="N890" s="11">
        <v>0.44067796610169502</v>
      </c>
      <c r="O890" s="11">
        <v>0.60738853503184698</v>
      </c>
      <c r="P890" s="11">
        <v>6.5878378378378399E-2</v>
      </c>
      <c r="Q890" s="11">
        <v>3.8461538461538498E-2</v>
      </c>
      <c r="R890" s="11">
        <v>9.6899224806201598E-2</v>
      </c>
      <c r="S890" s="10" t="s">
        <v>84</v>
      </c>
      <c r="T890" s="10" t="s">
        <v>84</v>
      </c>
      <c r="U890" s="10"/>
      <c r="V890" s="10"/>
      <c r="W890" s="10"/>
      <c r="X890" s="10"/>
      <c r="Y890" s="10"/>
      <c r="Z890" s="10"/>
      <c r="AA890" s="10"/>
    </row>
    <row r="891" spans="1:27" ht="12.5" x14ac:dyDescent="0.25">
      <c r="A891" s="10" t="s">
        <v>88</v>
      </c>
      <c r="B891" s="10" t="s">
        <v>1269</v>
      </c>
      <c r="C891" s="10" t="s">
        <v>76</v>
      </c>
      <c r="D891" s="11">
        <v>2024</v>
      </c>
      <c r="E891" s="10" t="s">
        <v>81</v>
      </c>
      <c r="F891" s="10" t="s">
        <v>125</v>
      </c>
      <c r="G891" s="10" t="s">
        <v>84</v>
      </c>
      <c r="H891" s="12">
        <v>10893.583333333299</v>
      </c>
      <c r="I891" s="11">
        <v>65</v>
      </c>
      <c r="J891" s="11">
        <v>45</v>
      </c>
      <c r="K891" s="11">
        <v>13257</v>
      </c>
      <c r="L891" s="11">
        <v>5.9668153270656301E-3</v>
      </c>
      <c r="M891" s="11">
        <f t="shared" si="3"/>
        <v>0.59668153270656454</v>
      </c>
      <c r="N891" s="11">
        <v>0.69230769230769196</v>
      </c>
      <c r="O891" s="11">
        <v>1.21695493524475</v>
      </c>
      <c r="P891" s="11">
        <v>6.50337837837838E-2</v>
      </c>
      <c r="Q891" s="11">
        <v>0</v>
      </c>
      <c r="R891" s="11">
        <v>9.4961240310077494E-2</v>
      </c>
      <c r="S891" s="10" t="s">
        <v>84</v>
      </c>
      <c r="T891" s="10" t="s">
        <v>84</v>
      </c>
      <c r="U891" s="10"/>
      <c r="V891" s="10"/>
      <c r="W891" s="10"/>
      <c r="X891" s="10"/>
      <c r="Y891" s="10"/>
      <c r="Z891" s="10"/>
      <c r="AA891" s="10"/>
    </row>
    <row r="892" spans="1:27" ht="12.5" x14ac:dyDescent="0.25">
      <c r="A892" s="10" t="s">
        <v>82</v>
      </c>
      <c r="B892" s="10" t="s">
        <v>1271</v>
      </c>
      <c r="C892" s="10" t="s">
        <v>76</v>
      </c>
      <c r="D892" s="11">
        <v>2024</v>
      </c>
      <c r="E892" s="10" t="s">
        <v>81</v>
      </c>
      <c r="F892" s="10" t="s">
        <v>83</v>
      </c>
      <c r="G892" s="10" t="s">
        <v>84</v>
      </c>
      <c r="H892" s="12">
        <v>20378.416666666701</v>
      </c>
      <c r="I892" s="11">
        <v>121</v>
      </c>
      <c r="J892" s="11">
        <v>83</v>
      </c>
      <c r="K892" s="11">
        <v>7126</v>
      </c>
      <c r="L892" s="11">
        <v>5.9376546264225602E-3</v>
      </c>
      <c r="M892" s="11">
        <f t="shared" si="3"/>
        <v>0.59376546264225527</v>
      </c>
      <c r="N892" s="11">
        <v>0.68595041322313999</v>
      </c>
      <c r="O892" s="11">
        <v>0.34968369312303499</v>
      </c>
      <c r="P892" s="11">
        <v>6.41891891891892E-2</v>
      </c>
      <c r="Q892" s="11">
        <v>6.8965517241379296E-2</v>
      </c>
      <c r="R892" s="11">
        <v>9.3023255813953501E-2</v>
      </c>
      <c r="S892" s="10" t="s">
        <v>84</v>
      </c>
      <c r="T892" s="10" t="s">
        <v>84</v>
      </c>
      <c r="U892" s="10"/>
      <c r="V892" s="10"/>
      <c r="W892" s="10"/>
      <c r="X892" s="10"/>
      <c r="Y892" s="10"/>
      <c r="Z892" s="10"/>
      <c r="AA892" s="10"/>
    </row>
    <row r="893" spans="1:27" ht="12.5" x14ac:dyDescent="0.25">
      <c r="A893" s="10" t="s">
        <v>53</v>
      </c>
      <c r="B893" s="10" t="s">
        <v>1273</v>
      </c>
      <c r="C893" s="10" t="s">
        <v>76</v>
      </c>
      <c r="D893" s="11">
        <v>2024</v>
      </c>
      <c r="E893" s="10" t="s">
        <v>81</v>
      </c>
      <c r="F893" s="10" t="s">
        <v>83</v>
      </c>
      <c r="G893" s="10" t="s">
        <v>84</v>
      </c>
      <c r="H893" s="12">
        <v>5105.0833333333303</v>
      </c>
      <c r="I893" s="11">
        <v>30</v>
      </c>
      <c r="J893" s="11">
        <v>27</v>
      </c>
      <c r="K893" s="11">
        <v>215</v>
      </c>
      <c r="L893" s="11">
        <v>5.8764956497608604E-3</v>
      </c>
      <c r="M893" s="11">
        <f t="shared" si="3"/>
        <v>0.58764956497608634</v>
      </c>
      <c r="N893" s="11">
        <v>0.9</v>
      </c>
      <c r="O893" s="11">
        <v>4.2114885489952798E-2</v>
      </c>
      <c r="P893" s="11">
        <v>6.33445945945946E-2</v>
      </c>
      <c r="Q893" s="11">
        <v>0.375</v>
      </c>
      <c r="R893" s="11">
        <v>9.1085271317829494E-2</v>
      </c>
      <c r="S893" s="10" t="s">
        <v>84</v>
      </c>
      <c r="T893" s="10" t="s">
        <v>84</v>
      </c>
      <c r="U893" s="10"/>
      <c r="V893" s="10"/>
      <c r="W893" s="10"/>
      <c r="X893" s="10"/>
      <c r="Y893" s="10"/>
      <c r="Z893" s="10"/>
      <c r="AA893" s="10"/>
    </row>
    <row r="894" spans="1:27" ht="12.5" x14ac:dyDescent="0.25">
      <c r="A894" s="10" t="s">
        <v>53</v>
      </c>
      <c r="B894" s="10" t="s">
        <v>1301</v>
      </c>
      <c r="C894" s="10" t="s">
        <v>76</v>
      </c>
      <c r="D894" s="11">
        <v>2024</v>
      </c>
      <c r="E894" s="10" t="s">
        <v>124</v>
      </c>
      <c r="F894" s="10" t="s">
        <v>125</v>
      </c>
      <c r="G894" s="10" t="s">
        <v>84</v>
      </c>
      <c r="H894" s="12">
        <v>1026</v>
      </c>
      <c r="I894" s="11">
        <v>6</v>
      </c>
      <c r="J894" s="11">
        <v>5</v>
      </c>
      <c r="K894" s="11">
        <v>406</v>
      </c>
      <c r="L894" s="11">
        <v>5.8479532163742704E-3</v>
      </c>
      <c r="M894" s="11">
        <f t="shared" si="3"/>
        <v>0.58479532163742687</v>
      </c>
      <c r="N894" s="11">
        <v>0.83333333333333304</v>
      </c>
      <c r="O894" s="11">
        <v>0.39571150097465901</v>
      </c>
      <c r="P894" s="11">
        <v>6.25E-2</v>
      </c>
      <c r="Q894" s="11">
        <v>0.35</v>
      </c>
      <c r="R894" s="11">
        <v>3.35570469798658E-2</v>
      </c>
      <c r="S894" s="10" t="s">
        <v>84</v>
      </c>
      <c r="T894" s="10" t="s">
        <v>84</v>
      </c>
      <c r="U894" s="10"/>
      <c r="V894" s="10"/>
      <c r="W894" s="10"/>
      <c r="X894" s="10"/>
      <c r="Y894" s="10"/>
      <c r="Z894" s="10"/>
      <c r="AA894" s="10"/>
    </row>
    <row r="895" spans="1:27" ht="12.5" x14ac:dyDescent="0.25">
      <c r="A895" s="10" t="s">
        <v>34</v>
      </c>
      <c r="B895" s="10" t="s">
        <v>1275</v>
      </c>
      <c r="C895" s="10" t="s">
        <v>76</v>
      </c>
      <c r="D895" s="11">
        <v>2024</v>
      </c>
      <c r="E895" s="10" t="s">
        <v>81</v>
      </c>
      <c r="F895" s="10" t="s">
        <v>83</v>
      </c>
      <c r="G895" s="10" t="s">
        <v>84</v>
      </c>
      <c r="H895" s="12">
        <v>5498.0833333333303</v>
      </c>
      <c r="I895" s="11">
        <v>32</v>
      </c>
      <c r="J895" s="11">
        <v>15</v>
      </c>
      <c r="K895" s="11">
        <v>5427</v>
      </c>
      <c r="L895" s="11">
        <v>5.8202100732073301E-3</v>
      </c>
      <c r="M895" s="11">
        <f t="shared" si="3"/>
        <v>0.58202100732073325</v>
      </c>
      <c r="N895" s="11">
        <v>0.46875</v>
      </c>
      <c r="O895" s="11">
        <v>0.98707125210300595</v>
      </c>
      <c r="P895" s="11">
        <v>6.08108108108108E-2</v>
      </c>
      <c r="Q895" s="11">
        <v>0.16326530612244899</v>
      </c>
      <c r="R895" s="11">
        <v>8.9147286821705404E-2</v>
      </c>
      <c r="S895" s="10" t="s">
        <v>84</v>
      </c>
      <c r="T895" s="10" t="s">
        <v>84</v>
      </c>
      <c r="U895" s="10"/>
      <c r="V895" s="10"/>
      <c r="W895" s="10"/>
      <c r="X895" s="10"/>
      <c r="Y895" s="10"/>
      <c r="Z895" s="10"/>
      <c r="AA895" s="10"/>
    </row>
    <row r="896" spans="1:27" ht="12.5" x14ac:dyDescent="0.25">
      <c r="A896" s="10" t="s">
        <v>92</v>
      </c>
      <c r="B896" s="10" t="s">
        <v>1305</v>
      </c>
      <c r="C896" s="10" t="s">
        <v>76</v>
      </c>
      <c r="D896" s="11">
        <v>2024</v>
      </c>
      <c r="E896" s="10" t="s">
        <v>124</v>
      </c>
      <c r="F896" s="10" t="s">
        <v>83</v>
      </c>
      <c r="G896" s="10" t="s">
        <v>84</v>
      </c>
      <c r="H896" s="12">
        <v>11529.083333333299</v>
      </c>
      <c r="I896" s="11">
        <v>65</v>
      </c>
      <c r="J896" s="11">
        <v>63</v>
      </c>
      <c r="K896" s="11">
        <v>1137</v>
      </c>
      <c r="L896" s="11">
        <v>5.6379157059321004E-3</v>
      </c>
      <c r="M896" s="11">
        <f t="shared" si="3"/>
        <v>0.56379157059321161</v>
      </c>
      <c r="N896" s="11">
        <v>0.96923076923076901</v>
      </c>
      <c r="O896" s="11">
        <v>9.8620156271458398E-2</v>
      </c>
      <c r="P896" s="11">
        <v>5.99662162162162E-2</v>
      </c>
      <c r="Q896" s="11">
        <v>0.16666666666666699</v>
      </c>
      <c r="R896" s="11">
        <v>3.1319910514541402E-2</v>
      </c>
      <c r="S896" s="10" t="s">
        <v>84</v>
      </c>
      <c r="T896" s="10" t="s">
        <v>84</v>
      </c>
      <c r="U896" s="10"/>
      <c r="V896" s="10"/>
      <c r="W896" s="10"/>
      <c r="X896" s="10"/>
      <c r="Y896" s="10"/>
      <c r="Z896" s="10"/>
      <c r="AA896" s="10"/>
    </row>
    <row r="897" spans="1:27" ht="12.5" x14ac:dyDescent="0.25">
      <c r="A897" s="10" t="s">
        <v>10</v>
      </c>
      <c r="B897" s="10" t="s">
        <v>1308</v>
      </c>
      <c r="C897" s="10" t="s">
        <v>76</v>
      </c>
      <c r="D897" s="11">
        <v>2024</v>
      </c>
      <c r="E897" s="10" t="s">
        <v>124</v>
      </c>
      <c r="F897" s="10" t="s">
        <v>125</v>
      </c>
      <c r="G897" s="10" t="s">
        <v>84</v>
      </c>
      <c r="H897" s="12">
        <v>546.33333333333303</v>
      </c>
      <c r="I897" s="11">
        <v>3</v>
      </c>
      <c r="J897" s="11">
        <v>3</v>
      </c>
      <c r="K897" s="11">
        <v>183</v>
      </c>
      <c r="L897" s="11">
        <v>5.4911531421598502E-3</v>
      </c>
      <c r="M897" s="11">
        <f t="shared" si="3"/>
        <v>0.54911531421598558</v>
      </c>
      <c r="N897" s="11">
        <v>1</v>
      </c>
      <c r="O897" s="11">
        <v>0.33496034167175098</v>
      </c>
      <c r="P897" s="11">
        <v>5.8277027027027001E-2</v>
      </c>
      <c r="Q897" s="11">
        <v>3.3333333333333298E-2</v>
      </c>
      <c r="R897" s="11">
        <v>2.9082774049217001E-2</v>
      </c>
      <c r="S897" s="10" t="s">
        <v>84</v>
      </c>
      <c r="T897" s="10" t="s">
        <v>84</v>
      </c>
      <c r="U897" s="10"/>
      <c r="V897" s="10"/>
      <c r="W897" s="10"/>
      <c r="X897" s="10"/>
      <c r="Y897" s="10"/>
      <c r="Z897" s="10"/>
      <c r="AA897" s="10"/>
    </row>
    <row r="898" spans="1:27" ht="12.5" x14ac:dyDescent="0.25">
      <c r="A898" s="10" t="s">
        <v>53</v>
      </c>
      <c r="B898" s="10" t="s">
        <v>1310</v>
      </c>
      <c r="C898" s="10" t="s">
        <v>76</v>
      </c>
      <c r="D898" s="11">
        <v>2024</v>
      </c>
      <c r="E898" s="10" t="s">
        <v>124</v>
      </c>
      <c r="F898" s="10" t="s">
        <v>125</v>
      </c>
      <c r="G898" s="10" t="s">
        <v>84</v>
      </c>
      <c r="H898" s="12">
        <v>1101.6666666666699</v>
      </c>
      <c r="I898" s="11">
        <v>6</v>
      </c>
      <c r="J898" s="11">
        <v>10</v>
      </c>
      <c r="K898" s="11">
        <v>290</v>
      </c>
      <c r="L898" s="11">
        <v>5.4462934947049901E-3</v>
      </c>
      <c r="M898" s="11">
        <f t="shared" si="3"/>
        <v>0.54462934947049768</v>
      </c>
      <c r="N898" s="11">
        <v>1.6666666666666701</v>
      </c>
      <c r="O898" s="11">
        <v>0.26323751891074099</v>
      </c>
      <c r="P898" s="11">
        <v>5.7432432432432401E-2</v>
      </c>
      <c r="Q898" s="11">
        <v>0.32500000000000001</v>
      </c>
      <c r="R898" s="11">
        <v>2.68456375838926E-2</v>
      </c>
      <c r="S898" s="10" t="s">
        <v>84</v>
      </c>
      <c r="T898" s="10" t="s">
        <v>84</v>
      </c>
      <c r="U898" s="10"/>
      <c r="V898" s="10"/>
      <c r="W898" s="10"/>
      <c r="X898" s="10"/>
      <c r="Y898" s="10"/>
      <c r="Z898" s="10"/>
      <c r="AA898" s="10"/>
    </row>
    <row r="899" spans="1:27" ht="12.5" x14ac:dyDescent="0.25">
      <c r="A899" s="10" t="s">
        <v>62</v>
      </c>
      <c r="B899" s="10" t="s">
        <v>1277</v>
      </c>
      <c r="C899" s="10" t="s">
        <v>76</v>
      </c>
      <c r="D899" s="11">
        <v>2024</v>
      </c>
      <c r="E899" s="10" t="s">
        <v>81</v>
      </c>
      <c r="F899" s="10" t="s">
        <v>83</v>
      </c>
      <c r="G899" s="10" t="s">
        <v>84</v>
      </c>
      <c r="H899" s="12">
        <v>17893.416666666701</v>
      </c>
      <c r="I899" s="11">
        <v>94</v>
      </c>
      <c r="J899" s="11">
        <v>53</v>
      </c>
      <c r="K899" s="11">
        <v>9083</v>
      </c>
      <c r="L899" s="11">
        <v>5.2533287382230901E-3</v>
      </c>
      <c r="M899" s="11">
        <f t="shared" si="3"/>
        <v>0.52533287382230798</v>
      </c>
      <c r="N899" s="11">
        <v>0.56382978723404298</v>
      </c>
      <c r="O899" s="11">
        <v>0.50761686094979097</v>
      </c>
      <c r="P899" s="11">
        <v>5.6587837837837801E-2</v>
      </c>
      <c r="Q899" s="11">
        <v>8.3333333333333301E-2</v>
      </c>
      <c r="R899" s="11">
        <v>8.7209302325581398E-2</v>
      </c>
      <c r="S899" s="10" t="s">
        <v>84</v>
      </c>
      <c r="T899" s="10" t="s">
        <v>84</v>
      </c>
      <c r="U899" s="10"/>
      <c r="V899" s="10"/>
      <c r="W899" s="10"/>
      <c r="X899" s="10"/>
      <c r="Y899" s="10"/>
      <c r="Z899" s="10"/>
      <c r="AA899" s="10"/>
    </row>
    <row r="900" spans="1:27" ht="12.5" x14ac:dyDescent="0.25">
      <c r="A900" s="10" t="s">
        <v>34</v>
      </c>
      <c r="B900" s="10" t="s">
        <v>1279</v>
      </c>
      <c r="C900" s="10" t="s">
        <v>76</v>
      </c>
      <c r="D900" s="11">
        <v>2024</v>
      </c>
      <c r="E900" s="10" t="s">
        <v>81</v>
      </c>
      <c r="F900" s="10" t="s">
        <v>83</v>
      </c>
      <c r="G900" s="10" t="s">
        <v>84</v>
      </c>
      <c r="H900" s="12">
        <v>60013.666666666701</v>
      </c>
      <c r="I900" s="11">
        <v>315</v>
      </c>
      <c r="J900" s="11">
        <v>240</v>
      </c>
      <c r="K900" s="11">
        <v>19397</v>
      </c>
      <c r="L900" s="11">
        <v>5.2488044389889001E-3</v>
      </c>
      <c r="M900" s="11">
        <f t="shared" si="3"/>
        <v>0.52488044389888944</v>
      </c>
      <c r="N900" s="11">
        <v>0.76190476190476197</v>
      </c>
      <c r="O900" s="11">
        <v>0.32320971334307202</v>
      </c>
      <c r="P900" s="11">
        <v>5.5743243243243201E-2</v>
      </c>
      <c r="Q900" s="11">
        <v>0.14285714285714299</v>
      </c>
      <c r="R900" s="11">
        <v>8.5271317829457405E-2</v>
      </c>
      <c r="S900" s="10" t="s">
        <v>84</v>
      </c>
      <c r="T900" s="10" t="s">
        <v>84</v>
      </c>
      <c r="U900" s="10"/>
      <c r="V900" s="10"/>
      <c r="W900" s="10"/>
      <c r="X900" s="10"/>
      <c r="Y900" s="10"/>
      <c r="Z900" s="10"/>
      <c r="AA900" s="10"/>
    </row>
    <row r="901" spans="1:27" ht="12.5" x14ac:dyDescent="0.25">
      <c r="A901" s="10" t="s">
        <v>115</v>
      </c>
      <c r="B901" s="10" t="s">
        <v>1091</v>
      </c>
      <c r="C901" s="10" t="s">
        <v>76</v>
      </c>
      <c r="D901" s="11">
        <v>2024</v>
      </c>
      <c r="E901" s="10" t="s">
        <v>81</v>
      </c>
      <c r="F901" s="10" t="s">
        <v>83</v>
      </c>
      <c r="G901" s="10" t="s">
        <v>84</v>
      </c>
      <c r="H901" s="12">
        <v>5216.5</v>
      </c>
      <c r="I901" s="11">
        <v>27</v>
      </c>
      <c r="J901" s="11">
        <v>22</v>
      </c>
      <c r="K901" s="11">
        <v>2056</v>
      </c>
      <c r="L901" s="11">
        <v>5.1758842135531504E-3</v>
      </c>
      <c r="M901" s="11">
        <f t="shared" si="3"/>
        <v>0.51758842135531491</v>
      </c>
      <c r="N901" s="11">
        <v>0.81481481481481499</v>
      </c>
      <c r="O901" s="11">
        <v>0.39413399789130599</v>
      </c>
      <c r="P901" s="11">
        <v>5.4898648648648601E-2</v>
      </c>
      <c r="Q901" s="11">
        <v>0.44444444444444398</v>
      </c>
      <c r="R901" s="11">
        <v>8.3333333333333301E-2</v>
      </c>
      <c r="S901" s="10" t="s">
        <v>84</v>
      </c>
      <c r="T901" s="10" t="s">
        <v>84</v>
      </c>
      <c r="U901" s="10"/>
      <c r="V901" s="10"/>
      <c r="W901" s="10"/>
      <c r="X901" s="10"/>
      <c r="Y901" s="10"/>
      <c r="Z901" s="10"/>
      <c r="AA901" s="10"/>
    </row>
    <row r="902" spans="1:27" ht="12.5" x14ac:dyDescent="0.25">
      <c r="A902" s="10" t="s">
        <v>12</v>
      </c>
      <c r="B902" s="10" t="s">
        <v>1283</v>
      </c>
      <c r="C902" s="10" t="s">
        <v>76</v>
      </c>
      <c r="D902" s="11">
        <v>2024</v>
      </c>
      <c r="E902" s="10" t="s">
        <v>81</v>
      </c>
      <c r="F902" s="10" t="s">
        <v>83</v>
      </c>
      <c r="G902" s="10" t="s">
        <v>84</v>
      </c>
      <c r="H902" s="12">
        <v>5855.0833333333303</v>
      </c>
      <c r="I902" s="11">
        <v>30</v>
      </c>
      <c r="J902" s="11">
        <v>28</v>
      </c>
      <c r="K902" s="11">
        <v>262</v>
      </c>
      <c r="L902" s="11">
        <v>5.1237528643201802E-3</v>
      </c>
      <c r="M902" s="11">
        <f t="shared" si="3"/>
        <v>0.51237528643201802</v>
      </c>
      <c r="N902" s="11">
        <v>0.93333333333333302</v>
      </c>
      <c r="O902" s="11">
        <v>4.4747441681729602E-2</v>
      </c>
      <c r="P902" s="11">
        <v>5.4054054054054099E-2</v>
      </c>
      <c r="Q902" s="11">
        <v>1.38888888888889E-2</v>
      </c>
      <c r="R902" s="11">
        <v>8.1395348837209294E-2</v>
      </c>
      <c r="S902" s="10" t="s">
        <v>84</v>
      </c>
      <c r="T902" s="10" t="s">
        <v>84</v>
      </c>
      <c r="U902" s="10"/>
      <c r="V902" s="10"/>
      <c r="W902" s="10"/>
      <c r="X902" s="10"/>
      <c r="Y902" s="10"/>
      <c r="Z902" s="10"/>
      <c r="AA902" s="10"/>
    </row>
    <row r="903" spans="1:27" ht="12.5" hidden="1" x14ac:dyDescent="0.25">
      <c r="A903" s="10" t="s">
        <v>6</v>
      </c>
      <c r="B903" s="10" t="s">
        <v>1531</v>
      </c>
      <c r="C903" s="10" t="s">
        <v>76</v>
      </c>
      <c r="D903" s="11">
        <v>2024</v>
      </c>
      <c r="E903" s="10" t="s">
        <v>257</v>
      </c>
      <c r="F903" s="10" t="s">
        <v>83</v>
      </c>
      <c r="G903" s="10" t="s">
        <v>84</v>
      </c>
      <c r="H903" s="12">
        <v>8540</v>
      </c>
      <c r="I903" s="11">
        <v>43</v>
      </c>
      <c r="J903" s="11">
        <v>43</v>
      </c>
      <c r="K903" s="11">
        <v>4372</v>
      </c>
      <c r="L903" s="11">
        <v>5.03512880562061E-3</v>
      </c>
      <c r="M903" s="11">
        <f t="shared" si="3"/>
        <v>0.50351288056206089</v>
      </c>
      <c r="N903" s="11">
        <v>1</v>
      </c>
      <c r="O903" s="11">
        <v>0.51194379391100697</v>
      </c>
      <c r="P903" s="11">
        <v>5.3209459459459499E-2</v>
      </c>
      <c r="Q903" s="11">
        <v>6.4516129032258104E-2</v>
      </c>
      <c r="R903" s="11">
        <v>2.27272727272727E-2</v>
      </c>
      <c r="S903" s="10" t="s">
        <v>84</v>
      </c>
      <c r="T903" s="10" t="s">
        <v>84</v>
      </c>
      <c r="U903" s="10"/>
      <c r="V903" s="10"/>
      <c r="W903" s="10"/>
      <c r="X903" s="10"/>
      <c r="Y903" s="10"/>
      <c r="Z903" s="10"/>
      <c r="AA903" s="10"/>
    </row>
    <row r="904" spans="1:27" ht="12.5" x14ac:dyDescent="0.25">
      <c r="A904" s="10" t="s">
        <v>53</v>
      </c>
      <c r="B904" s="10" t="s">
        <v>1286</v>
      </c>
      <c r="C904" s="10" t="s">
        <v>76</v>
      </c>
      <c r="D904" s="11">
        <v>2024</v>
      </c>
      <c r="E904" s="10" t="s">
        <v>81</v>
      </c>
      <c r="F904" s="10" t="s">
        <v>83</v>
      </c>
      <c r="G904" s="10" t="s">
        <v>84</v>
      </c>
      <c r="H904" s="12">
        <v>15577.5</v>
      </c>
      <c r="I904" s="11">
        <v>78</v>
      </c>
      <c r="J904" s="11">
        <v>50</v>
      </c>
      <c r="K904" s="11">
        <v>2126</v>
      </c>
      <c r="L904" s="11">
        <v>5.0072219547424197E-3</v>
      </c>
      <c r="M904" s="11">
        <f t="shared" si="3"/>
        <v>0.50072219547424168</v>
      </c>
      <c r="N904" s="11">
        <v>0.64102564102564097</v>
      </c>
      <c r="O904" s="11">
        <v>0.13647889584336401</v>
      </c>
      <c r="P904" s="11">
        <v>5.2364864864864899E-2</v>
      </c>
      <c r="Q904" s="11">
        <v>0.3</v>
      </c>
      <c r="R904" s="11">
        <v>7.9457364341085301E-2</v>
      </c>
      <c r="S904" s="10" t="s">
        <v>84</v>
      </c>
      <c r="T904" s="10" t="s">
        <v>84</v>
      </c>
      <c r="U904" s="10"/>
      <c r="V904" s="10"/>
      <c r="W904" s="10"/>
      <c r="X904" s="10"/>
      <c r="Y904" s="10"/>
      <c r="Z904" s="10"/>
      <c r="AA904" s="10"/>
    </row>
    <row r="905" spans="1:27" ht="12.5" x14ac:dyDescent="0.25">
      <c r="A905" s="10" t="s">
        <v>62</v>
      </c>
      <c r="B905" s="10" t="s">
        <v>1287</v>
      </c>
      <c r="C905" s="10" t="s">
        <v>76</v>
      </c>
      <c r="D905" s="11">
        <v>2024</v>
      </c>
      <c r="E905" s="10" t="s">
        <v>81</v>
      </c>
      <c r="F905" s="10" t="s">
        <v>83</v>
      </c>
      <c r="G905" s="10" t="s">
        <v>84</v>
      </c>
      <c r="H905" s="12">
        <v>10836.416666666701</v>
      </c>
      <c r="I905" s="11">
        <v>53</v>
      </c>
      <c r="J905" s="11">
        <v>34</v>
      </c>
      <c r="K905" s="11">
        <v>4409</v>
      </c>
      <c r="L905" s="11">
        <v>4.8909156624652997E-3</v>
      </c>
      <c r="M905" s="11">
        <f t="shared" si="3"/>
        <v>0.48909156624652833</v>
      </c>
      <c r="N905" s="11">
        <v>0.64150943396226401</v>
      </c>
      <c r="O905" s="11">
        <v>0.40686881426055699</v>
      </c>
      <c r="P905" s="11">
        <v>5.1520270270270299E-2</v>
      </c>
      <c r="Q905" s="11">
        <v>5.5555555555555601E-2</v>
      </c>
      <c r="R905" s="11">
        <v>7.7519379844961198E-2</v>
      </c>
      <c r="S905" s="10" t="s">
        <v>84</v>
      </c>
      <c r="T905" s="10" t="s">
        <v>84</v>
      </c>
      <c r="U905" s="10"/>
      <c r="V905" s="10"/>
      <c r="W905" s="10"/>
      <c r="X905" s="10"/>
      <c r="Y905" s="10"/>
      <c r="Z905" s="10"/>
      <c r="AA905" s="10"/>
    </row>
    <row r="906" spans="1:27" ht="12.5" x14ac:dyDescent="0.25">
      <c r="A906" s="10" t="s">
        <v>34</v>
      </c>
      <c r="B906" s="10" t="s">
        <v>1289</v>
      </c>
      <c r="C906" s="10" t="s">
        <v>76</v>
      </c>
      <c r="D906" s="11">
        <v>2024</v>
      </c>
      <c r="E906" s="10" t="s">
        <v>81</v>
      </c>
      <c r="F906" s="10" t="s">
        <v>83</v>
      </c>
      <c r="G906" s="10" t="s">
        <v>84</v>
      </c>
      <c r="H906" s="12">
        <v>9361</v>
      </c>
      <c r="I906" s="11">
        <v>45</v>
      </c>
      <c r="J906" s="11">
        <v>33</v>
      </c>
      <c r="K906" s="11">
        <v>3585</v>
      </c>
      <c r="L906" s="11">
        <v>4.8071787202222001E-3</v>
      </c>
      <c r="M906" s="11">
        <f t="shared" si="3"/>
        <v>0.48071787202221983</v>
      </c>
      <c r="N906" s="11">
        <v>0.73333333333333295</v>
      </c>
      <c r="O906" s="11">
        <v>0.38297190471103498</v>
      </c>
      <c r="P906" s="11">
        <v>5.0675675675675699E-2</v>
      </c>
      <c r="Q906" s="11">
        <v>0.122448979591837</v>
      </c>
      <c r="R906" s="11">
        <v>7.5581395348837205E-2</v>
      </c>
      <c r="S906" s="10" t="s">
        <v>84</v>
      </c>
      <c r="T906" s="10" t="s">
        <v>84</v>
      </c>
      <c r="U906" s="10"/>
      <c r="V906" s="10"/>
      <c r="W906" s="10"/>
      <c r="X906" s="10"/>
      <c r="Y906" s="10"/>
      <c r="Z906" s="10"/>
      <c r="AA906" s="10"/>
    </row>
    <row r="907" spans="1:27" ht="12.5" x14ac:dyDescent="0.25">
      <c r="A907" s="10" t="s">
        <v>53</v>
      </c>
      <c r="B907" s="10" t="s">
        <v>1292</v>
      </c>
      <c r="C907" s="10" t="s">
        <v>76</v>
      </c>
      <c r="D907" s="11">
        <v>2024</v>
      </c>
      <c r="E907" s="10" t="s">
        <v>81</v>
      </c>
      <c r="F907" s="10" t="s">
        <v>83</v>
      </c>
      <c r="G907" s="10" t="s">
        <v>84</v>
      </c>
      <c r="H907" s="12">
        <v>5303.5833333333303</v>
      </c>
      <c r="I907" s="11">
        <v>24</v>
      </c>
      <c r="J907" s="11">
        <v>10</v>
      </c>
      <c r="K907" s="11">
        <v>329</v>
      </c>
      <c r="L907" s="11">
        <v>4.5252423675816696E-3</v>
      </c>
      <c r="M907" s="11">
        <f t="shared" si="3"/>
        <v>0.45252423675816689</v>
      </c>
      <c r="N907" s="11">
        <v>0.41666666666666702</v>
      </c>
      <c r="O907" s="11">
        <v>6.2033530788932E-2</v>
      </c>
      <c r="P907" s="11">
        <v>4.9831081081081099E-2</v>
      </c>
      <c r="Q907" s="11">
        <v>0.27500000000000002</v>
      </c>
      <c r="R907" s="11">
        <v>7.3643410852713198E-2</v>
      </c>
      <c r="S907" s="10" t="s">
        <v>84</v>
      </c>
      <c r="T907" s="10" t="s">
        <v>84</v>
      </c>
      <c r="U907" s="10"/>
      <c r="V907" s="10"/>
      <c r="W907" s="10"/>
      <c r="X907" s="10"/>
      <c r="Y907" s="10"/>
      <c r="Z907" s="10"/>
      <c r="AA907" s="10"/>
    </row>
    <row r="908" spans="1:27" ht="12.5" x14ac:dyDescent="0.25">
      <c r="A908" s="10" t="s">
        <v>34</v>
      </c>
      <c r="B908" s="10" t="s">
        <v>1295</v>
      </c>
      <c r="C908" s="10" t="s">
        <v>76</v>
      </c>
      <c r="D908" s="11">
        <v>2024</v>
      </c>
      <c r="E908" s="10" t="s">
        <v>81</v>
      </c>
      <c r="F908" s="10" t="s">
        <v>83</v>
      </c>
      <c r="G908" s="10" t="s">
        <v>84</v>
      </c>
      <c r="H908" s="12">
        <v>5309.5833333333303</v>
      </c>
      <c r="I908" s="11">
        <v>24</v>
      </c>
      <c r="J908" s="11">
        <v>17</v>
      </c>
      <c r="K908" s="11">
        <v>790</v>
      </c>
      <c r="L908" s="11">
        <v>4.5201286981087696E-3</v>
      </c>
      <c r="M908" s="11">
        <f t="shared" si="3"/>
        <v>0.45201286981087679</v>
      </c>
      <c r="N908" s="11">
        <v>0.70833333333333304</v>
      </c>
      <c r="O908" s="11">
        <v>0.14878756964608</v>
      </c>
      <c r="P908" s="11">
        <v>4.89864864864865E-2</v>
      </c>
      <c r="Q908" s="11">
        <v>0.102040816326531</v>
      </c>
      <c r="R908" s="11">
        <v>7.1705426356589094E-2</v>
      </c>
      <c r="S908" s="10" t="s">
        <v>84</v>
      </c>
      <c r="T908" s="10" t="s">
        <v>84</v>
      </c>
      <c r="U908" s="10"/>
      <c r="V908" s="10"/>
      <c r="W908" s="10"/>
      <c r="X908" s="10"/>
      <c r="Y908" s="10"/>
      <c r="Z908" s="10"/>
      <c r="AA908" s="10"/>
    </row>
    <row r="909" spans="1:27" ht="12.5" x14ac:dyDescent="0.25">
      <c r="A909" s="10" t="s">
        <v>62</v>
      </c>
      <c r="B909" s="10" t="s">
        <v>1297</v>
      </c>
      <c r="C909" s="10" t="s">
        <v>76</v>
      </c>
      <c r="D909" s="11">
        <v>2024</v>
      </c>
      <c r="E909" s="10" t="s">
        <v>81</v>
      </c>
      <c r="F909" s="10" t="s">
        <v>83</v>
      </c>
      <c r="G909" s="10" t="s">
        <v>84</v>
      </c>
      <c r="H909" s="12">
        <v>11308</v>
      </c>
      <c r="I909" s="11">
        <v>51</v>
      </c>
      <c r="J909" s="11">
        <v>32</v>
      </c>
      <c r="K909" s="11">
        <v>7689</v>
      </c>
      <c r="L909" s="11">
        <v>4.5100813583303897E-3</v>
      </c>
      <c r="M909" s="11">
        <f t="shared" si="3"/>
        <v>0.45100813583303856</v>
      </c>
      <c r="N909" s="11">
        <v>0.62745098039215697</v>
      </c>
      <c r="O909" s="11">
        <v>0.67996108949416301</v>
      </c>
      <c r="P909" s="11">
        <v>4.81418918918919E-2</v>
      </c>
      <c r="Q909" s="11">
        <v>2.7777777777777801E-2</v>
      </c>
      <c r="R909" s="11">
        <v>6.9767441860465101E-2</v>
      </c>
      <c r="S909" s="10" t="s">
        <v>84</v>
      </c>
      <c r="T909" s="10" t="s">
        <v>84</v>
      </c>
      <c r="U909" s="10"/>
      <c r="V909" s="10"/>
      <c r="W909" s="10"/>
      <c r="X909" s="10"/>
      <c r="Y909" s="10"/>
      <c r="Z909" s="10"/>
      <c r="AA909" s="10"/>
    </row>
    <row r="910" spans="1:27" ht="12.5" x14ac:dyDescent="0.25">
      <c r="A910" s="10" t="s">
        <v>82</v>
      </c>
      <c r="B910" s="10" t="s">
        <v>1299</v>
      </c>
      <c r="C910" s="10" t="s">
        <v>76</v>
      </c>
      <c r="D910" s="11">
        <v>2024</v>
      </c>
      <c r="E910" s="10" t="s">
        <v>81</v>
      </c>
      <c r="F910" s="10" t="s">
        <v>83</v>
      </c>
      <c r="G910" s="10" t="s">
        <v>84</v>
      </c>
      <c r="H910" s="12">
        <v>13609</v>
      </c>
      <c r="I910" s="11">
        <v>61</v>
      </c>
      <c r="J910" s="11">
        <v>45</v>
      </c>
      <c r="K910" s="11">
        <v>2104</v>
      </c>
      <c r="L910" s="11">
        <v>4.4823278712616604E-3</v>
      </c>
      <c r="M910" s="11">
        <f t="shared" si="3"/>
        <v>0.44823278712616649</v>
      </c>
      <c r="N910" s="11">
        <v>0.73770491803278704</v>
      </c>
      <c r="O910" s="11">
        <v>0.15460357116614001</v>
      </c>
      <c r="P910" s="11">
        <v>4.72972972972973E-2</v>
      </c>
      <c r="Q910" s="11">
        <v>5.1724137931034503E-2</v>
      </c>
      <c r="R910" s="11">
        <v>6.7829457364341095E-2</v>
      </c>
      <c r="S910" s="10" t="s">
        <v>84</v>
      </c>
      <c r="T910" s="10" t="s">
        <v>84</v>
      </c>
      <c r="U910" s="10"/>
      <c r="V910" s="10"/>
      <c r="W910" s="10"/>
      <c r="X910" s="10"/>
      <c r="Y910" s="10"/>
      <c r="Z910" s="10"/>
      <c r="AA910" s="10"/>
    </row>
    <row r="911" spans="1:27" ht="12.5" x14ac:dyDescent="0.25">
      <c r="A911" s="10" t="s">
        <v>109</v>
      </c>
      <c r="B911" s="10" t="s">
        <v>1302</v>
      </c>
      <c r="C911" s="10" t="s">
        <v>76</v>
      </c>
      <c r="D911" s="11">
        <v>2024</v>
      </c>
      <c r="E911" s="10" t="s">
        <v>81</v>
      </c>
      <c r="F911" s="10" t="s">
        <v>83</v>
      </c>
      <c r="G911" s="10" t="s">
        <v>84</v>
      </c>
      <c r="H911" s="12">
        <v>5636.4166666666697</v>
      </c>
      <c r="I911" s="11">
        <v>25</v>
      </c>
      <c r="J911" s="11">
        <v>24</v>
      </c>
      <c r="K911" s="11">
        <v>618</v>
      </c>
      <c r="L911" s="11">
        <v>4.4354421396572896E-3</v>
      </c>
      <c r="M911" s="11">
        <f t="shared" si="3"/>
        <v>0.44354421396572863</v>
      </c>
      <c r="N911" s="11">
        <v>0.96</v>
      </c>
      <c r="O911" s="11">
        <v>0.10964412969232799</v>
      </c>
      <c r="P911" s="11">
        <v>4.64527027027027E-2</v>
      </c>
      <c r="Q911" s="11">
        <v>5.5555555555555601E-2</v>
      </c>
      <c r="R911" s="11">
        <v>6.5891472868217102E-2</v>
      </c>
      <c r="S911" s="10" t="s">
        <v>84</v>
      </c>
      <c r="T911" s="10" t="s">
        <v>84</v>
      </c>
      <c r="U911" s="10"/>
      <c r="V911" s="10"/>
      <c r="W911" s="10"/>
      <c r="X911" s="10"/>
      <c r="Y911" s="10"/>
      <c r="Z911" s="10"/>
      <c r="AA911" s="10"/>
    </row>
    <row r="912" spans="1:27" ht="12.5" x14ac:dyDescent="0.25">
      <c r="A912" s="10" t="s">
        <v>6</v>
      </c>
      <c r="B912" s="10" t="s">
        <v>1312</v>
      </c>
      <c r="C912" s="10" t="s">
        <v>76</v>
      </c>
      <c r="D912" s="11">
        <v>2024</v>
      </c>
      <c r="E912" s="10" t="s">
        <v>124</v>
      </c>
      <c r="F912" s="10" t="s">
        <v>125</v>
      </c>
      <c r="G912" s="10" t="s">
        <v>84</v>
      </c>
      <c r="H912" s="12">
        <v>700</v>
      </c>
      <c r="I912" s="11">
        <v>3</v>
      </c>
      <c r="J912" s="11">
        <v>3</v>
      </c>
      <c r="K912" s="11">
        <v>525</v>
      </c>
      <c r="L912" s="11">
        <v>4.2857142857142903E-3</v>
      </c>
      <c r="M912" s="11">
        <f t="shared" si="3"/>
        <v>0.4285714285714286</v>
      </c>
      <c r="N912" s="11">
        <v>1</v>
      </c>
      <c r="O912" s="11">
        <v>0.75</v>
      </c>
      <c r="P912" s="11">
        <v>4.56081081081081E-2</v>
      </c>
      <c r="Q912" s="11">
        <v>3.2258064516128997E-2</v>
      </c>
      <c r="R912" s="11">
        <v>2.4608501118568198E-2</v>
      </c>
      <c r="S912" s="10" t="s">
        <v>84</v>
      </c>
      <c r="T912" s="10" t="s">
        <v>84</v>
      </c>
      <c r="U912" s="10"/>
      <c r="V912" s="10"/>
      <c r="W912" s="10"/>
      <c r="X912" s="10"/>
      <c r="Y912" s="10"/>
      <c r="Z912" s="10"/>
      <c r="AA912" s="10"/>
    </row>
    <row r="913" spans="1:27" ht="12.5" x14ac:dyDescent="0.25">
      <c r="A913" s="10" t="s">
        <v>82</v>
      </c>
      <c r="B913" s="10" t="s">
        <v>1315</v>
      </c>
      <c r="C913" s="10" t="s">
        <v>76</v>
      </c>
      <c r="D913" s="11">
        <v>2024</v>
      </c>
      <c r="E913" s="10" t="s">
        <v>124</v>
      </c>
      <c r="F913" s="10" t="s">
        <v>83</v>
      </c>
      <c r="G913" s="10" t="s">
        <v>84</v>
      </c>
      <c r="H913" s="12">
        <v>984.16666666666697</v>
      </c>
      <c r="I913" s="11">
        <v>4</v>
      </c>
      <c r="J913" s="11">
        <v>4</v>
      </c>
      <c r="K913" s="11">
        <v>205</v>
      </c>
      <c r="L913" s="11">
        <v>4.0643522438611303E-3</v>
      </c>
      <c r="M913" s="11">
        <f t="shared" si="3"/>
        <v>0.4064352243861134</v>
      </c>
      <c r="N913" s="11">
        <v>1</v>
      </c>
      <c r="O913" s="11">
        <v>0.208298052497883</v>
      </c>
      <c r="P913" s="11">
        <v>4.3918918918918901E-2</v>
      </c>
      <c r="Q913" s="11">
        <v>3.4482758620689703E-2</v>
      </c>
      <c r="R913" s="11">
        <v>2.2371364653243801E-2</v>
      </c>
      <c r="S913" s="10" t="s">
        <v>84</v>
      </c>
      <c r="T913" s="10" t="s">
        <v>84</v>
      </c>
      <c r="U913" s="10"/>
      <c r="V913" s="10"/>
      <c r="W913" s="10"/>
      <c r="X913" s="10"/>
      <c r="Y913" s="10"/>
      <c r="Z913" s="10"/>
      <c r="AA913" s="10"/>
    </row>
    <row r="914" spans="1:27" ht="12.5" x14ac:dyDescent="0.25">
      <c r="A914" s="10" t="s">
        <v>62</v>
      </c>
      <c r="B914" s="10" t="s">
        <v>1304</v>
      </c>
      <c r="C914" s="10" t="s">
        <v>76</v>
      </c>
      <c r="D914" s="11">
        <v>2024</v>
      </c>
      <c r="E914" s="10" t="s">
        <v>81</v>
      </c>
      <c r="F914" s="10" t="s">
        <v>83</v>
      </c>
      <c r="G914" s="10" t="s">
        <v>84</v>
      </c>
      <c r="H914" s="12">
        <v>27918</v>
      </c>
      <c r="I914" s="11">
        <v>111</v>
      </c>
      <c r="J914" s="11">
        <v>89</v>
      </c>
      <c r="K914" s="11">
        <v>479</v>
      </c>
      <c r="L914" s="11">
        <v>3.9759295078443998E-3</v>
      </c>
      <c r="M914" s="11">
        <f t="shared" si="3"/>
        <v>0.39759295078444012</v>
      </c>
      <c r="N914" s="11">
        <v>0.80180180180180205</v>
      </c>
      <c r="O914" s="11">
        <v>1.7157389497815E-2</v>
      </c>
      <c r="P914" s="11">
        <v>4.3074324324324301E-2</v>
      </c>
      <c r="Q914" s="11">
        <v>0</v>
      </c>
      <c r="R914" s="11">
        <v>6.3953488372092998E-2</v>
      </c>
      <c r="S914" s="10" t="s">
        <v>84</v>
      </c>
      <c r="T914" s="10" t="s">
        <v>84</v>
      </c>
      <c r="U914" s="10"/>
      <c r="V914" s="10"/>
      <c r="W914" s="10"/>
      <c r="X914" s="10"/>
      <c r="Y914" s="10"/>
      <c r="Z914" s="10"/>
      <c r="AA914" s="10"/>
    </row>
    <row r="915" spans="1:27" ht="12.5" x14ac:dyDescent="0.25">
      <c r="A915" s="10" t="s">
        <v>49</v>
      </c>
      <c r="B915" s="10" t="s">
        <v>1318</v>
      </c>
      <c r="C915" s="10" t="s">
        <v>76</v>
      </c>
      <c r="D915" s="11">
        <v>2024</v>
      </c>
      <c r="E915" s="10" t="s">
        <v>124</v>
      </c>
      <c r="F915" s="10" t="s">
        <v>83</v>
      </c>
      <c r="G915" s="10" t="s">
        <v>84</v>
      </c>
      <c r="H915" s="12">
        <v>1307.6666666666699</v>
      </c>
      <c r="I915" s="11">
        <v>5</v>
      </c>
      <c r="J915" s="11">
        <v>4</v>
      </c>
      <c r="K915" s="11">
        <v>123</v>
      </c>
      <c r="L915" s="11">
        <v>3.82360438439969E-3</v>
      </c>
      <c r="M915" s="11">
        <f t="shared" si="3"/>
        <v>0.38236043843996842</v>
      </c>
      <c r="N915" s="11">
        <v>0.8</v>
      </c>
      <c r="O915" s="11">
        <v>9.4060667856232502E-2</v>
      </c>
      <c r="P915" s="11">
        <v>4.2229729729729701E-2</v>
      </c>
      <c r="Q915" s="11">
        <v>0</v>
      </c>
      <c r="R915" s="11">
        <v>2.01342281879195E-2</v>
      </c>
      <c r="S915" s="10" t="s">
        <v>84</v>
      </c>
      <c r="T915" s="10" t="s">
        <v>84</v>
      </c>
      <c r="U915" s="10"/>
      <c r="V915" s="10"/>
      <c r="W915" s="10"/>
      <c r="X915" s="10"/>
      <c r="Y915" s="10"/>
      <c r="Z915" s="10"/>
      <c r="AA915" s="10"/>
    </row>
    <row r="916" spans="1:27" ht="12.5" x14ac:dyDescent="0.25">
      <c r="A916" s="10" t="s">
        <v>109</v>
      </c>
      <c r="B916" s="10" t="s">
        <v>1307</v>
      </c>
      <c r="C916" s="10" t="s">
        <v>76</v>
      </c>
      <c r="D916" s="11">
        <v>2024</v>
      </c>
      <c r="E916" s="10" t="s">
        <v>81</v>
      </c>
      <c r="F916" s="10" t="s">
        <v>83</v>
      </c>
      <c r="G916" s="10" t="s">
        <v>84</v>
      </c>
      <c r="H916" s="12">
        <v>6886</v>
      </c>
      <c r="I916" s="11">
        <v>26</v>
      </c>
      <c r="J916" s="11">
        <v>19</v>
      </c>
      <c r="K916" s="11">
        <v>942</v>
      </c>
      <c r="L916" s="11">
        <v>3.7757769387162399E-3</v>
      </c>
      <c r="M916" s="11">
        <f t="shared" si="3"/>
        <v>0.3775776938716236</v>
      </c>
      <c r="N916" s="11">
        <v>0.73076923076923095</v>
      </c>
      <c r="O916" s="11">
        <v>0.13679930293348799</v>
      </c>
      <c r="P916" s="11">
        <v>4.1385135135135101E-2</v>
      </c>
      <c r="Q916" s="11">
        <v>0</v>
      </c>
      <c r="R916" s="11">
        <v>6.2015503875968998E-2</v>
      </c>
      <c r="S916" s="10" t="s">
        <v>84</v>
      </c>
      <c r="T916" s="10" t="s">
        <v>84</v>
      </c>
      <c r="U916" s="10"/>
      <c r="V916" s="10"/>
      <c r="W916" s="10"/>
      <c r="X916" s="10"/>
      <c r="Y916" s="10"/>
      <c r="Z916" s="10"/>
      <c r="AA916" s="10"/>
    </row>
    <row r="917" spans="1:27" ht="12.5" x14ac:dyDescent="0.25">
      <c r="A917" s="10" t="s">
        <v>110</v>
      </c>
      <c r="B917" s="10" t="s">
        <v>1309</v>
      </c>
      <c r="C917" s="10" t="s">
        <v>76</v>
      </c>
      <c r="D917" s="11">
        <v>2024</v>
      </c>
      <c r="E917" s="10" t="s">
        <v>81</v>
      </c>
      <c r="F917" s="10" t="s">
        <v>83</v>
      </c>
      <c r="G917" s="10" t="s">
        <v>84</v>
      </c>
      <c r="H917" s="12">
        <v>4384.5833333333303</v>
      </c>
      <c r="I917" s="11">
        <v>16</v>
      </c>
      <c r="J917" s="11">
        <v>15</v>
      </c>
      <c r="K917" s="11">
        <v>2071</v>
      </c>
      <c r="L917" s="11">
        <v>3.64914948208686E-3</v>
      </c>
      <c r="M917" s="11">
        <f t="shared" si="3"/>
        <v>0.36491494820868597</v>
      </c>
      <c r="N917" s="11">
        <v>0.9375</v>
      </c>
      <c r="O917" s="11">
        <v>0.47233678608761798</v>
      </c>
      <c r="P917" s="11">
        <v>4.0540540540540501E-2</v>
      </c>
      <c r="Q917" s="11">
        <v>6.0606060606060601E-2</v>
      </c>
      <c r="R917" s="11">
        <v>6.0077519379844999E-2</v>
      </c>
      <c r="S917" s="10" t="s">
        <v>84</v>
      </c>
      <c r="T917" s="10" t="s">
        <v>84</v>
      </c>
      <c r="U917" s="10"/>
      <c r="V917" s="10"/>
      <c r="W917" s="10"/>
      <c r="X917" s="10"/>
      <c r="Y917" s="10"/>
      <c r="Z917" s="10"/>
      <c r="AA917" s="10"/>
    </row>
    <row r="918" spans="1:27" ht="12.5" x14ac:dyDescent="0.25">
      <c r="A918" s="10" t="s">
        <v>34</v>
      </c>
      <c r="B918" s="10" t="s">
        <v>1313</v>
      </c>
      <c r="C918" s="10" t="s">
        <v>76</v>
      </c>
      <c r="D918" s="11">
        <v>2024</v>
      </c>
      <c r="E918" s="10" t="s">
        <v>81</v>
      </c>
      <c r="F918" s="10" t="s">
        <v>83</v>
      </c>
      <c r="G918" s="10" t="s">
        <v>84</v>
      </c>
      <c r="H918" s="12">
        <v>16261.583333333299</v>
      </c>
      <c r="I918" s="11">
        <v>59</v>
      </c>
      <c r="J918" s="11">
        <v>39</v>
      </c>
      <c r="K918" s="11">
        <v>361</v>
      </c>
      <c r="L918" s="11">
        <v>3.6281829875114699E-3</v>
      </c>
      <c r="M918" s="11">
        <f t="shared" si="3"/>
        <v>0.36281829875114741</v>
      </c>
      <c r="N918" s="11">
        <v>0.66101694915254205</v>
      </c>
      <c r="O918" s="11">
        <v>2.2199560313417601E-2</v>
      </c>
      <c r="P918" s="11">
        <v>3.8851351351351399E-2</v>
      </c>
      <c r="Q918" s="11">
        <v>8.1632653061224497E-2</v>
      </c>
      <c r="R918" s="11">
        <v>5.6201550387596902E-2</v>
      </c>
      <c r="S918" s="10" t="s">
        <v>84</v>
      </c>
      <c r="T918" s="10" t="s">
        <v>84</v>
      </c>
      <c r="U918" s="10"/>
      <c r="V918" s="10"/>
      <c r="W918" s="10"/>
      <c r="X918" s="10"/>
      <c r="Y918" s="10"/>
      <c r="Z918" s="10"/>
      <c r="AA918" s="10"/>
    </row>
    <row r="919" spans="1:27" ht="12.5" x14ac:dyDescent="0.25">
      <c r="A919" s="10" t="s">
        <v>103</v>
      </c>
      <c r="B919" s="10" t="s">
        <v>1321</v>
      </c>
      <c r="C919" s="10" t="s">
        <v>76</v>
      </c>
      <c r="D919" s="11">
        <v>2024</v>
      </c>
      <c r="E919" s="10" t="s">
        <v>124</v>
      </c>
      <c r="F919" s="10" t="s">
        <v>83</v>
      </c>
      <c r="G919" s="10" t="s">
        <v>84</v>
      </c>
      <c r="H919" s="12">
        <v>29459.416666666701</v>
      </c>
      <c r="I919" s="11">
        <v>105</v>
      </c>
      <c r="J919" s="11">
        <v>73</v>
      </c>
      <c r="K919" s="11">
        <v>3805</v>
      </c>
      <c r="L919" s="11">
        <v>3.5642253608778201E-3</v>
      </c>
      <c r="M919" s="11">
        <f t="shared" si="3"/>
        <v>0.35642253608778135</v>
      </c>
      <c r="N919" s="11">
        <v>0.69523809523809499</v>
      </c>
      <c r="O919" s="11">
        <v>0.12916073807752501</v>
      </c>
      <c r="P919" s="11">
        <v>3.7162162162162199E-2</v>
      </c>
      <c r="Q919" s="11">
        <v>4.3478260869565202E-2</v>
      </c>
      <c r="R919" s="11">
        <v>1.7897091722595099E-2</v>
      </c>
      <c r="S919" s="10" t="s">
        <v>84</v>
      </c>
      <c r="T919" s="10" t="s">
        <v>84</v>
      </c>
      <c r="U919" s="10"/>
      <c r="V919" s="10"/>
      <c r="W919" s="10"/>
      <c r="X919" s="10"/>
      <c r="Y919" s="10"/>
      <c r="Z919" s="10"/>
      <c r="AA919" s="10"/>
    </row>
    <row r="920" spans="1:27" ht="12.5" x14ac:dyDescent="0.25">
      <c r="A920" s="10" t="s">
        <v>80</v>
      </c>
      <c r="B920" s="10" t="s">
        <v>1314</v>
      </c>
      <c r="C920" s="10" t="s">
        <v>76</v>
      </c>
      <c r="D920" s="11">
        <v>2024</v>
      </c>
      <c r="E920" s="10" t="s">
        <v>81</v>
      </c>
      <c r="F920" s="10" t="s">
        <v>83</v>
      </c>
      <c r="G920" s="10" t="s">
        <v>84</v>
      </c>
      <c r="H920" s="12">
        <v>15118.333333333299</v>
      </c>
      <c r="I920" s="11">
        <v>53</v>
      </c>
      <c r="J920" s="11">
        <v>53</v>
      </c>
      <c r="K920" s="11">
        <v>5063</v>
      </c>
      <c r="L920" s="11">
        <v>3.5056774335795399E-3</v>
      </c>
      <c r="M920" s="11">
        <f t="shared" si="3"/>
        <v>0.35056774335795471</v>
      </c>
      <c r="N920" s="11">
        <v>1</v>
      </c>
      <c r="O920" s="11">
        <v>0.33489141219270202</v>
      </c>
      <c r="P920" s="11">
        <v>3.6317567567567599E-2</v>
      </c>
      <c r="Q920" s="11">
        <v>0.1</v>
      </c>
      <c r="R920" s="11">
        <v>5.4263565891472902E-2</v>
      </c>
      <c r="S920" s="10" t="s">
        <v>84</v>
      </c>
      <c r="T920" s="10" t="s">
        <v>84</v>
      </c>
      <c r="U920" s="10"/>
      <c r="V920" s="10"/>
      <c r="W920" s="10"/>
      <c r="X920" s="10"/>
      <c r="Y920" s="10"/>
      <c r="Z920" s="10"/>
      <c r="AA920" s="10"/>
    </row>
    <row r="921" spans="1:27" ht="12.5" x14ac:dyDescent="0.25">
      <c r="A921" s="10" t="s">
        <v>53</v>
      </c>
      <c r="B921" s="10" t="s">
        <v>1317</v>
      </c>
      <c r="C921" s="10" t="s">
        <v>76</v>
      </c>
      <c r="D921" s="11">
        <v>2024</v>
      </c>
      <c r="E921" s="10" t="s">
        <v>81</v>
      </c>
      <c r="F921" s="10" t="s">
        <v>83</v>
      </c>
      <c r="G921" s="10" t="s">
        <v>84</v>
      </c>
      <c r="H921" s="12">
        <v>13187.5</v>
      </c>
      <c r="I921" s="11">
        <v>46</v>
      </c>
      <c r="J921" s="11">
        <v>38</v>
      </c>
      <c r="K921" s="11">
        <v>234</v>
      </c>
      <c r="L921" s="11">
        <v>3.48815165876777E-3</v>
      </c>
      <c r="M921" s="11">
        <f t="shared" si="3"/>
        <v>0.34881516587677724</v>
      </c>
      <c r="N921" s="11">
        <v>0.82608695652173902</v>
      </c>
      <c r="O921" s="11">
        <v>1.77440758293839E-2</v>
      </c>
      <c r="P921" s="11">
        <v>3.5472972972972999E-2</v>
      </c>
      <c r="Q921" s="11">
        <v>0.25</v>
      </c>
      <c r="R921" s="11">
        <v>5.2325581395348798E-2</v>
      </c>
      <c r="S921" s="10" t="s">
        <v>84</v>
      </c>
      <c r="T921" s="10" t="s">
        <v>84</v>
      </c>
      <c r="U921" s="10"/>
      <c r="V921" s="10"/>
      <c r="W921" s="10"/>
      <c r="X921" s="10"/>
      <c r="Y921" s="10"/>
      <c r="Z921" s="10"/>
      <c r="AA921" s="10"/>
    </row>
    <row r="922" spans="1:27" ht="12.5" x14ac:dyDescent="0.25">
      <c r="A922" s="10" t="s">
        <v>71</v>
      </c>
      <c r="B922" s="10" t="s">
        <v>1319</v>
      </c>
      <c r="C922" s="10" t="s">
        <v>76</v>
      </c>
      <c r="D922" s="11">
        <v>2024</v>
      </c>
      <c r="E922" s="10" t="s">
        <v>81</v>
      </c>
      <c r="F922" s="10" t="s">
        <v>83</v>
      </c>
      <c r="G922" s="10" t="s">
        <v>84</v>
      </c>
      <c r="H922" s="12">
        <v>30234</v>
      </c>
      <c r="I922" s="11">
        <v>98</v>
      </c>
      <c r="J922" s="11">
        <v>22</v>
      </c>
      <c r="K922" s="11">
        <v>49199</v>
      </c>
      <c r="L922" s="11">
        <v>3.2413838724614698E-3</v>
      </c>
      <c r="M922" s="11">
        <f t="shared" si="3"/>
        <v>0.32413838724614674</v>
      </c>
      <c r="N922" s="11">
        <v>0.22448979591836701</v>
      </c>
      <c r="O922" s="11">
        <v>1.62727393001257</v>
      </c>
      <c r="P922" s="11">
        <v>3.4628378378378399E-2</v>
      </c>
      <c r="Q922" s="11">
        <v>0.33333333333333298</v>
      </c>
      <c r="R922" s="11">
        <v>5.0387596899224799E-2</v>
      </c>
      <c r="S922" s="10" t="s">
        <v>84</v>
      </c>
      <c r="T922" s="10" t="s">
        <v>84</v>
      </c>
      <c r="U922" s="10"/>
      <c r="V922" s="10"/>
      <c r="W922" s="10"/>
      <c r="X922" s="10"/>
      <c r="Y922" s="10"/>
      <c r="Z922" s="10"/>
      <c r="AA922" s="10"/>
    </row>
    <row r="923" spans="1:27" ht="12.5" x14ac:dyDescent="0.25">
      <c r="A923" s="10" t="s">
        <v>92</v>
      </c>
      <c r="B923" s="10" t="s">
        <v>1324</v>
      </c>
      <c r="C923" s="10" t="s">
        <v>76</v>
      </c>
      <c r="D923" s="11">
        <v>2024</v>
      </c>
      <c r="E923" s="10" t="s">
        <v>124</v>
      </c>
      <c r="F923" s="10" t="s">
        <v>125</v>
      </c>
      <c r="G923" s="10" t="s">
        <v>84</v>
      </c>
      <c r="H923" s="12">
        <v>10470</v>
      </c>
      <c r="I923" s="11">
        <v>31</v>
      </c>
      <c r="J923" s="11">
        <v>30</v>
      </c>
      <c r="K923" s="11">
        <v>1074</v>
      </c>
      <c r="L923" s="11">
        <v>2.9608404966571201E-3</v>
      </c>
      <c r="M923" s="11">
        <f t="shared" si="3"/>
        <v>0.29608404966571156</v>
      </c>
      <c r="N923" s="11">
        <v>0.967741935483871</v>
      </c>
      <c r="O923" s="11">
        <v>0.102578796561605</v>
      </c>
      <c r="P923" s="11">
        <v>3.37837837837838E-2</v>
      </c>
      <c r="Q923" s="11">
        <v>5.5555555555555601E-2</v>
      </c>
      <c r="R923" s="11">
        <v>1.5659955257270701E-2</v>
      </c>
      <c r="S923" s="10" t="s">
        <v>84</v>
      </c>
      <c r="T923" s="10" t="s">
        <v>84</v>
      </c>
      <c r="U923" s="10"/>
      <c r="V923" s="10"/>
      <c r="W923" s="10"/>
      <c r="X923" s="10"/>
      <c r="Y923" s="10"/>
      <c r="Z923" s="10"/>
      <c r="AA923" s="10"/>
    </row>
    <row r="924" spans="1:27" ht="12.5" x14ac:dyDescent="0.25">
      <c r="A924" s="10" t="s">
        <v>53</v>
      </c>
      <c r="B924" s="10" t="s">
        <v>1322</v>
      </c>
      <c r="C924" s="10" t="s">
        <v>76</v>
      </c>
      <c r="D924" s="11">
        <v>2024</v>
      </c>
      <c r="E924" s="10" t="s">
        <v>81</v>
      </c>
      <c r="F924" s="10" t="s">
        <v>83</v>
      </c>
      <c r="G924" s="10" t="s">
        <v>84</v>
      </c>
      <c r="H924" s="12">
        <v>7348.9166666666697</v>
      </c>
      <c r="I924" s="11">
        <v>21</v>
      </c>
      <c r="J924" s="11">
        <v>14</v>
      </c>
      <c r="K924" s="11">
        <v>159</v>
      </c>
      <c r="L924" s="11">
        <v>2.85756404005125E-3</v>
      </c>
      <c r="M924" s="11">
        <f t="shared" si="3"/>
        <v>0.28575640400512536</v>
      </c>
      <c r="N924" s="11">
        <v>0.66666666666666696</v>
      </c>
      <c r="O924" s="11">
        <v>2.1635842017530899E-2</v>
      </c>
      <c r="P924" s="11">
        <v>3.20945945945946E-2</v>
      </c>
      <c r="Q924" s="11">
        <v>0.22500000000000001</v>
      </c>
      <c r="R924" s="11">
        <v>4.8449612403100799E-2</v>
      </c>
      <c r="S924" s="10" t="s">
        <v>84</v>
      </c>
      <c r="T924" s="10" t="s">
        <v>84</v>
      </c>
      <c r="U924" s="10"/>
      <c r="V924" s="10"/>
      <c r="W924" s="10"/>
      <c r="X924" s="10"/>
      <c r="Y924" s="10"/>
      <c r="Z924" s="10"/>
      <c r="AA924" s="10"/>
    </row>
    <row r="925" spans="1:27" ht="12.5" x14ac:dyDescent="0.25">
      <c r="A925" s="10" t="s">
        <v>53</v>
      </c>
      <c r="B925" s="10" t="s">
        <v>1326</v>
      </c>
      <c r="C925" s="10" t="s">
        <v>76</v>
      </c>
      <c r="D925" s="11">
        <v>2024</v>
      </c>
      <c r="E925" s="10" t="s">
        <v>124</v>
      </c>
      <c r="F925" s="10" t="s">
        <v>125</v>
      </c>
      <c r="G925" s="10" t="s">
        <v>84</v>
      </c>
      <c r="H925" s="12">
        <v>1155.5833333333301</v>
      </c>
      <c r="I925" s="11">
        <v>3</v>
      </c>
      <c r="J925" s="11">
        <v>2</v>
      </c>
      <c r="K925" s="11">
        <v>240</v>
      </c>
      <c r="L925" s="11">
        <v>2.5960914401096098E-3</v>
      </c>
      <c r="M925" s="11">
        <f t="shared" si="3"/>
        <v>0.25960914401096202</v>
      </c>
      <c r="N925" s="11">
        <v>0.66666666666666696</v>
      </c>
      <c r="O925" s="11">
        <v>0.20768731520876901</v>
      </c>
      <c r="P925" s="11">
        <v>2.95608108108108E-2</v>
      </c>
      <c r="Q925" s="11">
        <v>0.2</v>
      </c>
      <c r="R925" s="11">
        <v>1.34228187919463E-2</v>
      </c>
      <c r="S925" s="10" t="s">
        <v>84</v>
      </c>
      <c r="T925" s="10" t="s">
        <v>84</v>
      </c>
      <c r="U925" s="10"/>
      <c r="V925" s="10"/>
      <c r="W925" s="10"/>
      <c r="X925" s="10"/>
      <c r="Y925" s="10"/>
      <c r="Z925" s="10"/>
      <c r="AA925" s="10"/>
    </row>
    <row r="926" spans="1:27" ht="12.5" x14ac:dyDescent="0.25">
      <c r="A926" s="10" t="s">
        <v>72</v>
      </c>
      <c r="B926" s="10" t="s">
        <v>1325</v>
      </c>
      <c r="C926" s="10" t="s">
        <v>76</v>
      </c>
      <c r="D926" s="11">
        <v>2024</v>
      </c>
      <c r="E926" s="10" t="s">
        <v>81</v>
      </c>
      <c r="F926" s="10" t="s">
        <v>83</v>
      </c>
      <c r="G926" s="10" t="s">
        <v>84</v>
      </c>
      <c r="H926" s="12">
        <v>1194.6666666666699</v>
      </c>
      <c r="I926" s="11">
        <v>3</v>
      </c>
      <c r="J926" s="11">
        <v>3</v>
      </c>
      <c r="K926" s="11">
        <v>771</v>
      </c>
      <c r="L926" s="11">
        <v>2.5111607142857101E-3</v>
      </c>
      <c r="M926" s="11">
        <f t="shared" si="3"/>
        <v>0.25111607142857073</v>
      </c>
      <c r="N926" s="11">
        <v>1</v>
      </c>
      <c r="O926" s="11">
        <v>0.64536830357142805</v>
      </c>
      <c r="P926" s="11">
        <v>2.87162162162162E-2</v>
      </c>
      <c r="Q926" s="11">
        <v>0</v>
      </c>
      <c r="R926" s="11">
        <v>4.6511627906976702E-2</v>
      </c>
      <c r="S926" s="10" t="s">
        <v>84</v>
      </c>
      <c r="T926" s="10" t="s">
        <v>84</v>
      </c>
      <c r="U926" s="10"/>
      <c r="V926" s="10"/>
      <c r="W926" s="10"/>
      <c r="X926" s="10"/>
      <c r="Y926" s="10"/>
      <c r="Z926" s="10"/>
      <c r="AA926" s="10"/>
    </row>
    <row r="927" spans="1:27" ht="12.5" x14ac:dyDescent="0.25">
      <c r="A927" s="10" t="s">
        <v>91</v>
      </c>
      <c r="B927" s="10" t="s">
        <v>1327</v>
      </c>
      <c r="C927" s="10" t="s">
        <v>76</v>
      </c>
      <c r="D927" s="11">
        <v>2024</v>
      </c>
      <c r="E927" s="10" t="s">
        <v>81</v>
      </c>
      <c r="F927" s="10" t="s">
        <v>83</v>
      </c>
      <c r="G927" s="10" t="s">
        <v>84</v>
      </c>
      <c r="H927" s="12">
        <v>1606.5</v>
      </c>
      <c r="I927" s="11">
        <v>4</v>
      </c>
      <c r="J927" s="11">
        <v>4</v>
      </c>
      <c r="K927" s="11">
        <v>123</v>
      </c>
      <c r="L927" s="11">
        <v>2.4898848428260198E-3</v>
      </c>
      <c r="M927" s="11">
        <f t="shared" si="3"/>
        <v>0.24898848428260195</v>
      </c>
      <c r="N927" s="11">
        <v>1</v>
      </c>
      <c r="O927" s="11">
        <v>7.6563958916900099E-2</v>
      </c>
      <c r="P927" s="11">
        <v>2.7871621621621601E-2</v>
      </c>
      <c r="Q927" s="11">
        <v>0</v>
      </c>
      <c r="R927" s="11">
        <v>4.4573643410852702E-2</v>
      </c>
      <c r="S927" s="10" t="s">
        <v>84</v>
      </c>
      <c r="T927" s="10" t="s">
        <v>84</v>
      </c>
      <c r="U927" s="10"/>
      <c r="V927" s="10"/>
      <c r="W927" s="10"/>
      <c r="X927" s="10"/>
      <c r="Y927" s="10"/>
      <c r="Z927" s="10"/>
      <c r="AA927" s="10"/>
    </row>
    <row r="928" spans="1:27" ht="12.5" x14ac:dyDescent="0.25">
      <c r="A928" s="10" t="s">
        <v>80</v>
      </c>
      <c r="B928" s="10" t="s">
        <v>1328</v>
      </c>
      <c r="C928" s="10" t="s">
        <v>76</v>
      </c>
      <c r="D928" s="11">
        <v>2024</v>
      </c>
      <c r="E928" s="10" t="s">
        <v>81</v>
      </c>
      <c r="F928" s="10" t="s">
        <v>83</v>
      </c>
      <c r="G928" s="10" t="s">
        <v>84</v>
      </c>
      <c r="H928" s="12">
        <v>1609.8333333333301</v>
      </c>
      <c r="I928" s="11">
        <v>4</v>
      </c>
      <c r="J928" s="11">
        <v>1</v>
      </c>
      <c r="K928" s="11">
        <v>1166</v>
      </c>
      <c r="L928" s="11">
        <v>2.4847292680401701E-3</v>
      </c>
      <c r="M928" s="11">
        <f t="shared" si="3"/>
        <v>0.2484729268040175</v>
      </c>
      <c r="N928" s="11">
        <v>0.25</v>
      </c>
      <c r="O928" s="11">
        <v>0.72429858163370997</v>
      </c>
      <c r="P928" s="11">
        <v>2.7027027027027001E-2</v>
      </c>
      <c r="Q928" s="11">
        <v>0</v>
      </c>
      <c r="R928" s="11">
        <v>4.2635658914728702E-2</v>
      </c>
      <c r="S928" s="10" t="s">
        <v>84</v>
      </c>
      <c r="T928" s="10" t="s">
        <v>84</v>
      </c>
      <c r="U928" s="10"/>
      <c r="V928" s="10"/>
      <c r="W928" s="10"/>
      <c r="X928" s="10"/>
      <c r="Y928" s="10"/>
      <c r="Z928" s="10"/>
      <c r="AA928" s="10"/>
    </row>
    <row r="929" spans="1:27" ht="12.5" x14ac:dyDescent="0.25">
      <c r="A929" s="10" t="s">
        <v>34</v>
      </c>
      <c r="B929" s="10" t="s">
        <v>1330</v>
      </c>
      <c r="C929" s="10" t="s">
        <v>76</v>
      </c>
      <c r="D929" s="11">
        <v>2024</v>
      </c>
      <c r="E929" s="10" t="s">
        <v>81</v>
      </c>
      <c r="F929" s="10" t="s">
        <v>83</v>
      </c>
      <c r="G929" s="10" t="s">
        <v>84</v>
      </c>
      <c r="H929" s="12">
        <v>26092.166666666701</v>
      </c>
      <c r="I929" s="11">
        <v>60</v>
      </c>
      <c r="J929" s="11">
        <v>45</v>
      </c>
      <c r="K929" s="11">
        <v>21304</v>
      </c>
      <c r="L929" s="11">
        <v>2.29954073061519E-3</v>
      </c>
      <c r="M929" s="11">
        <f t="shared" si="3"/>
        <v>0.22995407306151883</v>
      </c>
      <c r="N929" s="11">
        <v>0.75</v>
      </c>
      <c r="O929" s="11">
        <v>0.81649026208376696</v>
      </c>
      <c r="P929" s="11">
        <v>2.6182432432432401E-2</v>
      </c>
      <c r="Q929" s="11">
        <v>6.1224489795918401E-2</v>
      </c>
      <c r="R929" s="11">
        <v>4.0697674418604703E-2</v>
      </c>
      <c r="S929" s="10" t="s">
        <v>84</v>
      </c>
      <c r="T929" s="10" t="s">
        <v>84</v>
      </c>
      <c r="U929" s="10"/>
      <c r="V929" s="10"/>
      <c r="W929" s="10"/>
      <c r="X929" s="10"/>
      <c r="Y929" s="10"/>
      <c r="Z929" s="10"/>
      <c r="AA929" s="10"/>
    </row>
    <row r="930" spans="1:27" ht="12.5" x14ac:dyDescent="0.25">
      <c r="A930" s="10" t="s">
        <v>53</v>
      </c>
      <c r="B930" s="10" t="s">
        <v>1329</v>
      </c>
      <c r="C930" s="10" t="s">
        <v>76</v>
      </c>
      <c r="D930" s="11">
        <v>2024</v>
      </c>
      <c r="E930" s="10" t="s">
        <v>124</v>
      </c>
      <c r="F930" s="10" t="s">
        <v>125</v>
      </c>
      <c r="G930" s="10" t="s">
        <v>84</v>
      </c>
      <c r="H930" s="12">
        <v>890.16666666666697</v>
      </c>
      <c r="I930" s="11">
        <v>2</v>
      </c>
      <c r="J930" s="11">
        <v>1</v>
      </c>
      <c r="K930" s="11">
        <v>516</v>
      </c>
      <c r="L930" s="11">
        <v>2.2467702677401199E-3</v>
      </c>
      <c r="M930" s="11">
        <f t="shared" si="3"/>
        <v>0.2246770267740123</v>
      </c>
      <c r="N930" s="11">
        <v>0.5</v>
      </c>
      <c r="O930" s="11">
        <v>0.57966672907695205</v>
      </c>
      <c r="P930" s="11">
        <v>2.5337837837837801E-2</v>
      </c>
      <c r="Q930" s="11">
        <v>0.17499999999999999</v>
      </c>
      <c r="R930" s="11">
        <v>1.11856823266219E-2</v>
      </c>
      <c r="S930" s="10" t="s">
        <v>84</v>
      </c>
      <c r="T930" s="10" t="s">
        <v>84</v>
      </c>
      <c r="U930" s="10"/>
      <c r="V930" s="10"/>
      <c r="W930" s="10"/>
      <c r="X930" s="10"/>
      <c r="Y930" s="10"/>
      <c r="Z930" s="10"/>
      <c r="AA930" s="10"/>
    </row>
    <row r="931" spans="1:27" ht="12.5" x14ac:dyDescent="0.25">
      <c r="A931" s="10" t="s">
        <v>34</v>
      </c>
      <c r="B931" s="10" t="s">
        <v>1333</v>
      </c>
      <c r="C931" s="10" t="s">
        <v>76</v>
      </c>
      <c r="D931" s="11">
        <v>2024</v>
      </c>
      <c r="E931" s="10" t="s">
        <v>81</v>
      </c>
      <c r="F931" s="10" t="s">
        <v>83</v>
      </c>
      <c r="G931" s="10" t="s">
        <v>84</v>
      </c>
      <c r="H931" s="12">
        <v>15316.916666666701</v>
      </c>
      <c r="I931" s="11">
        <v>32</v>
      </c>
      <c r="J931" s="11">
        <v>17</v>
      </c>
      <c r="K931" s="11">
        <v>2346</v>
      </c>
      <c r="L931" s="11">
        <v>2.0891933211100999E-3</v>
      </c>
      <c r="M931" s="11">
        <f t="shared" si="3"/>
        <v>0.20891933211100969</v>
      </c>
      <c r="N931" s="11">
        <v>0.53125</v>
      </c>
      <c r="O931" s="11">
        <v>0.15316398535388401</v>
      </c>
      <c r="P931" s="11">
        <v>2.3648648648648601E-2</v>
      </c>
      <c r="Q931" s="11">
        <v>4.08163265306122E-2</v>
      </c>
      <c r="R931" s="11">
        <v>3.8759689922480599E-2</v>
      </c>
      <c r="S931" s="10" t="s">
        <v>84</v>
      </c>
      <c r="T931" s="10" t="s">
        <v>84</v>
      </c>
      <c r="U931" s="10"/>
      <c r="V931" s="10"/>
      <c r="W931" s="10"/>
      <c r="X931" s="10"/>
      <c r="Y931" s="10"/>
      <c r="Z931" s="10"/>
      <c r="AA931" s="10"/>
    </row>
    <row r="932" spans="1:27" ht="12.5" x14ac:dyDescent="0.25">
      <c r="A932" s="10" t="s">
        <v>115</v>
      </c>
      <c r="B932" s="10" t="s">
        <v>1314</v>
      </c>
      <c r="C932" s="10" t="s">
        <v>76</v>
      </c>
      <c r="D932" s="11">
        <v>2024</v>
      </c>
      <c r="E932" s="10" t="s">
        <v>81</v>
      </c>
      <c r="F932" s="10" t="s">
        <v>83</v>
      </c>
      <c r="G932" s="10" t="s">
        <v>84</v>
      </c>
      <c r="H932" s="12">
        <v>1469.3333333333301</v>
      </c>
      <c r="I932" s="11">
        <v>3</v>
      </c>
      <c r="J932" s="11">
        <v>3</v>
      </c>
      <c r="K932" s="11">
        <v>547</v>
      </c>
      <c r="L932" s="11">
        <v>2.0417422867513601E-3</v>
      </c>
      <c r="M932" s="11">
        <f t="shared" si="3"/>
        <v>0.20417422867513657</v>
      </c>
      <c r="N932" s="11">
        <v>1</v>
      </c>
      <c r="O932" s="11">
        <v>0.372277676950998</v>
      </c>
      <c r="P932" s="11">
        <v>2.2804054054054099E-2</v>
      </c>
      <c r="Q932" s="11">
        <v>0.33333333333333298</v>
      </c>
      <c r="R932" s="11">
        <v>3.6821705426356599E-2</v>
      </c>
      <c r="S932" s="10" t="s">
        <v>84</v>
      </c>
      <c r="T932" s="10" t="s">
        <v>84</v>
      </c>
      <c r="U932" s="10"/>
      <c r="V932" s="10"/>
      <c r="W932" s="10"/>
      <c r="X932" s="10"/>
      <c r="Y932" s="10"/>
      <c r="Z932" s="10"/>
      <c r="AA932" s="10"/>
    </row>
    <row r="933" spans="1:27" ht="12.5" x14ac:dyDescent="0.25">
      <c r="A933" s="10" t="s">
        <v>82</v>
      </c>
      <c r="B933" s="10" t="s">
        <v>1331</v>
      </c>
      <c r="C933" s="10" t="s">
        <v>76</v>
      </c>
      <c r="D933" s="11">
        <v>2024</v>
      </c>
      <c r="E933" s="10" t="s">
        <v>124</v>
      </c>
      <c r="F933" s="10" t="s">
        <v>83</v>
      </c>
      <c r="G933" s="10" t="s">
        <v>84</v>
      </c>
      <c r="H933" s="12">
        <v>1051.8333333333301</v>
      </c>
      <c r="I933" s="11">
        <v>2</v>
      </c>
      <c r="J933" s="11">
        <v>2</v>
      </c>
      <c r="K933" s="11">
        <v>440</v>
      </c>
      <c r="L933" s="11">
        <v>1.9014419267944899E-3</v>
      </c>
      <c r="M933" s="11">
        <f t="shared" si="3"/>
        <v>0.19014419267944915</v>
      </c>
      <c r="N933" s="11">
        <v>1</v>
      </c>
      <c r="O933" s="11">
        <v>0.41831722389478698</v>
      </c>
      <c r="P933" s="11">
        <v>2.1959459459459499E-2</v>
      </c>
      <c r="Q933" s="11">
        <v>0</v>
      </c>
      <c r="R933" s="11">
        <v>8.9485458612975407E-3</v>
      </c>
      <c r="S933" s="10" t="s">
        <v>84</v>
      </c>
      <c r="T933" s="10" t="s">
        <v>84</v>
      </c>
      <c r="U933" s="10"/>
      <c r="V933" s="10"/>
      <c r="W933" s="10"/>
      <c r="X933" s="10"/>
      <c r="Y933" s="10"/>
      <c r="Z933" s="10"/>
      <c r="AA933" s="10"/>
    </row>
    <row r="934" spans="1:27" ht="12.5" hidden="1" x14ac:dyDescent="0.25">
      <c r="A934" s="10" t="s">
        <v>110</v>
      </c>
      <c r="B934" s="10" t="s">
        <v>1542</v>
      </c>
      <c r="C934" s="10" t="s">
        <v>76</v>
      </c>
      <c r="D934" s="11">
        <v>2024</v>
      </c>
      <c r="E934" s="10" t="s">
        <v>257</v>
      </c>
      <c r="F934" s="10" t="s">
        <v>83</v>
      </c>
      <c r="G934" s="10" t="s">
        <v>84</v>
      </c>
      <c r="H934" s="12">
        <v>11917.666666666701</v>
      </c>
      <c r="I934" s="11">
        <v>22</v>
      </c>
      <c r="J934" s="11">
        <v>18</v>
      </c>
      <c r="K934" s="11">
        <v>10823</v>
      </c>
      <c r="L934" s="11">
        <v>1.8459989371521299E-3</v>
      </c>
      <c r="M934" s="11">
        <f t="shared" si="3"/>
        <v>0.18459989371521218</v>
      </c>
      <c r="N934" s="11">
        <v>0.81818181818181801</v>
      </c>
      <c r="O934" s="11">
        <v>0.90814756803624896</v>
      </c>
      <c r="P934" s="11">
        <v>2.1114864864864899E-2</v>
      </c>
      <c r="Q934" s="11">
        <v>3.03030303030303E-2</v>
      </c>
      <c r="R934" s="11">
        <v>0</v>
      </c>
      <c r="S934" s="10" t="s">
        <v>84</v>
      </c>
      <c r="T934" s="10" t="s">
        <v>84</v>
      </c>
      <c r="U934" s="10"/>
      <c r="V934" s="10"/>
      <c r="W934" s="10"/>
      <c r="X934" s="10"/>
      <c r="Y934" s="10"/>
      <c r="Z934" s="10"/>
      <c r="AA934" s="10"/>
    </row>
    <row r="935" spans="1:27" ht="12.5" x14ac:dyDescent="0.25">
      <c r="A935" s="10" t="s">
        <v>34</v>
      </c>
      <c r="B935" s="10" t="s">
        <v>1336</v>
      </c>
      <c r="C935" s="10" t="s">
        <v>76</v>
      </c>
      <c r="D935" s="11">
        <v>2024</v>
      </c>
      <c r="E935" s="10" t="s">
        <v>81</v>
      </c>
      <c r="F935" s="10" t="s">
        <v>83</v>
      </c>
      <c r="G935" s="10" t="s">
        <v>84</v>
      </c>
      <c r="H935" s="12">
        <v>30061.666666666701</v>
      </c>
      <c r="I935" s="11">
        <v>54</v>
      </c>
      <c r="J935" s="11">
        <v>31</v>
      </c>
      <c r="K935" s="11">
        <v>7863</v>
      </c>
      <c r="L935" s="11">
        <v>1.79630758995398E-3</v>
      </c>
      <c r="M935" s="11">
        <f t="shared" si="3"/>
        <v>0.17963075899539815</v>
      </c>
      <c r="N935" s="11">
        <v>0.57407407407407396</v>
      </c>
      <c r="O935" s="11">
        <v>0.26156234407052198</v>
      </c>
      <c r="P935" s="11">
        <v>2.0270270270270299E-2</v>
      </c>
      <c r="Q935" s="11">
        <v>2.04081632653061E-2</v>
      </c>
      <c r="R935" s="11">
        <v>3.4883720930232599E-2</v>
      </c>
      <c r="S935" s="10" t="s">
        <v>84</v>
      </c>
      <c r="T935" s="10" t="s">
        <v>84</v>
      </c>
      <c r="U935" s="10"/>
      <c r="V935" s="10"/>
      <c r="W935" s="10"/>
      <c r="X935" s="10"/>
      <c r="Y935" s="10"/>
      <c r="Z935" s="10"/>
      <c r="AA935" s="10"/>
    </row>
    <row r="936" spans="1:27" ht="12.5" x14ac:dyDescent="0.25">
      <c r="A936" s="10" t="s">
        <v>53</v>
      </c>
      <c r="B936" s="10" t="s">
        <v>1338</v>
      </c>
      <c r="C936" s="10" t="s">
        <v>76</v>
      </c>
      <c r="D936" s="11">
        <v>2024</v>
      </c>
      <c r="E936" s="10" t="s">
        <v>81</v>
      </c>
      <c r="F936" s="10" t="s">
        <v>83</v>
      </c>
      <c r="G936" s="10" t="s">
        <v>84</v>
      </c>
      <c r="H936" s="12">
        <v>11738.583333333299</v>
      </c>
      <c r="I936" s="11">
        <v>21</v>
      </c>
      <c r="J936" s="11">
        <v>15</v>
      </c>
      <c r="K936" s="11">
        <v>320</v>
      </c>
      <c r="L936" s="11">
        <v>1.7889722638308101E-3</v>
      </c>
      <c r="M936" s="11">
        <f t="shared" si="3"/>
        <v>0.17889722638308195</v>
      </c>
      <c r="N936" s="11">
        <v>0.71428571428571397</v>
      </c>
      <c r="O936" s="11">
        <v>2.72605297345648E-2</v>
      </c>
      <c r="P936" s="11">
        <v>1.9425675675675699E-2</v>
      </c>
      <c r="Q936" s="11">
        <v>0.15</v>
      </c>
      <c r="R936" s="11">
        <v>3.2945736434108502E-2</v>
      </c>
      <c r="S936" s="10" t="s">
        <v>84</v>
      </c>
      <c r="T936" s="10" t="s">
        <v>84</v>
      </c>
      <c r="U936" s="10"/>
      <c r="V936" s="10"/>
      <c r="W936" s="10"/>
      <c r="X936" s="10"/>
      <c r="Y936" s="10"/>
      <c r="Z936" s="10"/>
      <c r="AA936" s="10"/>
    </row>
    <row r="937" spans="1:27" ht="12.5" x14ac:dyDescent="0.25">
      <c r="A937" s="10" t="s">
        <v>104</v>
      </c>
      <c r="B937" s="10" t="s">
        <v>1341</v>
      </c>
      <c r="C937" s="10" t="s">
        <v>76</v>
      </c>
      <c r="D937" s="11">
        <v>2024</v>
      </c>
      <c r="E937" s="10" t="s">
        <v>81</v>
      </c>
      <c r="F937" s="10" t="s">
        <v>83</v>
      </c>
      <c r="G937" s="10" t="s">
        <v>84</v>
      </c>
      <c r="H937" s="12">
        <v>18956.666666666701</v>
      </c>
      <c r="I937" s="11">
        <v>30</v>
      </c>
      <c r="J937" s="11">
        <v>32</v>
      </c>
      <c r="K937" s="11">
        <v>304</v>
      </c>
      <c r="L937" s="11">
        <v>1.5825567082820499E-3</v>
      </c>
      <c r="M937" s="11">
        <f t="shared" si="3"/>
        <v>0.15825567082820438</v>
      </c>
      <c r="N937" s="11">
        <v>1.06666666666667</v>
      </c>
      <c r="O937" s="11">
        <v>1.60365746439247E-2</v>
      </c>
      <c r="P937" s="11">
        <v>1.8581081081081099E-2</v>
      </c>
      <c r="Q937" s="11">
        <v>3.4482758620689703E-2</v>
      </c>
      <c r="R937" s="11">
        <v>3.1007751937984499E-2</v>
      </c>
      <c r="S937" s="10" t="s">
        <v>84</v>
      </c>
      <c r="T937" s="10" t="s">
        <v>84</v>
      </c>
      <c r="U937" s="10"/>
      <c r="V937" s="10"/>
      <c r="W937" s="10"/>
      <c r="X937" s="10"/>
      <c r="Y937" s="10"/>
      <c r="Z937" s="10"/>
      <c r="AA937" s="10"/>
    </row>
    <row r="938" spans="1:27" ht="12.5" x14ac:dyDescent="0.25">
      <c r="A938" s="10" t="s">
        <v>86</v>
      </c>
      <c r="B938" s="10" t="s">
        <v>1342</v>
      </c>
      <c r="C938" s="10" t="s">
        <v>76</v>
      </c>
      <c r="D938" s="11">
        <v>2024</v>
      </c>
      <c r="E938" s="10" t="s">
        <v>81</v>
      </c>
      <c r="F938" s="10" t="s">
        <v>83</v>
      </c>
      <c r="G938" s="10" t="s">
        <v>84</v>
      </c>
      <c r="H938" s="12">
        <v>21550.5</v>
      </c>
      <c r="I938" s="11">
        <v>34</v>
      </c>
      <c r="J938" s="11">
        <v>24</v>
      </c>
      <c r="K938" s="11">
        <v>30175</v>
      </c>
      <c r="L938" s="11">
        <v>1.57768961277001E-3</v>
      </c>
      <c r="M938" s="11">
        <f t="shared" si="3"/>
        <v>0.15776896127700052</v>
      </c>
      <c r="N938" s="11">
        <v>0.70588235294117696</v>
      </c>
      <c r="O938" s="11">
        <v>1.4001995313333799</v>
      </c>
      <c r="P938" s="11">
        <v>1.77364864864865E-2</v>
      </c>
      <c r="Q938" s="11">
        <v>0</v>
      </c>
      <c r="R938" s="11">
        <v>2.9069767441860499E-2</v>
      </c>
      <c r="S938" s="10" t="s">
        <v>84</v>
      </c>
      <c r="T938" s="10" t="s">
        <v>84</v>
      </c>
      <c r="U938" s="10"/>
      <c r="V938" s="10"/>
      <c r="W938" s="10"/>
      <c r="X938" s="10"/>
      <c r="Y938" s="10"/>
      <c r="Z938" s="10"/>
      <c r="AA938" s="10"/>
    </row>
    <row r="939" spans="1:27" ht="12.5" x14ac:dyDescent="0.25">
      <c r="A939" s="10" t="s">
        <v>10</v>
      </c>
      <c r="B939" s="10" t="s">
        <v>1343</v>
      </c>
      <c r="C939" s="10" t="s">
        <v>76</v>
      </c>
      <c r="D939" s="11">
        <v>2024</v>
      </c>
      <c r="E939" s="10" t="s">
        <v>81</v>
      </c>
      <c r="F939" s="10" t="s">
        <v>83</v>
      </c>
      <c r="G939" s="10" t="s">
        <v>84</v>
      </c>
      <c r="H939" s="12">
        <v>18961</v>
      </c>
      <c r="I939" s="11">
        <v>27</v>
      </c>
      <c r="J939" s="11">
        <v>5</v>
      </c>
      <c r="K939" s="11">
        <v>19062</v>
      </c>
      <c r="L939" s="11">
        <v>1.4239755287168399E-3</v>
      </c>
      <c r="M939" s="11">
        <f t="shared" si="3"/>
        <v>0.14239755287168399</v>
      </c>
      <c r="N939" s="11">
        <v>0.18518518518518501</v>
      </c>
      <c r="O939" s="11">
        <v>1.0053267232740899</v>
      </c>
      <c r="P939" s="11">
        <v>1.68918918918919E-2</v>
      </c>
      <c r="Q939" s="11">
        <v>0</v>
      </c>
      <c r="R939" s="11">
        <v>2.7131782945736399E-2</v>
      </c>
      <c r="S939" s="10" t="s">
        <v>84</v>
      </c>
      <c r="T939" s="10" t="s">
        <v>84</v>
      </c>
      <c r="U939" s="10"/>
      <c r="V939" s="10"/>
      <c r="W939" s="10"/>
      <c r="X939" s="10"/>
      <c r="Y939" s="10"/>
      <c r="Z939" s="10"/>
      <c r="AA939" s="10"/>
    </row>
    <row r="940" spans="1:27" ht="12.5" x14ac:dyDescent="0.25">
      <c r="A940" s="10" t="s">
        <v>12</v>
      </c>
      <c r="B940" s="10" t="s">
        <v>1344</v>
      </c>
      <c r="C940" s="10" t="s">
        <v>76</v>
      </c>
      <c r="D940" s="11">
        <v>2024</v>
      </c>
      <c r="E940" s="10" t="s">
        <v>81</v>
      </c>
      <c r="F940" s="10" t="s">
        <v>83</v>
      </c>
      <c r="G940" s="10" t="s">
        <v>84</v>
      </c>
      <c r="H940" s="12">
        <v>3062.75</v>
      </c>
      <c r="I940" s="11">
        <v>4</v>
      </c>
      <c r="J940" s="11">
        <v>2</v>
      </c>
      <c r="K940" s="11">
        <v>2061</v>
      </c>
      <c r="L940" s="11">
        <v>1.3060158354420001E-3</v>
      </c>
      <c r="M940" s="11">
        <f t="shared" si="3"/>
        <v>0.13060158354420046</v>
      </c>
      <c r="N940" s="11">
        <v>0.5</v>
      </c>
      <c r="O940" s="11">
        <v>0.67292465921149303</v>
      </c>
      <c r="P940" s="11">
        <v>1.60472972972973E-2</v>
      </c>
      <c r="Q940" s="11">
        <v>0</v>
      </c>
      <c r="R940" s="11">
        <v>2.5193798449612399E-2</v>
      </c>
      <c r="S940" s="10" t="s">
        <v>84</v>
      </c>
      <c r="T940" s="10" t="s">
        <v>84</v>
      </c>
      <c r="U940" s="10"/>
      <c r="V940" s="10"/>
      <c r="W940" s="10"/>
      <c r="X940" s="10"/>
      <c r="Y940" s="10"/>
      <c r="Z940" s="10"/>
      <c r="AA940" s="10"/>
    </row>
    <row r="941" spans="1:27" ht="12.5" x14ac:dyDescent="0.25">
      <c r="A941" s="10" t="s">
        <v>6</v>
      </c>
      <c r="B941" s="10" t="s">
        <v>1345</v>
      </c>
      <c r="C941" s="10" t="s">
        <v>76</v>
      </c>
      <c r="D941" s="11">
        <v>2024</v>
      </c>
      <c r="E941" s="10" t="s">
        <v>81</v>
      </c>
      <c r="F941" s="10" t="s">
        <v>83</v>
      </c>
      <c r="G941" s="10" t="s">
        <v>84</v>
      </c>
      <c r="H941" s="12">
        <v>2388.6666666666702</v>
      </c>
      <c r="I941" s="11">
        <v>3</v>
      </c>
      <c r="J941" s="11">
        <v>0</v>
      </c>
      <c r="K941" s="11">
        <v>1133</v>
      </c>
      <c r="L941" s="11">
        <v>1.2559307842589999E-3</v>
      </c>
      <c r="M941" s="11">
        <f t="shared" si="3"/>
        <v>0.1255930784258999</v>
      </c>
      <c r="N941" s="11">
        <v>0</v>
      </c>
      <c r="O941" s="11">
        <v>0.47432319285514901</v>
      </c>
      <c r="P941" s="11">
        <v>1.52027027027027E-2</v>
      </c>
      <c r="Q941" s="11">
        <v>0</v>
      </c>
      <c r="R941" s="11">
        <v>2.32558139534884E-2</v>
      </c>
      <c r="S941" s="10" t="s">
        <v>84</v>
      </c>
      <c r="T941" s="10" t="s">
        <v>84</v>
      </c>
      <c r="U941" s="10"/>
      <c r="V941" s="10"/>
      <c r="W941" s="10"/>
      <c r="X941" s="10"/>
      <c r="Y941" s="10"/>
      <c r="Z941" s="10"/>
      <c r="AA941" s="10"/>
    </row>
    <row r="942" spans="1:27" ht="12.5" x14ac:dyDescent="0.25">
      <c r="A942" s="10" t="s">
        <v>53</v>
      </c>
      <c r="B942" s="10" t="s">
        <v>1346</v>
      </c>
      <c r="C942" s="10" t="s">
        <v>76</v>
      </c>
      <c r="D942" s="11">
        <v>2024</v>
      </c>
      <c r="E942" s="10" t="s">
        <v>81</v>
      </c>
      <c r="F942" s="10" t="s">
        <v>125</v>
      </c>
      <c r="G942" s="10" t="s">
        <v>84</v>
      </c>
      <c r="H942" s="12">
        <v>1720.9166666666699</v>
      </c>
      <c r="I942" s="11">
        <v>2</v>
      </c>
      <c r="J942" s="11">
        <v>1</v>
      </c>
      <c r="K942" s="11">
        <v>13</v>
      </c>
      <c r="L942" s="11">
        <v>1.16217132342259E-3</v>
      </c>
      <c r="M942" s="11">
        <f t="shared" si="3"/>
        <v>0.11621713234225924</v>
      </c>
      <c r="N942" s="11">
        <v>0.5</v>
      </c>
      <c r="O942" s="11">
        <v>7.5541136022468603E-3</v>
      </c>
      <c r="P942" s="11">
        <v>1.43581081081081E-2</v>
      </c>
      <c r="Q942" s="11">
        <v>0.125</v>
      </c>
      <c r="R942" s="11">
        <v>2.1317829457364299E-2</v>
      </c>
      <c r="S942" s="10" t="s">
        <v>84</v>
      </c>
      <c r="T942" s="10" t="s">
        <v>84</v>
      </c>
      <c r="U942" s="10"/>
      <c r="V942" s="10"/>
      <c r="W942" s="10"/>
      <c r="X942" s="10"/>
      <c r="Y942" s="10"/>
      <c r="Z942" s="10"/>
      <c r="AA942" s="10"/>
    </row>
    <row r="943" spans="1:27" ht="12.5" x14ac:dyDescent="0.25">
      <c r="A943" s="10" t="s">
        <v>104</v>
      </c>
      <c r="B943" s="10" t="s">
        <v>1347</v>
      </c>
      <c r="C943" s="10" t="s">
        <v>76</v>
      </c>
      <c r="D943" s="11">
        <v>2024</v>
      </c>
      <c r="E943" s="10" t="s">
        <v>81</v>
      </c>
      <c r="F943" s="10" t="s">
        <v>83</v>
      </c>
      <c r="G943" s="10" t="s">
        <v>84</v>
      </c>
      <c r="H943" s="12">
        <v>2632.0833333333298</v>
      </c>
      <c r="I943" s="11">
        <v>3</v>
      </c>
      <c r="J943" s="11">
        <v>2</v>
      </c>
      <c r="K943" s="11">
        <v>68</v>
      </c>
      <c r="L943" s="11">
        <v>1.1397815418711401E-3</v>
      </c>
      <c r="M943" s="11">
        <f t="shared" si="3"/>
        <v>0.11397815418711429</v>
      </c>
      <c r="N943" s="11">
        <v>0.66666666666666696</v>
      </c>
      <c r="O943" s="11">
        <v>2.5835048282412499E-2</v>
      </c>
      <c r="P943" s="11">
        <v>1.35135135135135E-2</v>
      </c>
      <c r="Q943" s="11">
        <v>0</v>
      </c>
      <c r="R943" s="11">
        <v>1.9379844961240299E-2</v>
      </c>
      <c r="S943" s="10" t="s">
        <v>84</v>
      </c>
      <c r="T943" s="10" t="s">
        <v>84</v>
      </c>
      <c r="U943" s="10"/>
      <c r="V943" s="10"/>
      <c r="W943" s="10"/>
      <c r="X943" s="10"/>
      <c r="Y943" s="10"/>
      <c r="Z943" s="10"/>
      <c r="AA943" s="10"/>
    </row>
    <row r="944" spans="1:27" ht="12.5" x14ac:dyDescent="0.25">
      <c r="A944" s="10" t="s">
        <v>53</v>
      </c>
      <c r="B944" s="10" t="s">
        <v>1313</v>
      </c>
      <c r="C944" s="10" t="s">
        <v>76</v>
      </c>
      <c r="D944" s="11">
        <v>2024</v>
      </c>
      <c r="E944" s="10" t="s">
        <v>81</v>
      </c>
      <c r="F944" s="10" t="s">
        <v>83</v>
      </c>
      <c r="G944" s="10" t="s">
        <v>84</v>
      </c>
      <c r="H944" s="12">
        <v>7238.6666666666697</v>
      </c>
      <c r="I944" s="11">
        <v>8</v>
      </c>
      <c r="J944" s="11">
        <v>7</v>
      </c>
      <c r="K944" s="11">
        <v>32</v>
      </c>
      <c r="L944" s="11">
        <v>1.10517590716522E-3</v>
      </c>
      <c r="M944" s="11">
        <f t="shared" si="3"/>
        <v>0.11051759071652233</v>
      </c>
      <c r="N944" s="11">
        <v>0.875</v>
      </c>
      <c r="O944" s="11">
        <v>4.4207036286609E-3</v>
      </c>
      <c r="P944" s="11">
        <v>1.2668918918918901E-2</v>
      </c>
      <c r="Q944" s="11">
        <v>0.1</v>
      </c>
      <c r="R944" s="11">
        <v>1.74418604651163E-2</v>
      </c>
      <c r="S944" s="10" t="s">
        <v>84</v>
      </c>
      <c r="T944" s="10" t="s">
        <v>84</v>
      </c>
      <c r="U944" s="10"/>
      <c r="V944" s="10"/>
      <c r="W944" s="10"/>
      <c r="X944" s="10"/>
      <c r="Y944" s="10"/>
      <c r="Z944" s="10"/>
      <c r="AA944" s="10"/>
    </row>
    <row r="945" spans="1:27" ht="12.5" x14ac:dyDescent="0.25">
      <c r="A945" s="10" t="s">
        <v>115</v>
      </c>
      <c r="B945" s="10" t="s">
        <v>1348</v>
      </c>
      <c r="C945" s="10" t="s">
        <v>76</v>
      </c>
      <c r="D945" s="11">
        <v>2024</v>
      </c>
      <c r="E945" s="10" t="s">
        <v>81</v>
      </c>
      <c r="F945" s="10" t="s">
        <v>83</v>
      </c>
      <c r="G945" s="10" t="s">
        <v>84</v>
      </c>
      <c r="H945" s="12">
        <v>6999.5</v>
      </c>
      <c r="I945" s="11">
        <v>5</v>
      </c>
      <c r="J945" s="11">
        <v>1</v>
      </c>
      <c r="K945" s="11">
        <v>173</v>
      </c>
      <c r="L945" s="11">
        <v>7.1433673833845297E-4</v>
      </c>
      <c r="M945" s="11">
        <f t="shared" si="3"/>
        <v>7.1433673833845274E-2</v>
      </c>
      <c r="N945" s="11">
        <v>0.2</v>
      </c>
      <c r="O945" s="11">
        <v>2.4716051146510501E-2</v>
      </c>
      <c r="P945" s="11">
        <v>1.1824324324324301E-2</v>
      </c>
      <c r="Q945" s="11">
        <v>0.22222222222222199</v>
      </c>
      <c r="R945" s="11">
        <v>1.5503875968992199E-2</v>
      </c>
      <c r="S945" s="10" t="s">
        <v>84</v>
      </c>
      <c r="T945" s="10" t="s">
        <v>84</v>
      </c>
      <c r="U945" s="10"/>
      <c r="V945" s="10"/>
      <c r="W945" s="10"/>
      <c r="X945" s="10"/>
      <c r="Y945" s="10"/>
      <c r="Z945" s="10"/>
      <c r="AA945" s="10"/>
    </row>
    <row r="946" spans="1:27" ht="12.5" x14ac:dyDescent="0.25">
      <c r="A946" s="10" t="s">
        <v>53</v>
      </c>
      <c r="B946" s="10" t="s">
        <v>1349</v>
      </c>
      <c r="C946" s="10" t="s">
        <v>76</v>
      </c>
      <c r="D946" s="11">
        <v>2024</v>
      </c>
      <c r="E946" s="10" t="s">
        <v>81</v>
      </c>
      <c r="F946" s="10" t="s">
        <v>125</v>
      </c>
      <c r="G946" s="10" t="s">
        <v>84</v>
      </c>
      <c r="H946" s="12">
        <v>1646.5833333333301</v>
      </c>
      <c r="I946" s="11">
        <v>1</v>
      </c>
      <c r="J946" s="11">
        <v>1</v>
      </c>
      <c r="K946" s="11">
        <v>3</v>
      </c>
      <c r="L946" s="11">
        <v>6.0731818411862998E-4</v>
      </c>
      <c r="M946" s="11">
        <f t="shared" si="3"/>
        <v>6.0731818411863064E-2</v>
      </c>
      <c r="N946" s="11">
        <v>1</v>
      </c>
      <c r="O946" s="11">
        <v>1.82195455235589E-3</v>
      </c>
      <c r="P946" s="11">
        <v>1.0135135135135099E-2</v>
      </c>
      <c r="Q946" s="11">
        <v>7.4999999999999997E-2</v>
      </c>
      <c r="R946" s="11">
        <v>1.35658914728682E-2</v>
      </c>
      <c r="S946" s="10" t="s">
        <v>84</v>
      </c>
      <c r="T946" s="10" t="s">
        <v>84</v>
      </c>
      <c r="U946" s="10"/>
      <c r="V946" s="10"/>
      <c r="W946" s="10"/>
      <c r="X946" s="10"/>
      <c r="Y946" s="10"/>
      <c r="Z946" s="10"/>
      <c r="AA946" s="10"/>
    </row>
    <row r="947" spans="1:27" ht="12.5" x14ac:dyDescent="0.25">
      <c r="A947" s="10" t="s">
        <v>112</v>
      </c>
      <c r="B947" s="10" t="s">
        <v>1328</v>
      </c>
      <c r="C947" s="10" t="s">
        <v>76</v>
      </c>
      <c r="D947" s="11">
        <v>2024</v>
      </c>
      <c r="E947" s="10" t="s">
        <v>81</v>
      </c>
      <c r="F947" s="10" t="s">
        <v>83</v>
      </c>
      <c r="G947" s="10" t="s">
        <v>84</v>
      </c>
      <c r="H947" s="12">
        <v>22583.833333333299</v>
      </c>
      <c r="I947" s="11">
        <v>9</v>
      </c>
      <c r="J947" s="11">
        <v>7</v>
      </c>
      <c r="K947" s="11">
        <v>18073</v>
      </c>
      <c r="L947" s="11">
        <v>3.9851516202593298E-4</v>
      </c>
      <c r="M947" s="11">
        <f t="shared" si="3"/>
        <v>3.9851516202593355E-2</v>
      </c>
      <c r="N947" s="11">
        <v>0.77777777777777801</v>
      </c>
      <c r="O947" s="11">
        <v>0.80026272481052096</v>
      </c>
      <c r="P947" s="11">
        <v>9.2905405405405393E-3</v>
      </c>
      <c r="Q947" s="11">
        <v>0</v>
      </c>
      <c r="R947" s="11">
        <v>1.16279069767442E-2</v>
      </c>
      <c r="S947" s="10" t="s">
        <v>84</v>
      </c>
      <c r="T947" s="10" t="s">
        <v>84</v>
      </c>
      <c r="U947" s="10"/>
      <c r="V947" s="10"/>
      <c r="W947" s="10"/>
      <c r="X947" s="10"/>
      <c r="Y947" s="10"/>
      <c r="Z947" s="10"/>
      <c r="AA947" s="10"/>
    </row>
    <row r="948" spans="1:27" ht="12.5" x14ac:dyDescent="0.25">
      <c r="A948" s="10" t="s">
        <v>53</v>
      </c>
      <c r="B948" s="10" t="s">
        <v>1351</v>
      </c>
      <c r="C948" s="10" t="s">
        <v>76</v>
      </c>
      <c r="D948" s="11">
        <v>2024</v>
      </c>
      <c r="E948" s="10" t="s">
        <v>81</v>
      </c>
      <c r="F948" s="10" t="s">
        <v>83</v>
      </c>
      <c r="G948" s="10" t="s">
        <v>84</v>
      </c>
      <c r="H948" s="12">
        <v>6830.25</v>
      </c>
      <c r="I948" s="11">
        <v>2</v>
      </c>
      <c r="J948" s="11">
        <v>2</v>
      </c>
      <c r="K948" s="11">
        <v>122</v>
      </c>
      <c r="L948" s="11">
        <v>2.9281505069360598E-4</v>
      </c>
      <c r="M948" s="11">
        <f t="shared" si="3"/>
        <v>2.9281505069360565E-2</v>
      </c>
      <c r="N948" s="11">
        <v>1</v>
      </c>
      <c r="O948" s="11">
        <v>1.7861718092309901E-2</v>
      </c>
      <c r="P948" s="11">
        <v>8.4459459459459499E-3</v>
      </c>
      <c r="Q948" s="11">
        <v>0.05</v>
      </c>
      <c r="R948" s="11">
        <v>9.6899224806201497E-3</v>
      </c>
      <c r="S948" s="10" t="s">
        <v>84</v>
      </c>
      <c r="T948" s="10" t="s">
        <v>84</v>
      </c>
      <c r="U948" s="10"/>
      <c r="V948" s="10"/>
      <c r="W948" s="10"/>
      <c r="X948" s="10"/>
      <c r="Y948" s="10"/>
      <c r="Z948" s="10"/>
      <c r="AA948" s="10"/>
    </row>
    <row r="949" spans="1:27" ht="12.5" x14ac:dyDescent="0.25">
      <c r="A949" s="10"/>
      <c r="B949" s="10"/>
      <c r="C949" s="10"/>
      <c r="D949" s="10"/>
      <c r="E949" s="10"/>
      <c r="F949" s="10"/>
      <c r="G949" s="10"/>
      <c r="H949" s="15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2.5" x14ac:dyDescent="0.25">
      <c r="A950" s="10"/>
      <c r="B950" s="10"/>
      <c r="C950" s="10"/>
      <c r="D950" s="10"/>
      <c r="E950" s="10"/>
      <c r="F950" s="10"/>
      <c r="G950" s="10"/>
      <c r="H950" s="15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</sheetData>
  <autoFilter ref="A1:T948" xr:uid="{00000000-0009-0000-0000-000006000000}">
    <filterColumn colId="4">
      <filters>
        <filter val="Cooperative"/>
        <filter val="Municipal"/>
      </filters>
    </filterColumn>
    <filterColumn colId="7">
      <customFilters>
        <customFilter operator="lessThan" val="100000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T58"/>
  <sheetViews>
    <sheetView workbookViewId="0"/>
  </sheetViews>
  <sheetFormatPr defaultColWidth="12.6328125" defaultRowHeight="15.75" customHeight="1" x14ac:dyDescent="0.25"/>
  <sheetData>
    <row r="1" spans="1:20" ht="13" x14ac:dyDescent="0.3">
      <c r="A1" s="7" t="s">
        <v>23</v>
      </c>
      <c r="B1" s="7" t="s">
        <v>28</v>
      </c>
      <c r="C1" s="7" t="s">
        <v>30</v>
      </c>
      <c r="D1" s="7" t="s">
        <v>31</v>
      </c>
      <c r="E1" s="7" t="s">
        <v>33</v>
      </c>
      <c r="F1" s="7" t="s">
        <v>35</v>
      </c>
      <c r="G1" s="7" t="s">
        <v>38</v>
      </c>
      <c r="H1" s="14" t="s">
        <v>41</v>
      </c>
      <c r="I1" s="7" t="s">
        <v>44</v>
      </c>
      <c r="J1" s="7" t="s">
        <v>46</v>
      </c>
      <c r="K1" s="7" t="s">
        <v>50</v>
      </c>
      <c r="L1" s="7" t="s">
        <v>51</v>
      </c>
      <c r="M1" s="7" t="s">
        <v>54</v>
      </c>
      <c r="N1" s="7" t="s">
        <v>56</v>
      </c>
      <c r="O1" s="7" t="s">
        <v>57</v>
      </c>
      <c r="P1" s="7" t="s">
        <v>59</v>
      </c>
      <c r="Q1" s="7" t="s">
        <v>60</v>
      </c>
      <c r="R1" s="7" t="s">
        <v>61</v>
      </c>
      <c r="S1" s="7" t="s">
        <v>63</v>
      </c>
      <c r="T1" s="7" t="s">
        <v>64</v>
      </c>
    </row>
    <row r="2" spans="1:20" ht="12.5" x14ac:dyDescent="0.25">
      <c r="A2" s="10" t="s">
        <v>14</v>
      </c>
      <c r="B2" s="10" t="s">
        <v>213</v>
      </c>
      <c r="C2" s="10" t="s">
        <v>76</v>
      </c>
      <c r="D2" s="11">
        <v>2024</v>
      </c>
      <c r="E2" s="10" t="s">
        <v>124</v>
      </c>
      <c r="F2" s="10" t="s">
        <v>83</v>
      </c>
      <c r="G2" s="10" t="s">
        <v>84</v>
      </c>
      <c r="H2" s="12">
        <v>198345.33333333299</v>
      </c>
      <c r="I2" s="11">
        <v>107061</v>
      </c>
      <c r="J2" s="11">
        <v>48610</v>
      </c>
      <c r="K2" s="11">
        <v>430307</v>
      </c>
      <c r="L2" s="11">
        <v>0.53977070294906504</v>
      </c>
      <c r="M2" s="11">
        <f t="shared" ref="M2:M58" si="0">(I2/H2)*100</f>
        <v>53.977070294906618</v>
      </c>
      <c r="N2" s="11">
        <v>0.45404022006146</v>
      </c>
      <c r="O2" s="11">
        <v>2.1694838631612199</v>
      </c>
      <c r="P2" s="11">
        <v>0.98057432432432401</v>
      </c>
      <c r="Q2" s="11">
        <v>0.96428571428571397</v>
      </c>
      <c r="R2" s="11">
        <v>0.97315436241610698</v>
      </c>
      <c r="S2" s="10" t="s">
        <v>84</v>
      </c>
      <c r="T2" s="10" t="s">
        <v>84</v>
      </c>
    </row>
    <row r="3" spans="1:20" ht="12.5" x14ac:dyDescent="0.25">
      <c r="A3" s="10" t="s">
        <v>29</v>
      </c>
      <c r="B3" s="10" t="s">
        <v>227</v>
      </c>
      <c r="C3" s="10" t="s">
        <v>76</v>
      </c>
      <c r="D3" s="11">
        <v>2024</v>
      </c>
      <c r="E3" s="10" t="s">
        <v>124</v>
      </c>
      <c r="F3" s="10" t="s">
        <v>83</v>
      </c>
      <c r="G3" s="10" t="s">
        <v>84</v>
      </c>
      <c r="H3" s="12">
        <v>380286.16666666698</v>
      </c>
      <c r="I3" s="11">
        <v>182151</v>
      </c>
      <c r="J3" s="11">
        <v>167370</v>
      </c>
      <c r="K3" s="11">
        <v>1107634</v>
      </c>
      <c r="L3" s="11">
        <v>0.47898402825591402</v>
      </c>
      <c r="M3" s="11">
        <f t="shared" si="0"/>
        <v>47.89840282559139</v>
      </c>
      <c r="N3" s="11">
        <v>0.91885303951117503</v>
      </c>
      <c r="O3" s="11">
        <v>2.9126328988213701</v>
      </c>
      <c r="P3" s="11">
        <v>0.97888513513513498</v>
      </c>
      <c r="Q3" s="11">
        <v>1</v>
      </c>
      <c r="R3" s="11">
        <v>0.970917225950783</v>
      </c>
      <c r="S3" s="10" t="s">
        <v>84</v>
      </c>
      <c r="T3" s="10" t="s">
        <v>84</v>
      </c>
    </row>
    <row r="4" spans="1:20" ht="12.5" x14ac:dyDescent="0.25">
      <c r="A4" s="10" t="s">
        <v>29</v>
      </c>
      <c r="B4" s="10" t="s">
        <v>169</v>
      </c>
      <c r="C4" s="10" t="s">
        <v>76</v>
      </c>
      <c r="D4" s="11">
        <v>2024</v>
      </c>
      <c r="E4" s="10" t="s">
        <v>124</v>
      </c>
      <c r="F4" s="10" t="s">
        <v>83</v>
      </c>
      <c r="G4" s="10" t="s">
        <v>84</v>
      </c>
      <c r="H4" s="12">
        <v>163693.16666666701</v>
      </c>
      <c r="I4" s="11">
        <v>73540</v>
      </c>
      <c r="J4" s="11">
        <v>72063</v>
      </c>
      <c r="K4" s="11">
        <v>326710</v>
      </c>
      <c r="L4" s="11">
        <v>0.44925516133334797</v>
      </c>
      <c r="M4" s="11">
        <f t="shared" si="0"/>
        <v>44.925516133334732</v>
      </c>
      <c r="N4" s="11">
        <v>0.97991569214033203</v>
      </c>
      <c r="O4" s="11">
        <v>1.9958682860921699</v>
      </c>
      <c r="P4" s="11">
        <v>0.97297297297297303</v>
      </c>
      <c r="Q4" s="11">
        <v>0.95918367346938804</v>
      </c>
      <c r="R4" s="11">
        <v>0.95749440715883705</v>
      </c>
      <c r="S4" s="10" t="s">
        <v>84</v>
      </c>
      <c r="T4" s="10" t="s">
        <v>84</v>
      </c>
    </row>
    <row r="5" spans="1:20" ht="12.5" x14ac:dyDescent="0.25">
      <c r="A5" s="10" t="s">
        <v>16</v>
      </c>
      <c r="B5" s="10" t="s">
        <v>372</v>
      </c>
      <c r="C5" s="10" t="s">
        <v>76</v>
      </c>
      <c r="D5" s="11">
        <v>2024</v>
      </c>
      <c r="E5" s="10" t="s">
        <v>124</v>
      </c>
      <c r="F5" s="10" t="s">
        <v>83</v>
      </c>
      <c r="G5" s="10" t="s">
        <v>84</v>
      </c>
      <c r="H5" s="12">
        <v>108476.16666666701</v>
      </c>
      <c r="I5" s="11">
        <v>33605</v>
      </c>
      <c r="J5" s="11">
        <v>32622</v>
      </c>
      <c r="K5" s="11">
        <v>64033</v>
      </c>
      <c r="L5" s="11">
        <v>0.30979155175407203</v>
      </c>
      <c r="M5" s="11">
        <f t="shared" si="0"/>
        <v>30.979155175407097</v>
      </c>
      <c r="N5" s="11">
        <v>0.97074840053563505</v>
      </c>
      <c r="O5" s="11">
        <v>0.59029556415618201</v>
      </c>
      <c r="P5" s="11">
        <v>0.94679054054054101</v>
      </c>
      <c r="Q5" s="11">
        <v>0.86666666666666703</v>
      </c>
      <c r="R5" s="11">
        <v>0.91051454138702503</v>
      </c>
      <c r="S5" s="10" t="s">
        <v>84</v>
      </c>
      <c r="T5" s="10" t="s">
        <v>84</v>
      </c>
    </row>
    <row r="6" spans="1:20" ht="12.5" x14ac:dyDescent="0.25">
      <c r="A6" s="10" t="s">
        <v>16</v>
      </c>
      <c r="B6" s="10" t="s">
        <v>325</v>
      </c>
      <c r="C6" s="10" t="s">
        <v>76</v>
      </c>
      <c r="D6" s="11">
        <v>2024</v>
      </c>
      <c r="E6" s="10" t="s">
        <v>81</v>
      </c>
      <c r="F6" s="10" t="s">
        <v>83</v>
      </c>
      <c r="G6" s="10" t="s">
        <v>84</v>
      </c>
      <c r="H6" s="12">
        <v>247294.5</v>
      </c>
      <c r="I6" s="11">
        <v>68617</v>
      </c>
      <c r="J6" s="11">
        <v>68333</v>
      </c>
      <c r="K6" s="11">
        <v>209490</v>
      </c>
      <c r="L6" s="11">
        <v>0.27747078887722898</v>
      </c>
      <c r="M6" s="11">
        <f t="shared" si="0"/>
        <v>27.747078887722935</v>
      </c>
      <c r="N6" s="11">
        <v>0.99586108398793305</v>
      </c>
      <c r="O6" s="11">
        <v>0.84712761505007195</v>
      </c>
      <c r="P6" s="11">
        <v>0.92989864864864902</v>
      </c>
      <c r="Q6" s="11">
        <v>0.8</v>
      </c>
      <c r="R6" s="11">
        <v>0.95542635658914699</v>
      </c>
      <c r="S6" s="10" t="s">
        <v>84</v>
      </c>
      <c r="T6" s="10" t="s">
        <v>84</v>
      </c>
    </row>
    <row r="7" spans="1:20" ht="12.5" x14ac:dyDescent="0.25">
      <c r="A7" s="10" t="s">
        <v>16</v>
      </c>
      <c r="B7" s="10" t="s">
        <v>330</v>
      </c>
      <c r="C7" s="10" t="s">
        <v>76</v>
      </c>
      <c r="D7" s="11">
        <v>2024</v>
      </c>
      <c r="E7" s="10" t="s">
        <v>81</v>
      </c>
      <c r="F7" s="10" t="s">
        <v>83</v>
      </c>
      <c r="G7" s="10" t="s">
        <v>84</v>
      </c>
      <c r="H7" s="12">
        <v>171256.58333333299</v>
      </c>
      <c r="I7" s="11">
        <v>47325</v>
      </c>
      <c r="J7" s="11">
        <v>43723</v>
      </c>
      <c r="K7" s="11">
        <v>241557</v>
      </c>
      <c r="L7" s="11">
        <v>0.27633974168389602</v>
      </c>
      <c r="M7" s="11">
        <f t="shared" si="0"/>
        <v>27.633974168389692</v>
      </c>
      <c r="N7" s="11">
        <v>0.92388800845219199</v>
      </c>
      <c r="O7" s="11">
        <v>1.41049760130876</v>
      </c>
      <c r="P7" s="11">
        <v>0.92820945945945899</v>
      </c>
      <c r="Q7" s="11">
        <v>0.76666666666666705</v>
      </c>
      <c r="R7" s="11">
        <v>0.95348837209302295</v>
      </c>
      <c r="S7" s="10" t="s">
        <v>84</v>
      </c>
      <c r="T7" s="10" t="s">
        <v>84</v>
      </c>
    </row>
    <row r="8" spans="1:20" ht="12.5" x14ac:dyDescent="0.25">
      <c r="A8" s="10" t="s">
        <v>12</v>
      </c>
      <c r="B8" s="10" t="s">
        <v>348</v>
      </c>
      <c r="C8" s="10" t="s">
        <v>76</v>
      </c>
      <c r="D8" s="11">
        <v>2024</v>
      </c>
      <c r="E8" s="10" t="s">
        <v>81</v>
      </c>
      <c r="F8" s="10" t="s">
        <v>83</v>
      </c>
      <c r="G8" s="10" t="s">
        <v>84</v>
      </c>
      <c r="H8" s="12">
        <v>124073.5</v>
      </c>
      <c r="I8" s="11">
        <v>31381</v>
      </c>
      <c r="J8" s="11">
        <v>2833</v>
      </c>
      <c r="K8" s="11">
        <v>426800</v>
      </c>
      <c r="L8" s="11">
        <v>0.252922662776499</v>
      </c>
      <c r="M8" s="11">
        <f t="shared" si="0"/>
        <v>25.292266277649944</v>
      </c>
      <c r="N8" s="11">
        <v>9.0277556483222304E-2</v>
      </c>
      <c r="O8" s="11">
        <v>3.4398965129540202</v>
      </c>
      <c r="P8" s="11">
        <v>0.91976351351351304</v>
      </c>
      <c r="Q8" s="11">
        <v>0.91666666666666696</v>
      </c>
      <c r="R8" s="11">
        <v>0.94767441860465096</v>
      </c>
      <c r="S8" s="10" t="s">
        <v>84</v>
      </c>
      <c r="T8" s="10" t="s">
        <v>84</v>
      </c>
    </row>
    <row r="9" spans="1:20" ht="12.5" x14ac:dyDescent="0.25">
      <c r="A9" s="10" t="s">
        <v>110</v>
      </c>
      <c r="B9" s="10" t="s">
        <v>441</v>
      </c>
      <c r="C9" s="10" t="s">
        <v>76</v>
      </c>
      <c r="D9" s="11">
        <v>2024</v>
      </c>
      <c r="E9" s="10" t="s">
        <v>124</v>
      </c>
      <c r="F9" s="10" t="s">
        <v>83</v>
      </c>
      <c r="G9" s="10" t="s">
        <v>84</v>
      </c>
      <c r="H9" s="12">
        <v>175581.5</v>
      </c>
      <c r="I9" s="11">
        <v>37882</v>
      </c>
      <c r="J9" s="11">
        <v>37640</v>
      </c>
      <c r="K9" s="11">
        <v>156975</v>
      </c>
      <c r="L9" s="11">
        <v>0.215751659485766</v>
      </c>
      <c r="M9" s="11">
        <f t="shared" si="0"/>
        <v>21.575165948576586</v>
      </c>
      <c r="N9" s="11">
        <v>0.993611741724302</v>
      </c>
      <c r="O9" s="11">
        <v>0.89402926845937603</v>
      </c>
      <c r="P9" s="11">
        <v>0.89695945945945899</v>
      </c>
      <c r="Q9" s="11">
        <v>0.96969696969696995</v>
      </c>
      <c r="R9" s="11">
        <v>0.83892617449664397</v>
      </c>
      <c r="S9" s="10" t="s">
        <v>84</v>
      </c>
      <c r="T9" s="10" t="s">
        <v>84</v>
      </c>
    </row>
    <row r="10" spans="1:20" ht="12.5" x14ac:dyDescent="0.25">
      <c r="A10" s="10" t="s">
        <v>36</v>
      </c>
      <c r="B10" s="10" t="s">
        <v>395</v>
      </c>
      <c r="C10" s="10" t="s">
        <v>76</v>
      </c>
      <c r="D10" s="11">
        <v>2024</v>
      </c>
      <c r="E10" s="10" t="s">
        <v>81</v>
      </c>
      <c r="F10" s="10" t="s">
        <v>83</v>
      </c>
      <c r="G10" s="10" t="s">
        <v>84</v>
      </c>
      <c r="H10" s="12">
        <v>203591.83333333299</v>
      </c>
      <c r="I10" s="11">
        <v>42893</v>
      </c>
      <c r="J10" s="11">
        <v>25546</v>
      </c>
      <c r="K10" s="11">
        <v>279098</v>
      </c>
      <c r="L10" s="11">
        <v>0.21068133872429401</v>
      </c>
      <c r="M10" s="11">
        <f t="shared" si="0"/>
        <v>21.068133872429431</v>
      </c>
      <c r="N10" s="11">
        <v>0.59557503555358704</v>
      </c>
      <c r="O10" s="11">
        <v>1.37087031159567</v>
      </c>
      <c r="P10" s="11">
        <v>0.891891891891892</v>
      </c>
      <c r="Q10" s="11">
        <v>0.76595744680851097</v>
      </c>
      <c r="R10" s="11">
        <v>0.92635658914728702</v>
      </c>
      <c r="S10" s="10" t="s">
        <v>84</v>
      </c>
      <c r="T10" s="10" t="s">
        <v>84</v>
      </c>
    </row>
    <row r="11" spans="1:20" ht="12.5" x14ac:dyDescent="0.25">
      <c r="A11" s="10" t="s">
        <v>29</v>
      </c>
      <c r="B11" s="10" t="s">
        <v>397</v>
      </c>
      <c r="C11" s="10" t="s">
        <v>76</v>
      </c>
      <c r="D11" s="11">
        <v>2024</v>
      </c>
      <c r="E11" s="10" t="s">
        <v>81</v>
      </c>
      <c r="F11" s="10" t="s">
        <v>83</v>
      </c>
      <c r="G11" s="10" t="s">
        <v>84</v>
      </c>
      <c r="H11" s="12">
        <v>100597</v>
      </c>
      <c r="I11" s="11">
        <v>21120</v>
      </c>
      <c r="J11" s="11">
        <v>13680</v>
      </c>
      <c r="K11" s="11">
        <v>105600</v>
      </c>
      <c r="L11" s="11">
        <v>0.20994661868644199</v>
      </c>
      <c r="M11" s="11">
        <f t="shared" si="0"/>
        <v>20.994661868644194</v>
      </c>
      <c r="N11" s="11">
        <v>0.64772727272727304</v>
      </c>
      <c r="O11" s="11">
        <v>1.04973309343221</v>
      </c>
      <c r="P11" s="11">
        <v>0.89104729729729704</v>
      </c>
      <c r="Q11" s="11">
        <v>0.79591836734693899</v>
      </c>
      <c r="R11" s="11">
        <v>0.92441860465116299</v>
      </c>
      <c r="S11" s="10" t="s">
        <v>84</v>
      </c>
      <c r="T11" s="10" t="s">
        <v>84</v>
      </c>
    </row>
    <row r="12" spans="1:20" ht="12.5" x14ac:dyDescent="0.25">
      <c r="A12" s="10" t="s">
        <v>13</v>
      </c>
      <c r="B12" s="10" t="s">
        <v>402</v>
      </c>
      <c r="C12" s="10" t="s">
        <v>76</v>
      </c>
      <c r="D12" s="11">
        <v>2024</v>
      </c>
      <c r="E12" s="10" t="s">
        <v>81</v>
      </c>
      <c r="F12" s="10" t="s">
        <v>83</v>
      </c>
      <c r="G12" s="10" t="s">
        <v>84</v>
      </c>
      <c r="H12" s="12">
        <v>108367.91666666701</v>
      </c>
      <c r="I12" s="11">
        <v>22374</v>
      </c>
      <c r="J12" s="11">
        <v>19447</v>
      </c>
      <c r="K12" s="11">
        <v>218949</v>
      </c>
      <c r="L12" s="11">
        <v>0.206463321324346</v>
      </c>
      <c r="M12" s="11">
        <f t="shared" si="0"/>
        <v>20.64633213243458</v>
      </c>
      <c r="N12" s="11">
        <v>0.86917851077143105</v>
      </c>
      <c r="O12" s="11">
        <v>2.0204227112114199</v>
      </c>
      <c r="P12" s="11">
        <v>0.889358108108108</v>
      </c>
      <c r="Q12" s="11">
        <v>0.71428571428571397</v>
      </c>
      <c r="R12" s="11">
        <v>0.92054263565891503</v>
      </c>
      <c r="S12" s="10" t="s">
        <v>84</v>
      </c>
      <c r="T12" s="10" t="s">
        <v>84</v>
      </c>
    </row>
    <row r="13" spans="1:20" ht="12.5" x14ac:dyDescent="0.25">
      <c r="A13" s="10" t="s">
        <v>26</v>
      </c>
      <c r="B13" s="10" t="s">
        <v>412</v>
      </c>
      <c r="C13" s="10" t="s">
        <v>76</v>
      </c>
      <c r="D13" s="11">
        <v>2024</v>
      </c>
      <c r="E13" s="10" t="s">
        <v>81</v>
      </c>
      <c r="F13" s="10" t="s">
        <v>83</v>
      </c>
      <c r="G13" s="10" t="s">
        <v>84</v>
      </c>
      <c r="H13" s="12">
        <v>102476.91666666701</v>
      </c>
      <c r="I13" s="11">
        <v>20217</v>
      </c>
      <c r="J13" s="11">
        <v>18454</v>
      </c>
      <c r="K13" s="11">
        <v>122386</v>
      </c>
      <c r="L13" s="11">
        <v>0.19728345326549099</v>
      </c>
      <c r="M13" s="11">
        <f t="shared" si="0"/>
        <v>19.728345326549086</v>
      </c>
      <c r="N13" s="11">
        <v>0.91279616164613897</v>
      </c>
      <c r="O13" s="11">
        <v>1.19427871154723</v>
      </c>
      <c r="P13" s="11">
        <v>0.88344594594594605</v>
      </c>
      <c r="Q13" s="11">
        <v>0.73076923076923095</v>
      </c>
      <c r="R13" s="11">
        <v>0.91085271317829497</v>
      </c>
      <c r="S13" s="10" t="s">
        <v>84</v>
      </c>
      <c r="T13" s="10" t="s">
        <v>84</v>
      </c>
    </row>
    <row r="14" spans="1:20" ht="12.5" x14ac:dyDescent="0.25">
      <c r="A14" s="10" t="s">
        <v>29</v>
      </c>
      <c r="B14" s="10" t="s">
        <v>423</v>
      </c>
      <c r="C14" s="10" t="s">
        <v>76</v>
      </c>
      <c r="D14" s="11">
        <v>2024</v>
      </c>
      <c r="E14" s="10" t="s">
        <v>81</v>
      </c>
      <c r="F14" s="10" t="s">
        <v>83</v>
      </c>
      <c r="G14" s="10" t="s">
        <v>84</v>
      </c>
      <c r="H14" s="12">
        <v>113000</v>
      </c>
      <c r="I14" s="11">
        <v>21720</v>
      </c>
      <c r="J14" s="11">
        <v>14160</v>
      </c>
      <c r="K14" s="11">
        <v>108480</v>
      </c>
      <c r="L14" s="11">
        <v>0.19221238938053101</v>
      </c>
      <c r="M14" s="11">
        <f t="shared" si="0"/>
        <v>19.221238938053098</v>
      </c>
      <c r="N14" s="11">
        <v>0.65193370165745901</v>
      </c>
      <c r="O14" s="11">
        <v>0.96</v>
      </c>
      <c r="P14" s="11">
        <v>0.87415540540540504</v>
      </c>
      <c r="Q14" s="11">
        <v>0.73469387755102</v>
      </c>
      <c r="R14" s="11">
        <v>0.90116279069767402</v>
      </c>
      <c r="S14" s="10" t="s">
        <v>84</v>
      </c>
      <c r="T14" s="10" t="s">
        <v>84</v>
      </c>
    </row>
    <row r="15" spans="1:20" ht="12.5" x14ac:dyDescent="0.25">
      <c r="A15" s="10" t="s">
        <v>36</v>
      </c>
      <c r="B15" s="10" t="s">
        <v>449</v>
      </c>
      <c r="C15" s="10" t="s">
        <v>76</v>
      </c>
      <c r="D15" s="11">
        <v>2024</v>
      </c>
      <c r="E15" s="10" t="s">
        <v>81</v>
      </c>
      <c r="F15" s="10" t="s">
        <v>83</v>
      </c>
      <c r="G15" s="10" t="s">
        <v>84</v>
      </c>
      <c r="H15" s="12">
        <v>139027.83333333299</v>
      </c>
      <c r="I15" s="11">
        <v>24006</v>
      </c>
      <c r="J15" s="11">
        <v>22577</v>
      </c>
      <c r="K15" s="11">
        <v>118587</v>
      </c>
      <c r="L15" s="11">
        <v>0.17267046047134399</v>
      </c>
      <c r="M15" s="11">
        <f t="shared" si="0"/>
        <v>17.267046047134489</v>
      </c>
      <c r="N15" s="11">
        <v>0.94047321502957604</v>
      </c>
      <c r="O15" s="11">
        <v>0.85297308572504105</v>
      </c>
      <c r="P15" s="11">
        <v>0.84628378378378399</v>
      </c>
      <c r="Q15" s="11">
        <v>0.61702127659574502</v>
      </c>
      <c r="R15" s="11">
        <v>0.87596899224806202</v>
      </c>
      <c r="S15" s="10" t="s">
        <v>84</v>
      </c>
      <c r="T15" s="10" t="s">
        <v>84</v>
      </c>
    </row>
    <row r="16" spans="1:20" ht="12.5" x14ac:dyDescent="0.25">
      <c r="A16" s="10" t="s">
        <v>16</v>
      </c>
      <c r="B16" s="10" t="s">
        <v>530</v>
      </c>
      <c r="C16" s="10" t="s">
        <v>76</v>
      </c>
      <c r="D16" s="11">
        <v>2024</v>
      </c>
      <c r="E16" s="10" t="s">
        <v>124</v>
      </c>
      <c r="F16" s="10" t="s">
        <v>83</v>
      </c>
      <c r="G16" s="10" t="s">
        <v>84</v>
      </c>
      <c r="H16" s="12">
        <v>470564.33333333302</v>
      </c>
      <c r="I16" s="11">
        <v>74025</v>
      </c>
      <c r="J16" s="11">
        <v>59670</v>
      </c>
      <c r="K16" s="11">
        <v>509623</v>
      </c>
      <c r="L16" s="11">
        <v>0.157311115093721</v>
      </c>
      <c r="M16" s="11">
        <f t="shared" si="0"/>
        <v>15.73111150937209</v>
      </c>
      <c r="N16" s="11">
        <v>0.80607902735562298</v>
      </c>
      <c r="O16" s="11">
        <v>1.0830038825721999</v>
      </c>
      <c r="P16" s="11">
        <v>0.82770270270270296</v>
      </c>
      <c r="Q16" s="11">
        <v>0.5</v>
      </c>
      <c r="R16" s="11">
        <v>0.74720357941834403</v>
      </c>
      <c r="S16" s="10" t="s">
        <v>84</v>
      </c>
      <c r="T16" s="10" t="s">
        <v>84</v>
      </c>
    </row>
    <row r="17" spans="1:20" ht="12.5" x14ac:dyDescent="0.25">
      <c r="A17" s="10" t="s">
        <v>86</v>
      </c>
      <c r="B17" s="10" t="s">
        <v>473</v>
      </c>
      <c r="C17" s="10" t="s">
        <v>76</v>
      </c>
      <c r="D17" s="11">
        <v>2024</v>
      </c>
      <c r="E17" s="10" t="s">
        <v>81</v>
      </c>
      <c r="F17" s="10" t="s">
        <v>83</v>
      </c>
      <c r="G17" s="10" t="s">
        <v>84</v>
      </c>
      <c r="H17" s="12">
        <v>121250.83333333299</v>
      </c>
      <c r="I17" s="11">
        <v>18476</v>
      </c>
      <c r="J17" s="11">
        <v>16950</v>
      </c>
      <c r="K17" s="11">
        <v>129735</v>
      </c>
      <c r="L17" s="11">
        <v>0.15237833416952501</v>
      </c>
      <c r="M17" s="11">
        <f t="shared" si="0"/>
        <v>15.237833416952503</v>
      </c>
      <c r="N17" s="11">
        <v>0.91740636501407202</v>
      </c>
      <c r="O17" s="11">
        <v>1.06997202768366</v>
      </c>
      <c r="P17" s="11">
        <v>0.81587837837837796</v>
      </c>
      <c r="Q17" s="11">
        <v>0.58695652173913004</v>
      </c>
      <c r="R17" s="11">
        <v>0.85465116279069797</v>
      </c>
      <c r="S17" s="10" t="s">
        <v>84</v>
      </c>
      <c r="T17" s="10" t="s">
        <v>84</v>
      </c>
    </row>
    <row r="18" spans="1:20" ht="12.5" x14ac:dyDescent="0.25">
      <c r="A18" s="10" t="s">
        <v>32</v>
      </c>
      <c r="B18" s="10" t="s">
        <v>486</v>
      </c>
      <c r="C18" s="10" t="s">
        <v>76</v>
      </c>
      <c r="D18" s="11">
        <v>2024</v>
      </c>
      <c r="E18" s="10" t="s">
        <v>81</v>
      </c>
      <c r="F18" s="10" t="s">
        <v>83</v>
      </c>
      <c r="G18" s="10" t="s">
        <v>84</v>
      </c>
      <c r="H18" s="12">
        <v>112886.41666666701</v>
      </c>
      <c r="I18" s="11">
        <v>16041</v>
      </c>
      <c r="J18" s="11">
        <v>15295</v>
      </c>
      <c r="K18" s="11">
        <v>132444</v>
      </c>
      <c r="L18" s="11">
        <v>0.142098584343998</v>
      </c>
      <c r="M18" s="11">
        <f t="shared" si="0"/>
        <v>14.209858434399727</v>
      </c>
      <c r="N18" s="11">
        <v>0.95349417118633495</v>
      </c>
      <c r="O18" s="11">
        <v>1.17325010316417</v>
      </c>
      <c r="P18" s="11">
        <v>0.798141891891892</v>
      </c>
      <c r="Q18" s="11">
        <v>0.62068965517241403</v>
      </c>
      <c r="R18" s="11">
        <v>0.84302325581395399</v>
      </c>
      <c r="S18" s="10" t="s">
        <v>84</v>
      </c>
      <c r="T18" s="10" t="s">
        <v>84</v>
      </c>
    </row>
    <row r="19" spans="1:20" ht="12.5" x14ac:dyDescent="0.25">
      <c r="A19" s="10" t="s">
        <v>103</v>
      </c>
      <c r="B19" s="10" t="s">
        <v>618</v>
      </c>
      <c r="C19" s="10" t="s">
        <v>76</v>
      </c>
      <c r="D19" s="11">
        <v>2024</v>
      </c>
      <c r="E19" s="10" t="s">
        <v>124</v>
      </c>
      <c r="F19" s="10" t="s">
        <v>83</v>
      </c>
      <c r="G19" s="10" t="s">
        <v>84</v>
      </c>
      <c r="H19" s="12">
        <v>100871.16666666701</v>
      </c>
      <c r="I19" s="11">
        <v>12799</v>
      </c>
      <c r="J19" s="11">
        <v>11017</v>
      </c>
      <c r="K19" s="11">
        <v>120289</v>
      </c>
      <c r="L19" s="11">
        <v>0.126884623455332</v>
      </c>
      <c r="M19" s="11">
        <f t="shared" si="0"/>
        <v>12.688462345533122</v>
      </c>
      <c r="N19" s="11">
        <v>0.86077037268536605</v>
      </c>
      <c r="O19" s="11">
        <v>1.19250132594878</v>
      </c>
      <c r="P19" s="11">
        <v>0.76266891891891897</v>
      </c>
      <c r="Q19" s="11">
        <v>0.86956521739130399</v>
      </c>
      <c r="R19" s="11">
        <v>0.67114093959731502</v>
      </c>
      <c r="S19" s="10" t="s">
        <v>84</v>
      </c>
      <c r="T19" s="10" t="s">
        <v>84</v>
      </c>
    </row>
    <row r="20" spans="1:20" ht="12.5" x14ac:dyDescent="0.25">
      <c r="A20" s="10" t="s">
        <v>104</v>
      </c>
      <c r="B20" s="10" t="s">
        <v>528</v>
      </c>
      <c r="C20" s="10" t="s">
        <v>76</v>
      </c>
      <c r="D20" s="11">
        <v>2024</v>
      </c>
      <c r="E20" s="10" t="s">
        <v>81</v>
      </c>
      <c r="F20" s="10" t="s">
        <v>83</v>
      </c>
      <c r="G20" s="10" t="s">
        <v>84</v>
      </c>
      <c r="H20" s="12">
        <v>114019.33333333299</v>
      </c>
      <c r="I20" s="11">
        <v>14274</v>
      </c>
      <c r="J20" s="11">
        <v>13619</v>
      </c>
      <c r="K20" s="11">
        <v>87715</v>
      </c>
      <c r="L20" s="11">
        <v>0.125189295382654</v>
      </c>
      <c r="M20" s="11">
        <f t="shared" si="0"/>
        <v>12.518929538265478</v>
      </c>
      <c r="N20" s="11">
        <v>0.95411237214515898</v>
      </c>
      <c r="O20" s="11">
        <v>0.76929935858831</v>
      </c>
      <c r="P20" s="11">
        <v>0.75675675675675702</v>
      </c>
      <c r="Q20" s="11">
        <v>0.82758620689655205</v>
      </c>
      <c r="R20" s="11">
        <v>0.806201550387597</v>
      </c>
      <c r="S20" s="10" t="s">
        <v>84</v>
      </c>
      <c r="T20" s="10" t="s">
        <v>84</v>
      </c>
    </row>
    <row r="21" spans="1:20" ht="12.5" x14ac:dyDescent="0.25">
      <c r="A21" s="10" t="s">
        <v>29</v>
      </c>
      <c r="B21" s="10" t="s">
        <v>529</v>
      </c>
      <c r="C21" s="10" t="s">
        <v>76</v>
      </c>
      <c r="D21" s="11">
        <v>2024</v>
      </c>
      <c r="E21" s="10" t="s">
        <v>81</v>
      </c>
      <c r="F21" s="10" t="s">
        <v>83</v>
      </c>
      <c r="G21" s="10" t="s">
        <v>84</v>
      </c>
      <c r="H21" s="12">
        <v>303851.08333333302</v>
      </c>
      <c r="I21" s="11">
        <v>37907</v>
      </c>
      <c r="J21" s="11">
        <v>33813</v>
      </c>
      <c r="K21" s="11">
        <v>155999</v>
      </c>
      <c r="L21" s="11">
        <v>0.124755191207974</v>
      </c>
      <c r="M21" s="11">
        <f t="shared" si="0"/>
        <v>12.475519120797399</v>
      </c>
      <c r="N21" s="11">
        <v>0.89199883926451595</v>
      </c>
      <c r="O21" s="11">
        <v>0.51340610106979501</v>
      </c>
      <c r="P21" s="11">
        <v>0.75506756756756799</v>
      </c>
      <c r="Q21" s="11">
        <v>0.530612244897959</v>
      </c>
      <c r="R21" s="11">
        <v>0.80426356589147296</v>
      </c>
      <c r="S21" s="10" t="s">
        <v>84</v>
      </c>
      <c r="T21" s="10" t="s">
        <v>84</v>
      </c>
    </row>
    <row r="22" spans="1:20" ht="12.5" x14ac:dyDescent="0.25">
      <c r="A22" s="10" t="s">
        <v>12</v>
      </c>
      <c r="B22" s="10" t="s">
        <v>642</v>
      </c>
      <c r="C22" s="10" t="s">
        <v>76</v>
      </c>
      <c r="D22" s="11">
        <v>2024</v>
      </c>
      <c r="E22" s="10" t="s">
        <v>124</v>
      </c>
      <c r="F22" s="10" t="s">
        <v>83</v>
      </c>
      <c r="G22" s="10" t="s">
        <v>84</v>
      </c>
      <c r="H22" s="12">
        <v>857189.16666666698</v>
      </c>
      <c r="I22" s="11">
        <v>105131</v>
      </c>
      <c r="J22" s="11">
        <v>102331</v>
      </c>
      <c r="K22" s="11">
        <v>382391</v>
      </c>
      <c r="L22" s="11">
        <v>0.122646207031315</v>
      </c>
      <c r="M22" s="11">
        <f t="shared" si="0"/>
        <v>12.264620703131451</v>
      </c>
      <c r="N22" s="11">
        <v>0.97336656171823699</v>
      </c>
      <c r="O22" s="11">
        <v>0.44609873161019498</v>
      </c>
      <c r="P22" s="11">
        <v>0.75168918918918903</v>
      </c>
      <c r="Q22" s="11">
        <v>0.69444444444444398</v>
      </c>
      <c r="R22" s="11">
        <v>0.65100671140939603</v>
      </c>
      <c r="S22" s="10" t="s">
        <v>84</v>
      </c>
      <c r="T22" s="10" t="s">
        <v>84</v>
      </c>
    </row>
    <row r="23" spans="1:20" ht="12.5" x14ac:dyDescent="0.25">
      <c r="A23" s="10" t="s">
        <v>36</v>
      </c>
      <c r="B23" s="10" t="s">
        <v>537</v>
      </c>
      <c r="C23" s="10" t="s">
        <v>76</v>
      </c>
      <c r="D23" s="11">
        <v>2024</v>
      </c>
      <c r="E23" s="10" t="s">
        <v>81</v>
      </c>
      <c r="F23" s="10" t="s">
        <v>83</v>
      </c>
      <c r="G23" s="10" t="s">
        <v>84</v>
      </c>
      <c r="H23" s="12">
        <v>200600.75</v>
      </c>
      <c r="I23" s="11">
        <v>24214</v>
      </c>
      <c r="J23" s="11">
        <v>24293</v>
      </c>
      <c r="K23" s="11">
        <v>127964</v>
      </c>
      <c r="L23" s="11">
        <v>0.12070742507194</v>
      </c>
      <c r="M23" s="11">
        <f t="shared" si="0"/>
        <v>12.070742507194016</v>
      </c>
      <c r="N23" s="11">
        <v>1.00326257536962</v>
      </c>
      <c r="O23" s="11">
        <v>0.63790389617187404</v>
      </c>
      <c r="P23" s="11">
        <v>0.74662162162162204</v>
      </c>
      <c r="Q23" s="11">
        <v>0.51063829787234005</v>
      </c>
      <c r="R23" s="11">
        <v>0.79844961240310097</v>
      </c>
      <c r="S23" s="10" t="s">
        <v>84</v>
      </c>
      <c r="T23" s="10" t="s">
        <v>84</v>
      </c>
    </row>
    <row r="24" spans="1:20" ht="12.5" x14ac:dyDescent="0.25">
      <c r="A24" s="10" t="s">
        <v>103</v>
      </c>
      <c r="B24" s="10" t="s">
        <v>658</v>
      </c>
      <c r="C24" s="10" t="s">
        <v>76</v>
      </c>
      <c r="D24" s="11">
        <v>2024</v>
      </c>
      <c r="E24" s="10" t="s">
        <v>124</v>
      </c>
      <c r="F24" s="10" t="s">
        <v>125</v>
      </c>
      <c r="G24" s="10" t="s">
        <v>84</v>
      </c>
      <c r="H24" s="12">
        <v>592557.16666666698</v>
      </c>
      <c r="I24" s="11">
        <v>70815</v>
      </c>
      <c r="J24" s="11">
        <v>68912</v>
      </c>
      <c r="K24" s="11">
        <v>440594</v>
      </c>
      <c r="L24" s="11">
        <v>0.119507456805152</v>
      </c>
      <c r="M24" s="11">
        <f t="shared" si="0"/>
        <v>11.950745680515206</v>
      </c>
      <c r="N24" s="11">
        <v>0.97312716232436602</v>
      </c>
      <c r="O24" s="11">
        <v>0.74354682515864201</v>
      </c>
      <c r="P24" s="11">
        <v>0.74324324324324298</v>
      </c>
      <c r="Q24" s="11">
        <v>0.82608695652173902</v>
      </c>
      <c r="R24" s="11">
        <v>0.63758389261744997</v>
      </c>
      <c r="S24" s="10" t="s">
        <v>84</v>
      </c>
      <c r="T24" s="10" t="s">
        <v>84</v>
      </c>
    </row>
    <row r="25" spans="1:20" ht="12.5" x14ac:dyDescent="0.25">
      <c r="A25" s="10" t="s">
        <v>13</v>
      </c>
      <c r="B25" s="10" t="s">
        <v>565</v>
      </c>
      <c r="C25" s="10" t="s">
        <v>76</v>
      </c>
      <c r="D25" s="11">
        <v>2024</v>
      </c>
      <c r="E25" s="10" t="s">
        <v>81</v>
      </c>
      <c r="F25" s="10" t="s">
        <v>83</v>
      </c>
      <c r="G25" s="10" t="s">
        <v>84</v>
      </c>
      <c r="H25" s="12">
        <v>110020.16666666701</v>
      </c>
      <c r="I25" s="11">
        <v>11812</v>
      </c>
      <c r="J25" s="11">
        <v>8399</v>
      </c>
      <c r="K25" s="11">
        <v>248637</v>
      </c>
      <c r="L25" s="11">
        <v>0.107362135123712</v>
      </c>
      <c r="M25" s="11">
        <f t="shared" si="0"/>
        <v>10.736213512371183</v>
      </c>
      <c r="N25" s="11">
        <v>0.71105655265831402</v>
      </c>
      <c r="O25" s="11">
        <v>2.25992204459485</v>
      </c>
      <c r="P25" s="11">
        <v>0.71875</v>
      </c>
      <c r="Q25" s="11">
        <v>0.28571428571428598</v>
      </c>
      <c r="R25" s="11">
        <v>0.76937984496124001</v>
      </c>
      <c r="S25" s="10" t="s">
        <v>84</v>
      </c>
      <c r="T25" s="10" t="s">
        <v>84</v>
      </c>
    </row>
    <row r="26" spans="1:20" ht="12.5" hidden="1" x14ac:dyDescent="0.25">
      <c r="A26" s="10" t="s">
        <v>103</v>
      </c>
      <c r="B26" s="10" t="s">
        <v>1372</v>
      </c>
      <c r="C26" s="10" t="s">
        <v>76</v>
      </c>
      <c r="D26" s="11">
        <v>2024</v>
      </c>
      <c r="E26" s="10" t="s">
        <v>257</v>
      </c>
      <c r="F26" s="10" t="s">
        <v>83</v>
      </c>
      <c r="G26" s="10" t="s">
        <v>84</v>
      </c>
      <c r="H26" s="12">
        <v>142108</v>
      </c>
      <c r="I26" s="11">
        <v>14965</v>
      </c>
      <c r="J26" s="11">
        <v>13461</v>
      </c>
      <c r="K26" s="11">
        <v>374124</v>
      </c>
      <c r="L26" s="11">
        <v>0.105307231119993</v>
      </c>
      <c r="M26" s="11">
        <f t="shared" si="0"/>
        <v>10.530723111999324</v>
      </c>
      <c r="N26" s="11">
        <v>0.899498830604744</v>
      </c>
      <c r="O26" s="11">
        <v>2.6326737410983201</v>
      </c>
      <c r="P26" s="11">
        <v>0.71283783783783805</v>
      </c>
      <c r="Q26" s="11">
        <v>0.73913043478260898</v>
      </c>
      <c r="R26" s="11">
        <v>0.81818181818181801</v>
      </c>
      <c r="S26" s="10" t="s">
        <v>84</v>
      </c>
      <c r="T26" s="10" t="s">
        <v>84</v>
      </c>
    </row>
    <row r="27" spans="1:20" ht="12.5" x14ac:dyDescent="0.25">
      <c r="A27" s="10" t="s">
        <v>16</v>
      </c>
      <c r="B27" s="10" t="s">
        <v>606</v>
      </c>
      <c r="C27" s="10" t="s">
        <v>76</v>
      </c>
      <c r="D27" s="11">
        <v>2024</v>
      </c>
      <c r="E27" s="10" t="s">
        <v>81</v>
      </c>
      <c r="F27" s="10" t="s">
        <v>83</v>
      </c>
      <c r="G27" s="10" t="s">
        <v>84</v>
      </c>
      <c r="H27" s="12">
        <v>227665.5</v>
      </c>
      <c r="I27" s="11">
        <v>20633</v>
      </c>
      <c r="J27" s="11">
        <v>18513</v>
      </c>
      <c r="K27" s="11">
        <v>133745</v>
      </c>
      <c r="L27" s="11">
        <v>9.0628575695483105E-2</v>
      </c>
      <c r="M27" s="11">
        <f t="shared" si="0"/>
        <v>9.0628575695483065</v>
      </c>
      <c r="N27" s="11">
        <v>0.89725197499151799</v>
      </c>
      <c r="O27" s="11">
        <v>0.58746274688083999</v>
      </c>
      <c r="P27" s="11">
        <v>0.66554054054054101</v>
      </c>
      <c r="Q27" s="11">
        <v>0.33333333333333298</v>
      </c>
      <c r="R27" s="11">
        <v>0.72868217054263595</v>
      </c>
      <c r="S27" s="10" t="s">
        <v>84</v>
      </c>
      <c r="T27" s="10" t="s">
        <v>84</v>
      </c>
    </row>
    <row r="28" spans="1:20" ht="12.5" x14ac:dyDescent="0.25">
      <c r="A28" s="10" t="s">
        <v>62</v>
      </c>
      <c r="B28" s="10" t="s">
        <v>628</v>
      </c>
      <c r="C28" s="10" t="s">
        <v>76</v>
      </c>
      <c r="D28" s="11">
        <v>2024</v>
      </c>
      <c r="E28" s="10" t="s">
        <v>81</v>
      </c>
      <c r="F28" s="10" t="s">
        <v>83</v>
      </c>
      <c r="G28" s="10" t="s">
        <v>84</v>
      </c>
      <c r="H28" s="12">
        <v>130770.16666666701</v>
      </c>
      <c r="I28" s="11">
        <v>11018</v>
      </c>
      <c r="J28" s="11">
        <v>9151</v>
      </c>
      <c r="K28" s="11">
        <v>151351</v>
      </c>
      <c r="L28" s="11">
        <v>8.4254691118387098E-2</v>
      </c>
      <c r="M28" s="11">
        <f t="shared" si="0"/>
        <v>8.4254691118386873</v>
      </c>
      <c r="N28" s="11">
        <v>0.83055000907605703</v>
      </c>
      <c r="O28" s="11">
        <v>1.1573817167779099</v>
      </c>
      <c r="P28" s="11">
        <v>0.64780405405405395</v>
      </c>
      <c r="Q28" s="11">
        <v>0.75</v>
      </c>
      <c r="R28" s="11">
        <v>0.70930232558139505</v>
      </c>
      <c r="S28" s="10" t="s">
        <v>84</v>
      </c>
      <c r="T28" s="10" t="s">
        <v>84</v>
      </c>
    </row>
    <row r="29" spans="1:20" ht="12.5" hidden="1" x14ac:dyDescent="0.25">
      <c r="A29" s="10" t="s">
        <v>103</v>
      </c>
      <c r="B29" s="10" t="s">
        <v>1410</v>
      </c>
      <c r="C29" s="10" t="s">
        <v>76</v>
      </c>
      <c r="D29" s="11">
        <v>2024</v>
      </c>
      <c r="E29" s="10" t="s">
        <v>257</v>
      </c>
      <c r="F29" s="10" t="s">
        <v>83</v>
      </c>
      <c r="G29" s="10" t="s">
        <v>84</v>
      </c>
      <c r="H29" s="12">
        <v>107012.08333333299</v>
      </c>
      <c r="I29" s="11">
        <v>8983</v>
      </c>
      <c r="J29" s="11">
        <v>8319</v>
      </c>
      <c r="K29" s="11">
        <v>115273</v>
      </c>
      <c r="L29" s="11">
        <v>8.3943791394274006E-2</v>
      </c>
      <c r="M29" s="11">
        <f t="shared" si="0"/>
        <v>8.3943791394274285</v>
      </c>
      <c r="N29" s="11">
        <v>0.92608260046754998</v>
      </c>
      <c r="O29" s="11">
        <v>1.0771961110310799</v>
      </c>
      <c r="P29" s="11">
        <v>0.64611486486486502</v>
      </c>
      <c r="Q29" s="11">
        <v>0.65217391304347805</v>
      </c>
      <c r="R29" s="11">
        <v>0.77272727272727304</v>
      </c>
      <c r="S29" s="10" t="s">
        <v>84</v>
      </c>
      <c r="T29" s="10" t="s">
        <v>84</v>
      </c>
    </row>
    <row r="30" spans="1:20" ht="12.5" x14ac:dyDescent="0.25">
      <c r="A30" s="10" t="s">
        <v>12</v>
      </c>
      <c r="B30" s="10" t="s">
        <v>657</v>
      </c>
      <c r="C30" s="10" t="s">
        <v>76</v>
      </c>
      <c r="D30" s="11">
        <v>2024</v>
      </c>
      <c r="E30" s="10" t="s">
        <v>81</v>
      </c>
      <c r="F30" s="10" t="s">
        <v>83</v>
      </c>
      <c r="G30" s="10" t="s">
        <v>84</v>
      </c>
      <c r="H30" s="12">
        <v>381493.75</v>
      </c>
      <c r="I30" s="11">
        <v>29867</v>
      </c>
      <c r="J30" s="11">
        <v>26739</v>
      </c>
      <c r="K30" s="11">
        <v>133634</v>
      </c>
      <c r="L30" s="11">
        <v>7.8289618113009704E-2</v>
      </c>
      <c r="M30" s="11">
        <f t="shared" si="0"/>
        <v>7.8289618113009718</v>
      </c>
      <c r="N30" s="11">
        <v>0.89526902601533498</v>
      </c>
      <c r="O30" s="11">
        <v>0.350291453005456</v>
      </c>
      <c r="P30" s="11">
        <v>0.62415540540540504</v>
      </c>
      <c r="Q30" s="11">
        <v>0.5</v>
      </c>
      <c r="R30" s="11">
        <v>0.68023255813953498</v>
      </c>
      <c r="S30" s="10" t="s">
        <v>84</v>
      </c>
      <c r="T30" s="10" t="s">
        <v>84</v>
      </c>
    </row>
    <row r="31" spans="1:20" ht="12.5" x14ac:dyDescent="0.25">
      <c r="A31" s="10" t="s">
        <v>52</v>
      </c>
      <c r="B31" s="10" t="s">
        <v>822</v>
      </c>
      <c r="C31" s="10" t="s">
        <v>76</v>
      </c>
      <c r="D31" s="11">
        <v>2024</v>
      </c>
      <c r="E31" s="10" t="s">
        <v>124</v>
      </c>
      <c r="F31" s="10" t="s">
        <v>83</v>
      </c>
      <c r="G31" s="10" t="s">
        <v>84</v>
      </c>
      <c r="H31" s="12">
        <v>104562.16666666701</v>
      </c>
      <c r="I31" s="11">
        <v>8131</v>
      </c>
      <c r="J31" s="11">
        <v>0</v>
      </c>
      <c r="K31" s="11">
        <v>24717</v>
      </c>
      <c r="L31" s="11">
        <v>7.7762351902297397E-2</v>
      </c>
      <c r="M31" s="11">
        <f t="shared" si="0"/>
        <v>7.7762351902297109</v>
      </c>
      <c r="N31" s="11">
        <v>0</v>
      </c>
      <c r="O31" s="11">
        <v>0.23638569080913599</v>
      </c>
      <c r="P31" s="11">
        <v>0.62162162162162204</v>
      </c>
      <c r="Q31" s="11">
        <v>0.53191489361702105</v>
      </c>
      <c r="R31" s="11">
        <v>0.48993288590604001</v>
      </c>
      <c r="S31" s="10" t="s">
        <v>84</v>
      </c>
      <c r="T31" s="10" t="s">
        <v>84</v>
      </c>
    </row>
    <row r="32" spans="1:20" ht="12.5" x14ac:dyDescent="0.25">
      <c r="A32" s="10" t="s">
        <v>104</v>
      </c>
      <c r="B32" s="10" t="s">
        <v>675</v>
      </c>
      <c r="C32" s="10" t="s">
        <v>76</v>
      </c>
      <c r="D32" s="11">
        <v>2024</v>
      </c>
      <c r="E32" s="10" t="s">
        <v>81</v>
      </c>
      <c r="F32" s="10" t="s">
        <v>83</v>
      </c>
      <c r="G32" s="10" t="s">
        <v>84</v>
      </c>
      <c r="H32" s="12">
        <v>165007.58333333299</v>
      </c>
      <c r="I32" s="11">
        <v>11857</v>
      </c>
      <c r="J32" s="11">
        <v>12984</v>
      </c>
      <c r="K32" s="11">
        <v>91114</v>
      </c>
      <c r="L32" s="11">
        <v>7.1857303527969194E-2</v>
      </c>
      <c r="M32" s="11">
        <f t="shared" si="0"/>
        <v>7.1857303527969316</v>
      </c>
      <c r="N32" s="11">
        <v>1.09504933794383</v>
      </c>
      <c r="O32" s="11">
        <v>0.55218068260499098</v>
      </c>
      <c r="P32" s="11">
        <v>0.60135135135135098</v>
      </c>
      <c r="Q32" s="11">
        <v>0.68965517241379304</v>
      </c>
      <c r="R32" s="11">
        <v>0.662790697674419</v>
      </c>
      <c r="S32" s="10" t="s">
        <v>84</v>
      </c>
      <c r="T32" s="10" t="s">
        <v>84</v>
      </c>
    </row>
    <row r="33" spans="1:20" ht="12.5" x14ac:dyDescent="0.25">
      <c r="A33" s="10" t="s">
        <v>12</v>
      </c>
      <c r="B33" s="10" t="s">
        <v>690</v>
      </c>
      <c r="C33" s="10" t="s">
        <v>76</v>
      </c>
      <c r="D33" s="11">
        <v>2024</v>
      </c>
      <c r="E33" s="10" t="s">
        <v>81</v>
      </c>
      <c r="F33" s="10" t="s">
        <v>83</v>
      </c>
      <c r="G33" s="10" t="s">
        <v>84</v>
      </c>
      <c r="H33" s="12">
        <v>317096.91666666698</v>
      </c>
      <c r="I33" s="11">
        <v>21594</v>
      </c>
      <c r="J33" s="11">
        <v>12818</v>
      </c>
      <c r="K33" s="11">
        <v>24029</v>
      </c>
      <c r="L33" s="11">
        <v>6.8099053838166695E-2</v>
      </c>
      <c r="M33" s="11">
        <f t="shared" si="0"/>
        <v>6.8099053838166652</v>
      </c>
      <c r="N33" s="11">
        <v>0.59359081226266597</v>
      </c>
      <c r="O33" s="11">
        <v>7.5778094131578599E-2</v>
      </c>
      <c r="P33" s="11">
        <v>0.58445945945945899</v>
      </c>
      <c r="Q33" s="11">
        <v>0.38888888888888901</v>
      </c>
      <c r="R33" s="11">
        <v>0.64534883720930203</v>
      </c>
      <c r="S33" s="10" t="s">
        <v>84</v>
      </c>
      <c r="T33" s="10" t="s">
        <v>84</v>
      </c>
    </row>
    <row r="34" spans="1:20" ht="12.5" x14ac:dyDescent="0.25">
      <c r="A34" s="10" t="s">
        <v>103</v>
      </c>
      <c r="B34" s="10" t="s">
        <v>880</v>
      </c>
      <c r="C34" s="10" t="s">
        <v>76</v>
      </c>
      <c r="D34" s="11">
        <v>2024</v>
      </c>
      <c r="E34" s="10" t="s">
        <v>124</v>
      </c>
      <c r="F34" s="10" t="s">
        <v>83</v>
      </c>
      <c r="G34" s="10" t="s">
        <v>84</v>
      </c>
      <c r="H34" s="12">
        <v>108211.5</v>
      </c>
      <c r="I34" s="11">
        <v>7046</v>
      </c>
      <c r="J34" s="11">
        <v>6511</v>
      </c>
      <c r="K34" s="11">
        <v>100727</v>
      </c>
      <c r="L34" s="11">
        <v>6.5113227337205398E-2</v>
      </c>
      <c r="M34" s="11">
        <f t="shared" si="0"/>
        <v>6.5113227337205384</v>
      </c>
      <c r="N34" s="11">
        <v>0.92407039455009898</v>
      </c>
      <c r="O34" s="11">
        <v>0.93083452313293902</v>
      </c>
      <c r="P34" s="11">
        <v>0.57432432432432401</v>
      </c>
      <c r="Q34" s="11">
        <v>0.565217391304348</v>
      </c>
      <c r="R34" s="11">
        <v>0.43624161073825501</v>
      </c>
      <c r="S34" s="10" t="s">
        <v>84</v>
      </c>
      <c r="T34" s="10" t="s">
        <v>84</v>
      </c>
    </row>
    <row r="35" spans="1:20" ht="12.5" x14ac:dyDescent="0.25">
      <c r="A35" s="10" t="s">
        <v>12</v>
      </c>
      <c r="B35" s="10" t="s">
        <v>897</v>
      </c>
      <c r="C35" s="10" t="s">
        <v>76</v>
      </c>
      <c r="D35" s="11">
        <v>2024</v>
      </c>
      <c r="E35" s="10" t="s">
        <v>124</v>
      </c>
      <c r="F35" s="10" t="s">
        <v>83</v>
      </c>
      <c r="G35" s="10" t="s">
        <v>84</v>
      </c>
      <c r="H35" s="12">
        <v>503869.41666666698</v>
      </c>
      <c r="I35" s="11">
        <v>31835</v>
      </c>
      <c r="J35" s="11">
        <v>25132</v>
      </c>
      <c r="K35" s="11">
        <v>117367</v>
      </c>
      <c r="L35" s="11">
        <v>6.3181052365915605E-2</v>
      </c>
      <c r="M35" s="11">
        <f t="shared" si="0"/>
        <v>6.3181052365915535</v>
      </c>
      <c r="N35" s="11">
        <v>0.78944557876551003</v>
      </c>
      <c r="O35" s="11">
        <v>0.23293138285002099</v>
      </c>
      <c r="P35" s="11">
        <v>0.56841216216216195</v>
      </c>
      <c r="Q35" s="11">
        <v>0.375</v>
      </c>
      <c r="R35" s="11">
        <v>0.42058165548098397</v>
      </c>
      <c r="S35" s="10" t="s">
        <v>84</v>
      </c>
      <c r="T35" s="10" t="s">
        <v>84</v>
      </c>
    </row>
    <row r="36" spans="1:20" ht="12.5" x14ac:dyDescent="0.25">
      <c r="A36" s="10" t="s">
        <v>16</v>
      </c>
      <c r="B36" s="10" t="s">
        <v>706</v>
      </c>
      <c r="C36" s="10" t="s">
        <v>76</v>
      </c>
      <c r="D36" s="11">
        <v>2024</v>
      </c>
      <c r="E36" s="10" t="s">
        <v>81</v>
      </c>
      <c r="F36" s="10" t="s">
        <v>83</v>
      </c>
      <c r="G36" s="10" t="s">
        <v>84</v>
      </c>
      <c r="H36" s="12">
        <v>255748.75</v>
      </c>
      <c r="I36" s="11">
        <v>16120</v>
      </c>
      <c r="J36" s="11">
        <v>14027</v>
      </c>
      <c r="K36" s="11">
        <v>244197</v>
      </c>
      <c r="L36" s="11">
        <v>6.3030611097806E-2</v>
      </c>
      <c r="M36" s="11">
        <f t="shared" si="0"/>
        <v>6.3030611097805957</v>
      </c>
      <c r="N36" s="11">
        <v>0.87016129032258105</v>
      </c>
      <c r="O36" s="11">
        <v>0.95483164629348105</v>
      </c>
      <c r="P36" s="11">
        <v>0.56756756756756799</v>
      </c>
      <c r="Q36" s="11">
        <v>0.266666666666667</v>
      </c>
      <c r="R36" s="11">
        <v>0.62984496124030998</v>
      </c>
      <c r="S36" s="10" t="s">
        <v>84</v>
      </c>
      <c r="T36" s="10" t="s">
        <v>84</v>
      </c>
    </row>
    <row r="37" spans="1:20" ht="12.5" x14ac:dyDescent="0.25">
      <c r="A37" s="10" t="s">
        <v>26</v>
      </c>
      <c r="B37" s="10" t="s">
        <v>717</v>
      </c>
      <c r="C37" s="10" t="s">
        <v>76</v>
      </c>
      <c r="D37" s="11">
        <v>2024</v>
      </c>
      <c r="E37" s="10" t="s">
        <v>81</v>
      </c>
      <c r="F37" s="10" t="s">
        <v>83</v>
      </c>
      <c r="G37" s="10" t="s">
        <v>84</v>
      </c>
      <c r="H37" s="12">
        <v>105971.91666666701</v>
      </c>
      <c r="I37" s="11">
        <v>6313</v>
      </c>
      <c r="J37" s="11">
        <v>5027</v>
      </c>
      <c r="K37" s="11">
        <v>136575</v>
      </c>
      <c r="L37" s="11">
        <v>5.95723867093719E-2</v>
      </c>
      <c r="M37" s="11">
        <f t="shared" si="0"/>
        <v>5.957238670937171</v>
      </c>
      <c r="N37" s="11">
        <v>0.79629336290194797</v>
      </c>
      <c r="O37" s="11">
        <v>1.2887848431541999</v>
      </c>
      <c r="P37" s="11">
        <v>0.55574324324324298</v>
      </c>
      <c r="Q37" s="11">
        <v>0.19230769230769201</v>
      </c>
      <c r="R37" s="11">
        <v>0.61821705426356599</v>
      </c>
      <c r="S37" s="10" t="s">
        <v>84</v>
      </c>
      <c r="T37" s="10" t="s">
        <v>84</v>
      </c>
    </row>
    <row r="38" spans="1:20" ht="12.5" x14ac:dyDescent="0.25">
      <c r="A38" s="10" t="s">
        <v>29</v>
      </c>
      <c r="B38" s="10" t="s">
        <v>913</v>
      </c>
      <c r="C38" s="10" t="s">
        <v>76</v>
      </c>
      <c r="D38" s="11">
        <v>2024</v>
      </c>
      <c r="E38" s="10" t="s">
        <v>124</v>
      </c>
      <c r="F38" s="10" t="s">
        <v>83</v>
      </c>
      <c r="G38" s="10" t="s">
        <v>84</v>
      </c>
      <c r="H38" s="12">
        <v>189110.08333333299</v>
      </c>
      <c r="I38" s="11">
        <v>11198</v>
      </c>
      <c r="J38" s="11">
        <v>9082</v>
      </c>
      <c r="K38" s="11">
        <v>68441</v>
      </c>
      <c r="L38" s="11">
        <v>5.92141878561913E-2</v>
      </c>
      <c r="M38" s="11">
        <f t="shared" si="0"/>
        <v>5.9214187856191449</v>
      </c>
      <c r="N38" s="11">
        <v>0.811037685300947</v>
      </c>
      <c r="O38" s="11">
        <v>0.36191089757685202</v>
      </c>
      <c r="P38" s="11">
        <v>0.55489864864864902</v>
      </c>
      <c r="Q38" s="11">
        <v>0.26530612244898</v>
      </c>
      <c r="R38" s="11">
        <v>0.40492170022371399</v>
      </c>
      <c r="S38" s="10" t="s">
        <v>84</v>
      </c>
      <c r="T38" s="10" t="s">
        <v>84</v>
      </c>
    </row>
    <row r="39" spans="1:20" ht="12.5" x14ac:dyDescent="0.25">
      <c r="A39" s="10" t="s">
        <v>86</v>
      </c>
      <c r="B39" s="10" t="s">
        <v>724</v>
      </c>
      <c r="C39" s="10" t="s">
        <v>76</v>
      </c>
      <c r="D39" s="11">
        <v>2024</v>
      </c>
      <c r="E39" s="10" t="s">
        <v>81</v>
      </c>
      <c r="F39" s="10" t="s">
        <v>83</v>
      </c>
      <c r="G39" s="10" t="s">
        <v>84</v>
      </c>
      <c r="H39" s="12">
        <v>114831</v>
      </c>
      <c r="I39" s="11">
        <v>6709</v>
      </c>
      <c r="J39" s="11">
        <v>3027</v>
      </c>
      <c r="K39" s="11">
        <v>75813</v>
      </c>
      <c r="L39" s="11">
        <v>5.8424989767571503E-2</v>
      </c>
      <c r="M39" s="11">
        <f t="shared" si="0"/>
        <v>5.8424989767571471</v>
      </c>
      <c r="N39" s="11">
        <v>0.45118497540617097</v>
      </c>
      <c r="O39" s="11">
        <v>0.66021370535830903</v>
      </c>
      <c r="P39" s="11">
        <v>0.54898648648648696</v>
      </c>
      <c r="Q39" s="11">
        <v>0.32608695652173902</v>
      </c>
      <c r="R39" s="11">
        <v>0.61046511627906996</v>
      </c>
      <c r="S39" s="10" t="s">
        <v>84</v>
      </c>
      <c r="T39" s="10" t="s">
        <v>84</v>
      </c>
    </row>
    <row r="40" spans="1:20" ht="12.5" x14ac:dyDescent="0.25">
      <c r="A40" s="10" t="s">
        <v>25</v>
      </c>
      <c r="B40" s="10" t="s">
        <v>731</v>
      </c>
      <c r="C40" s="10" t="s">
        <v>76</v>
      </c>
      <c r="D40" s="11">
        <v>2024</v>
      </c>
      <c r="E40" s="10" t="s">
        <v>81</v>
      </c>
      <c r="F40" s="10" t="s">
        <v>83</v>
      </c>
      <c r="G40" s="10" t="s">
        <v>84</v>
      </c>
      <c r="H40" s="12">
        <v>167258.91666666701</v>
      </c>
      <c r="I40" s="11">
        <v>9578</v>
      </c>
      <c r="J40" s="11">
        <v>7617</v>
      </c>
      <c r="K40" s="11">
        <v>145510</v>
      </c>
      <c r="L40" s="11">
        <v>5.7264510561718898E-2</v>
      </c>
      <c r="M40" s="11">
        <f t="shared" si="0"/>
        <v>5.7264510561718813</v>
      </c>
      <c r="N40" s="11">
        <v>0.79525997076634003</v>
      </c>
      <c r="O40" s="11">
        <v>0.86996856669823797</v>
      </c>
      <c r="P40" s="11">
        <v>0.54222972972973005</v>
      </c>
      <c r="Q40" s="11">
        <v>0.375</v>
      </c>
      <c r="R40" s="11">
        <v>0.60077519379845001</v>
      </c>
      <c r="S40" s="10" t="s">
        <v>84</v>
      </c>
      <c r="T40" s="10" t="s">
        <v>84</v>
      </c>
    </row>
    <row r="41" spans="1:20" ht="12.5" x14ac:dyDescent="0.25">
      <c r="A41" s="10" t="s">
        <v>6</v>
      </c>
      <c r="B41" s="10" t="s">
        <v>934</v>
      </c>
      <c r="C41" s="10" t="s">
        <v>76</v>
      </c>
      <c r="D41" s="11">
        <v>2024</v>
      </c>
      <c r="E41" s="10" t="s">
        <v>124</v>
      </c>
      <c r="F41" s="10" t="s">
        <v>83</v>
      </c>
      <c r="G41" s="10" t="s">
        <v>84</v>
      </c>
      <c r="H41" s="12">
        <v>134912</v>
      </c>
      <c r="I41" s="11">
        <v>7382</v>
      </c>
      <c r="J41" s="11">
        <v>6161</v>
      </c>
      <c r="K41" s="11">
        <v>38604</v>
      </c>
      <c r="L41" s="11">
        <v>5.4717148956356702E-2</v>
      </c>
      <c r="M41" s="11">
        <f t="shared" si="0"/>
        <v>5.4717148956356736</v>
      </c>
      <c r="N41" s="11">
        <v>0.83459767000812801</v>
      </c>
      <c r="O41" s="11">
        <v>0.28614207779886103</v>
      </c>
      <c r="P41" s="11">
        <v>0.52533783783783805</v>
      </c>
      <c r="Q41" s="11">
        <v>0.70967741935483897</v>
      </c>
      <c r="R41" s="11">
        <v>0.384787472035794</v>
      </c>
      <c r="S41" s="10" t="s">
        <v>84</v>
      </c>
      <c r="T41" s="10" t="s">
        <v>84</v>
      </c>
    </row>
    <row r="42" spans="1:20" ht="12.5" x14ac:dyDescent="0.25">
      <c r="A42" s="10" t="s">
        <v>49</v>
      </c>
      <c r="B42" s="10" t="s">
        <v>856</v>
      </c>
      <c r="C42" s="10" t="s">
        <v>76</v>
      </c>
      <c r="D42" s="11">
        <v>2024</v>
      </c>
      <c r="E42" s="10" t="s">
        <v>81</v>
      </c>
      <c r="F42" s="10" t="s">
        <v>83</v>
      </c>
      <c r="G42" s="10" t="s">
        <v>84</v>
      </c>
      <c r="H42" s="12">
        <v>119248.91666666701</v>
      </c>
      <c r="I42" s="11">
        <v>4887</v>
      </c>
      <c r="J42" s="11">
        <v>4484</v>
      </c>
      <c r="K42" s="11">
        <v>75719</v>
      </c>
      <c r="L42" s="11">
        <v>4.0981504374253602E-2</v>
      </c>
      <c r="M42" s="11">
        <f t="shared" si="0"/>
        <v>4.0981504374253452</v>
      </c>
      <c r="N42" s="11">
        <v>0.91753632085123804</v>
      </c>
      <c r="O42" s="11">
        <v>0.63496593609865104</v>
      </c>
      <c r="P42" s="11">
        <v>0.43243243243243201</v>
      </c>
      <c r="Q42" s="11">
        <v>0.53846153846153799</v>
      </c>
      <c r="R42" s="11">
        <v>0.47674418604651198</v>
      </c>
      <c r="S42" s="10" t="s">
        <v>84</v>
      </c>
      <c r="T42" s="10" t="s">
        <v>84</v>
      </c>
    </row>
    <row r="43" spans="1:20" ht="12.5" hidden="1" x14ac:dyDescent="0.25">
      <c r="A43" s="10" t="s">
        <v>32</v>
      </c>
      <c r="B43" s="10" t="s">
        <v>1538</v>
      </c>
      <c r="C43" s="10" t="s">
        <v>76</v>
      </c>
      <c r="D43" s="11">
        <v>2024</v>
      </c>
      <c r="E43" s="10" t="s">
        <v>0</v>
      </c>
      <c r="F43" s="10" t="s">
        <v>83</v>
      </c>
      <c r="G43" s="10" t="s">
        <v>84</v>
      </c>
      <c r="H43" s="12">
        <v>183162.08333333299</v>
      </c>
      <c r="I43" s="11">
        <v>7457</v>
      </c>
      <c r="J43" s="11">
        <v>6480</v>
      </c>
      <c r="K43" s="11">
        <v>28373</v>
      </c>
      <c r="L43" s="11">
        <v>4.0712574700458803E-2</v>
      </c>
      <c r="M43" s="11">
        <f t="shared" si="0"/>
        <v>4.0712574700458912</v>
      </c>
      <c r="N43" s="11">
        <v>0.86898216440928</v>
      </c>
      <c r="O43" s="11">
        <v>0.154906514949191</v>
      </c>
      <c r="P43" s="11">
        <v>0.43074324324324298</v>
      </c>
      <c r="Q43" s="11">
        <v>0.24137931034482801</v>
      </c>
      <c r="R43" s="11">
        <v>0.33333333333333298</v>
      </c>
      <c r="S43" s="10" t="s">
        <v>84</v>
      </c>
      <c r="T43" s="10" t="s">
        <v>84</v>
      </c>
    </row>
    <row r="44" spans="1:20" ht="12.5" x14ac:dyDescent="0.25">
      <c r="A44" s="10" t="s">
        <v>104</v>
      </c>
      <c r="B44" s="10" t="s">
        <v>990</v>
      </c>
      <c r="C44" s="10" t="s">
        <v>76</v>
      </c>
      <c r="D44" s="11">
        <v>2024</v>
      </c>
      <c r="E44" s="10" t="s">
        <v>124</v>
      </c>
      <c r="F44" s="10" t="s">
        <v>83</v>
      </c>
      <c r="G44" s="10" t="s">
        <v>84</v>
      </c>
      <c r="H44" s="12">
        <v>244200</v>
      </c>
      <c r="I44" s="11">
        <v>9871</v>
      </c>
      <c r="J44" s="11">
        <v>8014</v>
      </c>
      <c r="K44" s="11">
        <v>48268</v>
      </c>
      <c r="L44" s="11">
        <v>4.04217854217854E-2</v>
      </c>
      <c r="M44" s="11">
        <f t="shared" si="0"/>
        <v>4.0421785421785419</v>
      </c>
      <c r="N44" s="11">
        <v>0.81187316381318997</v>
      </c>
      <c r="O44" s="11">
        <v>0.197657657657658</v>
      </c>
      <c r="P44" s="11">
        <v>0.42820945945945998</v>
      </c>
      <c r="Q44" s="11">
        <v>0.41379310344827602</v>
      </c>
      <c r="R44" s="11">
        <v>0.33109619686800901</v>
      </c>
      <c r="S44" s="10" t="s">
        <v>84</v>
      </c>
      <c r="T44" s="10" t="s">
        <v>84</v>
      </c>
    </row>
    <row r="45" spans="1:20" ht="12.5" x14ac:dyDescent="0.25">
      <c r="A45" s="10" t="s">
        <v>67</v>
      </c>
      <c r="B45" s="10" t="s">
        <v>1004</v>
      </c>
      <c r="C45" s="10" t="s">
        <v>76</v>
      </c>
      <c r="D45" s="11">
        <v>2024</v>
      </c>
      <c r="E45" s="10" t="s">
        <v>124</v>
      </c>
      <c r="F45" s="10" t="s">
        <v>83</v>
      </c>
      <c r="G45" s="10" t="s">
        <v>84</v>
      </c>
      <c r="H45" s="12">
        <v>118000</v>
      </c>
      <c r="I45" s="11">
        <v>4567</v>
      </c>
      <c r="J45" s="11">
        <v>2324</v>
      </c>
      <c r="K45" s="11">
        <v>39161</v>
      </c>
      <c r="L45" s="11">
        <v>3.87033898305085E-2</v>
      </c>
      <c r="M45" s="11">
        <f t="shared" si="0"/>
        <v>3.8703389830508472</v>
      </c>
      <c r="N45" s="11">
        <v>0.50886796584190896</v>
      </c>
      <c r="O45" s="11">
        <v>0.33187288135593201</v>
      </c>
      <c r="P45" s="11">
        <v>0.41638513513513498</v>
      </c>
      <c r="Q45" s="11">
        <v>0.42857142857142899</v>
      </c>
      <c r="R45" s="11">
        <v>0.317673378076063</v>
      </c>
      <c r="S45" s="10" t="s">
        <v>84</v>
      </c>
      <c r="T45" s="10" t="s">
        <v>84</v>
      </c>
    </row>
    <row r="46" spans="1:20" ht="12.5" x14ac:dyDescent="0.25">
      <c r="A46" s="10" t="s">
        <v>34</v>
      </c>
      <c r="B46" s="10" t="s">
        <v>864</v>
      </c>
      <c r="C46" s="10" t="s">
        <v>76</v>
      </c>
      <c r="D46" s="11">
        <v>2024</v>
      </c>
      <c r="E46" s="10" t="s">
        <v>81</v>
      </c>
      <c r="F46" s="10" t="s">
        <v>83</v>
      </c>
      <c r="G46" s="10" t="s">
        <v>84</v>
      </c>
      <c r="H46" s="12">
        <v>146640.58333333299</v>
      </c>
      <c r="I46" s="11">
        <v>5645</v>
      </c>
      <c r="J46" s="11">
        <v>5622</v>
      </c>
      <c r="K46" s="11">
        <v>108935</v>
      </c>
      <c r="L46" s="11">
        <v>3.8495482435228497E-2</v>
      </c>
      <c r="M46" s="11">
        <f t="shared" si="0"/>
        <v>3.8495482435228627</v>
      </c>
      <c r="N46" s="11">
        <v>0.99592559787422497</v>
      </c>
      <c r="O46" s="11">
        <v>0.742870749173006</v>
      </c>
      <c r="P46" s="11">
        <v>0.414695945945946</v>
      </c>
      <c r="Q46" s="11">
        <v>0.67346938775510201</v>
      </c>
      <c r="R46" s="11">
        <v>0.47093023255813998</v>
      </c>
      <c r="S46" s="10" t="s">
        <v>84</v>
      </c>
      <c r="T46" s="10" t="s">
        <v>84</v>
      </c>
    </row>
    <row r="47" spans="1:20" ht="12.5" x14ac:dyDescent="0.25">
      <c r="A47" s="10" t="s">
        <v>98</v>
      </c>
      <c r="B47" s="10" t="s">
        <v>874</v>
      </c>
      <c r="C47" s="10" t="s">
        <v>76</v>
      </c>
      <c r="D47" s="11">
        <v>2024</v>
      </c>
      <c r="E47" s="10" t="s">
        <v>81</v>
      </c>
      <c r="F47" s="10" t="s">
        <v>83</v>
      </c>
      <c r="G47" s="10" t="s">
        <v>84</v>
      </c>
      <c r="H47" s="12">
        <v>162580.16666666701</v>
      </c>
      <c r="I47" s="11">
        <v>6080</v>
      </c>
      <c r="J47" s="11">
        <v>5080</v>
      </c>
      <c r="K47" s="11">
        <v>233490</v>
      </c>
      <c r="L47" s="11">
        <v>3.7396935460557397E-2</v>
      </c>
      <c r="M47" s="11">
        <f t="shared" si="0"/>
        <v>3.7396935460557326</v>
      </c>
      <c r="N47" s="11">
        <v>0.83552631578947401</v>
      </c>
      <c r="O47" s="11">
        <v>1.4361530362969701</v>
      </c>
      <c r="P47" s="11">
        <v>0.40202702702702697</v>
      </c>
      <c r="Q47" s="11">
        <v>0.42857142857142899</v>
      </c>
      <c r="R47" s="11">
        <v>0.459302325581395</v>
      </c>
      <c r="S47" s="10" t="s">
        <v>84</v>
      </c>
      <c r="T47" s="10" t="s">
        <v>84</v>
      </c>
    </row>
    <row r="48" spans="1:20" ht="12.5" x14ac:dyDescent="0.25">
      <c r="A48" s="10" t="s">
        <v>110</v>
      </c>
      <c r="B48" s="10" t="s">
        <v>1039</v>
      </c>
      <c r="C48" s="10" t="s">
        <v>76</v>
      </c>
      <c r="D48" s="11">
        <v>2024</v>
      </c>
      <c r="E48" s="10" t="s">
        <v>124</v>
      </c>
      <c r="F48" s="10" t="s">
        <v>83</v>
      </c>
      <c r="G48" s="10" t="s">
        <v>84</v>
      </c>
      <c r="H48" s="12">
        <v>424079.08333333302</v>
      </c>
      <c r="I48" s="11">
        <v>14406</v>
      </c>
      <c r="J48" s="11">
        <v>14082</v>
      </c>
      <c r="K48" s="11">
        <v>69610</v>
      </c>
      <c r="L48" s="11">
        <v>3.3970079087057098E-2</v>
      </c>
      <c r="M48" s="11">
        <f t="shared" si="0"/>
        <v>3.3970079087057097</v>
      </c>
      <c r="N48" s="11">
        <v>0.97750937109537706</v>
      </c>
      <c r="O48" s="11">
        <v>0.16414391262321601</v>
      </c>
      <c r="P48" s="11">
        <v>0.38006756756756799</v>
      </c>
      <c r="Q48" s="11">
        <v>0.51515151515151503</v>
      </c>
      <c r="R48" s="11">
        <v>0.28187919463087202</v>
      </c>
      <c r="S48" s="10" t="s">
        <v>84</v>
      </c>
      <c r="T48" s="10" t="s">
        <v>84</v>
      </c>
    </row>
    <row r="49" spans="1:20" ht="12.5" hidden="1" x14ac:dyDescent="0.25">
      <c r="A49" s="10" t="s">
        <v>43</v>
      </c>
      <c r="B49" s="10" t="s">
        <v>1571</v>
      </c>
      <c r="C49" s="10" t="s">
        <v>76</v>
      </c>
      <c r="D49" s="11">
        <v>2024</v>
      </c>
      <c r="E49" s="10" t="s">
        <v>0</v>
      </c>
      <c r="F49" s="10" t="s">
        <v>83</v>
      </c>
      <c r="G49" s="10" t="s">
        <v>84</v>
      </c>
      <c r="H49" s="12">
        <v>767754.5</v>
      </c>
      <c r="I49" s="11">
        <v>25295</v>
      </c>
      <c r="J49" s="11">
        <v>20959</v>
      </c>
      <c r="K49" s="11">
        <v>111253</v>
      </c>
      <c r="L49" s="11">
        <v>3.2946729716335103E-2</v>
      </c>
      <c r="M49" s="11">
        <f t="shared" si="0"/>
        <v>3.2946729716335104</v>
      </c>
      <c r="N49" s="11">
        <v>0.82858272385846998</v>
      </c>
      <c r="O49" s="11">
        <v>0.14490699826572201</v>
      </c>
      <c r="P49" s="11">
        <v>0.36824324324324298</v>
      </c>
      <c r="Q49" s="11">
        <v>0.61538461538461497</v>
      </c>
      <c r="R49" s="11">
        <v>0</v>
      </c>
      <c r="S49" s="10" t="s">
        <v>84</v>
      </c>
      <c r="T49" s="10" t="s">
        <v>84</v>
      </c>
    </row>
    <row r="50" spans="1:20" ht="12.5" x14ac:dyDescent="0.25">
      <c r="A50" s="10" t="s">
        <v>25</v>
      </c>
      <c r="B50" s="10" t="s">
        <v>928</v>
      </c>
      <c r="C50" s="10" t="s">
        <v>76</v>
      </c>
      <c r="D50" s="11">
        <v>2024</v>
      </c>
      <c r="E50" s="10" t="s">
        <v>81</v>
      </c>
      <c r="F50" s="10" t="s">
        <v>83</v>
      </c>
      <c r="G50" s="10" t="s">
        <v>84</v>
      </c>
      <c r="H50" s="12">
        <v>165917.83333333299</v>
      </c>
      <c r="I50" s="11">
        <v>5252</v>
      </c>
      <c r="J50" s="11">
        <v>4841</v>
      </c>
      <c r="K50" s="11">
        <v>68458</v>
      </c>
      <c r="L50" s="11">
        <v>3.1654222421339098E-2</v>
      </c>
      <c r="M50" s="11">
        <f t="shared" si="0"/>
        <v>3.1654222421339142</v>
      </c>
      <c r="N50" s="11">
        <v>0.92174409748667196</v>
      </c>
      <c r="O50" s="11">
        <v>0.412601819977157</v>
      </c>
      <c r="P50" s="11">
        <v>0.35135135135135098</v>
      </c>
      <c r="Q50" s="11">
        <v>6.25E-2</v>
      </c>
      <c r="R50" s="11">
        <v>0.403100775193798</v>
      </c>
      <c r="S50" s="10" t="s">
        <v>84</v>
      </c>
      <c r="T50" s="10" t="s">
        <v>84</v>
      </c>
    </row>
    <row r="51" spans="1:20" ht="12.5" hidden="1" x14ac:dyDescent="0.25">
      <c r="A51" s="10" t="s">
        <v>101</v>
      </c>
      <c r="B51" s="10" t="s">
        <v>1577</v>
      </c>
      <c r="C51" s="10" t="s">
        <v>76</v>
      </c>
      <c r="D51" s="11">
        <v>2024</v>
      </c>
      <c r="E51" s="10" t="s">
        <v>257</v>
      </c>
      <c r="F51" s="10" t="s">
        <v>83</v>
      </c>
      <c r="G51" s="10" t="s">
        <v>84</v>
      </c>
      <c r="H51" s="12">
        <v>1053407.25</v>
      </c>
      <c r="I51" s="11">
        <v>32759</v>
      </c>
      <c r="J51" s="11">
        <v>16934</v>
      </c>
      <c r="K51" s="11">
        <v>377198</v>
      </c>
      <c r="L51" s="11">
        <v>3.1098134173654101E-2</v>
      </c>
      <c r="M51" s="11">
        <f t="shared" si="0"/>
        <v>3.1098134173654111</v>
      </c>
      <c r="N51" s="11">
        <v>0.51692664611251904</v>
      </c>
      <c r="O51" s="11">
        <v>0.35807423956878998</v>
      </c>
      <c r="P51" s="11">
        <v>0.34712837837837801</v>
      </c>
      <c r="Q51" s="11">
        <v>0.28571428571428598</v>
      </c>
      <c r="R51" s="11">
        <v>0.47727272727272702</v>
      </c>
      <c r="S51" s="10" t="s">
        <v>84</v>
      </c>
      <c r="T51" s="10" t="s">
        <v>84</v>
      </c>
    </row>
    <row r="52" spans="1:20" ht="12.5" hidden="1" x14ac:dyDescent="0.25">
      <c r="A52" s="10" t="s">
        <v>6</v>
      </c>
      <c r="B52" s="10" t="s">
        <v>1578</v>
      </c>
      <c r="C52" s="10" t="s">
        <v>76</v>
      </c>
      <c r="D52" s="11">
        <v>2024</v>
      </c>
      <c r="E52" s="10" t="s">
        <v>257</v>
      </c>
      <c r="F52" s="10" t="s">
        <v>83</v>
      </c>
      <c r="G52" s="10" t="s">
        <v>84</v>
      </c>
      <c r="H52" s="12">
        <v>361412.33333333302</v>
      </c>
      <c r="I52" s="11">
        <v>8540</v>
      </c>
      <c r="J52" s="11">
        <v>6378</v>
      </c>
      <c r="K52" s="11">
        <v>231533</v>
      </c>
      <c r="L52" s="11">
        <v>2.3629520114144799E-2</v>
      </c>
      <c r="M52" s="11">
        <f t="shared" si="0"/>
        <v>2.3629520114144804</v>
      </c>
      <c r="N52" s="11">
        <v>0.74683840749414498</v>
      </c>
      <c r="O52" s="11">
        <v>0.64063392044359302</v>
      </c>
      <c r="P52" s="11">
        <v>0.27871621621621601</v>
      </c>
      <c r="Q52" s="11">
        <v>0.51612903225806495</v>
      </c>
      <c r="R52" s="11">
        <v>0.43181818181818199</v>
      </c>
      <c r="S52" s="10" t="s">
        <v>84</v>
      </c>
      <c r="T52" s="10" t="s">
        <v>84</v>
      </c>
    </row>
    <row r="53" spans="1:20" ht="12.5" hidden="1" x14ac:dyDescent="0.25">
      <c r="A53" s="10" t="s">
        <v>110</v>
      </c>
      <c r="B53" s="10" t="s">
        <v>1579</v>
      </c>
      <c r="C53" s="10" t="s">
        <v>76</v>
      </c>
      <c r="D53" s="11">
        <v>2024</v>
      </c>
      <c r="E53" s="10" t="s">
        <v>257</v>
      </c>
      <c r="F53" s="10" t="s">
        <v>125</v>
      </c>
      <c r="G53" s="10" t="s">
        <v>84</v>
      </c>
      <c r="H53" s="12">
        <v>339909.66666666698</v>
      </c>
      <c r="I53" s="11">
        <v>6658</v>
      </c>
      <c r="J53" s="11">
        <v>6570</v>
      </c>
      <c r="K53" s="11">
        <v>10606</v>
      </c>
      <c r="L53" s="11">
        <v>1.9587557086245499E-2</v>
      </c>
      <c r="M53" s="11">
        <f t="shared" si="0"/>
        <v>1.9587557086245446</v>
      </c>
      <c r="N53" s="11">
        <v>0.98678281766296205</v>
      </c>
      <c r="O53" s="11">
        <v>3.1202407698516E-2</v>
      </c>
      <c r="P53" s="11">
        <v>0.23395270270270299</v>
      </c>
      <c r="Q53" s="11">
        <v>0.42424242424242398</v>
      </c>
      <c r="R53" s="11">
        <v>0.38636363636363602</v>
      </c>
      <c r="S53" s="10" t="s">
        <v>84</v>
      </c>
      <c r="T53" s="10" t="s">
        <v>84</v>
      </c>
    </row>
    <row r="54" spans="1:20" ht="12.5" x14ac:dyDescent="0.25">
      <c r="A54" s="10" t="s">
        <v>34</v>
      </c>
      <c r="B54" s="10" t="s">
        <v>1074</v>
      </c>
      <c r="C54" s="10" t="s">
        <v>76</v>
      </c>
      <c r="D54" s="11">
        <v>2024</v>
      </c>
      <c r="E54" s="10" t="s">
        <v>81</v>
      </c>
      <c r="F54" s="10" t="s">
        <v>83</v>
      </c>
      <c r="G54" s="10" t="s">
        <v>84</v>
      </c>
      <c r="H54" s="12">
        <v>116753.08333333299</v>
      </c>
      <c r="I54" s="11">
        <v>2247</v>
      </c>
      <c r="J54" s="11">
        <v>2297</v>
      </c>
      <c r="K54" s="11">
        <v>48434</v>
      </c>
      <c r="L54" s="11">
        <v>1.9245744402182099E-2</v>
      </c>
      <c r="M54" s="11">
        <f t="shared" si="0"/>
        <v>1.9245744402182154</v>
      </c>
      <c r="N54" s="11">
        <v>1.0222518914107701</v>
      </c>
      <c r="O54" s="11">
        <v>0.41484129255687002</v>
      </c>
      <c r="P54" s="11">
        <v>0.22804054054054099</v>
      </c>
      <c r="Q54" s="11">
        <v>0.40816326530612201</v>
      </c>
      <c r="R54" s="11">
        <v>0.26937984496124001</v>
      </c>
      <c r="S54" s="10" t="s">
        <v>84</v>
      </c>
      <c r="T54" s="10" t="s">
        <v>84</v>
      </c>
    </row>
    <row r="55" spans="1:20" ht="12.5" x14ac:dyDescent="0.25">
      <c r="A55" s="10" t="s">
        <v>40</v>
      </c>
      <c r="B55" s="10" t="s">
        <v>1102</v>
      </c>
      <c r="C55" s="10" t="s">
        <v>76</v>
      </c>
      <c r="D55" s="11">
        <v>2024</v>
      </c>
      <c r="E55" s="10" t="s">
        <v>81</v>
      </c>
      <c r="F55" s="10" t="s">
        <v>83</v>
      </c>
      <c r="G55" s="10" t="s">
        <v>84</v>
      </c>
      <c r="H55" s="12">
        <v>118327.5</v>
      </c>
      <c r="I55" s="11">
        <v>1927</v>
      </c>
      <c r="J55" s="11">
        <v>1414</v>
      </c>
      <c r="K55" s="11">
        <v>32925</v>
      </c>
      <c r="L55" s="11">
        <v>1.6285309839217402E-2</v>
      </c>
      <c r="M55" s="11">
        <f t="shared" si="0"/>
        <v>1.6285309839217426</v>
      </c>
      <c r="N55" s="11">
        <v>0.73378308251167601</v>
      </c>
      <c r="O55" s="11">
        <v>0.27825315332445999</v>
      </c>
      <c r="P55" s="11">
        <v>0.20354729729729701</v>
      </c>
      <c r="Q55" s="11">
        <v>0</v>
      </c>
      <c r="R55" s="11">
        <v>0.24418604651162801</v>
      </c>
      <c r="S55" s="10" t="s">
        <v>84</v>
      </c>
      <c r="T55" s="10" t="s">
        <v>84</v>
      </c>
    </row>
    <row r="56" spans="1:20" ht="12.5" hidden="1" x14ac:dyDescent="0.25">
      <c r="A56" s="10" t="s">
        <v>110</v>
      </c>
      <c r="B56" s="10" t="s">
        <v>1580</v>
      </c>
      <c r="C56" s="10" t="s">
        <v>76</v>
      </c>
      <c r="D56" s="11">
        <v>2024</v>
      </c>
      <c r="E56" s="10" t="s">
        <v>257</v>
      </c>
      <c r="F56" s="10" t="s">
        <v>83</v>
      </c>
      <c r="G56" s="10" t="s">
        <v>84</v>
      </c>
      <c r="H56" s="12">
        <v>217653.41666666701</v>
      </c>
      <c r="I56" s="11">
        <v>2501</v>
      </c>
      <c r="J56" s="11">
        <v>2262</v>
      </c>
      <c r="K56" s="11">
        <v>44443</v>
      </c>
      <c r="L56" s="11">
        <v>1.14907454167386E-2</v>
      </c>
      <c r="M56" s="11">
        <f t="shared" si="0"/>
        <v>1.1490745416738597</v>
      </c>
      <c r="N56" s="11">
        <v>0.90443822471011603</v>
      </c>
      <c r="O56" s="11">
        <v>0.204191602781333</v>
      </c>
      <c r="P56" s="11">
        <v>0.13260135135135101</v>
      </c>
      <c r="Q56" s="11">
        <v>0.24242424242424199</v>
      </c>
      <c r="R56" s="11">
        <v>0.13636363636363599</v>
      </c>
      <c r="S56" s="10" t="s">
        <v>84</v>
      </c>
      <c r="T56" s="10" t="s">
        <v>84</v>
      </c>
    </row>
    <row r="57" spans="1:20" ht="12.5" x14ac:dyDescent="0.25">
      <c r="A57" s="10" t="s">
        <v>36</v>
      </c>
      <c r="B57" s="10" t="s">
        <v>1311</v>
      </c>
      <c r="C57" s="10" t="s">
        <v>76</v>
      </c>
      <c r="D57" s="11">
        <v>2024</v>
      </c>
      <c r="E57" s="10" t="s">
        <v>81</v>
      </c>
      <c r="F57" s="10" t="s">
        <v>83</v>
      </c>
      <c r="G57" s="10" t="s">
        <v>84</v>
      </c>
      <c r="H57" s="12">
        <v>179486.25</v>
      </c>
      <c r="I57" s="11">
        <v>654</v>
      </c>
      <c r="J57" s="11">
        <v>10840</v>
      </c>
      <c r="K57" s="11">
        <v>104784</v>
      </c>
      <c r="L57" s="11">
        <v>3.6437331550467E-3</v>
      </c>
      <c r="M57" s="11">
        <f t="shared" si="0"/>
        <v>0.36437331550466956</v>
      </c>
      <c r="N57" s="11">
        <v>16.574923547400601</v>
      </c>
      <c r="O57" s="11">
        <v>0.58379959467647202</v>
      </c>
      <c r="P57" s="11">
        <v>3.9695945945945901E-2</v>
      </c>
      <c r="Q57" s="11">
        <v>0</v>
      </c>
      <c r="R57" s="11">
        <v>5.8139534883720902E-2</v>
      </c>
      <c r="S57" s="10" t="s">
        <v>84</v>
      </c>
      <c r="T57" s="10" t="s">
        <v>84</v>
      </c>
    </row>
    <row r="58" spans="1:20" ht="12.5" x14ac:dyDescent="0.25">
      <c r="A58" s="10" t="s">
        <v>103</v>
      </c>
      <c r="B58" s="10" t="s">
        <v>1334</v>
      </c>
      <c r="C58" s="10" t="s">
        <v>76</v>
      </c>
      <c r="D58" s="11">
        <v>2024</v>
      </c>
      <c r="E58" s="10" t="s">
        <v>124</v>
      </c>
      <c r="F58" s="10" t="s">
        <v>83</v>
      </c>
      <c r="G58" s="10" t="s">
        <v>84</v>
      </c>
      <c r="H58" s="12">
        <v>1440137.83333333</v>
      </c>
      <c r="I58" s="11">
        <v>940</v>
      </c>
      <c r="J58" s="11">
        <v>769</v>
      </c>
      <c r="K58" s="11">
        <v>9030</v>
      </c>
      <c r="L58" s="11">
        <v>6.5271530144047599E-4</v>
      </c>
      <c r="M58" s="11">
        <f t="shared" si="0"/>
        <v>6.5271530144047712E-2</v>
      </c>
      <c r="N58" s="11">
        <v>0.81808510638297904</v>
      </c>
      <c r="O58" s="11">
        <v>6.2702331617101002E-3</v>
      </c>
      <c r="P58" s="11">
        <v>1.0979729729729701E-2</v>
      </c>
      <c r="Q58" s="11">
        <v>0</v>
      </c>
      <c r="R58" s="11">
        <v>6.7114093959731499E-3</v>
      </c>
      <c r="S58" s="10" t="s">
        <v>84</v>
      </c>
      <c r="T58" s="10" t="s">
        <v>84</v>
      </c>
    </row>
  </sheetData>
  <autoFilter ref="A1:T58" xr:uid="{00000000-0009-0000-0000-000007000000}">
    <filterColumn colId="4">
      <filters>
        <filter val="Cooperative"/>
        <filter val="Municip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Statistics</vt:lpstr>
      <vt:lpstr>Rankings</vt:lpstr>
      <vt:lpstr>2024-IOUs</vt:lpstr>
      <vt:lpstr>2024-PP</vt:lpstr>
      <vt:lpstr>2024-MUNIS</vt:lpstr>
      <vt:lpstr>2024-COOPS</vt:lpstr>
      <vt:lpstr>2024-SMALL-PP</vt:lpstr>
      <vt:lpstr>2024-LARGE-PP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Keith Oxley</cp:lastModifiedBy>
  <dcterms:modified xsi:type="dcterms:W3CDTF">2026-10-03T21:20:09Z</dcterms:modified>
</cp:coreProperties>
</file>